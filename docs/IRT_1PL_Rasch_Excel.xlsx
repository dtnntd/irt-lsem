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Dan" sheetId="1" state="visible" r:id="rId1"/>
    <sheet xmlns:r="http://schemas.openxmlformats.org/officeDocument/2006/relationships" name="01_Data" sheetId="2" state="visible" r:id="rId2"/>
    <sheet xmlns:r="http://schemas.openxmlformats.org/officeDocument/2006/relationships" name="02_KhoiTao" sheetId="3" state="visible" r:id="rId3"/>
    <sheet xmlns:r="http://schemas.openxmlformats.org/officeDocument/2006/relationships" name="03_Lap_Theta" sheetId="4" state="visible" r:id="rId4"/>
    <sheet xmlns:r="http://schemas.openxmlformats.org/officeDocument/2006/relationships" name="03_Lap_b" sheetId="5" state="visible" r:id="rId5"/>
    <sheet xmlns:r="http://schemas.openxmlformats.org/officeDocument/2006/relationships" name="04_Item" sheetId="6" state="visible" r:id="rId6"/>
    <sheet xmlns:r="http://schemas.openxmlformats.org/officeDocument/2006/relationships" name="05_NangLuc" sheetId="7" state="visible" r:id="rId7"/>
    <sheet xmlns:r="http://schemas.openxmlformats.org/officeDocument/2006/relationships" name="06_DoThi" sheetId="8" state="visible" r:id="rId8"/>
    <sheet xmlns:r="http://schemas.openxmlformats.org/officeDocument/2006/relationships" name="07_DoiChieu_mi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</font>
    <font>
      <b val="1"/>
    </font>
    <font>
      <b val="1"/>
      <sz val="8"/>
    </font>
    <font>
      <color rgb="00888888"/>
      <sz val="7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textRotation="90"/>
    </xf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ICC — đường cong đặc trưng câu hỏi</a:t>
            </a:r>
          </a:p>
        </rich>
      </tx>
    </title>
    <plotArea>
      <lineChart>
        <grouping val="standard"/>
        <ser>
          <idx val="0"/>
          <order val="0"/>
          <tx>
            <strRef>
              <f>'06_DoThi'!C2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'06_DoThi'!$C$3:$C$43</f>
            </numRef>
          </val>
        </ser>
        <ser>
          <idx val="1"/>
          <order val="1"/>
          <tx>
            <strRef>
              <f>'06_DoThi'!D2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'06_DoThi'!$D$3:$D$43</f>
            </numRef>
          </val>
        </ser>
        <ser>
          <idx val="2"/>
          <order val="2"/>
          <tx>
            <strRef>
              <f>'06_DoThi'!E2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'06_DoThi'!$E$3:$E$43</f>
            </numRef>
          </val>
        </ser>
        <ser>
          <idx val="3"/>
          <order val="3"/>
          <tx>
            <strRef>
              <f>'06_DoThi'!F2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'06_DoThi'!$F$3:$F$43</f>
            </numRef>
          </val>
        </ser>
        <ser>
          <idx val="4"/>
          <order val="4"/>
          <tx>
            <strRef>
              <f>'06_DoThi'!G2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'06_DoThi'!$G$3:$G$43</f>
            </numRef>
          </val>
        </ser>
        <ser>
          <idx val="5"/>
          <order val="5"/>
          <tx>
            <strRef>
              <f>'06_DoThi'!H2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'06_DoThi'!$H$3:$H$43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P(đúng)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TIF — hàm thông tin của đề &amp; (SE thấp ⇔ TIF cao)</a:t>
            </a:r>
          </a:p>
        </rich>
      </tx>
    </title>
    <plotArea>
      <lineChart>
        <grouping val="standard"/>
        <ser>
          <idx val="0"/>
          <order val="0"/>
          <tx>
            <strRef>
              <f>'06_DoThi'!B2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'06_DoThi'!$B$3:$B$43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Thông tin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TCC — đường đặc trưng đề (θ → kỳ vọng số câu đúng)</a:t>
            </a:r>
          </a:p>
        </rich>
      </tx>
    </title>
    <plotArea>
      <lineChart>
        <grouping val="standard"/>
        <ser>
          <idx val="0"/>
          <order val="0"/>
          <tx>
            <strRef>
              <f>'06_DoThi'!I2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'06_DoThi'!$A$3:$A$43</f>
            </numRef>
          </cat>
          <val>
            <numRef>
              <f>'06_DoThi'!$I$3:$I$43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thực τ(θ)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Wright map (HS theo θ ↔ câu theo 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'06_DoThi'!Y3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'06_DoThi'!$X$4:$X$23</f>
            </numRef>
          </cat>
          <val>
            <numRef>
              <f>'06_DoThi'!$Y$4:$Y$23</f>
            </numRef>
          </val>
        </ser>
        <ser>
          <idx val="1"/>
          <order val="1"/>
          <tx>
            <strRef>
              <f>'06_DoThi'!Z3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'06_DoThi'!$X$4:$X$23</f>
            </numRef>
          </cat>
          <val>
            <numRef>
              <f>'06_DoThi'!$Z$4:$Z$23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b: Excel vs mirt</a:t>
            </a:r>
          </a:p>
        </rich>
      </tx>
    </title>
    <plotArea>
      <scatterChart>
        <ser>
          <idx val="0"/>
          <order val="0"/>
          <tx>
            <v>item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'07_DoiChieu_mirt'!$D$4:$D$51</f>
            </numRef>
          </xVal>
          <yVal>
            <numRef>
              <f>'07_DoiChieu_mirt'!$E$4:$E$51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(Excel)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(mirt)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θ: Excel vs mirt</a:t>
            </a:r>
          </a:p>
        </rich>
      </tx>
    </title>
    <plotArea>
      <scatterChart>
        <ser>
          <idx val="0"/>
          <order val="0"/>
          <tx>
            <v>HS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'07_DoiChieu_mirt'!$K$4:$K$1040</f>
            </numRef>
          </xVal>
          <yVal>
            <numRef>
              <f>'07_DoiChieu_mirt'!$L$4:$L$1040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 (Excel)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 (mirt)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25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41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73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39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TÍNH IRT 1PL (RASCH) BẰNG EXCEL — JMLE, công thức sống</t>
        </is>
      </c>
    </row>
    <row r="2">
      <c r="A2" t="inlineStr"/>
    </row>
    <row r="3">
      <c r="A3" t="inlineStr">
        <is>
          <t>Dữ liệu: đề 4561803381 — 1037 học sinh × 48 item (24 trắc nghiệm MC + 24 ý Đúng/Sai TF).</t>
        </is>
      </c>
    </row>
    <row r="4">
      <c r="A4" t="inlineStr">
        <is>
          <t>Mục đích: minh hoạ MINH BẠCH cách ước lượng độ khó b và năng lực θ của mô hình Rasch.</t>
        </is>
      </c>
    </row>
    <row r="5">
      <c r="A5" t="inlineStr"/>
    </row>
    <row r="6">
      <c r="A6" s="2" t="inlineStr">
        <is>
          <t>MÔ HÌNH RASCH:  P(θ) = 1 / (1 + e^-(θ - b))   — xác suất trả lời đúng (mục 1.4 tài liệu lý thuyết).</t>
        </is>
      </c>
    </row>
    <row r="7">
      <c r="A7" t="inlineStr"/>
    </row>
    <row r="8">
      <c r="A8" s="2" t="inlineStr">
        <is>
          <t>PHƯƠNG PHÁP JMLE (Joint Maximum Likelihood) — lặp Newton, xem '03_Lap_JMLE_*':</t>
        </is>
      </c>
    </row>
    <row r="9">
      <c r="A9" t="inlineStr">
        <is>
          <t xml:space="preserve">  Khởi tạo (log-odds):  b0 = ln((Nsai+0.3)/(Nđúng+0.3)),  θ0 = ln((R+0.3)/(M-R+0.3));  rồi canh tâm b ← b - mean(b).</t>
        </is>
      </c>
    </row>
    <row r="10">
      <c r="A10" t="inlineStr">
        <is>
          <t xml:space="preserve">  Mỗi vòng:</t>
        </is>
      </c>
    </row>
    <row r="11">
      <c r="A11" t="inlineStr">
        <is>
          <t xml:space="preserve">     θ ← θ + (R - ΣP) / Σ P(1-P)            (cập nhật năng lực từng HS; R=điểm, tổng trên câu ĐÃ làm)</t>
        </is>
      </c>
    </row>
    <row r="12">
      <c r="A12" t="inlineStr">
        <is>
          <t xml:space="preserve">     b ← b + (ΣP - S) / Σ P(1-P)            (cập nhật độ khó từng item; S=số HS đúng)  → canh tâm b ← b - mean(b)</t>
        </is>
      </c>
    </row>
    <row r="13">
      <c r="A13" t="inlineStr">
        <is>
          <t xml:space="preserve">  Mẹo Excel:  Σ P(1-P) không cần lưới riêng — dùng SUMPRODUCT gói P; ô trống tự bị loại nhờ điều kiện (ô &lt;&gt; "").</t>
        </is>
      </c>
    </row>
    <row r="14">
      <c r="A14" t="inlineStr"/>
    </row>
    <row r="15">
      <c r="A15" s="2" t="inlineStr">
        <is>
          <t>ĐỘ CHÍNH XÁC (mục 1.7):  Thông tin I(θ)=Σ P(1-P);  Sai số chuẩn SE(θ)=1/√I(θ).  Tương tự SE(b)=1/√Σ P(1-P).</t>
        </is>
      </c>
    </row>
    <row r="16">
      <c r="A16" t="inlineStr"/>
    </row>
    <row r="17">
      <c r="A17" s="2" t="inlineStr">
        <is>
          <t>ĐIỂM THỰC / TCC (mục 3.6):  τ(θ)=Σ P_j(θ) = kỳ vọng số câu đúng; đường TCC nối thang θ (trừu tượng) với 'số câu đúng' (quen thuộc).</t>
        </is>
      </c>
    </row>
    <row r="18">
      <c r="A18" t="inlineStr"/>
    </row>
    <row r="19">
      <c r="A19" s="2" t="inlineStr">
        <is>
          <t>ĐIỂM BIÊN (mục 1.6):  HS đúng/sai TOÀN BỘ (R=0 hoặc R=M) và item không ai/ai cũng đúng cho ước lượng ±∞;</t>
        </is>
      </c>
    </row>
    <row r="20">
      <c r="A20" t="inlineStr">
        <is>
          <t xml:space="preserve">  ở đây θ,b bị CHẶN trong [-6,6] và gắn cờ 'BIÊN' — đúng tinh thần 'đề chưa chạm giới hạn năng lực'.</t>
        </is>
      </c>
    </row>
    <row r="21">
      <c r="A21" t="inlineStr"/>
    </row>
    <row r="22">
      <c r="A22" s="2" t="inlineStr">
        <is>
          <t>CÁC SHEET:</t>
        </is>
      </c>
    </row>
    <row r="23">
      <c r="A23" t="inlineStr">
        <is>
          <t xml:space="preserve">  01_Data         ma trận trả lời 0/1/(trống), điểm HS R &amp; số câu làm M, số đúng item S.</t>
        </is>
      </c>
    </row>
    <row r="24">
      <c r="A24" t="inlineStr">
        <is>
          <t xml:space="preserve">  02_KhoiTao      giá trị xuất phát b0, θ0 (log-odds).</t>
        </is>
      </c>
    </row>
    <row r="25">
      <c r="A25" t="inlineStr">
        <is>
          <t xml:space="preserve">  03_Lap_Theta    8 vòng cập nhật θ (cột θ0..θ8) — xem năng lực hội tụ.</t>
        </is>
      </c>
    </row>
    <row r="26">
      <c r="A26" t="inlineStr">
        <is>
          <t xml:space="preserve">  03_Lap_b        8 vòng cập nhật b (hàng b0..b8) + canh tâm + chỉ báo hội tụ max|Δb|.</t>
        </is>
      </c>
    </row>
    <row r="27">
      <c r="A27" t="inlineStr">
        <is>
          <t xml:space="preserve">  04_Item         độ khó b cuối + SE(b), sắp hạng theo độ khó.</t>
        </is>
      </c>
    </row>
    <row r="28">
      <c r="A28" t="inlineStr">
        <is>
          <t xml:space="preserve">  05_NangLuc      năng lực θ cuối + thông tin I(θ) + SE(θ) từng HS.</t>
        </is>
      </c>
    </row>
    <row r="29">
      <c r="A29" t="inlineStr">
        <is>
          <t xml:space="preserve">  06_DoThi        ICC vài câu, TIF (thông tin đề), TCC (điểm thực), Wright map (phân bố θ &amp; b).</t>
        </is>
      </c>
    </row>
    <row r="30">
      <c r="A30" t="inlineStr">
        <is>
          <t xml:space="preserve">  07_DoiChieu_mirt  so b &amp; θ của Excel với phần mềm mirt (MMLE) trong báo cáo.</t>
        </is>
      </c>
    </row>
    <row r="31">
      <c r="A31" t="inlineStr"/>
    </row>
    <row r="32">
      <c r="A32" s="2" t="inlineStr">
        <is>
          <t>GIỚI HẠN (đọc kỹ):</t>
        </is>
      </c>
    </row>
    <row r="33">
      <c r="A33" t="inlineStr">
        <is>
          <t xml:space="preserve">  • JMLE ≠ MMLE (mirt): trên câu ĐẦY ĐỦ dữ liệu hai bên khớp gần như tuyệt đối; câu PHÂN NHÁNH (elective,</t>
        </is>
      </c>
    </row>
    <row r="34">
      <c r="A34" t="inlineStr">
        <is>
          <t xml:space="preserve">    nhiều ô trống) lệch hơn vì mirt tích phân (marginal) xử lý khuyết tốt hơn — xem 07_DoiChieu_mirt.</t>
        </is>
      </c>
    </row>
    <row r="35">
      <c r="A35" t="inlineStr">
        <is>
          <t xml:space="preserve">  • Số vòng lặp cố định = 8 (đã đủ hội tụ: xem max|Δb| ở 03_Lap_b).</t>
        </is>
      </c>
    </row>
    <row r="36">
      <c r="A36" t="inlineStr">
        <is>
          <t xml:space="preserve">  • 2PL/3PL KHÔNG dựng trong Excel thuần (phải ước lượng độ phân biệt a / đoán mò c từng câu) — chỉ làm 1PL.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iduser</t>
        </is>
      </c>
      <c r="B1" s="3" t="inlineStr">
        <is>
          <t>208493209536</t>
        </is>
      </c>
      <c r="C1" s="3" t="inlineStr">
        <is>
          <t>208493412207</t>
        </is>
      </c>
      <c r="D1" s="3" t="inlineStr">
        <is>
          <t>208493634375</t>
        </is>
      </c>
      <c r="E1" s="3" t="inlineStr">
        <is>
          <t>208493806712</t>
        </is>
      </c>
      <c r="F1" s="3" t="inlineStr">
        <is>
          <t>208494503646</t>
        </is>
      </c>
      <c r="G1" s="3" t="inlineStr">
        <is>
          <t>208495066643</t>
        </is>
      </c>
      <c r="H1" s="3" t="inlineStr">
        <is>
          <t>208495459130</t>
        </is>
      </c>
      <c r="I1" s="3" t="inlineStr">
        <is>
          <t>208495984573</t>
        </is>
      </c>
      <c r="J1" s="3" t="inlineStr">
        <is>
          <t>208496326564</t>
        </is>
      </c>
      <c r="K1" s="3" t="inlineStr">
        <is>
          <t>208497043631</t>
        </is>
      </c>
      <c r="L1" s="3" t="inlineStr">
        <is>
          <t>208497697530</t>
        </is>
      </c>
      <c r="M1" s="3" t="inlineStr">
        <is>
          <t>208497947837</t>
        </is>
      </c>
      <c r="N1" s="3" t="inlineStr">
        <is>
          <t>208498680706</t>
        </is>
      </c>
      <c r="O1" s="3" t="inlineStr">
        <is>
          <t>208498750254</t>
        </is>
      </c>
      <c r="P1" s="3" t="inlineStr">
        <is>
          <t>208500103341</t>
        </is>
      </c>
      <c r="Q1" s="3" t="inlineStr">
        <is>
          <t>208500538567</t>
        </is>
      </c>
      <c r="R1" s="3" t="inlineStr">
        <is>
          <t>208501397853</t>
        </is>
      </c>
      <c r="S1" s="3" t="inlineStr">
        <is>
          <t>208501882621</t>
        </is>
      </c>
      <c r="T1" s="3" t="inlineStr">
        <is>
          <t>208502464537</t>
        </is>
      </c>
      <c r="U1" s="3" t="inlineStr">
        <is>
          <t>208518915377</t>
        </is>
      </c>
      <c r="V1" s="3" t="inlineStr">
        <is>
          <t>208519541200</t>
        </is>
      </c>
      <c r="W1" s="3" t="inlineStr">
        <is>
          <t>208519949207</t>
        </is>
      </c>
      <c r="X1" s="3" t="inlineStr">
        <is>
          <t>208520832930</t>
        </is>
      </c>
      <c r="Y1" s="3" t="inlineStr">
        <is>
          <t>208521276474</t>
        </is>
      </c>
      <c r="Z1" s="3" t="inlineStr">
        <is>
          <t>208529022568_a</t>
        </is>
      </c>
      <c r="AA1" s="3" t="inlineStr">
        <is>
          <t>208529022568_b</t>
        </is>
      </c>
      <c r="AB1" s="3" t="inlineStr">
        <is>
          <t>208529022568_c</t>
        </is>
      </c>
      <c r="AC1" s="3" t="inlineStr">
        <is>
          <t>208529022568_d</t>
        </is>
      </c>
      <c r="AD1" s="3" t="inlineStr">
        <is>
          <t>208560377855_a</t>
        </is>
      </c>
      <c r="AE1" s="3" t="inlineStr">
        <is>
          <t>208560377855_b</t>
        </is>
      </c>
      <c r="AF1" s="3" t="inlineStr">
        <is>
          <t>208560377855_c</t>
        </is>
      </c>
      <c r="AG1" s="3" t="inlineStr">
        <is>
          <t>208560377855_d</t>
        </is>
      </c>
      <c r="AH1" s="3" t="inlineStr">
        <is>
          <t>208572448723_a</t>
        </is>
      </c>
      <c r="AI1" s="3" t="inlineStr">
        <is>
          <t>208572448723_b</t>
        </is>
      </c>
      <c r="AJ1" s="3" t="inlineStr">
        <is>
          <t>208572448723_c</t>
        </is>
      </c>
      <c r="AK1" s="3" t="inlineStr">
        <is>
          <t>208572448723_d</t>
        </is>
      </c>
      <c r="AL1" s="3" t="inlineStr">
        <is>
          <t>208572588199_a</t>
        </is>
      </c>
      <c r="AM1" s="3" t="inlineStr">
        <is>
          <t>208572588199_b</t>
        </is>
      </c>
      <c r="AN1" s="3" t="inlineStr">
        <is>
          <t>208572588199_c</t>
        </is>
      </c>
      <c r="AO1" s="3" t="inlineStr">
        <is>
          <t>208572588199_d</t>
        </is>
      </c>
      <c r="AP1" s="3" t="inlineStr">
        <is>
          <t>208572673790_a</t>
        </is>
      </c>
      <c r="AQ1" s="3" t="inlineStr">
        <is>
          <t>208572673790_b</t>
        </is>
      </c>
      <c r="AR1" s="3" t="inlineStr">
        <is>
          <t>208572673790_c</t>
        </is>
      </c>
      <c r="AS1" s="3" t="inlineStr">
        <is>
          <t>208572673790_d</t>
        </is>
      </c>
      <c r="AT1" s="3" t="inlineStr">
        <is>
          <t>208576851532_a</t>
        </is>
      </c>
      <c r="AU1" s="3" t="inlineStr">
        <is>
          <t>208576851532_b</t>
        </is>
      </c>
      <c r="AV1" s="3" t="inlineStr">
        <is>
          <t>208576851532_c</t>
        </is>
      </c>
      <c r="AW1" s="3" t="inlineStr">
        <is>
          <t>208576851532_d</t>
        </is>
      </c>
    </row>
    <row r="2">
      <c r="A2" t="inlineStr">
        <is>
          <t>15540277583874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15764388581922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H3" t="n">
        <v>1</v>
      </c>
      <c r="AI3" t="n">
        <v>1</v>
      </c>
      <c r="AJ3" t="n">
        <v>1</v>
      </c>
      <c r="AK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</row>
    <row r="4">
      <c r="A4" t="inlineStr">
        <is>
          <t>15764389367618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</row>
    <row r="5">
      <c r="A5" t="inlineStr">
        <is>
          <t>15764389862692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H5" t="n">
        <v>1</v>
      </c>
      <c r="AI5" t="n">
        <v>0</v>
      </c>
      <c r="AJ5" t="n">
        <v>1</v>
      </c>
      <c r="AK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</row>
    <row r="6">
      <c r="A6" t="inlineStr">
        <is>
          <t>15764390159150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H6" t="n">
        <v>1</v>
      </c>
      <c r="AI6" t="n">
        <v>1</v>
      </c>
      <c r="AJ6" t="n">
        <v>1</v>
      </c>
      <c r="AK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</row>
    <row r="7">
      <c r="A7" t="inlineStr">
        <is>
          <t>15764390311756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H7" t="n">
        <v>1</v>
      </c>
      <c r="AI7" t="n">
        <v>1</v>
      </c>
      <c r="AJ7" t="n">
        <v>1</v>
      </c>
      <c r="AK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</row>
    <row r="8">
      <c r="A8" t="inlineStr">
        <is>
          <t>15764390467409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H8" t="n">
        <v>1</v>
      </c>
      <c r="AI8" t="n">
        <v>0</v>
      </c>
      <c r="AJ8" t="n">
        <v>0</v>
      </c>
      <c r="AK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</row>
    <row r="9">
      <c r="A9" t="inlineStr">
        <is>
          <t>15764391262752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H9" t="n">
        <v>0</v>
      </c>
      <c r="AI9" t="n">
        <v>0</v>
      </c>
      <c r="AJ9" t="n">
        <v>0</v>
      </c>
      <c r="AK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</row>
    <row r="10">
      <c r="A10" t="inlineStr">
        <is>
          <t>15764391798843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H10" t="n">
        <v>1</v>
      </c>
      <c r="AI10" t="n">
        <v>1</v>
      </c>
      <c r="AJ10" t="n">
        <v>1</v>
      </c>
      <c r="AK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</row>
    <row r="11">
      <c r="A11" t="inlineStr">
        <is>
          <t>15804254532858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15807473377907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H12" t="n">
        <v>1</v>
      </c>
      <c r="AI12" t="n">
        <v>0</v>
      </c>
      <c r="AJ12" t="n">
        <v>1</v>
      </c>
      <c r="AK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</row>
    <row r="13">
      <c r="A13" t="inlineStr">
        <is>
          <t>15811404757372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15813817884992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H14" t="n">
        <v>1</v>
      </c>
      <c r="AI14" t="n">
        <v>1</v>
      </c>
      <c r="AJ14" t="n">
        <v>1</v>
      </c>
      <c r="AK14" t="n">
        <v>1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</row>
    <row r="15">
      <c r="A15" t="inlineStr">
        <is>
          <t>15813834176636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H15" t="n">
        <v>1</v>
      </c>
      <c r="AI15" t="n">
        <v>1</v>
      </c>
      <c r="AJ15" t="n">
        <v>0</v>
      </c>
      <c r="AK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</row>
    <row r="16">
      <c r="A16" t="inlineStr">
        <is>
          <t>15813834515232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H16" t="n">
        <v>1</v>
      </c>
      <c r="AI16" t="n">
        <v>1</v>
      </c>
      <c r="AJ16" t="n">
        <v>0</v>
      </c>
      <c r="AK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</row>
    <row r="17">
      <c r="A17" t="inlineStr">
        <is>
          <t>15813835269355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H17" t="n">
        <v>1</v>
      </c>
      <c r="AI17" t="n">
        <v>1</v>
      </c>
      <c r="AJ17" t="n">
        <v>0</v>
      </c>
      <c r="AK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</row>
    <row r="18">
      <c r="A18" t="inlineStr">
        <is>
          <t>15813836152589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15813836418152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H19" t="n">
        <v>1</v>
      </c>
      <c r="AI19" t="n">
        <v>1</v>
      </c>
      <c r="AJ19" t="n">
        <v>1</v>
      </c>
      <c r="AK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</row>
    <row r="20">
      <c r="A20" t="inlineStr">
        <is>
          <t>15813836562925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H20" t="n">
        <v>1</v>
      </c>
      <c r="AI20" t="n">
        <v>0</v>
      </c>
      <c r="AJ20" t="n">
        <v>0</v>
      </c>
      <c r="AK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</row>
    <row r="21">
      <c r="A21" t="inlineStr">
        <is>
          <t>15813836698625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H21" t="n">
        <v>1</v>
      </c>
      <c r="AI21" t="n">
        <v>0</v>
      </c>
      <c r="AJ21" t="n">
        <v>1</v>
      </c>
      <c r="AK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</row>
    <row r="22">
      <c r="A22" t="inlineStr">
        <is>
          <t>15813836853037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H22" t="n">
        <v>1</v>
      </c>
      <c r="AI22" t="n">
        <v>1</v>
      </c>
      <c r="AJ22" t="n">
        <v>1</v>
      </c>
      <c r="AK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</row>
    <row r="23">
      <c r="A23" t="inlineStr">
        <is>
          <t>15813836942213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15813837029549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H24" t="n">
        <v>1</v>
      </c>
      <c r="AI24" t="n">
        <v>1</v>
      </c>
      <c r="AJ24" t="n">
        <v>0</v>
      </c>
      <c r="AK24" t="n">
        <v>1</v>
      </c>
      <c r="AP24" t="n">
        <v>0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</row>
    <row r="25">
      <c r="A25" t="inlineStr">
        <is>
          <t>15813837425218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H25" t="n">
        <v>1</v>
      </c>
      <c r="AI25" t="n">
        <v>0</v>
      </c>
      <c r="AJ25" t="n">
        <v>1</v>
      </c>
      <c r="AK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</row>
    <row r="26">
      <c r="A26" t="inlineStr">
        <is>
          <t>15813837549840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  <c r="AC26" t="n">
        <v>1</v>
      </c>
      <c r="AH26" t="n">
        <v>1</v>
      </c>
      <c r="AI26" t="n">
        <v>1</v>
      </c>
      <c r="AJ26" t="n">
        <v>0</v>
      </c>
      <c r="AK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</row>
    <row r="27">
      <c r="A27" t="inlineStr">
        <is>
          <t>15813837731418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H27" t="n">
        <v>1</v>
      </c>
      <c r="AI27" t="n">
        <v>0</v>
      </c>
      <c r="AJ27" t="n">
        <v>0</v>
      </c>
      <c r="AK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</row>
    <row r="28">
      <c r="A28" t="inlineStr">
        <is>
          <t>15813837911584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H28" t="n">
        <v>1</v>
      </c>
      <c r="AI28" t="n">
        <v>0</v>
      </c>
      <c r="AJ28" t="n">
        <v>0</v>
      </c>
      <c r="AK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</row>
    <row r="29">
      <c r="A29" t="inlineStr">
        <is>
          <t>15813838066017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</v>
      </c>
      <c r="AC29" t="n">
        <v>1</v>
      </c>
      <c r="AH29" t="n">
        <v>1</v>
      </c>
      <c r="AI29" t="n">
        <v>1</v>
      </c>
      <c r="AJ29" t="n">
        <v>0</v>
      </c>
      <c r="AK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</row>
    <row r="30">
      <c r="A30" t="inlineStr">
        <is>
          <t>15813838164392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H30" t="n">
        <v>0</v>
      </c>
      <c r="AI30" t="n">
        <v>1</v>
      </c>
      <c r="AJ30" t="n">
        <v>0</v>
      </c>
      <c r="AK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</row>
    <row r="31">
      <c r="A31" t="inlineStr">
        <is>
          <t>15813838212711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H31" t="n">
        <v>0</v>
      </c>
      <c r="AI31" t="n">
        <v>0</v>
      </c>
      <c r="AJ31" t="n">
        <v>0</v>
      </c>
      <c r="AK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</row>
    <row r="32">
      <c r="A32" t="inlineStr">
        <is>
          <t>15813838376485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1</v>
      </c>
      <c r="AH32" t="n">
        <v>1</v>
      </c>
      <c r="AI32" t="n">
        <v>1</v>
      </c>
      <c r="AJ32" t="n">
        <v>0</v>
      </c>
      <c r="AK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</row>
    <row r="33">
      <c r="A33" t="inlineStr">
        <is>
          <t>15813838581109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H33" t="n">
        <v>1</v>
      </c>
      <c r="AI33" t="n">
        <v>0</v>
      </c>
      <c r="AJ33" t="n">
        <v>0</v>
      </c>
      <c r="AK33" t="n">
        <v>1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1</v>
      </c>
      <c r="AW33" t="n">
        <v>1</v>
      </c>
    </row>
    <row r="34">
      <c r="A34" t="inlineStr">
        <is>
          <t>15813838636693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H34" t="n">
        <v>1</v>
      </c>
      <c r="AI34" t="n">
        <v>1</v>
      </c>
      <c r="AJ34" t="n">
        <v>0</v>
      </c>
      <c r="AK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15813838912964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H35" t="n">
        <v>1</v>
      </c>
      <c r="AI35" t="n">
        <v>0</v>
      </c>
      <c r="AJ35" t="n">
        <v>0</v>
      </c>
      <c r="AK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</row>
    <row r="36">
      <c r="A36" t="inlineStr">
        <is>
          <t>15813839061384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H36" t="n">
        <v>0</v>
      </c>
      <c r="AI36" t="n">
        <v>1</v>
      </c>
      <c r="AJ36" t="n">
        <v>1</v>
      </c>
      <c r="AK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1</v>
      </c>
    </row>
    <row r="37">
      <c r="A37" t="inlineStr">
        <is>
          <t>15813839162513</t>
        </is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H37" t="n">
        <v>1</v>
      </c>
      <c r="AI37" t="n">
        <v>1</v>
      </c>
      <c r="AJ37" t="n">
        <v>0</v>
      </c>
      <c r="AK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</row>
    <row r="38">
      <c r="A38" t="inlineStr">
        <is>
          <t>15813839243038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H38" t="n">
        <v>0</v>
      </c>
      <c r="AI38" t="n">
        <v>1</v>
      </c>
      <c r="AJ38" t="n">
        <v>0</v>
      </c>
      <c r="AK38" t="n">
        <v>1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1</v>
      </c>
      <c r="AW38" t="n">
        <v>1</v>
      </c>
    </row>
    <row r="39">
      <c r="A39" t="inlineStr">
        <is>
          <t>15813839459486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H39" t="n">
        <v>1</v>
      </c>
      <c r="AI39" t="n">
        <v>0</v>
      </c>
      <c r="AJ39" t="n">
        <v>0</v>
      </c>
      <c r="AK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</row>
    <row r="40">
      <c r="A40" t="inlineStr">
        <is>
          <t>15813839526639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  <c r="AC40" t="n">
        <v>1</v>
      </c>
      <c r="AH40" t="n">
        <v>1</v>
      </c>
      <c r="AI40" t="n">
        <v>1</v>
      </c>
      <c r="AJ40" t="n">
        <v>1</v>
      </c>
      <c r="AK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</row>
    <row r="41">
      <c r="A41" t="inlineStr">
        <is>
          <t>15813839766171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H41" t="n">
        <v>1</v>
      </c>
      <c r="AI41" t="n">
        <v>0</v>
      </c>
      <c r="AJ41" t="n">
        <v>0</v>
      </c>
      <c r="AK41" t="n">
        <v>1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1</v>
      </c>
      <c r="AW41" t="n">
        <v>0</v>
      </c>
    </row>
    <row r="42">
      <c r="A42" t="inlineStr">
        <is>
          <t>15813839839358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0</v>
      </c>
      <c r="AH42" t="n">
        <v>1</v>
      </c>
      <c r="AI42" t="n">
        <v>0</v>
      </c>
      <c r="AJ42" t="n">
        <v>0</v>
      </c>
      <c r="AK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</row>
    <row r="43">
      <c r="A43" t="inlineStr">
        <is>
          <t>15813839979701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H43" t="n">
        <v>1</v>
      </c>
      <c r="AI43" t="n">
        <v>0</v>
      </c>
      <c r="AJ43" t="n">
        <v>0</v>
      </c>
      <c r="AK43" t="n">
        <v>1</v>
      </c>
      <c r="AP43" t="n">
        <v>0</v>
      </c>
      <c r="AQ43" t="n">
        <v>1</v>
      </c>
      <c r="AR43" t="n">
        <v>1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</row>
    <row r="44">
      <c r="A44" t="inlineStr">
        <is>
          <t>15813840094746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</v>
      </c>
      <c r="AC44" t="n">
        <v>1</v>
      </c>
      <c r="AH44" t="n">
        <v>1</v>
      </c>
      <c r="AI44" t="n">
        <v>1</v>
      </c>
      <c r="AJ44" t="n">
        <v>0</v>
      </c>
      <c r="AK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</row>
    <row r="45">
      <c r="A45" t="inlineStr">
        <is>
          <t>15813840295884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H45" t="n">
        <v>0</v>
      </c>
      <c r="AI45" t="n">
        <v>0</v>
      </c>
      <c r="AJ45" t="n">
        <v>1</v>
      </c>
      <c r="AK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</row>
    <row r="46">
      <c r="A46" t="inlineStr">
        <is>
          <t>15813840397030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H46" t="n">
        <v>1</v>
      </c>
      <c r="AI46" t="n">
        <v>1</v>
      </c>
      <c r="AJ46" t="n">
        <v>0</v>
      </c>
      <c r="AK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0</v>
      </c>
    </row>
    <row r="47">
      <c r="A47" t="inlineStr">
        <is>
          <t>15813840519510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H47" t="n">
        <v>0</v>
      </c>
      <c r="AI47" t="n">
        <v>0</v>
      </c>
      <c r="AJ47" t="n">
        <v>0</v>
      </c>
      <c r="AK47" t="n">
        <v>0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</row>
    <row r="48">
      <c r="A48" t="inlineStr">
        <is>
          <t>15813840724188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H48" t="n">
        <v>1</v>
      </c>
      <c r="AI48" t="n">
        <v>1</v>
      </c>
      <c r="AJ48" t="n">
        <v>1</v>
      </c>
      <c r="AK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</row>
    <row r="49">
      <c r="A49" t="inlineStr">
        <is>
          <t>15813843373126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H49" t="n">
        <v>1</v>
      </c>
      <c r="AI49" t="n">
        <v>0</v>
      </c>
      <c r="AJ49" t="n">
        <v>0</v>
      </c>
      <c r="AK49" t="n">
        <v>0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</row>
    <row r="50">
      <c r="A50" t="inlineStr">
        <is>
          <t>15813845765482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15813864363687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H51" t="n">
        <v>1</v>
      </c>
      <c r="AI51" t="n">
        <v>1</v>
      </c>
      <c r="AJ51" t="n">
        <v>1</v>
      </c>
      <c r="AK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</row>
    <row r="52">
      <c r="A52" t="inlineStr">
        <is>
          <t>15813867832894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15813868065255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H53" t="n">
        <v>1</v>
      </c>
      <c r="AI53" t="n">
        <v>0</v>
      </c>
      <c r="AJ53" t="n">
        <v>0</v>
      </c>
      <c r="AK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</row>
    <row r="54">
      <c r="A54" t="inlineStr">
        <is>
          <t>158476935386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15952520413370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H55" t="n">
        <v>1</v>
      </c>
      <c r="AI55" t="n">
        <v>1</v>
      </c>
      <c r="AJ55" t="n">
        <v>0</v>
      </c>
      <c r="AK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0</v>
      </c>
    </row>
    <row r="56">
      <c r="A56" t="inlineStr">
        <is>
          <t>16066654516916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H56" t="n">
        <v>0</v>
      </c>
      <c r="AI56" t="n">
        <v>0</v>
      </c>
      <c r="AJ56" t="n">
        <v>0</v>
      </c>
      <c r="AK56" t="n">
        <v>1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A57" t="inlineStr">
        <is>
          <t>16066657156876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</row>
    <row r="58">
      <c r="A58" t="inlineStr">
        <is>
          <t>16066657425375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</row>
    <row r="59">
      <c r="A59" t="inlineStr">
        <is>
          <t>16066658325441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</row>
    <row r="60">
      <c r="A60" t="inlineStr">
        <is>
          <t>16356720917693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H60" t="n">
        <v>1</v>
      </c>
      <c r="AI60" t="n">
        <v>1</v>
      </c>
      <c r="AJ60" t="n">
        <v>1</v>
      </c>
      <c r="AK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1</v>
      </c>
      <c r="AW60" t="n">
        <v>0</v>
      </c>
    </row>
    <row r="61">
      <c r="A61" t="inlineStr">
        <is>
          <t>16364972490792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H61" t="n">
        <v>0</v>
      </c>
      <c r="AI61" t="n">
        <v>0</v>
      </c>
      <c r="AJ61" t="n">
        <v>1</v>
      </c>
      <c r="AK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</row>
    <row r="62">
      <c r="A62" t="inlineStr">
        <is>
          <t>16364972576152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H62" t="n">
        <v>0</v>
      </c>
      <c r="AI62" t="n">
        <v>1</v>
      </c>
      <c r="AJ62" t="n">
        <v>0</v>
      </c>
      <c r="AK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0</v>
      </c>
      <c r="AW62" t="n">
        <v>1</v>
      </c>
    </row>
    <row r="63">
      <c r="A63" t="inlineStr">
        <is>
          <t>16364972673773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1</v>
      </c>
      <c r="AD63" t="n">
        <v>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</row>
    <row r="64">
      <c r="A64" t="inlineStr">
        <is>
          <t>16364972711539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1</v>
      </c>
      <c r="AC64" t="n">
        <v>1</v>
      </c>
      <c r="AH64" t="n">
        <v>0</v>
      </c>
      <c r="AI64" t="n">
        <v>0</v>
      </c>
      <c r="AJ64" t="n">
        <v>0</v>
      </c>
      <c r="AK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</row>
    <row r="65">
      <c r="A65" t="inlineStr">
        <is>
          <t>16364972963733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H65" t="n">
        <v>1</v>
      </c>
      <c r="AI65" t="n">
        <v>0</v>
      </c>
      <c r="AJ65" t="n">
        <v>0</v>
      </c>
      <c r="AK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</row>
    <row r="66">
      <c r="A66" t="inlineStr">
        <is>
          <t>16364973056366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1</v>
      </c>
      <c r="AH66" t="n">
        <v>0</v>
      </c>
      <c r="AI66" t="n">
        <v>0</v>
      </c>
      <c r="AJ66" t="n">
        <v>0</v>
      </c>
      <c r="AK66" t="n">
        <v>1</v>
      </c>
      <c r="AP66" t="n">
        <v>1</v>
      </c>
      <c r="AQ66" t="n">
        <v>1</v>
      </c>
      <c r="AR66" t="n">
        <v>0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</row>
    <row r="67">
      <c r="A67" t="inlineStr">
        <is>
          <t>16364973189494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1</v>
      </c>
      <c r="AH67" t="n">
        <v>1</v>
      </c>
      <c r="AI67" t="n">
        <v>0</v>
      </c>
      <c r="AJ67" t="n">
        <v>0</v>
      </c>
      <c r="AK67" t="n">
        <v>1</v>
      </c>
      <c r="AP67" t="n">
        <v>0</v>
      </c>
      <c r="AQ67" t="n">
        <v>1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</row>
    <row r="68">
      <c r="A68" t="inlineStr">
        <is>
          <t>16364973284754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16364973367709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H69" t="n">
        <v>1</v>
      </c>
      <c r="AI69" t="n">
        <v>1</v>
      </c>
      <c r="AJ69" t="n">
        <v>1</v>
      </c>
      <c r="AK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</row>
    <row r="70">
      <c r="A70" t="inlineStr">
        <is>
          <t>16364973437002</t>
        </is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1</v>
      </c>
      <c r="AH70" t="n">
        <v>1</v>
      </c>
      <c r="AI70" t="n">
        <v>1</v>
      </c>
      <c r="AJ70" t="n">
        <v>0</v>
      </c>
      <c r="AK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</row>
    <row r="71">
      <c r="A71" t="inlineStr">
        <is>
          <t>16364973533179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1</v>
      </c>
      <c r="AC71" t="n">
        <v>1</v>
      </c>
      <c r="AH71" t="n">
        <v>1</v>
      </c>
      <c r="AI71" t="n">
        <v>1</v>
      </c>
      <c r="AJ71" t="n">
        <v>0</v>
      </c>
      <c r="AK71" t="n">
        <v>0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1</v>
      </c>
    </row>
    <row r="72">
      <c r="A72" t="inlineStr">
        <is>
          <t>16364973675944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H72" t="n">
        <v>1</v>
      </c>
      <c r="AI72" t="n">
        <v>1</v>
      </c>
      <c r="AJ72" t="n">
        <v>0</v>
      </c>
      <c r="AK72" t="n">
        <v>1</v>
      </c>
      <c r="AP72" t="n">
        <v>0</v>
      </c>
      <c r="AQ72" t="n">
        <v>1</v>
      </c>
      <c r="AR72" t="n">
        <v>1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</row>
    <row r="73">
      <c r="A73" t="inlineStr">
        <is>
          <t>16364973736119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16364973852990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1</v>
      </c>
    </row>
    <row r="75">
      <c r="A75" t="inlineStr">
        <is>
          <t>16364973935487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1</v>
      </c>
      <c r="AC75" t="n">
        <v>1</v>
      </c>
      <c r="AH75" t="n">
        <v>1</v>
      </c>
      <c r="AI75" t="n">
        <v>0</v>
      </c>
      <c r="AJ75" t="n">
        <v>1</v>
      </c>
      <c r="AK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</row>
    <row r="76">
      <c r="A76" t="inlineStr">
        <is>
          <t>16364974041420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H76" t="n">
        <v>1</v>
      </c>
      <c r="AI76" t="n">
        <v>0</v>
      </c>
      <c r="AJ76" t="n">
        <v>0</v>
      </c>
      <c r="AK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</row>
    <row r="77">
      <c r="A77" t="inlineStr">
        <is>
          <t>16364974175529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H77" t="n">
        <v>1</v>
      </c>
      <c r="AI77" t="n">
        <v>1</v>
      </c>
      <c r="AJ77" t="n">
        <v>1</v>
      </c>
      <c r="AK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1</v>
      </c>
      <c r="AU77" t="n">
        <v>1</v>
      </c>
      <c r="AV77" t="n">
        <v>1</v>
      </c>
      <c r="AW77" t="n">
        <v>1</v>
      </c>
    </row>
    <row r="78">
      <c r="A78" t="inlineStr">
        <is>
          <t>16364974246723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H78" t="n">
        <v>1</v>
      </c>
      <c r="AI78" t="n">
        <v>1</v>
      </c>
      <c r="AJ78" t="n">
        <v>0</v>
      </c>
      <c r="AK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</row>
    <row r="79">
      <c r="A79" t="inlineStr">
        <is>
          <t>16364974342902</t>
        </is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H79" t="n">
        <v>1</v>
      </c>
      <c r="AI79" t="n">
        <v>1</v>
      </c>
      <c r="AJ79" t="n">
        <v>0</v>
      </c>
      <c r="AK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</row>
    <row r="80">
      <c r="A80" t="inlineStr">
        <is>
          <t>16364974473386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H80" t="n">
        <v>1</v>
      </c>
      <c r="AI80" t="n">
        <v>1</v>
      </c>
      <c r="AJ80" t="n">
        <v>1</v>
      </c>
      <c r="AK80" t="n">
        <v>1</v>
      </c>
      <c r="AP80" t="n">
        <v>0</v>
      </c>
      <c r="AQ80" t="n">
        <v>1</v>
      </c>
      <c r="AR80" t="n">
        <v>1</v>
      </c>
      <c r="AS80" t="n">
        <v>0</v>
      </c>
      <c r="AT80" t="n">
        <v>1</v>
      </c>
      <c r="AU80" t="n">
        <v>1</v>
      </c>
      <c r="AV80" t="n">
        <v>1</v>
      </c>
      <c r="AW80" t="n">
        <v>1</v>
      </c>
    </row>
    <row r="81">
      <c r="A81" t="inlineStr">
        <is>
          <t>16364974617475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1</v>
      </c>
      <c r="AH81" t="n">
        <v>1</v>
      </c>
      <c r="AI81" t="n">
        <v>0</v>
      </c>
      <c r="AJ81" t="n">
        <v>1</v>
      </c>
      <c r="AK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</row>
    <row r="82">
      <c r="A82" t="inlineStr">
        <is>
          <t>16364974750030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</row>
    <row r="83">
      <c r="A83" t="inlineStr">
        <is>
          <t>16364974856428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H83" t="n">
        <v>1</v>
      </c>
      <c r="AI83" t="n">
        <v>0</v>
      </c>
      <c r="AJ83" t="n">
        <v>1</v>
      </c>
      <c r="AK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1</v>
      </c>
    </row>
    <row r="84">
      <c r="A84" t="inlineStr">
        <is>
          <t>16368739497171</t>
        </is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</row>
    <row r="85">
      <c r="A85" t="inlineStr">
        <is>
          <t>16368739927649</t>
        </is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</row>
    <row r="86">
      <c r="A86" t="inlineStr">
        <is>
          <t>16368740090020</t>
        </is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</row>
    <row r="87">
      <c r="A87" t="inlineStr">
        <is>
          <t>16368740322222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H87" t="n">
        <v>1</v>
      </c>
      <c r="AI87" t="n">
        <v>1</v>
      </c>
      <c r="AJ87" t="n">
        <v>1</v>
      </c>
      <c r="AK87" t="n">
        <v>1</v>
      </c>
      <c r="AP87" t="n">
        <v>1</v>
      </c>
      <c r="AQ87" t="n">
        <v>1</v>
      </c>
      <c r="AR87" t="n">
        <v>0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</row>
    <row r="88">
      <c r="A88" t="inlineStr">
        <is>
          <t>16368741462833</t>
        </is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</row>
    <row r="89">
      <c r="A89" t="inlineStr">
        <is>
          <t>16368741775584</t>
        </is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H89" t="n">
        <v>1</v>
      </c>
      <c r="AI89" t="n">
        <v>0</v>
      </c>
      <c r="AJ89" t="n">
        <v>0</v>
      </c>
      <c r="AK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</row>
    <row r="90">
      <c r="A90" t="inlineStr">
        <is>
          <t>16368742369647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H90" t="n">
        <v>1</v>
      </c>
      <c r="AI90" t="n">
        <v>0</v>
      </c>
      <c r="AJ90" t="n">
        <v>1</v>
      </c>
      <c r="AK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</row>
    <row r="91">
      <c r="A91" t="inlineStr">
        <is>
          <t>16368751454698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H91" t="n">
        <v>1</v>
      </c>
      <c r="AI91" t="n">
        <v>1</v>
      </c>
      <c r="AJ91" t="n">
        <v>0</v>
      </c>
      <c r="AK91" t="n">
        <v>0</v>
      </c>
      <c r="AP91" t="n">
        <v>0</v>
      </c>
      <c r="AQ91" t="n">
        <v>1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</row>
    <row r="92">
      <c r="A92" t="inlineStr">
        <is>
          <t>16368751585188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H92" t="n">
        <v>1</v>
      </c>
      <c r="AI92" t="n">
        <v>1</v>
      </c>
      <c r="AJ92" t="n">
        <v>0</v>
      </c>
      <c r="AK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0</v>
      </c>
      <c r="AV92" t="n">
        <v>0</v>
      </c>
      <c r="AW92" t="n">
        <v>1</v>
      </c>
    </row>
    <row r="93">
      <c r="A93" t="inlineStr">
        <is>
          <t>16368752217762</t>
        </is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H93" t="n">
        <v>1</v>
      </c>
      <c r="AI93" t="n">
        <v>0</v>
      </c>
      <c r="AJ93" t="n">
        <v>0</v>
      </c>
      <c r="AK93" t="n">
        <v>1</v>
      </c>
      <c r="AP93" t="n">
        <v>0</v>
      </c>
      <c r="AQ93" t="n">
        <v>1</v>
      </c>
      <c r="AR93" t="n">
        <v>0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</row>
    <row r="94">
      <c r="A94" t="inlineStr">
        <is>
          <t>16368752389916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H94" t="n">
        <v>1</v>
      </c>
      <c r="AI94" t="n">
        <v>1</v>
      </c>
      <c r="AJ94" t="n">
        <v>1</v>
      </c>
      <c r="AK94" t="n">
        <v>1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</row>
    <row r="95">
      <c r="A95" t="inlineStr">
        <is>
          <t>16368752525227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H95" t="n">
        <v>1</v>
      </c>
      <c r="AI95" t="n">
        <v>0</v>
      </c>
      <c r="AJ95" t="n">
        <v>1</v>
      </c>
      <c r="AK95" t="n">
        <v>0</v>
      </c>
      <c r="AP95" t="n">
        <v>1</v>
      </c>
      <c r="AQ95" t="n">
        <v>1</v>
      </c>
      <c r="AR95" t="n">
        <v>0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</row>
    <row r="96">
      <c r="A96" t="inlineStr">
        <is>
          <t>16368752611681</t>
        </is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n">
        <v>1</v>
      </c>
      <c r="AC96" t="n">
        <v>1</v>
      </c>
      <c r="AH96" t="n">
        <v>1</v>
      </c>
      <c r="AI96" t="n">
        <v>1</v>
      </c>
      <c r="AJ96" t="n">
        <v>1</v>
      </c>
      <c r="AK96" t="n">
        <v>1</v>
      </c>
      <c r="AP96" t="n">
        <v>0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0</v>
      </c>
    </row>
    <row r="97">
      <c r="A97" t="inlineStr">
        <is>
          <t>16368753171859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1</v>
      </c>
      <c r="AC97" t="n">
        <v>0</v>
      </c>
      <c r="AH97" t="n">
        <v>1</v>
      </c>
      <c r="AI97" t="n">
        <v>1</v>
      </c>
      <c r="AJ97" t="n">
        <v>0</v>
      </c>
      <c r="AK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1</v>
      </c>
      <c r="AU97" t="n">
        <v>1</v>
      </c>
      <c r="AV97" t="n">
        <v>1</v>
      </c>
      <c r="AW97" t="n">
        <v>1</v>
      </c>
    </row>
    <row r="98">
      <c r="A98" t="inlineStr">
        <is>
          <t>16368753422462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1</v>
      </c>
      <c r="AC98" t="n">
        <v>1</v>
      </c>
      <c r="AH98" t="n">
        <v>1</v>
      </c>
      <c r="AI98" t="n">
        <v>1</v>
      </c>
      <c r="AJ98" t="n">
        <v>1</v>
      </c>
      <c r="AK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</row>
    <row r="99">
      <c r="A99" t="inlineStr">
        <is>
          <t>16368754512001</t>
        </is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H99" t="n">
        <v>1</v>
      </c>
      <c r="AI99" t="n">
        <v>0</v>
      </c>
      <c r="AJ99" t="n">
        <v>1</v>
      </c>
      <c r="AK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</row>
    <row r="100">
      <c r="A100" t="inlineStr">
        <is>
          <t>16368755363874</t>
        </is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16368755777572</t>
        </is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0</v>
      </c>
      <c r="AC101" t="n">
        <v>1</v>
      </c>
      <c r="AH101" t="n">
        <v>1</v>
      </c>
      <c r="AI101" t="n">
        <v>1</v>
      </c>
      <c r="AJ101" t="n">
        <v>1</v>
      </c>
      <c r="AK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</row>
    <row r="102">
      <c r="A102" t="inlineStr">
        <is>
          <t>16368755936685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1</v>
      </c>
      <c r="AC102" t="n">
        <v>1</v>
      </c>
      <c r="AH102" t="n">
        <v>1</v>
      </c>
      <c r="AI102" t="n">
        <v>1</v>
      </c>
      <c r="AJ102" t="n">
        <v>1</v>
      </c>
      <c r="AK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</row>
    <row r="103">
      <c r="A103" t="inlineStr">
        <is>
          <t>16368756127467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H103" t="n">
        <v>1</v>
      </c>
      <c r="AI103" t="n">
        <v>1</v>
      </c>
      <c r="AJ103" t="n">
        <v>1</v>
      </c>
      <c r="AK103" t="n">
        <v>1</v>
      </c>
      <c r="AP103" t="n">
        <v>0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</row>
    <row r="104">
      <c r="A104" t="inlineStr">
        <is>
          <t>16368756362410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H104" t="n">
        <v>1</v>
      </c>
      <c r="AI104" t="n">
        <v>0</v>
      </c>
      <c r="AJ104" t="n">
        <v>1</v>
      </c>
      <c r="AK104" t="n">
        <v>1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1</v>
      </c>
    </row>
    <row r="105">
      <c r="A105" t="inlineStr">
        <is>
          <t>16368756499889</t>
        </is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H105" t="n">
        <v>1</v>
      </c>
      <c r="AI105" t="n">
        <v>0</v>
      </c>
      <c r="AJ105" t="n">
        <v>0</v>
      </c>
      <c r="AK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1</v>
      </c>
    </row>
    <row r="106">
      <c r="A106" t="inlineStr">
        <is>
          <t>16368756682893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1</v>
      </c>
      <c r="AH106" t="n">
        <v>1</v>
      </c>
      <c r="AI106" t="n">
        <v>1</v>
      </c>
      <c r="AJ106" t="n">
        <v>0</v>
      </c>
      <c r="AK106" t="n">
        <v>0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</row>
    <row r="107">
      <c r="A107" t="inlineStr">
        <is>
          <t>16368756781805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H107" t="n">
        <v>1</v>
      </c>
      <c r="AI107" t="n">
        <v>1</v>
      </c>
      <c r="AJ107" t="n">
        <v>0</v>
      </c>
      <c r="AK107" t="n">
        <v>1</v>
      </c>
      <c r="AP107" t="n">
        <v>0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</row>
    <row r="108">
      <c r="A108" t="inlineStr">
        <is>
          <t>16368757681161</t>
        </is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1</v>
      </c>
      <c r="AC108" t="n">
        <v>1</v>
      </c>
      <c r="AH108" t="n">
        <v>1</v>
      </c>
      <c r="AI108" t="n">
        <v>0</v>
      </c>
      <c r="AJ108" t="n">
        <v>0</v>
      </c>
      <c r="AK108" t="n">
        <v>0</v>
      </c>
      <c r="AP108" t="n">
        <v>0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</row>
    <row r="109">
      <c r="A109" t="inlineStr">
        <is>
          <t>16368758334965</t>
        </is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H109" t="n">
        <v>1</v>
      </c>
      <c r="AI109" t="n">
        <v>1</v>
      </c>
      <c r="AJ109" t="n">
        <v>0</v>
      </c>
      <c r="AK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16368759967146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16379469434104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inlineStr">
        <is>
          <t>16416054731076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</row>
    <row r="113">
      <c r="A113" t="inlineStr">
        <is>
          <t>16462709326199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1</v>
      </c>
      <c r="AC113" t="n">
        <v>1</v>
      </c>
      <c r="AH113" t="n">
        <v>1</v>
      </c>
      <c r="AI113" t="n">
        <v>1</v>
      </c>
      <c r="AJ113" t="n">
        <v>0</v>
      </c>
      <c r="AK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</row>
    <row r="114">
      <c r="A114" t="inlineStr">
        <is>
          <t>16463363922937</t>
        </is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</row>
    <row r="115">
      <c r="A115" t="inlineStr">
        <is>
          <t>16463371871427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0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</row>
    <row r="116">
      <c r="A116" t="inlineStr">
        <is>
          <t>16468001373848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inlineStr">
        <is>
          <t>16560569853337</t>
        </is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n">
        <v>1</v>
      </c>
      <c r="AC117" t="n">
        <v>1</v>
      </c>
      <c r="AH117" t="n">
        <v>1</v>
      </c>
      <c r="AI117" t="n">
        <v>0</v>
      </c>
      <c r="AJ117" t="n">
        <v>1</v>
      </c>
      <c r="AK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</row>
    <row r="118">
      <c r="A118" t="inlineStr">
        <is>
          <t>16560570192528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H118" t="n">
        <v>1</v>
      </c>
      <c r="AI118" t="n">
        <v>1</v>
      </c>
      <c r="AJ118" t="n">
        <v>0</v>
      </c>
      <c r="AK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1</v>
      </c>
      <c r="AU118" t="n">
        <v>1</v>
      </c>
      <c r="AV118" t="n">
        <v>1</v>
      </c>
      <c r="AW118" t="n">
        <v>1</v>
      </c>
    </row>
    <row r="119">
      <c r="A119" t="inlineStr">
        <is>
          <t>16560574826128</t>
        </is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inlineStr">
        <is>
          <t>16560583295708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inlineStr">
        <is>
          <t>16560588128250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16620384214115</t>
        </is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16620411757957</t>
        </is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</row>
    <row r="124">
      <c r="A124" t="inlineStr">
        <is>
          <t>16620417978769</t>
        </is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inlineStr">
        <is>
          <t>16620418565854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H125" t="n">
        <v>1</v>
      </c>
      <c r="AI125" t="n">
        <v>0</v>
      </c>
      <c r="AJ125" t="n">
        <v>0</v>
      </c>
      <c r="AK125" t="n">
        <v>0</v>
      </c>
      <c r="AP125" t="n">
        <v>0</v>
      </c>
      <c r="AQ125" t="n">
        <v>1</v>
      </c>
      <c r="AR125" t="n">
        <v>1</v>
      </c>
      <c r="AS125" t="n">
        <v>0</v>
      </c>
      <c r="AT125" t="n">
        <v>1</v>
      </c>
      <c r="AU125" t="n">
        <v>1</v>
      </c>
      <c r="AV125" t="n">
        <v>1</v>
      </c>
      <c r="AW125" t="n">
        <v>1</v>
      </c>
    </row>
    <row r="126">
      <c r="A126" t="inlineStr">
        <is>
          <t>16620418891410</t>
        </is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H126" t="n">
        <v>1</v>
      </c>
      <c r="AI126" t="n">
        <v>1</v>
      </c>
      <c r="AJ126" t="n">
        <v>1</v>
      </c>
      <c r="AK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</row>
    <row r="127">
      <c r="A127" t="inlineStr">
        <is>
          <t>16620419840455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n">
        <v>1</v>
      </c>
      <c r="AC127" t="n">
        <v>1</v>
      </c>
      <c r="AH127" t="n">
        <v>1</v>
      </c>
      <c r="AI127" t="n">
        <v>0</v>
      </c>
      <c r="AJ127" t="n">
        <v>1</v>
      </c>
      <c r="AK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1</v>
      </c>
    </row>
    <row r="128">
      <c r="A128" t="inlineStr">
        <is>
          <t>16698390078034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H128" t="n">
        <v>0</v>
      </c>
      <c r="AI128" t="n">
        <v>0</v>
      </c>
      <c r="AJ128" t="n">
        <v>0</v>
      </c>
      <c r="AK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1</v>
      </c>
      <c r="AU128" t="n">
        <v>1</v>
      </c>
      <c r="AV128" t="n">
        <v>1</v>
      </c>
      <c r="AW128" t="n">
        <v>1</v>
      </c>
    </row>
    <row r="129">
      <c r="A129" t="inlineStr">
        <is>
          <t>16698390194397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16698390378684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H130" t="n">
        <v>1</v>
      </c>
      <c r="AI130" t="n">
        <v>1</v>
      </c>
      <c r="AJ130" t="n">
        <v>1</v>
      </c>
      <c r="AK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</row>
    <row r="131">
      <c r="A131" t="inlineStr">
        <is>
          <t>16698390533352</t>
        </is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H131" t="n">
        <v>1</v>
      </c>
      <c r="AI131" t="n">
        <v>0</v>
      </c>
      <c r="AJ131" t="n">
        <v>0</v>
      </c>
      <c r="AK131" t="n">
        <v>1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</row>
    <row r="132">
      <c r="A132" t="inlineStr">
        <is>
          <t>16698391021044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</row>
    <row r="133">
      <c r="A133" t="inlineStr">
        <is>
          <t>16698391435363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H133" t="n">
        <v>1</v>
      </c>
      <c r="AI133" t="n">
        <v>1</v>
      </c>
      <c r="AJ133" t="n">
        <v>1</v>
      </c>
      <c r="AK133" t="n">
        <v>1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</row>
    <row r="134">
      <c r="A134" t="inlineStr">
        <is>
          <t>16698391523401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H134" t="n">
        <v>1</v>
      </c>
      <c r="AI134" t="n">
        <v>1</v>
      </c>
      <c r="AJ134" t="n">
        <v>1</v>
      </c>
      <c r="AK134" t="n">
        <v>1</v>
      </c>
      <c r="AP134" t="n">
        <v>1</v>
      </c>
      <c r="AQ134" t="n">
        <v>1</v>
      </c>
      <c r="AR134" t="n">
        <v>0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</row>
    <row r="135">
      <c r="A135" t="inlineStr">
        <is>
          <t>16698391693592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0</v>
      </c>
      <c r="AH135" t="n">
        <v>1</v>
      </c>
      <c r="AI135" t="n">
        <v>1</v>
      </c>
      <c r="AJ135" t="n">
        <v>1</v>
      </c>
      <c r="AK135" t="n">
        <v>1</v>
      </c>
      <c r="AP135" t="n">
        <v>0</v>
      </c>
      <c r="AQ135" t="n">
        <v>1</v>
      </c>
      <c r="AR135" t="n">
        <v>0</v>
      </c>
      <c r="AS135" t="n">
        <v>0</v>
      </c>
      <c r="AT135" t="n">
        <v>1</v>
      </c>
      <c r="AU135" t="n">
        <v>1</v>
      </c>
      <c r="AV135" t="n">
        <v>1</v>
      </c>
      <c r="AW135" t="n">
        <v>0</v>
      </c>
    </row>
    <row r="136">
      <c r="A136" t="inlineStr">
        <is>
          <t>16698391881198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H136" t="n">
        <v>1</v>
      </c>
      <c r="AI136" t="n">
        <v>0</v>
      </c>
      <c r="AJ136" t="n">
        <v>1</v>
      </c>
      <c r="AK136" t="n">
        <v>1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</row>
    <row r="137">
      <c r="A137" t="inlineStr">
        <is>
          <t>16698392345355</t>
        </is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H137" t="n">
        <v>1</v>
      </c>
      <c r="AI137" t="n">
        <v>0</v>
      </c>
      <c r="AJ137" t="n">
        <v>1</v>
      </c>
      <c r="AK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</row>
    <row r="138">
      <c r="A138" t="inlineStr">
        <is>
          <t>16698392425123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H138" t="n">
        <v>1</v>
      </c>
      <c r="AI138" t="n">
        <v>1</v>
      </c>
      <c r="AJ138" t="n">
        <v>1</v>
      </c>
      <c r="AK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1</v>
      </c>
      <c r="AU138" t="n">
        <v>1</v>
      </c>
      <c r="AV138" t="n">
        <v>1</v>
      </c>
      <c r="AW138" t="n">
        <v>1</v>
      </c>
    </row>
    <row r="139">
      <c r="A139" t="inlineStr">
        <is>
          <t>16698392553391</t>
        </is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H139" t="n">
        <v>1</v>
      </c>
      <c r="AI139" t="n">
        <v>0</v>
      </c>
      <c r="AJ139" t="n">
        <v>1</v>
      </c>
      <c r="AK139" t="n">
        <v>1</v>
      </c>
      <c r="AP139" t="n">
        <v>0</v>
      </c>
      <c r="AQ139" t="n">
        <v>1</v>
      </c>
      <c r="AR139" t="n">
        <v>0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</row>
    <row r="140">
      <c r="A140" t="inlineStr">
        <is>
          <t>16698392779859</t>
        </is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H140" t="n">
        <v>1</v>
      </c>
      <c r="AI140" t="n">
        <v>1</v>
      </c>
      <c r="AJ140" t="n">
        <v>1</v>
      </c>
      <c r="AK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</row>
    <row r="141">
      <c r="A141" t="inlineStr">
        <is>
          <t>16698392831078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16698393296147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inlineStr">
        <is>
          <t>16698393440879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H143" t="n">
        <v>1</v>
      </c>
      <c r="AI143" t="n">
        <v>1</v>
      </c>
      <c r="AJ143" t="n">
        <v>1</v>
      </c>
      <c r="AK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1</v>
      </c>
      <c r="AU143" t="n">
        <v>1</v>
      </c>
      <c r="AV143" t="n">
        <v>1</v>
      </c>
      <c r="AW143" t="n">
        <v>1</v>
      </c>
    </row>
    <row r="144">
      <c r="A144" t="inlineStr">
        <is>
          <t>16698393596411</t>
        </is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</row>
    <row r="145">
      <c r="A145" t="inlineStr">
        <is>
          <t>16698393678738</t>
        </is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H145" t="n">
        <v>1</v>
      </c>
      <c r="AI145" t="n">
        <v>1</v>
      </c>
      <c r="AJ145" t="n">
        <v>0</v>
      </c>
      <c r="AK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</row>
    <row r="146">
      <c r="A146" t="inlineStr">
        <is>
          <t>16698393911563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H146" t="n">
        <v>1</v>
      </c>
      <c r="AI146" t="n">
        <v>1</v>
      </c>
      <c r="AJ146" t="n">
        <v>0</v>
      </c>
      <c r="AK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</row>
    <row r="147">
      <c r="A147" t="inlineStr">
        <is>
          <t>16698394032150</t>
        </is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H147" t="n">
        <v>1</v>
      </c>
      <c r="AI147" t="n">
        <v>1</v>
      </c>
      <c r="AJ147" t="n">
        <v>1</v>
      </c>
      <c r="AK147" t="n">
        <v>1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</row>
    <row r="148">
      <c r="A148" t="inlineStr">
        <is>
          <t>16698394182139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H148" t="n">
        <v>1</v>
      </c>
      <c r="AI148" t="n">
        <v>1</v>
      </c>
      <c r="AJ148" t="n">
        <v>1</v>
      </c>
      <c r="AK148" t="n">
        <v>1</v>
      </c>
      <c r="AP148" t="n">
        <v>1</v>
      </c>
      <c r="AQ148" t="n">
        <v>1</v>
      </c>
      <c r="AR148" t="n">
        <v>0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</row>
    <row r="149">
      <c r="A149" t="inlineStr">
        <is>
          <t>16698394285775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H149" t="n">
        <v>1</v>
      </c>
      <c r="AI149" t="n">
        <v>1</v>
      </c>
      <c r="AJ149" t="n">
        <v>1</v>
      </c>
      <c r="AK149" t="n">
        <v>1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</row>
    <row r="150">
      <c r="A150" t="inlineStr">
        <is>
          <t>16698394578851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H150" t="n">
        <v>1</v>
      </c>
      <c r="AI150" t="n">
        <v>0</v>
      </c>
      <c r="AJ150" t="n">
        <v>0</v>
      </c>
      <c r="AK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</v>
      </c>
    </row>
    <row r="151">
      <c r="A151" t="inlineStr">
        <is>
          <t>16698409279146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</row>
    <row r="152">
      <c r="A152" t="inlineStr">
        <is>
          <t>16698409910566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</row>
    <row r="153">
      <c r="A153" t="inlineStr">
        <is>
          <t>16698410159412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inlineStr">
        <is>
          <t>16698411086968</t>
        </is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n">
        <v>1</v>
      </c>
      <c r="AC154" t="n">
        <v>1</v>
      </c>
      <c r="AH154" t="n">
        <v>1</v>
      </c>
      <c r="AI154" t="n">
        <v>1</v>
      </c>
      <c r="AJ154" t="n">
        <v>0</v>
      </c>
      <c r="AK154" t="n">
        <v>1</v>
      </c>
      <c r="AP154" t="n">
        <v>1</v>
      </c>
      <c r="AQ154" t="n">
        <v>0</v>
      </c>
      <c r="AR154" t="n">
        <v>1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</row>
    <row r="155">
      <c r="A155" t="inlineStr">
        <is>
          <t>16698411665063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1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</row>
    <row r="156">
      <c r="A156" t="inlineStr">
        <is>
          <t>16698411915128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inlineStr">
        <is>
          <t>16698412314932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H157" t="n">
        <v>1</v>
      </c>
      <c r="AI157" t="n">
        <v>1</v>
      </c>
      <c r="AJ157" t="n">
        <v>1</v>
      </c>
      <c r="AK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0</v>
      </c>
    </row>
    <row r="158">
      <c r="A158" t="inlineStr">
        <is>
          <t>16698412856774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</row>
    <row r="159">
      <c r="A159" t="inlineStr">
        <is>
          <t>16698413038003</t>
        </is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inlineStr">
        <is>
          <t>16698413313139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</row>
    <row r="161">
      <c r="A161" t="inlineStr">
        <is>
          <t>16698416343887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</row>
    <row r="162">
      <c r="A162" t="inlineStr">
        <is>
          <t>16698416762175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H162" t="n">
        <v>0</v>
      </c>
      <c r="AI162" t="n">
        <v>0</v>
      </c>
      <c r="AJ162" t="n">
        <v>0</v>
      </c>
      <c r="AK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inlineStr">
        <is>
          <t>16704098334319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1</v>
      </c>
      <c r="AC163" t="n">
        <v>1</v>
      </c>
      <c r="AH163" t="n">
        <v>1</v>
      </c>
      <c r="AI163" t="n">
        <v>1</v>
      </c>
      <c r="AJ163" t="n">
        <v>1</v>
      </c>
      <c r="AK163" t="n">
        <v>1</v>
      </c>
      <c r="AP163" t="n">
        <v>1</v>
      </c>
      <c r="AQ163" t="n">
        <v>1</v>
      </c>
      <c r="AR163" t="n">
        <v>0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</row>
    <row r="164">
      <c r="A164" t="inlineStr">
        <is>
          <t>16704098665684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1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</row>
    <row r="165">
      <c r="A165" t="inlineStr">
        <is>
          <t>16704099592430</t>
        </is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</row>
    <row r="166">
      <c r="A166" t="inlineStr">
        <is>
          <t>16704099968820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H166" t="n">
        <v>1</v>
      </c>
      <c r="AI166" t="n">
        <v>1</v>
      </c>
      <c r="AJ166" t="n">
        <v>0</v>
      </c>
      <c r="AK166" t="n">
        <v>0</v>
      </c>
      <c r="AP166" t="n">
        <v>0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</row>
    <row r="167">
      <c r="A167" t="inlineStr">
        <is>
          <t>16704100314022</t>
        </is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0</v>
      </c>
      <c r="AC167" t="n">
        <v>1</v>
      </c>
      <c r="AH167" t="n">
        <v>1</v>
      </c>
      <c r="AI167" t="n">
        <v>1</v>
      </c>
      <c r="AJ167" t="n">
        <v>1</v>
      </c>
      <c r="AK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1</v>
      </c>
      <c r="AV167" t="n">
        <v>0</v>
      </c>
      <c r="AW167" t="n">
        <v>1</v>
      </c>
    </row>
    <row r="168">
      <c r="A168" t="inlineStr">
        <is>
          <t>16704100433459</t>
        </is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H168" t="n">
        <v>1</v>
      </c>
      <c r="AI168" t="n">
        <v>1</v>
      </c>
      <c r="AJ168" t="n">
        <v>1</v>
      </c>
      <c r="AK168" t="n">
        <v>1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1</v>
      </c>
    </row>
    <row r="169">
      <c r="A169" t="inlineStr">
        <is>
          <t>16704101022344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inlineStr">
        <is>
          <t>16704101222037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H170" t="n">
        <v>0</v>
      </c>
      <c r="AI170" t="n">
        <v>0</v>
      </c>
      <c r="AJ170" t="n">
        <v>1</v>
      </c>
      <c r="AK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</row>
    <row r="171">
      <c r="A171" t="inlineStr">
        <is>
          <t>16714101794552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inlineStr">
        <is>
          <t>16714104868452</t>
        </is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1</v>
      </c>
      <c r="AB172" t="n">
        <v>1</v>
      </c>
      <c r="AC172" t="n">
        <v>1</v>
      </c>
      <c r="AH172" t="n">
        <v>1</v>
      </c>
      <c r="AI172" t="n">
        <v>1</v>
      </c>
      <c r="AJ172" t="n">
        <v>0</v>
      </c>
      <c r="AK172" t="n">
        <v>1</v>
      </c>
      <c r="AP172" t="n">
        <v>1</v>
      </c>
      <c r="AQ172" t="n">
        <v>1</v>
      </c>
      <c r="AR172" t="n">
        <v>0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</row>
    <row r="173">
      <c r="A173" t="inlineStr">
        <is>
          <t>16714105544808</t>
        </is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H173" t="n">
        <v>1</v>
      </c>
      <c r="AI173" t="n">
        <v>1</v>
      </c>
      <c r="AJ173" t="n">
        <v>0</v>
      </c>
      <c r="AK173" t="n">
        <v>0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</row>
    <row r="174">
      <c r="A174" t="inlineStr">
        <is>
          <t>16754645492996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</row>
    <row r="175">
      <c r="A175" t="inlineStr">
        <is>
          <t>16754646245146</t>
        </is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H175" t="n">
        <v>1</v>
      </c>
      <c r="AI175" t="n">
        <v>1</v>
      </c>
      <c r="AJ175" t="n">
        <v>0</v>
      </c>
      <c r="AK175" t="n">
        <v>0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</row>
    <row r="176">
      <c r="A176" t="inlineStr">
        <is>
          <t>16754646522581</t>
        </is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H176" t="n">
        <v>1</v>
      </c>
      <c r="AI176" t="n">
        <v>1</v>
      </c>
      <c r="AJ176" t="n">
        <v>0</v>
      </c>
      <c r="AK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</row>
    <row r="177">
      <c r="A177" t="inlineStr">
        <is>
          <t>16754646764950</t>
        </is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H177" t="n">
        <v>1</v>
      </c>
      <c r="AI177" t="n">
        <v>1</v>
      </c>
      <c r="AJ177" t="n">
        <v>1</v>
      </c>
      <c r="AK177" t="n">
        <v>1</v>
      </c>
      <c r="AP177" t="n">
        <v>0</v>
      </c>
      <c r="AQ177" t="n">
        <v>1</v>
      </c>
      <c r="AR177" t="n">
        <v>1</v>
      </c>
      <c r="AS177" t="n">
        <v>0</v>
      </c>
      <c r="AT177" t="n">
        <v>1</v>
      </c>
      <c r="AU177" t="n">
        <v>1</v>
      </c>
      <c r="AV177" t="n">
        <v>1</v>
      </c>
      <c r="AW177" t="n">
        <v>1</v>
      </c>
    </row>
    <row r="178">
      <c r="A178" t="inlineStr">
        <is>
          <t>16754646911602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H178" t="n">
        <v>1</v>
      </c>
      <c r="AI178" t="n">
        <v>0</v>
      </c>
      <c r="AJ178" t="n">
        <v>0</v>
      </c>
      <c r="AK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1</v>
      </c>
    </row>
    <row r="179">
      <c r="A179" t="inlineStr">
        <is>
          <t>16754647129726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1</v>
      </c>
      <c r="AB179" t="n">
        <v>1</v>
      </c>
      <c r="AC179" t="n">
        <v>1</v>
      </c>
      <c r="AH179" t="n">
        <v>1</v>
      </c>
      <c r="AI179" t="n">
        <v>1</v>
      </c>
      <c r="AJ179" t="n">
        <v>0</v>
      </c>
      <c r="AK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</row>
    <row r="180">
      <c r="A180" t="inlineStr">
        <is>
          <t>16754647354085</t>
        </is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H180" t="n">
        <v>1</v>
      </c>
      <c r="AI180" t="n">
        <v>1</v>
      </c>
      <c r="AJ180" t="n">
        <v>0</v>
      </c>
      <c r="AK180" t="n">
        <v>0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0</v>
      </c>
    </row>
    <row r="181">
      <c r="A181" t="inlineStr">
        <is>
          <t>16754647528538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1</v>
      </c>
      <c r="AC181" t="n">
        <v>1</v>
      </c>
      <c r="AH181" t="n">
        <v>1</v>
      </c>
      <c r="AI181" t="n">
        <v>1</v>
      </c>
      <c r="AJ181" t="n">
        <v>0</v>
      </c>
      <c r="AK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</row>
    <row r="182">
      <c r="A182" t="inlineStr">
        <is>
          <t>16754647951507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n">
        <v>1</v>
      </c>
      <c r="AC182" t="n">
        <v>1</v>
      </c>
      <c r="AH182" t="n">
        <v>1</v>
      </c>
      <c r="AI182" t="n">
        <v>1</v>
      </c>
      <c r="AJ182" t="n">
        <v>0</v>
      </c>
      <c r="AK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1</v>
      </c>
      <c r="AU182" t="n">
        <v>1</v>
      </c>
      <c r="AV182" t="n">
        <v>1</v>
      </c>
      <c r="AW182" t="n">
        <v>1</v>
      </c>
    </row>
    <row r="183">
      <c r="A183" t="inlineStr">
        <is>
          <t>16754648052306</t>
        </is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H183" t="n">
        <v>1</v>
      </c>
      <c r="AI183" t="n">
        <v>1</v>
      </c>
      <c r="AJ183" t="n">
        <v>0</v>
      </c>
      <c r="AK183" t="n">
        <v>0</v>
      </c>
      <c r="AP183" t="n">
        <v>0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</row>
    <row r="184">
      <c r="A184" t="inlineStr">
        <is>
          <t>16754648115396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H184" t="n">
        <v>1</v>
      </c>
      <c r="AI184" t="n">
        <v>1</v>
      </c>
      <c r="AJ184" t="n">
        <v>0</v>
      </c>
      <c r="AK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0</v>
      </c>
    </row>
    <row r="185">
      <c r="A185" t="inlineStr">
        <is>
          <t>16754648263554</t>
        </is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H185" t="n">
        <v>0</v>
      </c>
      <c r="AI185" t="n">
        <v>0</v>
      </c>
      <c r="AJ185" t="n">
        <v>0</v>
      </c>
      <c r="AK185" t="n">
        <v>0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</row>
    <row r="186">
      <c r="A186" t="inlineStr">
        <is>
          <t>16755353530053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1</v>
      </c>
      <c r="AH186" t="n">
        <v>1</v>
      </c>
      <c r="AI186" t="n">
        <v>1</v>
      </c>
      <c r="AJ186" t="n">
        <v>0</v>
      </c>
      <c r="AK186" t="n">
        <v>1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</row>
    <row r="187">
      <c r="A187" t="inlineStr">
        <is>
          <t>16755365341821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n">
        <v>1</v>
      </c>
      <c r="AH187" t="n">
        <v>1</v>
      </c>
      <c r="AI187" t="n">
        <v>1</v>
      </c>
      <c r="AJ187" t="n">
        <v>0</v>
      </c>
      <c r="AK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0</v>
      </c>
      <c r="AW187" t="n">
        <v>1</v>
      </c>
    </row>
    <row r="188">
      <c r="A188" t="inlineStr">
        <is>
          <t>16755367487027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n">
        <v>1</v>
      </c>
      <c r="AC188" t="n">
        <v>1</v>
      </c>
      <c r="AH188" t="n">
        <v>1</v>
      </c>
      <c r="AI188" t="n">
        <v>1</v>
      </c>
      <c r="AJ188" t="n">
        <v>1</v>
      </c>
      <c r="AK188" t="n">
        <v>0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</row>
    <row r="189">
      <c r="A189" t="inlineStr">
        <is>
          <t>16765096418273</t>
        </is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H189" t="n">
        <v>1</v>
      </c>
      <c r="AI189" t="n">
        <v>1</v>
      </c>
      <c r="AJ189" t="n">
        <v>0</v>
      </c>
      <c r="AK189" t="n">
        <v>0</v>
      </c>
      <c r="AP189" t="n">
        <v>0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</row>
    <row r="190">
      <c r="A190" t="inlineStr">
        <is>
          <t>16765098684236</t>
        </is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H190" t="n">
        <v>1</v>
      </c>
      <c r="AI190" t="n">
        <v>1</v>
      </c>
      <c r="AJ190" t="n">
        <v>0</v>
      </c>
      <c r="AK190" t="n">
        <v>1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</row>
    <row r="191">
      <c r="A191" t="inlineStr">
        <is>
          <t>16765187747274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1</v>
      </c>
      <c r="AH191" t="n">
        <v>0</v>
      </c>
      <c r="AI191" t="n">
        <v>0</v>
      </c>
      <c r="AJ191" t="n">
        <v>0</v>
      </c>
      <c r="AK191" t="n">
        <v>0</v>
      </c>
      <c r="AP191" t="n">
        <v>0</v>
      </c>
      <c r="AQ191" t="n">
        <v>1</v>
      </c>
      <c r="AR191" t="n">
        <v>1</v>
      </c>
      <c r="AS191" t="n">
        <v>1</v>
      </c>
      <c r="AT191" t="n">
        <v>1</v>
      </c>
      <c r="AU191" t="n">
        <v>0</v>
      </c>
      <c r="AV191" t="n">
        <v>1</v>
      </c>
      <c r="AW191" t="n">
        <v>1</v>
      </c>
    </row>
    <row r="192">
      <c r="A192" t="inlineStr">
        <is>
          <t>16765188342369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inlineStr">
        <is>
          <t>16765190365584</t>
        </is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inlineStr">
        <is>
          <t>16765197429216</t>
        </is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  <c r="AC194" t="n">
        <v>1</v>
      </c>
      <c r="AH194" t="n">
        <v>1</v>
      </c>
      <c r="AI194" t="n">
        <v>1</v>
      </c>
      <c r="AJ194" t="n">
        <v>1</v>
      </c>
      <c r="AK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</row>
    <row r="195">
      <c r="A195" t="inlineStr">
        <is>
          <t>16786636695624</t>
        </is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</row>
    <row r="196">
      <c r="A196" t="inlineStr">
        <is>
          <t>16786637245320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1</v>
      </c>
      <c r="AG196" t="n">
        <v>1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0</v>
      </c>
      <c r="AO196" t="n">
        <v>0</v>
      </c>
    </row>
    <row r="197">
      <c r="A197" t="inlineStr">
        <is>
          <t>16807293581153</t>
        </is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H197" t="n">
        <v>1</v>
      </c>
      <c r="AI197" t="n">
        <v>1</v>
      </c>
      <c r="AJ197" t="n">
        <v>1</v>
      </c>
      <c r="AK197" t="n">
        <v>1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1</v>
      </c>
    </row>
    <row r="198">
      <c r="A198" t="inlineStr">
        <is>
          <t>16807589267721</t>
        </is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H198" t="n">
        <v>1</v>
      </c>
      <c r="AI198" t="n">
        <v>1</v>
      </c>
      <c r="AJ198" t="n">
        <v>1</v>
      </c>
      <c r="AK198" t="n">
        <v>1</v>
      </c>
      <c r="AP198" t="n">
        <v>1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</row>
    <row r="199">
      <c r="A199" t="inlineStr">
        <is>
          <t>16807616632207</t>
        </is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1</v>
      </c>
      <c r="AB199" t="n">
        <v>1</v>
      </c>
      <c r="AC199" t="n">
        <v>1</v>
      </c>
      <c r="AH199" t="n">
        <v>1</v>
      </c>
      <c r="AI199" t="n">
        <v>1</v>
      </c>
      <c r="AJ199" t="n">
        <v>1</v>
      </c>
      <c r="AK199" t="n">
        <v>1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</row>
    <row r="200">
      <c r="A200" t="inlineStr">
        <is>
          <t>16807616780415</t>
        </is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n">
        <v>1</v>
      </c>
      <c r="AC200" t="n">
        <v>0</v>
      </c>
      <c r="AH200" t="n">
        <v>1</v>
      </c>
      <c r="AI200" t="n">
        <v>1</v>
      </c>
      <c r="AJ200" t="n">
        <v>1</v>
      </c>
      <c r="AK200" t="n">
        <v>1</v>
      </c>
      <c r="AP200" t="n">
        <v>0</v>
      </c>
      <c r="AQ200" t="n">
        <v>1</v>
      </c>
      <c r="AR200" t="n">
        <v>1</v>
      </c>
      <c r="AS200" t="n">
        <v>0</v>
      </c>
      <c r="AT200" t="n">
        <v>1</v>
      </c>
      <c r="AU200" t="n">
        <v>0</v>
      </c>
      <c r="AV200" t="n">
        <v>1</v>
      </c>
      <c r="AW200" t="n">
        <v>1</v>
      </c>
    </row>
    <row r="201">
      <c r="A201" t="inlineStr">
        <is>
          <t>16807617624220</t>
        </is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H201" t="n">
        <v>1</v>
      </c>
      <c r="AI201" t="n">
        <v>1</v>
      </c>
      <c r="AJ201" t="n">
        <v>0</v>
      </c>
      <c r="AK201" t="n">
        <v>0</v>
      </c>
      <c r="AP201" t="n">
        <v>1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</row>
    <row r="202">
      <c r="A202" t="inlineStr">
        <is>
          <t>16807617867315</t>
        </is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H202" t="n">
        <v>1</v>
      </c>
      <c r="AI202" t="n">
        <v>1</v>
      </c>
      <c r="AJ202" t="n">
        <v>0</v>
      </c>
      <c r="AK202" t="n">
        <v>1</v>
      </c>
      <c r="AP202" t="n">
        <v>1</v>
      </c>
      <c r="AQ202" t="n">
        <v>1</v>
      </c>
      <c r="AR202" t="n">
        <v>0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</row>
    <row r="203">
      <c r="A203" t="inlineStr">
        <is>
          <t>16807617999755</t>
        </is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H203" t="n">
        <v>1</v>
      </c>
      <c r="AI203" t="n">
        <v>1</v>
      </c>
      <c r="AJ203" t="n">
        <v>0</v>
      </c>
      <c r="AK203" t="n">
        <v>1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</row>
    <row r="204">
      <c r="A204" t="inlineStr">
        <is>
          <t>16807619927905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</row>
    <row r="205">
      <c r="A205" t="inlineStr">
        <is>
          <t>16807620139419</t>
        </is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1</v>
      </c>
    </row>
    <row r="206">
      <c r="A206" t="inlineStr">
        <is>
          <t>16809203870930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inlineStr">
        <is>
          <t>16809205419217</t>
        </is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n">
        <v>1</v>
      </c>
      <c r="AC207" t="n">
        <v>1</v>
      </c>
      <c r="AH207" t="n">
        <v>1</v>
      </c>
      <c r="AI207" t="n">
        <v>1</v>
      </c>
      <c r="AJ207" t="n">
        <v>1</v>
      </c>
      <c r="AK207" t="n">
        <v>1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16809206990551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n">
        <v>1</v>
      </c>
      <c r="AC208" t="n">
        <v>0</v>
      </c>
      <c r="AH208" t="n">
        <v>1</v>
      </c>
      <c r="AI208" t="n">
        <v>1</v>
      </c>
      <c r="AJ208" t="n">
        <v>1</v>
      </c>
      <c r="AK208" t="n">
        <v>0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</row>
    <row r="209">
      <c r="A209" t="inlineStr">
        <is>
          <t>16809207315268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n">
        <v>1</v>
      </c>
      <c r="AC209" t="n">
        <v>1</v>
      </c>
      <c r="AH209" t="n">
        <v>1</v>
      </c>
      <c r="AI209" t="n">
        <v>0</v>
      </c>
      <c r="AJ209" t="n">
        <v>0</v>
      </c>
      <c r="AK209" t="n">
        <v>0</v>
      </c>
      <c r="AP209" t="n">
        <v>1</v>
      </c>
      <c r="AQ209" t="n">
        <v>1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</row>
    <row r="210">
      <c r="A210" t="inlineStr">
        <is>
          <t>16809225075544</t>
        </is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H210" t="n">
        <v>1</v>
      </c>
      <c r="AI210" t="n">
        <v>1</v>
      </c>
      <c r="AJ210" t="n">
        <v>1</v>
      </c>
      <c r="AK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1</v>
      </c>
    </row>
    <row r="211">
      <c r="A211" t="inlineStr">
        <is>
          <t>16818164847478</t>
        </is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n">
        <v>1</v>
      </c>
      <c r="AH211" t="n">
        <v>1</v>
      </c>
      <c r="AI211" t="n">
        <v>1</v>
      </c>
      <c r="AJ211" t="n">
        <v>1</v>
      </c>
      <c r="AK211" t="n">
        <v>1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</row>
    <row r="212">
      <c r="A212" t="inlineStr">
        <is>
          <t>16869237921693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inlineStr">
        <is>
          <t>16891475011695</t>
        </is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H213" t="n">
        <v>1</v>
      </c>
      <c r="AI213" t="n">
        <v>1</v>
      </c>
      <c r="AJ213" t="n">
        <v>0</v>
      </c>
      <c r="AK213" t="n">
        <v>1</v>
      </c>
      <c r="AP213" t="n">
        <v>0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</row>
    <row r="214">
      <c r="A214" t="inlineStr">
        <is>
          <t>16914143118737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n">
        <v>0</v>
      </c>
      <c r="AC214" t="n">
        <v>1</v>
      </c>
      <c r="AH214" t="n">
        <v>1</v>
      </c>
      <c r="AI214" t="n">
        <v>0</v>
      </c>
      <c r="AJ214" t="n">
        <v>0</v>
      </c>
      <c r="AK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0</v>
      </c>
    </row>
    <row r="215">
      <c r="A215" t="inlineStr">
        <is>
          <t>16914143289007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1</v>
      </c>
      <c r="AC215" t="n">
        <v>1</v>
      </c>
      <c r="AH215" t="n">
        <v>1</v>
      </c>
      <c r="AI215" t="n">
        <v>1</v>
      </c>
      <c r="AJ215" t="n">
        <v>0</v>
      </c>
      <c r="AK215" t="n">
        <v>1</v>
      </c>
      <c r="AP215" t="n">
        <v>0</v>
      </c>
      <c r="AQ215" t="n">
        <v>1</v>
      </c>
      <c r="AR215" t="n">
        <v>0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</row>
    <row r="216">
      <c r="A216" t="inlineStr">
        <is>
          <t>16914143585890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n">
        <v>1</v>
      </c>
      <c r="AC216" t="n">
        <v>1</v>
      </c>
      <c r="AH216" t="n">
        <v>1</v>
      </c>
      <c r="AI216" t="n">
        <v>1</v>
      </c>
      <c r="AJ216" t="n">
        <v>1</v>
      </c>
      <c r="AK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</row>
    <row r="217">
      <c r="A217" t="inlineStr">
        <is>
          <t>16914144174620</t>
        </is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H217" t="n">
        <v>1</v>
      </c>
      <c r="AI217" t="n">
        <v>0</v>
      </c>
      <c r="AJ217" t="n">
        <v>1</v>
      </c>
      <c r="AK217" t="n">
        <v>0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</row>
    <row r="218">
      <c r="A218" t="inlineStr">
        <is>
          <t>16914144693876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H218" t="n">
        <v>1</v>
      </c>
      <c r="AI218" t="n">
        <v>0</v>
      </c>
      <c r="AJ218" t="n">
        <v>0</v>
      </c>
      <c r="AK218" t="n">
        <v>1</v>
      </c>
      <c r="AP218" t="n">
        <v>0</v>
      </c>
      <c r="AQ218" t="n">
        <v>1</v>
      </c>
      <c r="AR218" t="n">
        <v>0</v>
      </c>
      <c r="AS218" t="n">
        <v>1</v>
      </c>
      <c r="AT218" t="n">
        <v>1</v>
      </c>
      <c r="AU218" t="n">
        <v>0</v>
      </c>
      <c r="AV218" t="n">
        <v>1</v>
      </c>
      <c r="AW218" t="n">
        <v>1</v>
      </c>
    </row>
    <row r="219">
      <c r="A219" t="inlineStr">
        <is>
          <t>16914144988012</t>
        </is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1</v>
      </c>
      <c r="AE219" t="n">
        <v>1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0</v>
      </c>
    </row>
    <row r="220">
      <c r="A220" t="inlineStr">
        <is>
          <t>16914145255180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inlineStr">
        <is>
          <t>16914145971677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inlineStr">
        <is>
          <t>16914147031449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H222" t="n">
        <v>1</v>
      </c>
      <c r="AI222" t="n">
        <v>1</v>
      </c>
      <c r="AJ222" t="n">
        <v>1</v>
      </c>
      <c r="AK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</row>
    <row r="223">
      <c r="A223" t="inlineStr">
        <is>
          <t>16914147589856</t>
        </is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</row>
    <row r="224">
      <c r="A224" t="inlineStr">
        <is>
          <t>16914477474376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inlineStr">
        <is>
          <t>16914504951069</t>
        </is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inlineStr">
        <is>
          <t>16914508952654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1</v>
      </c>
      <c r="AC226" t="n">
        <v>1</v>
      </c>
      <c r="AH226" t="n">
        <v>1</v>
      </c>
      <c r="AI226" t="n">
        <v>0</v>
      </c>
      <c r="AJ226" t="n">
        <v>1</v>
      </c>
      <c r="AK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</row>
    <row r="227">
      <c r="A227" t="inlineStr">
        <is>
          <t>16914509434304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</row>
    <row r="228">
      <c r="A228" t="inlineStr">
        <is>
          <t>16914509760889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inlineStr">
        <is>
          <t>16914513979191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</row>
    <row r="230">
      <c r="A230" t="inlineStr">
        <is>
          <t>16925915196226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inlineStr">
        <is>
          <t>16927615241433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inlineStr">
        <is>
          <t>16933202324831</t>
        </is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n">
        <v>1</v>
      </c>
      <c r="AC232" t="n">
        <v>1</v>
      </c>
      <c r="AH232" t="n">
        <v>1</v>
      </c>
      <c r="AI232" t="n">
        <v>1</v>
      </c>
      <c r="AJ232" t="n">
        <v>1</v>
      </c>
      <c r="AK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0</v>
      </c>
      <c r="AW232" t="n">
        <v>1</v>
      </c>
    </row>
    <row r="233">
      <c r="A233" t="inlineStr">
        <is>
          <t>16933922927416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</row>
    <row r="234">
      <c r="A234" t="inlineStr">
        <is>
          <t>16933923572593</t>
        </is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0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</row>
    <row r="235">
      <c r="A235" t="inlineStr">
        <is>
          <t>16933924867787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H235" t="n">
        <v>1</v>
      </c>
      <c r="AI235" t="n">
        <v>1</v>
      </c>
      <c r="AJ235" t="n">
        <v>1</v>
      </c>
      <c r="AK235" t="n">
        <v>1</v>
      </c>
      <c r="AP235" t="n">
        <v>1</v>
      </c>
      <c r="AQ235" t="n">
        <v>1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1</v>
      </c>
    </row>
    <row r="236">
      <c r="A236" t="inlineStr">
        <is>
          <t>16933924954538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</row>
    <row r="237">
      <c r="A237" t="inlineStr">
        <is>
          <t>16933925076521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</row>
    <row r="238">
      <c r="A238" t="inlineStr">
        <is>
          <t>16933925447380</t>
        </is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0</v>
      </c>
      <c r="AC238" t="n">
        <v>0</v>
      </c>
      <c r="AH238" t="n">
        <v>1</v>
      </c>
      <c r="AI238" t="n">
        <v>1</v>
      </c>
      <c r="AJ238" t="n">
        <v>0</v>
      </c>
      <c r="AK238" t="n">
        <v>1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</row>
    <row r="239">
      <c r="A239" t="inlineStr">
        <is>
          <t>16933925581666</t>
        </is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0</v>
      </c>
      <c r="AG239" t="n">
        <v>1</v>
      </c>
      <c r="AH239" t="n">
        <v>1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</row>
    <row r="240">
      <c r="A240" t="inlineStr">
        <is>
          <t>16933925862185</t>
        </is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H240" t="n">
        <v>1</v>
      </c>
      <c r="AI240" t="n">
        <v>1</v>
      </c>
      <c r="AJ240" t="n">
        <v>0</v>
      </c>
      <c r="AK240" t="n">
        <v>1</v>
      </c>
      <c r="AP240" t="n">
        <v>0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</v>
      </c>
    </row>
    <row r="241">
      <c r="A241" t="inlineStr">
        <is>
          <t>16933925914553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1</v>
      </c>
      <c r="AB241" t="n">
        <v>1</v>
      </c>
      <c r="AC241" t="n">
        <v>1</v>
      </c>
      <c r="AH241" t="n">
        <v>0</v>
      </c>
      <c r="AI241" t="n">
        <v>0</v>
      </c>
      <c r="AJ241" t="n">
        <v>1</v>
      </c>
      <c r="AK241" t="n">
        <v>0</v>
      </c>
      <c r="AP241" t="n">
        <v>1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</row>
    <row r="242">
      <c r="A242" t="inlineStr">
        <is>
          <t>16933926086232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H242" t="n">
        <v>1</v>
      </c>
      <c r="AI242" t="n">
        <v>1</v>
      </c>
      <c r="AJ242" t="n">
        <v>1</v>
      </c>
      <c r="AK242" t="n">
        <v>1</v>
      </c>
      <c r="AP242" t="n">
        <v>1</v>
      </c>
      <c r="AQ242" t="n">
        <v>1</v>
      </c>
      <c r="AR242" t="n">
        <v>0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</row>
    <row r="243">
      <c r="A243" t="inlineStr">
        <is>
          <t>16933926148654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1</v>
      </c>
      <c r="AC243" t="n">
        <v>1</v>
      </c>
      <c r="AH243" t="n">
        <v>1</v>
      </c>
      <c r="AI243" t="n">
        <v>1</v>
      </c>
      <c r="AJ243" t="n">
        <v>0</v>
      </c>
      <c r="AK243" t="n">
        <v>0</v>
      </c>
      <c r="AP243" t="n">
        <v>1</v>
      </c>
      <c r="AQ243" t="n">
        <v>1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1</v>
      </c>
    </row>
    <row r="244">
      <c r="A244" t="inlineStr">
        <is>
          <t>16933926249409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H244" t="n">
        <v>1</v>
      </c>
      <c r="AI244" t="n">
        <v>1</v>
      </c>
      <c r="AJ244" t="n">
        <v>1</v>
      </c>
      <c r="AK244" t="n">
        <v>1</v>
      </c>
      <c r="AP244" t="n">
        <v>1</v>
      </c>
      <c r="AQ244" t="n">
        <v>1</v>
      </c>
      <c r="AR244" t="n">
        <v>0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</row>
    <row r="245">
      <c r="A245" t="inlineStr">
        <is>
          <t>16933926585080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</row>
    <row r="246">
      <c r="A246" t="inlineStr">
        <is>
          <t>16933926619118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</row>
    <row r="247">
      <c r="A247" t="inlineStr">
        <is>
          <t>16933926720716</t>
        </is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</row>
    <row r="248">
      <c r="A248" t="inlineStr">
        <is>
          <t>16933926891164</t>
        </is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n">
        <v>0</v>
      </c>
      <c r="AC248" t="n">
        <v>1</v>
      </c>
      <c r="AH248" t="n">
        <v>1</v>
      </c>
      <c r="AI248" t="n">
        <v>1</v>
      </c>
      <c r="AJ248" t="n">
        <v>0</v>
      </c>
      <c r="AK248" t="n">
        <v>1</v>
      </c>
      <c r="AP248" t="n">
        <v>0</v>
      </c>
      <c r="AQ248" t="n">
        <v>1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</row>
    <row r="249">
      <c r="A249" t="inlineStr">
        <is>
          <t>16933926953841</t>
        </is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</row>
    <row r="250">
      <c r="A250" t="inlineStr">
        <is>
          <t>16933927019058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</row>
    <row r="251">
      <c r="A251" t="inlineStr">
        <is>
          <t>16933927199722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</row>
    <row r="252">
      <c r="A252" t="inlineStr">
        <is>
          <t>16933927282859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1</v>
      </c>
      <c r="AC252" t="n">
        <v>0</v>
      </c>
      <c r="AD252" t="n">
        <v>1</v>
      </c>
      <c r="AE252" t="n">
        <v>0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</row>
    <row r="253">
      <c r="A253" t="inlineStr">
        <is>
          <t>16933927569374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H253" t="n">
        <v>1</v>
      </c>
      <c r="AI253" t="n">
        <v>1</v>
      </c>
      <c r="AJ253" t="n">
        <v>0</v>
      </c>
      <c r="AK253" t="n">
        <v>1</v>
      </c>
      <c r="AP253" t="n">
        <v>1</v>
      </c>
      <c r="AQ253" t="n">
        <v>1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1</v>
      </c>
    </row>
    <row r="254">
      <c r="A254" t="inlineStr">
        <is>
          <t>16933927671413</t>
        </is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</row>
    <row r="255">
      <c r="A255" t="inlineStr">
        <is>
          <t>16933927730313</t>
        </is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</row>
    <row r="256">
      <c r="A256" t="inlineStr">
        <is>
          <t>16933927883913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1</v>
      </c>
    </row>
    <row r="257">
      <c r="A257" t="inlineStr">
        <is>
          <t>16933928173904</t>
        </is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1</v>
      </c>
      <c r="AL257" t="n">
        <v>1</v>
      </c>
      <c r="AM257" t="n">
        <v>1</v>
      </c>
      <c r="AN257" t="n">
        <v>0</v>
      </c>
      <c r="AO257" t="n">
        <v>0</v>
      </c>
    </row>
    <row r="258">
      <c r="A258" t="inlineStr">
        <is>
          <t>16938087723373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n">
        <v>0</v>
      </c>
      <c r="AC258" t="n">
        <v>1</v>
      </c>
      <c r="AH258" t="n">
        <v>1</v>
      </c>
      <c r="AI258" t="n">
        <v>1</v>
      </c>
      <c r="AJ258" t="n">
        <v>0</v>
      </c>
      <c r="AK258" t="n">
        <v>1</v>
      </c>
      <c r="AP258" t="n">
        <v>0</v>
      </c>
      <c r="AQ258" t="n">
        <v>1</v>
      </c>
      <c r="AR258" t="n">
        <v>0</v>
      </c>
      <c r="AS258" t="n">
        <v>0</v>
      </c>
      <c r="AT258" t="n">
        <v>1</v>
      </c>
      <c r="AU258" t="n">
        <v>1</v>
      </c>
      <c r="AV258" t="n">
        <v>0</v>
      </c>
      <c r="AW258" t="n">
        <v>1</v>
      </c>
    </row>
    <row r="259">
      <c r="A259" t="inlineStr">
        <is>
          <t>16950918343529</t>
        </is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1</v>
      </c>
    </row>
    <row r="260">
      <c r="A260" t="inlineStr">
        <is>
          <t>16951033863073</t>
        </is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H260" t="n">
        <v>1</v>
      </c>
      <c r="AI260" t="n">
        <v>1</v>
      </c>
      <c r="AJ260" t="n">
        <v>1</v>
      </c>
      <c r="AK260" t="n">
        <v>1</v>
      </c>
      <c r="AP260" t="n">
        <v>1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</row>
    <row r="261">
      <c r="A261" t="inlineStr">
        <is>
          <t>16955079679894</t>
        </is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n">
        <v>1</v>
      </c>
      <c r="AC261" t="n">
        <v>1</v>
      </c>
      <c r="AH261" t="n">
        <v>1</v>
      </c>
      <c r="AI261" t="n">
        <v>1</v>
      </c>
      <c r="AJ261" t="n">
        <v>0</v>
      </c>
      <c r="AK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</row>
    <row r="262">
      <c r="A262" t="inlineStr">
        <is>
          <t>16955080116828</t>
        </is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</row>
    <row r="263">
      <c r="A263" t="inlineStr">
        <is>
          <t>16961286047129</t>
        </is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H263" t="n">
        <v>1</v>
      </c>
      <c r="AI263" t="n">
        <v>1</v>
      </c>
      <c r="AJ263" t="n">
        <v>0</v>
      </c>
      <c r="AK263" t="n">
        <v>0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</row>
    <row r="264">
      <c r="A264" t="inlineStr">
        <is>
          <t>16961286298326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n">
        <v>1</v>
      </c>
      <c r="AC264" t="n">
        <v>1</v>
      </c>
      <c r="AH264" t="n">
        <v>1</v>
      </c>
      <c r="AI264" t="n">
        <v>0</v>
      </c>
      <c r="AJ264" t="n">
        <v>1</v>
      </c>
      <c r="AK264" t="n">
        <v>1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1</v>
      </c>
      <c r="AV264" t="n">
        <v>1</v>
      </c>
      <c r="AW264" t="n">
        <v>0</v>
      </c>
    </row>
    <row r="265">
      <c r="A265" t="inlineStr">
        <is>
          <t>16961286798453</t>
        </is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H265" t="n">
        <v>1</v>
      </c>
      <c r="AI265" t="n">
        <v>1</v>
      </c>
      <c r="AJ265" t="n">
        <v>0</v>
      </c>
      <c r="AK265" t="n">
        <v>1</v>
      </c>
      <c r="AP265" t="n">
        <v>0</v>
      </c>
      <c r="AQ265" t="n">
        <v>1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</row>
    <row r="266">
      <c r="A266" t="inlineStr">
        <is>
          <t>16961287380303</t>
        </is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1</v>
      </c>
      <c r="AH266" t="n">
        <v>1</v>
      </c>
      <c r="AI266" t="n">
        <v>1</v>
      </c>
      <c r="AJ266" t="n">
        <v>0</v>
      </c>
      <c r="AK266" t="n">
        <v>1</v>
      </c>
      <c r="AP266" t="n">
        <v>1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</row>
    <row r="267">
      <c r="A267" t="inlineStr">
        <is>
          <t>16961288223581</t>
        </is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H267" t="n">
        <v>1</v>
      </c>
      <c r="AI267" t="n">
        <v>0</v>
      </c>
      <c r="AJ267" t="n">
        <v>0</v>
      </c>
      <c r="AK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</row>
    <row r="268">
      <c r="A268" t="inlineStr">
        <is>
          <t>16974551328879</t>
        </is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inlineStr">
        <is>
          <t>16974583934558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</row>
    <row r="270">
      <c r="A270" t="inlineStr">
        <is>
          <t>16978473117305</t>
        </is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H270" t="n">
        <v>1</v>
      </c>
      <c r="AI270" t="n">
        <v>1</v>
      </c>
      <c r="AJ270" t="n">
        <v>1</v>
      </c>
      <c r="AK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</row>
    <row r="271">
      <c r="A271" t="inlineStr">
        <is>
          <t>16978474575500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H271" t="n">
        <v>1</v>
      </c>
      <c r="AI271" t="n">
        <v>1</v>
      </c>
      <c r="AJ271" t="n">
        <v>1</v>
      </c>
      <c r="AK271" t="n">
        <v>1</v>
      </c>
      <c r="AP271" t="n">
        <v>1</v>
      </c>
      <c r="AQ271" t="n">
        <v>1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</row>
    <row r="272">
      <c r="A272" t="inlineStr">
        <is>
          <t>16978475163884</t>
        </is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H272" t="n">
        <v>1</v>
      </c>
      <c r="AI272" t="n">
        <v>1</v>
      </c>
      <c r="AJ272" t="n">
        <v>0</v>
      </c>
      <c r="AK272" t="n">
        <v>1</v>
      </c>
      <c r="AP272" t="n">
        <v>0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1</v>
      </c>
      <c r="AW272" t="n">
        <v>1</v>
      </c>
    </row>
    <row r="273">
      <c r="A273" t="inlineStr">
        <is>
          <t>16978476255680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</row>
    <row r="274">
      <c r="A274" t="inlineStr">
        <is>
          <t>16978482786430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H274" t="n">
        <v>0</v>
      </c>
      <c r="AI274" t="n">
        <v>0</v>
      </c>
      <c r="AJ274" t="n">
        <v>0</v>
      </c>
      <c r="AK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1</v>
      </c>
      <c r="AU274" t="n">
        <v>1</v>
      </c>
      <c r="AV274" t="n">
        <v>1</v>
      </c>
      <c r="AW274" t="n">
        <v>1</v>
      </c>
    </row>
    <row r="275">
      <c r="A275" t="inlineStr">
        <is>
          <t>16998300791157</t>
        </is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H275" t="n">
        <v>1</v>
      </c>
      <c r="AI275" t="n">
        <v>1</v>
      </c>
      <c r="AJ275" t="n">
        <v>1</v>
      </c>
      <c r="AK275" t="n">
        <v>1</v>
      </c>
      <c r="AP275" t="n">
        <v>0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</row>
    <row r="276">
      <c r="A276" t="inlineStr">
        <is>
          <t>17003404597578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n">
        <v>1</v>
      </c>
      <c r="AC276" t="n">
        <v>1</v>
      </c>
      <c r="AH276" t="n">
        <v>1</v>
      </c>
      <c r="AI276" t="n">
        <v>1</v>
      </c>
      <c r="AJ276" t="n">
        <v>0</v>
      </c>
      <c r="AK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</row>
    <row r="277">
      <c r="A277" t="inlineStr">
        <is>
          <t>17003406149546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H277" t="n">
        <v>1</v>
      </c>
      <c r="AI277" t="n">
        <v>1</v>
      </c>
      <c r="AJ277" t="n">
        <v>0</v>
      </c>
      <c r="AK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0</v>
      </c>
    </row>
    <row r="278">
      <c r="A278" t="inlineStr">
        <is>
          <t>17024853928497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inlineStr">
        <is>
          <t>17028471265572</t>
        </is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H279" t="n">
        <v>0</v>
      </c>
      <c r="AI279" t="n">
        <v>0</v>
      </c>
      <c r="AJ279" t="n">
        <v>0</v>
      </c>
      <c r="AK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17047936313796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inlineStr">
        <is>
          <t>17047936780842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inlineStr">
        <is>
          <t>17047939735208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inlineStr">
        <is>
          <t>17047955464088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inlineStr">
        <is>
          <t>17061699678380</t>
        </is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n">
        <v>1</v>
      </c>
      <c r="AC284" t="n">
        <v>1</v>
      </c>
      <c r="AH284" t="n">
        <v>1</v>
      </c>
      <c r="AI284" t="n">
        <v>1</v>
      </c>
      <c r="AJ284" t="n">
        <v>1</v>
      </c>
      <c r="AK284" t="n">
        <v>1</v>
      </c>
      <c r="AP284" t="n">
        <v>0</v>
      </c>
      <c r="AQ284" t="n">
        <v>0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</row>
    <row r="285">
      <c r="A285" t="inlineStr">
        <is>
          <t>17061699855842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1</v>
      </c>
      <c r="AH285" t="n">
        <v>1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</row>
    <row r="286">
      <c r="A286" t="inlineStr">
        <is>
          <t>17061699964096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</row>
    <row r="287">
      <c r="A287" t="inlineStr">
        <is>
          <t>17061700532958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n">
        <v>1</v>
      </c>
      <c r="AC287" t="n">
        <v>1</v>
      </c>
      <c r="AH287" t="n">
        <v>0</v>
      </c>
      <c r="AI287" t="n">
        <v>0</v>
      </c>
      <c r="AJ287" t="n">
        <v>0</v>
      </c>
      <c r="AK287" t="n">
        <v>0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0</v>
      </c>
      <c r="AV287" t="n">
        <v>0</v>
      </c>
      <c r="AW287" t="n">
        <v>1</v>
      </c>
    </row>
    <row r="288">
      <c r="A288" t="inlineStr">
        <is>
          <t>17061700737174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H288" t="n">
        <v>0</v>
      </c>
      <c r="AI288" t="n">
        <v>0</v>
      </c>
      <c r="AJ288" t="n">
        <v>0</v>
      </c>
      <c r="AK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</row>
    <row r="289">
      <c r="A289" t="inlineStr">
        <is>
          <t>17061701137815</t>
        </is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1</v>
      </c>
      <c r="AH289" t="n">
        <v>1</v>
      </c>
      <c r="AI289" t="n">
        <v>1</v>
      </c>
      <c r="AJ289" t="n">
        <v>0</v>
      </c>
      <c r="AK289" t="n">
        <v>1</v>
      </c>
      <c r="AP289" t="n">
        <v>0</v>
      </c>
      <c r="AQ289" t="n">
        <v>0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</row>
    <row r="290">
      <c r="A290" t="inlineStr">
        <is>
          <t>17061701339618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H290" t="n">
        <v>0</v>
      </c>
      <c r="AI290" t="n">
        <v>0</v>
      </c>
      <c r="AJ290" t="n">
        <v>0</v>
      </c>
      <c r="AK290" t="n">
        <v>0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</row>
    <row r="291">
      <c r="A291" t="inlineStr">
        <is>
          <t>17061701436756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H291" t="n">
        <v>1</v>
      </c>
      <c r="AI291" t="n">
        <v>0</v>
      </c>
      <c r="AJ291" t="n">
        <v>1</v>
      </c>
      <c r="AK291" t="n">
        <v>1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1</v>
      </c>
      <c r="AV291" t="n">
        <v>0</v>
      </c>
      <c r="AW291" t="n">
        <v>1</v>
      </c>
    </row>
    <row r="292">
      <c r="A292" t="inlineStr">
        <is>
          <t>17061701511974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H292" t="n">
        <v>1</v>
      </c>
      <c r="AI292" t="n">
        <v>0</v>
      </c>
      <c r="AJ292" t="n">
        <v>1</v>
      </c>
      <c r="AK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</row>
    <row r="293">
      <c r="A293" t="inlineStr">
        <is>
          <t>17061701834605</t>
        </is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H293" t="n">
        <v>1</v>
      </c>
      <c r="AI293" t="n">
        <v>0</v>
      </c>
      <c r="AJ293" t="n">
        <v>0</v>
      </c>
      <c r="AK293" t="n">
        <v>1</v>
      </c>
      <c r="AP293" t="n">
        <v>0</v>
      </c>
      <c r="AQ293" t="n">
        <v>0</v>
      </c>
      <c r="AR293" t="n">
        <v>0</v>
      </c>
      <c r="AS293" t="n">
        <v>1</v>
      </c>
      <c r="AT293" t="n">
        <v>1</v>
      </c>
      <c r="AU293" t="n">
        <v>1</v>
      </c>
      <c r="AV293" t="n">
        <v>0</v>
      </c>
      <c r="AW293" t="n">
        <v>1</v>
      </c>
    </row>
    <row r="294">
      <c r="A294" t="inlineStr">
        <is>
          <t>17061701980597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17061702069195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0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</row>
    <row r="296">
      <c r="A296" t="inlineStr">
        <is>
          <t>17061702280379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17061702389846</t>
        </is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17061702447495</t>
        </is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</row>
    <row r="299">
      <c r="A299" t="inlineStr">
        <is>
          <t>17061702970261</t>
        </is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  <c r="AC299" t="n">
        <v>1</v>
      </c>
      <c r="AH299" t="n">
        <v>1</v>
      </c>
      <c r="AI299" t="n">
        <v>1</v>
      </c>
      <c r="AJ299" t="n">
        <v>1</v>
      </c>
      <c r="AK299" t="n">
        <v>1</v>
      </c>
      <c r="AP299" t="n">
        <v>1</v>
      </c>
      <c r="AQ299" t="n">
        <v>0</v>
      </c>
      <c r="AR299" t="n">
        <v>0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</row>
    <row r="300">
      <c r="A300" t="inlineStr">
        <is>
          <t>17061703016829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</row>
    <row r="301">
      <c r="A301" t="inlineStr">
        <is>
          <t>17061703284124</t>
        </is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</row>
    <row r="302">
      <c r="A302" t="inlineStr">
        <is>
          <t>17061703686717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1</v>
      </c>
      <c r="AB302" t="n">
        <v>1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</row>
    <row r="303">
      <c r="A303" t="inlineStr">
        <is>
          <t>17061715876200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H303" t="n">
        <v>0</v>
      </c>
      <c r="AI303" t="n">
        <v>0</v>
      </c>
      <c r="AJ303" t="n">
        <v>0</v>
      </c>
      <c r="AK303" t="n">
        <v>1</v>
      </c>
      <c r="AP303" t="n">
        <v>1</v>
      </c>
      <c r="AQ303" t="n">
        <v>0</v>
      </c>
      <c r="AR303" t="n">
        <v>0</v>
      </c>
      <c r="AS303" t="n">
        <v>1</v>
      </c>
      <c r="AT303" t="n">
        <v>1</v>
      </c>
      <c r="AU303" t="n">
        <v>0</v>
      </c>
      <c r="AV303" t="n">
        <v>1</v>
      </c>
      <c r="AW303" t="n">
        <v>1</v>
      </c>
    </row>
    <row r="304">
      <c r="A304" t="inlineStr">
        <is>
          <t>17061716154076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0</v>
      </c>
      <c r="AC304" t="n">
        <v>1</v>
      </c>
      <c r="AH304" t="n">
        <v>1</v>
      </c>
      <c r="AI304" t="n">
        <v>1</v>
      </c>
      <c r="AJ304" t="n">
        <v>1</v>
      </c>
      <c r="AK304" t="n">
        <v>1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</v>
      </c>
    </row>
    <row r="305">
      <c r="A305" t="inlineStr">
        <is>
          <t>17061716288445</t>
        </is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0</v>
      </c>
      <c r="AH305" t="n">
        <v>1</v>
      </c>
      <c r="AI305" t="n">
        <v>0</v>
      </c>
      <c r="AJ305" t="n">
        <v>0</v>
      </c>
      <c r="AK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</row>
    <row r="306">
      <c r="A306" t="inlineStr">
        <is>
          <t>17061716394174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inlineStr">
        <is>
          <t>17061716430399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1</v>
      </c>
      <c r="AH307" t="n">
        <v>1</v>
      </c>
      <c r="AI307" t="n">
        <v>0</v>
      </c>
      <c r="AJ307" t="n">
        <v>0</v>
      </c>
      <c r="AK307" t="n">
        <v>1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0</v>
      </c>
      <c r="AV307" t="n">
        <v>1</v>
      </c>
      <c r="AW307" t="n">
        <v>1</v>
      </c>
    </row>
    <row r="308">
      <c r="A308" t="inlineStr">
        <is>
          <t>17061716561928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inlineStr">
        <is>
          <t>17061716715281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H309" t="n">
        <v>1</v>
      </c>
      <c r="AI309" t="n">
        <v>1</v>
      </c>
      <c r="AJ309" t="n">
        <v>0</v>
      </c>
      <c r="AK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</row>
    <row r="310">
      <c r="A310" t="inlineStr">
        <is>
          <t>17061716875357</t>
        </is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H310" t="n">
        <v>1</v>
      </c>
      <c r="AI310" t="n">
        <v>0</v>
      </c>
      <c r="AJ310" t="n">
        <v>0</v>
      </c>
      <c r="AK310" t="n">
        <v>1</v>
      </c>
      <c r="AP310" t="n">
        <v>0</v>
      </c>
      <c r="AQ310" t="n">
        <v>1</v>
      </c>
      <c r="AR310" t="n">
        <v>0</v>
      </c>
      <c r="AS310" t="n">
        <v>1</v>
      </c>
      <c r="AT310" t="n">
        <v>1</v>
      </c>
      <c r="AU310" t="n">
        <v>0</v>
      </c>
      <c r="AV310" t="n">
        <v>1</v>
      </c>
      <c r="AW310" t="n">
        <v>1</v>
      </c>
    </row>
    <row r="311">
      <c r="A311" t="inlineStr">
        <is>
          <t>17061716986739</t>
        </is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1</v>
      </c>
      <c r="AH311" t="n">
        <v>1</v>
      </c>
      <c r="AI311" t="n">
        <v>1</v>
      </c>
      <c r="AJ311" t="n">
        <v>0</v>
      </c>
      <c r="AK311" t="n">
        <v>1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1</v>
      </c>
      <c r="AW311" t="n">
        <v>1</v>
      </c>
    </row>
    <row r="312">
      <c r="A312" t="inlineStr">
        <is>
          <t>17061717270549</t>
        </is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H312" t="n">
        <v>1</v>
      </c>
      <c r="AI312" t="n">
        <v>1</v>
      </c>
      <c r="AJ312" t="n">
        <v>1</v>
      </c>
      <c r="AK312" t="n">
        <v>1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</row>
    <row r="313">
      <c r="A313" t="inlineStr">
        <is>
          <t>17061717441134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H313" t="n">
        <v>1</v>
      </c>
      <c r="AI313" t="n">
        <v>1</v>
      </c>
      <c r="AJ313" t="n">
        <v>1</v>
      </c>
      <c r="AK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</row>
    <row r="314">
      <c r="A314" t="inlineStr">
        <is>
          <t>17061717546518</t>
        </is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1</v>
      </c>
    </row>
    <row r="315">
      <c r="A315" t="inlineStr">
        <is>
          <t>17061717681880</t>
        </is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0</v>
      </c>
    </row>
    <row r="316">
      <c r="A316" t="inlineStr">
        <is>
          <t>17061717742132</t>
        </is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H316" t="n">
        <v>1</v>
      </c>
      <c r="AI316" t="n">
        <v>1</v>
      </c>
      <c r="AJ316" t="n">
        <v>1</v>
      </c>
      <c r="AK316" t="n">
        <v>1</v>
      </c>
      <c r="AP316" t="n">
        <v>1</v>
      </c>
      <c r="AQ316" t="n">
        <v>1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</row>
    <row r="317">
      <c r="A317" t="inlineStr">
        <is>
          <t>17061717839792</t>
        </is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H317" t="n">
        <v>1</v>
      </c>
      <c r="AI317" t="n">
        <v>0</v>
      </c>
      <c r="AJ317" t="n">
        <v>1</v>
      </c>
      <c r="AK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1</v>
      </c>
      <c r="AU317" t="n">
        <v>1</v>
      </c>
      <c r="AV317" t="n">
        <v>0</v>
      </c>
      <c r="AW317" t="n">
        <v>1</v>
      </c>
    </row>
    <row r="318">
      <c r="A318" t="inlineStr">
        <is>
          <t>17061717978941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inlineStr">
        <is>
          <t>17061718015067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0</v>
      </c>
    </row>
    <row r="320">
      <c r="A320" t="inlineStr">
        <is>
          <t>17061718139878</t>
        </is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1</v>
      </c>
      <c r="AB320" t="n">
        <v>1</v>
      </c>
      <c r="AC320" t="n">
        <v>1</v>
      </c>
      <c r="AH320" t="n">
        <v>1</v>
      </c>
      <c r="AI320" t="n">
        <v>1</v>
      </c>
      <c r="AJ320" t="n">
        <v>1</v>
      </c>
      <c r="AK320" t="n">
        <v>1</v>
      </c>
      <c r="AP320" t="n">
        <v>0</v>
      </c>
      <c r="AQ320" t="n">
        <v>1</v>
      </c>
      <c r="AR320" t="n">
        <v>0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</row>
    <row r="321">
      <c r="A321" t="inlineStr">
        <is>
          <t>17061718260511</t>
        </is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1</v>
      </c>
      <c r="AL321" t="n">
        <v>0</v>
      </c>
      <c r="AM321" t="n">
        <v>1</v>
      </c>
      <c r="AN321" t="n">
        <v>1</v>
      </c>
      <c r="AO321" t="n">
        <v>0</v>
      </c>
    </row>
    <row r="322">
      <c r="A322" t="inlineStr">
        <is>
          <t>17061718351648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n">
        <v>1</v>
      </c>
      <c r="AC322" t="n">
        <v>0</v>
      </c>
      <c r="AH322" t="n">
        <v>1</v>
      </c>
      <c r="AI322" t="n">
        <v>0</v>
      </c>
      <c r="AJ322" t="n">
        <v>1</v>
      </c>
      <c r="AK322" t="n">
        <v>1</v>
      </c>
      <c r="AP322" t="n">
        <v>0</v>
      </c>
      <c r="AQ322" t="n">
        <v>1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</row>
    <row r="323">
      <c r="A323" t="inlineStr">
        <is>
          <t>17061718535013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</row>
    <row r="324">
      <c r="A324" t="inlineStr">
        <is>
          <t>17061718658742</t>
        </is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H324" t="n">
        <v>1</v>
      </c>
      <c r="AI324" t="n">
        <v>1</v>
      </c>
      <c r="AJ324" t="n">
        <v>1</v>
      </c>
      <c r="AK324" t="n">
        <v>1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1</v>
      </c>
    </row>
    <row r="325">
      <c r="A325" t="inlineStr">
        <is>
          <t>17061718873925</t>
        </is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inlineStr">
        <is>
          <t>17061718939381</t>
        </is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H326" t="n">
        <v>1</v>
      </c>
      <c r="AI326" t="n">
        <v>1</v>
      </c>
      <c r="AJ326" t="n">
        <v>1</v>
      </c>
      <c r="AK326" t="n">
        <v>1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1</v>
      </c>
    </row>
    <row r="327">
      <c r="A327" t="inlineStr">
        <is>
          <t>17061719074597</t>
        </is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H327" t="n">
        <v>1</v>
      </c>
      <c r="AI327" t="n">
        <v>1</v>
      </c>
      <c r="AJ327" t="n">
        <v>0</v>
      </c>
      <c r="AK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</row>
    <row r="328">
      <c r="A328" t="inlineStr">
        <is>
          <t>17061719146193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</row>
    <row r="329">
      <c r="A329" t="inlineStr">
        <is>
          <t>17061719664708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n">
        <v>0</v>
      </c>
      <c r="AC329" t="n">
        <v>1</v>
      </c>
      <c r="AH329" t="n">
        <v>1</v>
      </c>
      <c r="AI329" t="n">
        <v>0</v>
      </c>
      <c r="AJ329" t="n">
        <v>1</v>
      </c>
      <c r="AK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1</v>
      </c>
    </row>
    <row r="330">
      <c r="A330" t="inlineStr">
        <is>
          <t>17061719761699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inlineStr">
        <is>
          <t>17061719986132</t>
        </is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0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inlineStr">
        <is>
          <t>17061720078665</t>
        </is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n">
        <v>0</v>
      </c>
    </row>
    <row r="333">
      <c r="A333" t="inlineStr">
        <is>
          <t>17061720355207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n">
        <v>1</v>
      </c>
      <c r="AC333" t="n">
        <v>1</v>
      </c>
      <c r="AH333" t="n">
        <v>1</v>
      </c>
      <c r="AI333" t="n">
        <v>0</v>
      </c>
      <c r="AJ333" t="n">
        <v>0</v>
      </c>
      <c r="AK333" t="n">
        <v>1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0</v>
      </c>
      <c r="AV333" t="n">
        <v>1</v>
      </c>
      <c r="AW333" t="n">
        <v>1</v>
      </c>
    </row>
    <row r="334">
      <c r="A334" t="inlineStr">
        <is>
          <t>17061720538262</t>
        </is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H334" t="n">
        <v>1</v>
      </c>
      <c r="AI334" t="n">
        <v>1</v>
      </c>
      <c r="AJ334" t="n">
        <v>1</v>
      </c>
      <c r="AK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0</v>
      </c>
      <c r="AV334" t="n">
        <v>1</v>
      </c>
      <c r="AW334" t="n">
        <v>1</v>
      </c>
    </row>
    <row r="335">
      <c r="A335" t="inlineStr">
        <is>
          <t>17061720686736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</row>
    <row r="336">
      <c r="A336" t="inlineStr">
        <is>
          <t>17061720824635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0</v>
      </c>
    </row>
    <row r="337">
      <c r="A337" t="inlineStr">
        <is>
          <t>17061721174827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H337" t="n">
        <v>1</v>
      </c>
      <c r="AI337" t="n">
        <v>1</v>
      </c>
      <c r="AJ337" t="n">
        <v>0</v>
      </c>
      <c r="AK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</row>
    <row r="338">
      <c r="A338" t="inlineStr">
        <is>
          <t>17061721253178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</row>
    <row r="339">
      <c r="A339" t="inlineStr">
        <is>
          <t>17061721393370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n">
        <v>1</v>
      </c>
      <c r="AC339" t="n">
        <v>1</v>
      </c>
      <c r="AH339" t="n">
        <v>1</v>
      </c>
      <c r="AI339" t="n">
        <v>0</v>
      </c>
      <c r="AJ339" t="n">
        <v>0</v>
      </c>
      <c r="AK339" t="n">
        <v>1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</row>
    <row r="340">
      <c r="A340" t="inlineStr">
        <is>
          <t>17061721454362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1</v>
      </c>
    </row>
    <row r="341">
      <c r="A341" t="inlineStr">
        <is>
          <t>17061721696297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H341" t="n">
        <v>1</v>
      </c>
      <c r="AI341" t="n">
        <v>1</v>
      </c>
      <c r="AJ341" t="n">
        <v>1</v>
      </c>
      <c r="AK341" t="n">
        <v>1</v>
      </c>
      <c r="AP341" t="n">
        <v>0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1</v>
      </c>
    </row>
    <row r="342">
      <c r="A342" t="inlineStr">
        <is>
          <t>17061721838802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</row>
    <row r="343">
      <c r="A343" t="inlineStr">
        <is>
          <t>17061722183850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1</v>
      </c>
      <c r="AC343" t="n">
        <v>0</v>
      </c>
      <c r="AH343" t="n">
        <v>1</v>
      </c>
      <c r="AI343" t="n">
        <v>1</v>
      </c>
      <c r="AJ343" t="n">
        <v>0</v>
      </c>
      <c r="AK343" t="n">
        <v>0</v>
      </c>
      <c r="AP343" t="n">
        <v>1</v>
      </c>
      <c r="AQ343" t="n">
        <v>1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1</v>
      </c>
    </row>
    <row r="344">
      <c r="A344" t="inlineStr">
        <is>
          <t>17061722359546</t>
        </is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inlineStr">
        <is>
          <t>17061722481768</t>
        </is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1</v>
      </c>
      <c r="AC345" t="n">
        <v>0</v>
      </c>
      <c r="AH345" t="n">
        <v>0</v>
      </c>
      <c r="AI345" t="n">
        <v>0</v>
      </c>
      <c r="AJ345" t="n">
        <v>0</v>
      </c>
      <c r="AK345" t="n">
        <v>0</v>
      </c>
      <c r="AP345" t="n">
        <v>0</v>
      </c>
      <c r="AQ345" t="n">
        <v>0</v>
      </c>
      <c r="AR345" t="n">
        <v>1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</row>
    <row r="346">
      <c r="A346" t="inlineStr">
        <is>
          <t>17061722639030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H346" t="n">
        <v>1</v>
      </c>
      <c r="AI346" t="n">
        <v>0</v>
      </c>
      <c r="AJ346" t="n">
        <v>1</v>
      </c>
      <c r="AK346" t="n">
        <v>1</v>
      </c>
      <c r="AP346" t="n">
        <v>1</v>
      </c>
      <c r="AQ346" t="n">
        <v>0</v>
      </c>
      <c r="AR346" t="n">
        <v>0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</row>
    <row r="347">
      <c r="A347" t="inlineStr">
        <is>
          <t>17061722936952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1</v>
      </c>
      <c r="AH347" t="n">
        <v>1</v>
      </c>
      <c r="AI347" t="n">
        <v>1</v>
      </c>
      <c r="AJ347" t="n">
        <v>1</v>
      </c>
      <c r="AK347" t="n">
        <v>1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</row>
    <row r="348">
      <c r="A348" t="inlineStr">
        <is>
          <t>17061723177992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inlineStr">
        <is>
          <t>17061723276531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17061723367326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</row>
    <row r="351">
      <c r="A351" t="inlineStr">
        <is>
          <t>17061723741572</t>
        </is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H351" t="n">
        <v>1</v>
      </c>
      <c r="AI351" t="n">
        <v>1</v>
      </c>
      <c r="AJ351" t="n">
        <v>0</v>
      </c>
      <c r="AK351" t="n">
        <v>1</v>
      </c>
      <c r="AP351" t="n">
        <v>0</v>
      </c>
      <c r="AQ351" t="n">
        <v>1</v>
      </c>
      <c r="AR351" t="n">
        <v>1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</row>
    <row r="352">
      <c r="A352" t="inlineStr">
        <is>
          <t>17061723860493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H352" t="n">
        <v>0</v>
      </c>
      <c r="AI352" t="n">
        <v>0</v>
      </c>
      <c r="AJ352" t="n">
        <v>0</v>
      </c>
      <c r="AK352" t="n">
        <v>0</v>
      </c>
      <c r="AP352" t="n">
        <v>0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</row>
    <row r="353">
      <c r="A353" t="inlineStr">
        <is>
          <t>17061723947343</t>
        </is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0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inlineStr">
        <is>
          <t>17061724145452</t>
        </is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1</v>
      </c>
      <c r="AC354" t="n">
        <v>1</v>
      </c>
      <c r="AH354" t="n">
        <v>0</v>
      </c>
      <c r="AI354" t="n">
        <v>1</v>
      </c>
      <c r="AJ354" t="n">
        <v>0</v>
      </c>
      <c r="AK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1</v>
      </c>
      <c r="AV354" t="n">
        <v>0</v>
      </c>
      <c r="AW354" t="n">
        <v>1</v>
      </c>
    </row>
    <row r="355">
      <c r="A355" t="inlineStr">
        <is>
          <t>17061736864109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1</v>
      </c>
      <c r="AC355" t="n">
        <v>0</v>
      </c>
      <c r="AH355" t="n">
        <v>1</v>
      </c>
      <c r="AI355" t="n">
        <v>1</v>
      </c>
      <c r="AJ355" t="n">
        <v>1</v>
      </c>
      <c r="AK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0</v>
      </c>
    </row>
    <row r="356">
      <c r="A356" t="inlineStr">
        <is>
          <t>17061737060148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0</v>
      </c>
    </row>
    <row r="357">
      <c r="A357" t="inlineStr">
        <is>
          <t>17061737262496</t>
        </is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</row>
    <row r="358">
      <c r="A358" t="inlineStr">
        <is>
          <t>17061737368659</t>
        </is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</row>
    <row r="359">
      <c r="A359" t="inlineStr">
        <is>
          <t>17061737457182</t>
        </is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</row>
    <row r="360">
      <c r="A360" t="inlineStr">
        <is>
          <t>17061737831259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H360" t="n">
        <v>1</v>
      </c>
      <c r="AI360" t="n">
        <v>1</v>
      </c>
      <c r="AJ360" t="n">
        <v>1</v>
      </c>
      <c r="AK360" t="n">
        <v>1</v>
      </c>
      <c r="AP360" t="n">
        <v>0</v>
      </c>
      <c r="AQ360" t="n">
        <v>1</v>
      </c>
      <c r="AR360" t="n">
        <v>0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</row>
    <row r="361">
      <c r="A361" t="inlineStr">
        <is>
          <t>17061737955680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H361" t="n">
        <v>1</v>
      </c>
      <c r="AI361" t="n">
        <v>1</v>
      </c>
      <c r="AJ361" t="n">
        <v>1</v>
      </c>
      <c r="AK361" t="n">
        <v>1</v>
      </c>
      <c r="AP361" t="n">
        <v>1</v>
      </c>
      <c r="AQ361" t="n">
        <v>1</v>
      </c>
      <c r="AR361" t="n">
        <v>0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</row>
    <row r="362">
      <c r="A362" t="inlineStr">
        <is>
          <t>17061738035809</t>
        </is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n">
        <v>1</v>
      </c>
      <c r="AC362" t="n">
        <v>1</v>
      </c>
      <c r="AH362" t="n">
        <v>1</v>
      </c>
      <c r="AI362" t="n">
        <v>1</v>
      </c>
      <c r="AJ362" t="n">
        <v>0</v>
      </c>
      <c r="AK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</row>
    <row r="363">
      <c r="A363" t="inlineStr">
        <is>
          <t>17061738142494</t>
        </is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H363" t="n">
        <v>1</v>
      </c>
      <c r="AI363" t="n">
        <v>1</v>
      </c>
      <c r="AJ363" t="n">
        <v>0</v>
      </c>
      <c r="AK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1</v>
      </c>
      <c r="AU363" t="n">
        <v>0</v>
      </c>
      <c r="AV363" t="n">
        <v>1</v>
      </c>
      <c r="AW363" t="n">
        <v>1</v>
      </c>
    </row>
    <row r="364">
      <c r="A364" t="inlineStr">
        <is>
          <t>17061738229114</t>
        </is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n">
        <v>1</v>
      </c>
      <c r="AC364" t="n">
        <v>0</v>
      </c>
      <c r="AH364" t="n">
        <v>1</v>
      </c>
      <c r="AI364" t="n">
        <v>0</v>
      </c>
      <c r="AJ364" t="n">
        <v>1</v>
      </c>
      <c r="AK364" t="n">
        <v>0</v>
      </c>
      <c r="AP364" t="n">
        <v>1</v>
      </c>
      <c r="AQ364" t="n">
        <v>1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</row>
    <row r="365">
      <c r="A365" t="inlineStr">
        <is>
          <t>17061738878610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H365" t="n">
        <v>1</v>
      </c>
      <c r="AI365" t="n">
        <v>0</v>
      </c>
      <c r="AJ365" t="n">
        <v>1</v>
      </c>
      <c r="AK365" t="n">
        <v>0</v>
      </c>
      <c r="AP365" t="n">
        <v>0</v>
      </c>
      <c r="AQ365" t="n">
        <v>1</v>
      </c>
      <c r="AR365" t="n">
        <v>1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inlineStr">
        <is>
          <t>17061738996051</t>
        </is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H366" t="n">
        <v>1</v>
      </c>
      <c r="AI366" t="n">
        <v>1</v>
      </c>
      <c r="AJ366" t="n">
        <v>1</v>
      </c>
      <c r="AK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1</v>
      </c>
    </row>
    <row r="367">
      <c r="A367" t="inlineStr">
        <is>
          <t>17061739116041</t>
        </is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</row>
    <row r="368">
      <c r="A368" t="inlineStr">
        <is>
          <t>17061739545826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inlineStr">
        <is>
          <t>17061739699176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n">
        <v>0</v>
      </c>
      <c r="Z369" t="n">
        <v>1</v>
      </c>
      <c r="AA369" t="n">
        <v>1</v>
      </c>
      <c r="AB369" t="n">
        <v>1</v>
      </c>
      <c r="AC369" t="n">
        <v>1</v>
      </c>
      <c r="AH369" t="n">
        <v>1</v>
      </c>
      <c r="AI369" t="n">
        <v>0</v>
      </c>
      <c r="AJ369" t="n">
        <v>1</v>
      </c>
      <c r="AK369" t="n">
        <v>0</v>
      </c>
      <c r="AP369" t="n">
        <v>1</v>
      </c>
      <c r="AQ369" t="n">
        <v>1</v>
      </c>
      <c r="AR369" t="n">
        <v>0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</row>
    <row r="370">
      <c r="A370" t="inlineStr">
        <is>
          <t>17061739725228</t>
        </is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1</v>
      </c>
      <c r="AC370" t="n">
        <v>1</v>
      </c>
      <c r="AH370" t="n">
        <v>1</v>
      </c>
      <c r="AI370" t="n">
        <v>1</v>
      </c>
      <c r="AJ370" t="n">
        <v>1</v>
      </c>
      <c r="AK370" t="n">
        <v>1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n">
        <v>1</v>
      </c>
    </row>
    <row r="371">
      <c r="A371" t="inlineStr">
        <is>
          <t>17061739892590</t>
        </is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H371" t="n">
        <v>1</v>
      </c>
      <c r="AI371" t="n">
        <v>0</v>
      </c>
      <c r="AJ371" t="n">
        <v>1</v>
      </c>
      <c r="AK371" t="n">
        <v>1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</row>
    <row r="372">
      <c r="A372" t="inlineStr">
        <is>
          <t>17061739986168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1</v>
      </c>
      <c r="AC372" t="n">
        <v>1</v>
      </c>
      <c r="AH372" t="n">
        <v>1</v>
      </c>
      <c r="AI372" t="n">
        <v>0</v>
      </c>
      <c r="AJ372" t="n">
        <v>1</v>
      </c>
      <c r="AK372" t="n">
        <v>1</v>
      </c>
      <c r="AP372" t="n">
        <v>0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1</v>
      </c>
    </row>
    <row r="373">
      <c r="A373" t="inlineStr">
        <is>
          <t>17061740058235</t>
        </is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1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1</v>
      </c>
    </row>
    <row r="374">
      <c r="A374" t="inlineStr">
        <is>
          <t>17061741791759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inlineStr">
        <is>
          <t>17062783875339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17068442435486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H376" t="n">
        <v>1</v>
      </c>
      <c r="AI376" t="n">
        <v>1</v>
      </c>
      <c r="AJ376" t="n">
        <v>1</v>
      </c>
      <c r="AK376" t="n">
        <v>1</v>
      </c>
      <c r="AP376" t="n">
        <v>1</v>
      </c>
      <c r="AQ376" t="n">
        <v>1</v>
      </c>
      <c r="AR376" t="n">
        <v>0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</row>
    <row r="377">
      <c r="A377" t="inlineStr">
        <is>
          <t>17068446564097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H377" t="n">
        <v>1</v>
      </c>
      <c r="AI377" t="n">
        <v>1</v>
      </c>
      <c r="AJ377" t="n">
        <v>1</v>
      </c>
      <c r="AK377" t="n">
        <v>1</v>
      </c>
      <c r="AP377" t="n">
        <v>0</v>
      </c>
      <c r="AQ377" t="n">
        <v>1</v>
      </c>
      <c r="AR377" t="n">
        <v>0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</row>
    <row r="378">
      <c r="A378" t="inlineStr">
        <is>
          <t>17068449569479</t>
        </is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1</v>
      </c>
      <c r="AC378" t="n">
        <v>1</v>
      </c>
      <c r="AH378" t="n">
        <v>1</v>
      </c>
      <c r="AI378" t="n">
        <v>1</v>
      </c>
      <c r="AJ378" t="n">
        <v>1</v>
      </c>
      <c r="AK378" t="n">
        <v>1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</row>
    <row r="379">
      <c r="A379" t="inlineStr">
        <is>
          <t>17068451416029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n">
        <v>1</v>
      </c>
      <c r="AC379" t="n">
        <v>1</v>
      </c>
      <c r="AH379" t="n">
        <v>1</v>
      </c>
      <c r="AI379" t="n">
        <v>1</v>
      </c>
      <c r="AJ379" t="n">
        <v>1</v>
      </c>
      <c r="AK379" t="n">
        <v>1</v>
      </c>
      <c r="AP379" t="n">
        <v>1</v>
      </c>
      <c r="AQ379" t="n">
        <v>1</v>
      </c>
      <c r="AR379" t="n">
        <v>0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</row>
    <row r="380">
      <c r="A380" t="inlineStr">
        <is>
          <t>17068453288236</t>
        </is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</row>
    <row r="381">
      <c r="A381" t="inlineStr">
        <is>
          <t>17068453398468</t>
        </is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H381" t="n">
        <v>1</v>
      </c>
      <c r="AI381" t="n">
        <v>1</v>
      </c>
      <c r="AJ381" t="n">
        <v>0</v>
      </c>
      <c r="AK381" t="n">
        <v>1</v>
      </c>
      <c r="AP381" t="n">
        <v>1</v>
      </c>
      <c r="AQ381" t="n">
        <v>1</v>
      </c>
      <c r="AR381" t="n">
        <v>0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</row>
    <row r="382">
      <c r="A382" t="inlineStr">
        <is>
          <t>17068462799682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0</v>
      </c>
      <c r="AC382" t="n">
        <v>1</v>
      </c>
      <c r="AH382" t="n">
        <v>1</v>
      </c>
      <c r="AI382" t="n">
        <v>1</v>
      </c>
      <c r="AJ382" t="n">
        <v>1</v>
      </c>
      <c r="AK382" t="n">
        <v>1</v>
      </c>
      <c r="AP382" t="n">
        <v>0</v>
      </c>
      <c r="AQ382" t="n">
        <v>1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1</v>
      </c>
    </row>
    <row r="383">
      <c r="A383" t="inlineStr">
        <is>
          <t>17071966158686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H383" t="n">
        <v>0</v>
      </c>
      <c r="AI383" t="n">
        <v>0</v>
      </c>
      <c r="AJ383" t="n">
        <v>0</v>
      </c>
      <c r="AK383" t="n">
        <v>0</v>
      </c>
      <c r="AP383" t="n">
        <v>1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0</v>
      </c>
    </row>
    <row r="384">
      <c r="A384" t="inlineStr">
        <is>
          <t>17086337252472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H384" t="n">
        <v>1</v>
      </c>
      <c r="AI384" t="n">
        <v>1</v>
      </c>
      <c r="AJ384" t="n">
        <v>0</v>
      </c>
      <c r="AK384" t="n">
        <v>1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1</v>
      </c>
      <c r="AV384" t="n">
        <v>1</v>
      </c>
      <c r="AW384" t="n">
        <v>1</v>
      </c>
    </row>
    <row r="385">
      <c r="A385" t="inlineStr">
        <is>
          <t>17088718141072</t>
        </is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n">
        <v>1</v>
      </c>
      <c r="AC385" t="n">
        <v>1</v>
      </c>
      <c r="AH385" t="n">
        <v>1</v>
      </c>
      <c r="AI385" t="n">
        <v>0</v>
      </c>
      <c r="AJ385" t="n">
        <v>0</v>
      </c>
      <c r="AK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</row>
    <row r="386">
      <c r="A386" t="inlineStr">
        <is>
          <t>17088718432350</t>
        </is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H386" t="n">
        <v>1</v>
      </c>
      <c r="AI386" t="n">
        <v>1</v>
      </c>
      <c r="AJ386" t="n">
        <v>1</v>
      </c>
      <c r="AK386" t="n">
        <v>1</v>
      </c>
      <c r="AP386" t="n">
        <v>0</v>
      </c>
      <c r="AQ386" t="n">
        <v>1</v>
      </c>
      <c r="AR386" t="n">
        <v>0</v>
      </c>
      <c r="AS386" t="n">
        <v>1</v>
      </c>
      <c r="AT386" t="n">
        <v>1</v>
      </c>
      <c r="AU386" t="n">
        <v>1</v>
      </c>
      <c r="AV386" t="n">
        <v>1</v>
      </c>
      <c r="AW386" t="n">
        <v>1</v>
      </c>
    </row>
    <row r="387">
      <c r="A387" t="inlineStr">
        <is>
          <t>17088719210594</t>
        </is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1</v>
      </c>
      <c r="AC387" t="n">
        <v>0</v>
      </c>
      <c r="AH387" t="n">
        <v>1</v>
      </c>
      <c r="AI387" t="n">
        <v>1</v>
      </c>
      <c r="AJ387" t="n">
        <v>1</v>
      </c>
      <c r="AK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1</v>
      </c>
    </row>
    <row r="388">
      <c r="A388" t="inlineStr">
        <is>
          <t>17088721673292</t>
        </is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1</v>
      </c>
      <c r="AH388" t="n">
        <v>1</v>
      </c>
      <c r="AI388" t="n">
        <v>1</v>
      </c>
      <c r="AJ388" t="n">
        <v>1</v>
      </c>
      <c r="AK388" t="n">
        <v>1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</row>
    <row r="389">
      <c r="A389" t="inlineStr">
        <is>
          <t>17088721763977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inlineStr">
        <is>
          <t>17088723052818</t>
        </is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1</v>
      </c>
      <c r="AB390" t="n">
        <v>1</v>
      </c>
      <c r="AC390" t="n">
        <v>1</v>
      </c>
      <c r="AH390" t="n">
        <v>1</v>
      </c>
      <c r="AI390" t="n">
        <v>1</v>
      </c>
      <c r="AJ390" t="n">
        <v>0</v>
      </c>
      <c r="AK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1</v>
      </c>
      <c r="AU390" t="n">
        <v>0</v>
      </c>
      <c r="AV390" t="n">
        <v>1</v>
      </c>
      <c r="AW390" t="n">
        <v>1</v>
      </c>
    </row>
    <row r="391">
      <c r="A391" t="inlineStr">
        <is>
          <t>17088723138144</t>
        </is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</row>
    <row r="392">
      <c r="A392" t="inlineStr">
        <is>
          <t>17088724649930</t>
        </is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  <c r="AC392" t="n">
        <v>1</v>
      </c>
      <c r="AH392" t="n">
        <v>1</v>
      </c>
      <c r="AI392" t="n">
        <v>1</v>
      </c>
      <c r="AJ392" t="n">
        <v>1</v>
      </c>
      <c r="AK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1</v>
      </c>
      <c r="AV392" t="n">
        <v>1</v>
      </c>
      <c r="AW392" t="n">
        <v>1</v>
      </c>
    </row>
    <row r="393">
      <c r="A393" t="inlineStr">
        <is>
          <t>17088724842738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n">
        <v>1</v>
      </c>
      <c r="AC393" t="n">
        <v>1</v>
      </c>
      <c r="AH393" t="n">
        <v>1</v>
      </c>
      <c r="AI393" t="n">
        <v>1</v>
      </c>
      <c r="AJ393" t="n">
        <v>0</v>
      </c>
      <c r="AK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1</v>
      </c>
      <c r="AW393" t="n">
        <v>0</v>
      </c>
    </row>
    <row r="394">
      <c r="A394" t="inlineStr">
        <is>
          <t>17088725459896</t>
        </is>
      </c>
      <c r="B394" t="n">
        <v>1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1</v>
      </c>
      <c r="AG394" t="n">
        <v>0</v>
      </c>
      <c r="AH394" t="n">
        <v>1</v>
      </c>
      <c r="AI394" t="n">
        <v>0</v>
      </c>
      <c r="AJ394" t="n">
        <v>1</v>
      </c>
      <c r="AK394" t="n">
        <v>1</v>
      </c>
      <c r="AL394" t="n">
        <v>1</v>
      </c>
      <c r="AM394" t="n">
        <v>0</v>
      </c>
      <c r="AN394" t="n">
        <v>1</v>
      </c>
      <c r="AO394" t="n">
        <v>0</v>
      </c>
    </row>
    <row r="395">
      <c r="A395" t="inlineStr">
        <is>
          <t>17088725694669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inlineStr">
        <is>
          <t>17088729521123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1</v>
      </c>
      <c r="AC396" t="n">
        <v>1</v>
      </c>
      <c r="AH396" t="n">
        <v>1</v>
      </c>
      <c r="AI396" t="n">
        <v>1</v>
      </c>
      <c r="AJ396" t="n">
        <v>1</v>
      </c>
      <c r="AK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</row>
    <row r="397">
      <c r="A397" t="inlineStr">
        <is>
          <t>17088730074136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inlineStr">
        <is>
          <t>17088730346155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n">
        <v>0</v>
      </c>
      <c r="AC398" t="n">
        <v>1</v>
      </c>
      <c r="AH398" t="n">
        <v>0</v>
      </c>
      <c r="AI398" t="n">
        <v>0</v>
      </c>
      <c r="AJ398" t="n">
        <v>0</v>
      </c>
      <c r="AK398" t="n">
        <v>1</v>
      </c>
      <c r="AP398" t="n">
        <v>1</v>
      </c>
      <c r="AQ398" t="n">
        <v>1</v>
      </c>
      <c r="AR398" t="n">
        <v>0</v>
      </c>
      <c r="AS398" t="n">
        <v>1</v>
      </c>
      <c r="AT398" t="n">
        <v>1</v>
      </c>
      <c r="AU398" t="n">
        <v>1</v>
      </c>
      <c r="AV398" t="n">
        <v>0</v>
      </c>
      <c r="AW398" t="n">
        <v>1</v>
      </c>
    </row>
    <row r="399">
      <c r="A399" t="inlineStr">
        <is>
          <t>17088730660430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H399" t="n">
        <v>1</v>
      </c>
      <c r="AI399" t="n">
        <v>1</v>
      </c>
      <c r="AJ399" t="n">
        <v>0</v>
      </c>
      <c r="AK399" t="n">
        <v>1</v>
      </c>
      <c r="AP399" t="n">
        <v>0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</row>
    <row r="400">
      <c r="A400" t="inlineStr">
        <is>
          <t>17088730928512</t>
        </is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inlineStr">
        <is>
          <t>17088731271487</t>
        </is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1</v>
      </c>
      <c r="AC401" t="n">
        <v>1</v>
      </c>
      <c r="AH401" t="n">
        <v>1</v>
      </c>
      <c r="AI401" t="n">
        <v>1</v>
      </c>
      <c r="AJ401" t="n">
        <v>1</v>
      </c>
      <c r="AK401" t="n">
        <v>1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1</v>
      </c>
      <c r="AW401" t="n">
        <v>1</v>
      </c>
    </row>
    <row r="402">
      <c r="A402" t="inlineStr">
        <is>
          <t>17088731497168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H402" t="n">
        <v>1</v>
      </c>
      <c r="AI402" t="n">
        <v>1</v>
      </c>
      <c r="AJ402" t="n">
        <v>1</v>
      </c>
      <c r="AK402" t="n">
        <v>1</v>
      </c>
      <c r="AP402" t="n">
        <v>0</v>
      </c>
      <c r="AQ402" t="n">
        <v>1</v>
      </c>
      <c r="AR402" t="n">
        <v>0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</row>
    <row r="403">
      <c r="A403" t="inlineStr">
        <is>
          <t>17088731649381</t>
        </is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H403" t="n">
        <v>1</v>
      </c>
      <c r="AI403" t="n">
        <v>0</v>
      </c>
      <c r="AJ403" t="n">
        <v>1</v>
      </c>
      <c r="AK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</row>
    <row r="404">
      <c r="A404" t="inlineStr">
        <is>
          <t>17088732275534</t>
        </is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1</v>
      </c>
      <c r="AH404" t="n">
        <v>0</v>
      </c>
      <c r="AI404" t="n">
        <v>0</v>
      </c>
      <c r="AJ404" t="n">
        <v>1</v>
      </c>
      <c r="AK404" t="n">
        <v>1</v>
      </c>
      <c r="AP404" t="n">
        <v>1</v>
      </c>
      <c r="AQ404" t="n">
        <v>1</v>
      </c>
      <c r="AR404" t="n">
        <v>0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</row>
    <row r="405">
      <c r="A405" t="inlineStr">
        <is>
          <t>17088732466676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inlineStr">
        <is>
          <t>17088732810874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17088798974282</t>
        </is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  <c r="AC407" t="n">
        <v>1</v>
      </c>
      <c r="AH407" t="n">
        <v>1</v>
      </c>
      <c r="AI407" t="n">
        <v>1</v>
      </c>
      <c r="AJ407" t="n">
        <v>1</v>
      </c>
      <c r="AK407" t="n">
        <v>1</v>
      </c>
      <c r="AP407" t="n">
        <v>0</v>
      </c>
      <c r="AQ407" t="n">
        <v>1</v>
      </c>
      <c r="AR407" t="n">
        <v>0</v>
      </c>
      <c r="AS407" t="n">
        <v>0</v>
      </c>
      <c r="AT407" t="n">
        <v>1</v>
      </c>
      <c r="AU407" t="n">
        <v>1</v>
      </c>
      <c r="AV407" t="n">
        <v>1</v>
      </c>
      <c r="AW407" t="n">
        <v>1</v>
      </c>
    </row>
    <row r="408">
      <c r="A408" t="inlineStr">
        <is>
          <t>17096337480117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1</v>
      </c>
      <c r="AB408" t="n">
        <v>1</v>
      </c>
      <c r="AC408" t="n">
        <v>1</v>
      </c>
      <c r="AH408" t="n">
        <v>1</v>
      </c>
      <c r="AI408" t="n">
        <v>1</v>
      </c>
      <c r="AJ408" t="n">
        <v>0</v>
      </c>
      <c r="AK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</row>
    <row r="409">
      <c r="A409" t="inlineStr">
        <is>
          <t>17096549659245</t>
        </is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inlineStr">
        <is>
          <t>17098483646515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inlineStr">
        <is>
          <t>17102095388272</t>
        </is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H411" t="n">
        <v>1</v>
      </c>
      <c r="AI411" t="n">
        <v>1</v>
      </c>
      <c r="AJ411" t="n">
        <v>0</v>
      </c>
      <c r="AK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1</v>
      </c>
      <c r="AU411" t="n">
        <v>1</v>
      </c>
      <c r="AV411" t="n">
        <v>1</v>
      </c>
      <c r="AW411" t="n">
        <v>1</v>
      </c>
    </row>
    <row r="412">
      <c r="A412" t="inlineStr">
        <is>
          <t>17102104996705</t>
        </is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</row>
    <row r="413">
      <c r="A413" t="inlineStr">
        <is>
          <t>17102108521882</t>
        </is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0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</row>
    <row r="414">
      <c r="A414" t="inlineStr">
        <is>
          <t>17102108715126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1</v>
      </c>
      <c r="AC414" t="n">
        <v>1</v>
      </c>
      <c r="AH414" t="n">
        <v>1</v>
      </c>
      <c r="AI414" t="n">
        <v>1</v>
      </c>
      <c r="AJ414" t="n">
        <v>0</v>
      </c>
      <c r="AK414" t="n">
        <v>0</v>
      </c>
      <c r="AP414" t="n">
        <v>1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1</v>
      </c>
    </row>
    <row r="415">
      <c r="A415" t="inlineStr">
        <is>
          <t>17102117056127</t>
        </is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inlineStr">
        <is>
          <t>17104790793068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1</v>
      </c>
    </row>
    <row r="417">
      <c r="A417" t="inlineStr">
        <is>
          <t>17145685838192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0</v>
      </c>
      <c r="AC417" t="n">
        <v>1</v>
      </c>
      <c r="AH417" t="n">
        <v>1</v>
      </c>
      <c r="AI417" t="n">
        <v>1</v>
      </c>
      <c r="AJ417" t="n">
        <v>1</v>
      </c>
      <c r="AK417" t="n">
        <v>0</v>
      </c>
      <c r="AP417" t="n">
        <v>1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1</v>
      </c>
    </row>
    <row r="418">
      <c r="A418" t="inlineStr">
        <is>
          <t>17148957581027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1</v>
      </c>
      <c r="AA418" t="n">
        <v>1</v>
      </c>
      <c r="AB418" t="n">
        <v>1</v>
      </c>
      <c r="AC418" t="n">
        <v>1</v>
      </c>
      <c r="AH418" t="n">
        <v>1</v>
      </c>
      <c r="AI418" t="n">
        <v>1</v>
      </c>
      <c r="AJ418" t="n">
        <v>0</v>
      </c>
      <c r="AK418" t="n">
        <v>1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1</v>
      </c>
    </row>
    <row r="419">
      <c r="A419" t="inlineStr">
        <is>
          <t>17159457137480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1</v>
      </c>
      <c r="AE419" t="n">
        <v>0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0</v>
      </c>
    </row>
    <row r="420">
      <c r="A420" t="inlineStr">
        <is>
          <t>17163188548441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</row>
    <row r="421">
      <c r="A421" t="inlineStr">
        <is>
          <t>17164217711217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inlineStr">
        <is>
          <t>17165214837111</t>
        </is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1</v>
      </c>
      <c r="AC422" t="n">
        <v>1</v>
      </c>
      <c r="AH422" t="n">
        <v>1</v>
      </c>
      <c r="AI422" t="n">
        <v>1</v>
      </c>
      <c r="AJ422" t="n">
        <v>1</v>
      </c>
      <c r="AK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1</v>
      </c>
      <c r="AU422" t="n">
        <v>1</v>
      </c>
      <c r="AV422" t="n">
        <v>1</v>
      </c>
      <c r="AW422" t="n">
        <v>1</v>
      </c>
    </row>
    <row r="423">
      <c r="A423" t="inlineStr">
        <is>
          <t>17170615938799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inlineStr">
        <is>
          <t>17170627258085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0</v>
      </c>
      <c r="AC424" t="n">
        <v>1</v>
      </c>
      <c r="AH424" t="n">
        <v>0</v>
      </c>
      <c r="AI424" t="n">
        <v>0</v>
      </c>
      <c r="AJ424" t="n">
        <v>1</v>
      </c>
      <c r="AK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1</v>
      </c>
      <c r="AU424" t="n">
        <v>1</v>
      </c>
      <c r="AV424" t="n">
        <v>1</v>
      </c>
      <c r="AW424" t="n">
        <v>1</v>
      </c>
    </row>
    <row r="425">
      <c r="A425" t="inlineStr">
        <is>
          <t>17170636236765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inlineStr">
        <is>
          <t>17170637749889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inlineStr">
        <is>
          <t>17170639771502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H427" t="n">
        <v>1</v>
      </c>
      <c r="AI427" t="n">
        <v>0</v>
      </c>
      <c r="AJ427" t="n">
        <v>1</v>
      </c>
      <c r="AK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1</v>
      </c>
      <c r="AU427" t="n">
        <v>1</v>
      </c>
      <c r="AV427" t="n">
        <v>1</v>
      </c>
      <c r="AW427" t="n">
        <v>1</v>
      </c>
    </row>
    <row r="428">
      <c r="A428" t="inlineStr">
        <is>
          <t>17170799181474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1</v>
      </c>
      <c r="AC428" t="n">
        <v>1</v>
      </c>
      <c r="AH428" t="n">
        <v>1</v>
      </c>
      <c r="AI428" t="n">
        <v>1</v>
      </c>
      <c r="AJ428" t="n">
        <v>1</v>
      </c>
      <c r="AK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</row>
    <row r="429">
      <c r="A429" t="inlineStr">
        <is>
          <t>17172131359059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0</v>
      </c>
    </row>
    <row r="430">
      <c r="A430" t="inlineStr">
        <is>
          <t>17173065618409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n">
        <v>1</v>
      </c>
      <c r="AC430" t="n">
        <v>0</v>
      </c>
      <c r="AH430" t="n">
        <v>1</v>
      </c>
      <c r="AI430" t="n">
        <v>0</v>
      </c>
      <c r="AJ430" t="n">
        <v>1</v>
      </c>
      <c r="AK430" t="n">
        <v>0</v>
      </c>
      <c r="AP430" t="n">
        <v>1</v>
      </c>
      <c r="AQ430" t="n">
        <v>1</v>
      </c>
      <c r="AR430" t="n">
        <v>1</v>
      </c>
      <c r="AS430" t="n">
        <v>1</v>
      </c>
      <c r="AT430" t="n">
        <v>0</v>
      </c>
      <c r="AU430" t="n">
        <v>1</v>
      </c>
      <c r="AV430" t="n">
        <v>1</v>
      </c>
      <c r="AW430" t="n">
        <v>1</v>
      </c>
    </row>
    <row r="431">
      <c r="A431" t="inlineStr">
        <is>
          <t>17173705487141</t>
        </is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H431" t="n">
        <v>1</v>
      </c>
      <c r="AI431" t="n">
        <v>1</v>
      </c>
      <c r="AJ431" t="n">
        <v>1</v>
      </c>
      <c r="AK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W431" t="n">
        <v>1</v>
      </c>
    </row>
    <row r="432">
      <c r="A432" t="inlineStr">
        <is>
          <t>17173800499851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</row>
    <row r="433">
      <c r="A433" t="inlineStr">
        <is>
          <t>17173816470758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H433" t="n">
        <v>1</v>
      </c>
      <c r="AI433" t="n">
        <v>1</v>
      </c>
      <c r="AJ433" t="n">
        <v>1</v>
      </c>
      <c r="AK433" t="n">
        <v>1</v>
      </c>
      <c r="AP433" t="n">
        <v>1</v>
      </c>
      <c r="AQ433" t="n">
        <v>1</v>
      </c>
      <c r="AR433" t="n">
        <v>0</v>
      </c>
      <c r="AS433" t="n">
        <v>1</v>
      </c>
      <c r="AT433" t="n">
        <v>1</v>
      </c>
      <c r="AU433" t="n">
        <v>1</v>
      </c>
      <c r="AV433" t="n">
        <v>1</v>
      </c>
      <c r="AW433" t="n">
        <v>1</v>
      </c>
    </row>
    <row r="434">
      <c r="A434" t="inlineStr">
        <is>
          <t>17174795621565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H434" t="n">
        <v>1</v>
      </c>
      <c r="AI434" t="n">
        <v>1</v>
      </c>
      <c r="AJ434" t="n">
        <v>1</v>
      </c>
      <c r="AK434" t="n">
        <v>1</v>
      </c>
      <c r="AP434" t="n">
        <v>0</v>
      </c>
      <c r="AQ434" t="n">
        <v>1</v>
      </c>
      <c r="AR434" t="n">
        <v>0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</row>
    <row r="435">
      <c r="A435" t="inlineStr">
        <is>
          <t>17174797032389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n">
        <v>1</v>
      </c>
      <c r="AC435" t="n">
        <v>1</v>
      </c>
      <c r="AH435" t="n">
        <v>1</v>
      </c>
      <c r="AI435" t="n">
        <v>1</v>
      </c>
      <c r="AJ435" t="n">
        <v>1</v>
      </c>
      <c r="AK435" t="n">
        <v>1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</row>
    <row r="436">
      <c r="A436" t="inlineStr">
        <is>
          <t>17175613053954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H436" t="n">
        <v>1</v>
      </c>
      <c r="AI436" t="n">
        <v>0</v>
      </c>
      <c r="AJ436" t="n">
        <v>1</v>
      </c>
      <c r="AK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1</v>
      </c>
      <c r="AV436" t="n">
        <v>1</v>
      </c>
      <c r="AW436" t="n">
        <v>1</v>
      </c>
    </row>
    <row r="437">
      <c r="A437" t="inlineStr">
        <is>
          <t>17176567110231</t>
        </is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n">
        <v>0</v>
      </c>
      <c r="AC437" t="n">
        <v>1</v>
      </c>
      <c r="AD437" t="n">
        <v>1</v>
      </c>
      <c r="AE437" t="n">
        <v>1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0</v>
      </c>
      <c r="AO437" t="n">
        <v>1</v>
      </c>
    </row>
    <row r="438">
      <c r="A438" t="inlineStr">
        <is>
          <t>17177353093275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0</v>
      </c>
      <c r="AC438" t="n">
        <v>1</v>
      </c>
      <c r="AH438" t="n">
        <v>1</v>
      </c>
      <c r="AI438" t="n">
        <v>1</v>
      </c>
      <c r="AJ438" t="n">
        <v>0</v>
      </c>
      <c r="AK438" t="n">
        <v>1</v>
      </c>
      <c r="AP438" t="n">
        <v>0</v>
      </c>
      <c r="AQ438" t="n">
        <v>1</v>
      </c>
      <c r="AR438" t="n">
        <v>1</v>
      </c>
      <c r="AS438" t="n">
        <v>0</v>
      </c>
      <c r="AT438" t="n">
        <v>1</v>
      </c>
      <c r="AU438" t="n">
        <v>1</v>
      </c>
      <c r="AV438" t="n">
        <v>1</v>
      </c>
      <c r="AW438" t="n">
        <v>1</v>
      </c>
    </row>
    <row r="439">
      <c r="A439" t="inlineStr">
        <is>
          <t>17177353130488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1</v>
      </c>
      <c r="AA439" t="n">
        <v>1</v>
      </c>
      <c r="AB439" t="n">
        <v>1</v>
      </c>
      <c r="AC439" t="n">
        <v>1</v>
      </c>
      <c r="AH439" t="n">
        <v>1</v>
      </c>
      <c r="AI439" t="n">
        <v>1</v>
      </c>
      <c r="AJ439" t="n">
        <v>1</v>
      </c>
      <c r="AK439" t="n">
        <v>1</v>
      </c>
      <c r="AP439" t="n">
        <v>1</v>
      </c>
      <c r="AQ439" t="n">
        <v>1</v>
      </c>
      <c r="AR439" t="n">
        <v>0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</row>
    <row r="440">
      <c r="A440" t="inlineStr">
        <is>
          <t>17177353284920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0</v>
      </c>
      <c r="AC440" t="n">
        <v>1</v>
      </c>
      <c r="AH440" t="n">
        <v>1</v>
      </c>
      <c r="AI440" t="n">
        <v>1</v>
      </c>
      <c r="AJ440" t="n">
        <v>0</v>
      </c>
      <c r="AK440" t="n">
        <v>1</v>
      </c>
      <c r="AP440" t="n">
        <v>1</v>
      </c>
      <c r="AQ440" t="n">
        <v>0</v>
      </c>
      <c r="AR440" t="n">
        <v>0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</row>
    <row r="441">
      <c r="A441" t="inlineStr">
        <is>
          <t>17177353368504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H441" t="n">
        <v>1</v>
      </c>
      <c r="AI441" t="n">
        <v>1</v>
      </c>
      <c r="AJ441" t="n">
        <v>1</v>
      </c>
      <c r="AK441" t="n">
        <v>1</v>
      </c>
      <c r="AP441" t="n">
        <v>0</v>
      </c>
      <c r="AQ441" t="n">
        <v>1</v>
      </c>
      <c r="AR441" t="n">
        <v>0</v>
      </c>
      <c r="AS441" t="n">
        <v>0</v>
      </c>
      <c r="AT441" t="n">
        <v>1</v>
      </c>
      <c r="AU441" t="n">
        <v>1</v>
      </c>
      <c r="AV441" t="n">
        <v>1</v>
      </c>
      <c r="AW441" t="n">
        <v>1</v>
      </c>
    </row>
    <row r="442">
      <c r="A442" t="inlineStr">
        <is>
          <t>17177353457484</t>
        </is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1</v>
      </c>
      <c r="AH442" t="n">
        <v>1</v>
      </c>
      <c r="AI442" t="n">
        <v>1</v>
      </c>
      <c r="AJ442" t="n">
        <v>0</v>
      </c>
      <c r="AK442" t="n">
        <v>1</v>
      </c>
      <c r="AP442" t="n">
        <v>1</v>
      </c>
      <c r="AQ442" t="n">
        <v>0</v>
      </c>
      <c r="AR442" t="n">
        <v>0</v>
      </c>
      <c r="AS442" t="n">
        <v>1</v>
      </c>
      <c r="AT442" t="n">
        <v>1</v>
      </c>
      <c r="AU442" t="n">
        <v>1</v>
      </c>
      <c r="AV442" t="n">
        <v>1</v>
      </c>
      <c r="AW442" t="n">
        <v>1</v>
      </c>
    </row>
    <row r="443">
      <c r="A443" t="inlineStr">
        <is>
          <t>17177353558217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H443" t="n">
        <v>1</v>
      </c>
      <c r="AI443" t="n">
        <v>1</v>
      </c>
      <c r="AJ443" t="n">
        <v>1</v>
      </c>
      <c r="AK443" t="n">
        <v>1</v>
      </c>
      <c r="AP443" t="n">
        <v>0</v>
      </c>
      <c r="AQ443" t="n">
        <v>1</v>
      </c>
      <c r="AR443" t="n">
        <v>1</v>
      </c>
      <c r="AS443" t="n">
        <v>0</v>
      </c>
      <c r="AT443" t="n">
        <v>1</v>
      </c>
      <c r="AU443" t="n">
        <v>0</v>
      </c>
      <c r="AV443" t="n">
        <v>1</v>
      </c>
      <c r="AW443" t="n">
        <v>0</v>
      </c>
    </row>
    <row r="444">
      <c r="A444" t="inlineStr">
        <is>
          <t>17177353674301</t>
        </is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H444" t="n">
        <v>1</v>
      </c>
      <c r="AI444" t="n">
        <v>1</v>
      </c>
      <c r="AJ444" t="n">
        <v>1</v>
      </c>
      <c r="AK444" t="n">
        <v>1</v>
      </c>
      <c r="AP444" t="n">
        <v>0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1</v>
      </c>
      <c r="AW444" t="n">
        <v>1</v>
      </c>
    </row>
    <row r="445">
      <c r="A445" t="inlineStr">
        <is>
          <t>17177353788488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H445" t="n">
        <v>1</v>
      </c>
      <c r="AI445" t="n">
        <v>1</v>
      </c>
      <c r="AJ445" t="n">
        <v>0</v>
      </c>
      <c r="AK445" t="n">
        <v>1</v>
      </c>
      <c r="AP445" t="n">
        <v>1</v>
      </c>
      <c r="AQ445" t="n">
        <v>0</v>
      </c>
      <c r="AR445" t="n">
        <v>0</v>
      </c>
      <c r="AS445" t="n">
        <v>1</v>
      </c>
      <c r="AT445" t="n">
        <v>1</v>
      </c>
      <c r="AU445" t="n">
        <v>1</v>
      </c>
      <c r="AV445" t="n">
        <v>1</v>
      </c>
      <c r="AW445" t="n">
        <v>1</v>
      </c>
    </row>
    <row r="446">
      <c r="A446" t="inlineStr">
        <is>
          <t>17177353878503</t>
        </is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1</v>
      </c>
      <c r="AB446" t="n">
        <v>1</v>
      </c>
      <c r="AC446" t="n">
        <v>1</v>
      </c>
      <c r="AH446" t="n">
        <v>1</v>
      </c>
      <c r="AI446" t="n">
        <v>1</v>
      </c>
      <c r="AJ446" t="n">
        <v>1</v>
      </c>
      <c r="AK446" t="n">
        <v>1</v>
      </c>
      <c r="AP446" t="n">
        <v>0</v>
      </c>
      <c r="AQ446" t="n">
        <v>1</v>
      </c>
      <c r="AR446" t="n">
        <v>0</v>
      </c>
      <c r="AS446" t="n">
        <v>1</v>
      </c>
      <c r="AT446" t="n">
        <v>1</v>
      </c>
      <c r="AU446" t="n">
        <v>0</v>
      </c>
      <c r="AV446" t="n">
        <v>1</v>
      </c>
      <c r="AW446" t="n">
        <v>1</v>
      </c>
    </row>
    <row r="447">
      <c r="A447" t="inlineStr">
        <is>
          <t>17177353940644</t>
        </is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1</v>
      </c>
      <c r="AB447" t="n">
        <v>1</v>
      </c>
      <c r="AC447" t="n">
        <v>1</v>
      </c>
      <c r="AH447" t="n">
        <v>1</v>
      </c>
      <c r="AI447" t="n">
        <v>1</v>
      </c>
      <c r="AJ447" t="n">
        <v>0</v>
      </c>
      <c r="AK447" t="n">
        <v>1</v>
      </c>
      <c r="AP447" t="n">
        <v>1</v>
      </c>
      <c r="AQ447" t="n">
        <v>0</v>
      </c>
      <c r="AR447" t="n">
        <v>0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</row>
    <row r="448">
      <c r="A448" t="inlineStr">
        <is>
          <t>17177354083727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H448" t="n">
        <v>1</v>
      </c>
      <c r="AI448" t="n">
        <v>1</v>
      </c>
      <c r="AJ448" t="n">
        <v>1</v>
      </c>
      <c r="AK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1</v>
      </c>
      <c r="AW448" t="n">
        <v>1</v>
      </c>
    </row>
    <row r="449">
      <c r="A449" t="inlineStr">
        <is>
          <t>17177354155170</t>
        </is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1</v>
      </c>
      <c r="AC449" t="n">
        <v>1</v>
      </c>
      <c r="AH449" t="n">
        <v>1</v>
      </c>
      <c r="AI449" t="n">
        <v>1</v>
      </c>
      <c r="AJ449" t="n">
        <v>1</v>
      </c>
      <c r="AK449" t="n">
        <v>1</v>
      </c>
      <c r="AP449" t="n">
        <v>0</v>
      </c>
      <c r="AQ449" t="n">
        <v>1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1</v>
      </c>
    </row>
    <row r="450">
      <c r="A450" t="inlineStr">
        <is>
          <t>17177354237367</t>
        </is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H450" t="n">
        <v>1</v>
      </c>
      <c r="AI450" t="n">
        <v>1</v>
      </c>
      <c r="AJ450" t="n">
        <v>0</v>
      </c>
      <c r="AK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</v>
      </c>
    </row>
    <row r="451">
      <c r="A451" t="inlineStr">
        <is>
          <t>17178102224255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</row>
    <row r="452">
      <c r="A452" t="inlineStr">
        <is>
          <t>17178102756271</t>
        </is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H452" t="n">
        <v>1</v>
      </c>
      <c r="AI452" t="n">
        <v>1</v>
      </c>
      <c r="AJ452" t="n">
        <v>1</v>
      </c>
      <c r="AK452" t="n">
        <v>1</v>
      </c>
      <c r="AP452" t="n">
        <v>0</v>
      </c>
      <c r="AQ452" t="n">
        <v>1</v>
      </c>
      <c r="AR452" t="n">
        <v>1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</row>
    <row r="453">
      <c r="A453" t="inlineStr">
        <is>
          <t>17178104449503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n">
        <v>1</v>
      </c>
      <c r="AC453" t="n">
        <v>1</v>
      </c>
      <c r="AH453" t="n">
        <v>1</v>
      </c>
      <c r="AI453" t="n">
        <v>1</v>
      </c>
      <c r="AJ453" t="n">
        <v>0</v>
      </c>
      <c r="AK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</row>
    <row r="454">
      <c r="A454" t="inlineStr">
        <is>
          <t>17178104614137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1</v>
      </c>
      <c r="AH454" t="n">
        <v>1</v>
      </c>
      <c r="AI454" t="n">
        <v>0</v>
      </c>
      <c r="AJ454" t="n">
        <v>1</v>
      </c>
      <c r="AK454" t="n">
        <v>1</v>
      </c>
      <c r="AP454" t="n">
        <v>1</v>
      </c>
      <c r="AQ454" t="n">
        <v>1</v>
      </c>
      <c r="AR454" t="n">
        <v>0</v>
      </c>
      <c r="AS454" t="n">
        <v>1</v>
      </c>
      <c r="AT454" t="n">
        <v>1</v>
      </c>
      <c r="AU454" t="n">
        <v>1</v>
      </c>
      <c r="AV454" t="n">
        <v>1</v>
      </c>
      <c r="AW454" t="n">
        <v>1</v>
      </c>
    </row>
    <row r="455">
      <c r="A455" t="inlineStr">
        <is>
          <t>17178105189539</t>
        </is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H455" t="n">
        <v>1</v>
      </c>
      <c r="AI455" t="n">
        <v>0</v>
      </c>
      <c r="AJ455" t="n">
        <v>1</v>
      </c>
      <c r="AK455" t="n">
        <v>0</v>
      </c>
      <c r="AP455" t="n">
        <v>0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1</v>
      </c>
      <c r="AW455" t="n">
        <v>0</v>
      </c>
    </row>
    <row r="456">
      <c r="A456" t="inlineStr">
        <is>
          <t>17178105392741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n">
        <v>1</v>
      </c>
      <c r="AC456" t="n">
        <v>0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</row>
    <row r="457">
      <c r="A457" t="inlineStr">
        <is>
          <t>17178105522733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inlineStr">
        <is>
          <t>17178111059270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1</v>
      </c>
      <c r="AC458" t="n">
        <v>1</v>
      </c>
      <c r="AH458" t="n">
        <v>1</v>
      </c>
      <c r="AI458" t="n">
        <v>1</v>
      </c>
      <c r="AJ458" t="n">
        <v>0</v>
      </c>
      <c r="AK458" t="n">
        <v>1</v>
      </c>
      <c r="AP458" t="n">
        <v>0</v>
      </c>
      <c r="AQ458" t="n">
        <v>1</v>
      </c>
      <c r="AR458" t="n">
        <v>0</v>
      </c>
      <c r="AS458" t="n">
        <v>1</v>
      </c>
      <c r="AT458" t="n">
        <v>1</v>
      </c>
      <c r="AU458" t="n">
        <v>0</v>
      </c>
      <c r="AV458" t="n">
        <v>1</v>
      </c>
      <c r="AW458" t="n">
        <v>1</v>
      </c>
    </row>
    <row r="459">
      <c r="A459" t="inlineStr">
        <is>
          <t>17178112075695</t>
        </is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n">
        <v>1</v>
      </c>
      <c r="AC459" t="n">
        <v>1</v>
      </c>
      <c r="AH459" t="n">
        <v>1</v>
      </c>
      <c r="AI459" t="n">
        <v>1</v>
      </c>
      <c r="AJ459" t="n">
        <v>0</v>
      </c>
      <c r="AK459" t="n">
        <v>1</v>
      </c>
      <c r="AP459" t="n">
        <v>1</v>
      </c>
      <c r="AQ459" t="n">
        <v>0</v>
      </c>
      <c r="AR459" t="n">
        <v>0</v>
      </c>
      <c r="AS459" t="n">
        <v>1</v>
      </c>
      <c r="AT459" t="n">
        <v>1</v>
      </c>
      <c r="AU459" t="n">
        <v>1</v>
      </c>
      <c r="AV459" t="n">
        <v>0</v>
      </c>
      <c r="AW459" t="n">
        <v>1</v>
      </c>
    </row>
    <row r="460">
      <c r="A460" t="inlineStr">
        <is>
          <t>17178112258057</t>
        </is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inlineStr">
        <is>
          <t>17178114163253</t>
        </is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</row>
    <row r="462">
      <c r="A462" t="inlineStr">
        <is>
          <t>17178114486609</t>
        </is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H462" t="n">
        <v>1</v>
      </c>
      <c r="AI462" t="n">
        <v>0</v>
      </c>
      <c r="AJ462" t="n">
        <v>1</v>
      </c>
      <c r="AK462" t="n">
        <v>1</v>
      </c>
      <c r="AP462" t="n">
        <v>0</v>
      </c>
      <c r="AQ462" t="n">
        <v>0</v>
      </c>
      <c r="AR462" t="n">
        <v>1</v>
      </c>
      <c r="AS462" t="n">
        <v>1</v>
      </c>
      <c r="AT462" t="n">
        <v>1</v>
      </c>
      <c r="AU462" t="n">
        <v>1</v>
      </c>
      <c r="AV462" t="n">
        <v>1</v>
      </c>
      <c r="AW462" t="n">
        <v>1</v>
      </c>
    </row>
    <row r="463">
      <c r="A463" t="inlineStr">
        <is>
          <t>17178114627422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inlineStr">
        <is>
          <t>17178115170357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H464" t="n">
        <v>1</v>
      </c>
      <c r="AI464" t="n">
        <v>1</v>
      </c>
      <c r="AJ464" t="n">
        <v>1</v>
      </c>
      <c r="AK464" t="n">
        <v>1</v>
      </c>
      <c r="AP464" t="n">
        <v>1</v>
      </c>
      <c r="AQ464" t="n">
        <v>1</v>
      </c>
      <c r="AR464" t="n">
        <v>0</v>
      </c>
      <c r="AS464" t="n">
        <v>1</v>
      </c>
      <c r="AT464" t="n">
        <v>1</v>
      </c>
      <c r="AU464" t="n">
        <v>1</v>
      </c>
      <c r="AV464" t="n">
        <v>1</v>
      </c>
      <c r="AW464" t="n">
        <v>1</v>
      </c>
    </row>
    <row r="465">
      <c r="A465" t="inlineStr">
        <is>
          <t>17178115216863</t>
        </is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</row>
    <row r="466">
      <c r="A466" t="inlineStr">
        <is>
          <t>17178115330027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</row>
    <row r="467">
      <c r="A467" t="inlineStr">
        <is>
          <t>17178115411573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1</v>
      </c>
      <c r="AB467" t="n">
        <v>1</v>
      </c>
      <c r="AC467" t="n">
        <v>0</v>
      </c>
      <c r="AH467" t="n">
        <v>1</v>
      </c>
      <c r="AI467" t="n">
        <v>1</v>
      </c>
      <c r="AJ467" t="n">
        <v>1</v>
      </c>
      <c r="AK467" t="n">
        <v>1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1</v>
      </c>
      <c r="AV467" t="n">
        <v>1</v>
      </c>
      <c r="AW467" t="n">
        <v>1</v>
      </c>
    </row>
    <row r="468">
      <c r="A468" t="inlineStr">
        <is>
          <t>17178115511873</t>
        </is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</row>
    <row r="469">
      <c r="A469" t="inlineStr">
        <is>
          <t>17178115611145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0</v>
      </c>
      <c r="AF469" t="n">
        <v>1</v>
      </c>
      <c r="AG469" t="n">
        <v>1</v>
      </c>
      <c r="AH469" t="n">
        <v>1</v>
      </c>
      <c r="AI469" t="n">
        <v>0</v>
      </c>
      <c r="AJ469" t="n">
        <v>1</v>
      </c>
      <c r="AK469" t="n">
        <v>1</v>
      </c>
      <c r="AL469" t="n">
        <v>0</v>
      </c>
      <c r="AM469" t="n">
        <v>1</v>
      </c>
      <c r="AN469" t="n">
        <v>1</v>
      </c>
      <c r="AO469" t="n">
        <v>0</v>
      </c>
    </row>
    <row r="470">
      <c r="A470" t="inlineStr">
        <is>
          <t>17178115823260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1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inlineStr">
        <is>
          <t>17178115939770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0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</row>
    <row r="472">
      <c r="A472" t="inlineStr">
        <is>
          <t>17178116091950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H472" t="n">
        <v>1</v>
      </c>
      <c r="AI472" t="n">
        <v>1</v>
      </c>
      <c r="AJ472" t="n">
        <v>1</v>
      </c>
      <c r="AK472" t="n">
        <v>1</v>
      </c>
      <c r="AP472" t="n">
        <v>1</v>
      </c>
      <c r="AQ472" t="n">
        <v>1</v>
      </c>
      <c r="AR472" t="n">
        <v>0</v>
      </c>
      <c r="AS472" t="n">
        <v>0</v>
      </c>
      <c r="AT472" t="n">
        <v>1</v>
      </c>
      <c r="AU472" t="n">
        <v>1</v>
      </c>
      <c r="AV472" t="n">
        <v>1</v>
      </c>
      <c r="AW472" t="n">
        <v>1</v>
      </c>
    </row>
    <row r="473">
      <c r="A473" t="inlineStr">
        <is>
          <t>17178116182547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0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0</v>
      </c>
      <c r="AN473" t="n">
        <v>1</v>
      </c>
      <c r="AO473" t="n">
        <v>1</v>
      </c>
    </row>
    <row r="474">
      <c r="A474" t="inlineStr">
        <is>
          <t>17178116274490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H474" t="n">
        <v>1</v>
      </c>
      <c r="AI474" t="n">
        <v>1</v>
      </c>
      <c r="AJ474" t="n">
        <v>1</v>
      </c>
      <c r="AK474" t="n">
        <v>1</v>
      </c>
      <c r="AP474" t="n">
        <v>0</v>
      </c>
      <c r="AQ474" t="n">
        <v>1</v>
      </c>
      <c r="AR474" t="n">
        <v>0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</row>
    <row r="475">
      <c r="A475" t="inlineStr">
        <is>
          <t>17178116345058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inlineStr">
        <is>
          <t>17178116666939</t>
        </is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H476" t="n">
        <v>1</v>
      </c>
      <c r="AI476" t="n">
        <v>1</v>
      </c>
      <c r="AJ476" t="n">
        <v>1</v>
      </c>
      <c r="AK476" t="n">
        <v>1</v>
      </c>
      <c r="AP476" t="n">
        <v>0</v>
      </c>
      <c r="AQ476" t="n">
        <v>1</v>
      </c>
      <c r="AR476" t="n">
        <v>1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</row>
    <row r="477">
      <c r="A477" t="inlineStr">
        <is>
          <t>17178116746410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</row>
    <row r="478">
      <c r="A478" t="inlineStr">
        <is>
          <t>17178116839449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</row>
    <row r="479">
      <c r="A479" t="inlineStr">
        <is>
          <t>17178117022397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0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</row>
    <row r="480">
      <c r="A480" t="inlineStr">
        <is>
          <t>17178117127599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</row>
    <row r="481">
      <c r="A481" t="inlineStr">
        <is>
          <t>17178117290727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0</v>
      </c>
      <c r="AH481" t="n">
        <v>1</v>
      </c>
      <c r="AI481" t="n">
        <v>1</v>
      </c>
      <c r="AJ481" t="n">
        <v>1</v>
      </c>
      <c r="AK481" t="n">
        <v>1</v>
      </c>
      <c r="AP481" t="n">
        <v>0</v>
      </c>
      <c r="AQ481" t="n">
        <v>1</v>
      </c>
      <c r="AR481" t="n">
        <v>1</v>
      </c>
      <c r="AS481" t="n">
        <v>1</v>
      </c>
      <c r="AT481" t="n">
        <v>1</v>
      </c>
      <c r="AU481" t="n">
        <v>0</v>
      </c>
      <c r="AV481" t="n">
        <v>0</v>
      </c>
      <c r="AW481" t="n">
        <v>1</v>
      </c>
    </row>
    <row r="482">
      <c r="A482" t="inlineStr">
        <is>
          <t>17178117398101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1</v>
      </c>
      <c r="AO482" t="n">
        <v>1</v>
      </c>
    </row>
    <row r="483">
      <c r="A483" t="inlineStr">
        <is>
          <t>17178117567257</t>
        </is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0</v>
      </c>
    </row>
    <row r="484">
      <c r="A484" t="inlineStr">
        <is>
          <t>17178117625878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1</v>
      </c>
      <c r="AG484" t="n">
        <v>1</v>
      </c>
      <c r="AH484" t="n">
        <v>1</v>
      </c>
      <c r="AI484" t="n">
        <v>0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</row>
    <row r="485">
      <c r="A485" t="inlineStr">
        <is>
          <t>17178117751587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H485" t="n">
        <v>1</v>
      </c>
      <c r="AI485" t="n">
        <v>1</v>
      </c>
      <c r="AJ485" t="n">
        <v>0</v>
      </c>
      <c r="AK485" t="n">
        <v>1</v>
      </c>
      <c r="AP485" t="n">
        <v>1</v>
      </c>
      <c r="AQ485" t="n">
        <v>1</v>
      </c>
      <c r="AR485" t="n">
        <v>0</v>
      </c>
      <c r="AS485" t="n">
        <v>1</v>
      </c>
      <c r="AT485" t="n">
        <v>1</v>
      </c>
      <c r="AU485" t="n">
        <v>1</v>
      </c>
      <c r="AV485" t="n">
        <v>1</v>
      </c>
      <c r="AW485" t="n">
        <v>1</v>
      </c>
    </row>
    <row r="486">
      <c r="A486" t="inlineStr">
        <is>
          <t>17178117942604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H486" t="n">
        <v>1</v>
      </c>
      <c r="AI486" t="n">
        <v>1</v>
      </c>
      <c r="AJ486" t="n">
        <v>1</v>
      </c>
      <c r="AK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1</v>
      </c>
      <c r="AV486" t="n">
        <v>1</v>
      </c>
      <c r="AW486" t="n">
        <v>1</v>
      </c>
    </row>
    <row r="487">
      <c r="A487" t="inlineStr">
        <is>
          <t>17178118023252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</row>
    <row r="488">
      <c r="A488" t="inlineStr">
        <is>
          <t>17178118166364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n">
        <v>1</v>
      </c>
      <c r="AC488" t="n">
        <v>1</v>
      </c>
      <c r="AH488" t="n">
        <v>1</v>
      </c>
      <c r="AI488" t="n">
        <v>0</v>
      </c>
      <c r="AJ488" t="n">
        <v>1</v>
      </c>
      <c r="AK488" t="n">
        <v>1</v>
      </c>
      <c r="AP488" t="n">
        <v>0</v>
      </c>
      <c r="AQ488" t="n">
        <v>1</v>
      </c>
      <c r="AR488" t="n">
        <v>1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</row>
    <row r="489">
      <c r="A489" t="inlineStr">
        <is>
          <t>17178118217451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</row>
    <row r="490">
      <c r="A490" t="inlineStr">
        <is>
          <t>17178118310837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</row>
    <row r="491">
      <c r="A491" t="inlineStr">
        <is>
          <t>17178118438064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inlineStr">
        <is>
          <t>17178118582461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0</v>
      </c>
    </row>
    <row r="493">
      <c r="A493" t="inlineStr">
        <is>
          <t>17178118652913</t>
        </is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H493" t="n">
        <v>1</v>
      </c>
      <c r="AI493" t="n">
        <v>1</v>
      </c>
      <c r="AJ493" t="n">
        <v>1</v>
      </c>
      <c r="AK493" t="n">
        <v>1</v>
      </c>
      <c r="AP493" t="n">
        <v>0</v>
      </c>
      <c r="AQ493" t="n">
        <v>1</v>
      </c>
      <c r="AR493" t="n">
        <v>0</v>
      </c>
      <c r="AS493" t="n">
        <v>1</v>
      </c>
      <c r="AT493" t="n">
        <v>1</v>
      </c>
      <c r="AU493" t="n">
        <v>1</v>
      </c>
      <c r="AV493" t="n">
        <v>1</v>
      </c>
      <c r="AW493" t="n">
        <v>1</v>
      </c>
    </row>
    <row r="494">
      <c r="A494" t="inlineStr">
        <is>
          <t>17178118716668</t>
        </is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H494" t="n">
        <v>1</v>
      </c>
      <c r="AI494" t="n">
        <v>1</v>
      </c>
      <c r="AJ494" t="n">
        <v>1</v>
      </c>
      <c r="AK494" t="n">
        <v>1</v>
      </c>
      <c r="AP494" t="n">
        <v>1</v>
      </c>
      <c r="AQ494" t="n">
        <v>1</v>
      </c>
      <c r="AR494" t="n">
        <v>0</v>
      </c>
      <c r="AS494" t="n">
        <v>0</v>
      </c>
      <c r="AT494" t="n">
        <v>1</v>
      </c>
      <c r="AU494" t="n">
        <v>1</v>
      </c>
      <c r="AV494" t="n">
        <v>1</v>
      </c>
      <c r="AW494" t="n">
        <v>1</v>
      </c>
    </row>
    <row r="495">
      <c r="A495" t="inlineStr">
        <is>
          <t>17178118857678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H495" t="n">
        <v>1</v>
      </c>
      <c r="AI495" t="n">
        <v>0</v>
      </c>
      <c r="AJ495" t="n">
        <v>1</v>
      </c>
      <c r="AK495" t="n">
        <v>0</v>
      </c>
      <c r="AP495" t="n">
        <v>1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</row>
    <row r="496">
      <c r="A496" t="inlineStr">
        <is>
          <t>17178118921840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</row>
    <row r="497">
      <c r="A497" t="inlineStr">
        <is>
          <t>17178119028800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H497" t="n">
        <v>1</v>
      </c>
      <c r="AI497" t="n">
        <v>1</v>
      </c>
      <c r="AJ497" t="n">
        <v>1</v>
      </c>
      <c r="AK497" t="n">
        <v>1</v>
      </c>
      <c r="AP497" t="n">
        <v>1</v>
      </c>
      <c r="AQ497" t="n">
        <v>1</v>
      </c>
      <c r="AR497" t="n">
        <v>0</v>
      </c>
      <c r="AS497" t="n">
        <v>1</v>
      </c>
      <c r="AT497" t="n">
        <v>1</v>
      </c>
      <c r="AU497" t="n">
        <v>1</v>
      </c>
      <c r="AV497" t="n">
        <v>1</v>
      </c>
      <c r="AW497" t="n">
        <v>1</v>
      </c>
    </row>
    <row r="498">
      <c r="A498" t="inlineStr">
        <is>
          <t>17178119151899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</row>
    <row r="499">
      <c r="A499" t="inlineStr">
        <is>
          <t>17178119296877</t>
        </is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H499" t="n">
        <v>1</v>
      </c>
      <c r="AI499" t="n">
        <v>1</v>
      </c>
      <c r="AJ499" t="n">
        <v>1</v>
      </c>
      <c r="AK499" t="n">
        <v>0</v>
      </c>
      <c r="AP499" t="n">
        <v>1</v>
      </c>
      <c r="AQ499" t="n">
        <v>1</v>
      </c>
      <c r="AR499" t="n">
        <v>0</v>
      </c>
      <c r="AS499" t="n">
        <v>1</v>
      </c>
      <c r="AT499" t="n">
        <v>1</v>
      </c>
      <c r="AU499" t="n">
        <v>1</v>
      </c>
      <c r="AV499" t="n">
        <v>1</v>
      </c>
      <c r="AW499" t="n">
        <v>1</v>
      </c>
    </row>
    <row r="500">
      <c r="A500" t="inlineStr">
        <is>
          <t>17178119386356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0</v>
      </c>
      <c r="AJ500" t="n">
        <v>1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</row>
    <row r="501">
      <c r="A501" t="inlineStr">
        <is>
          <t>17178119457354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n">
        <v>1</v>
      </c>
      <c r="AC501" t="n">
        <v>1</v>
      </c>
      <c r="AH501" t="n">
        <v>1</v>
      </c>
      <c r="AI501" t="n">
        <v>0</v>
      </c>
      <c r="AJ501" t="n">
        <v>1</v>
      </c>
      <c r="AK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1</v>
      </c>
      <c r="AU501" t="n">
        <v>1</v>
      </c>
      <c r="AV501" t="n">
        <v>1</v>
      </c>
      <c r="AW501" t="n">
        <v>1</v>
      </c>
    </row>
    <row r="502">
      <c r="A502" t="inlineStr">
        <is>
          <t>17178121498154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inlineStr">
        <is>
          <t>17179638830534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H503" t="n">
        <v>1</v>
      </c>
      <c r="AI503" t="n">
        <v>0</v>
      </c>
      <c r="AJ503" t="n">
        <v>0</v>
      </c>
      <c r="AK503" t="n">
        <v>0</v>
      </c>
      <c r="AP503" t="n">
        <v>0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1</v>
      </c>
      <c r="AW503" t="n">
        <v>0</v>
      </c>
    </row>
    <row r="504">
      <c r="A504" t="inlineStr">
        <is>
          <t>17179639116210</t>
        </is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1</v>
      </c>
      <c r="AH504" t="n">
        <v>1</v>
      </c>
      <c r="AI504" t="n">
        <v>1</v>
      </c>
      <c r="AJ504" t="n">
        <v>1</v>
      </c>
      <c r="AK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1</v>
      </c>
      <c r="AV504" t="n">
        <v>1</v>
      </c>
      <c r="AW504" t="n">
        <v>1</v>
      </c>
    </row>
    <row r="505">
      <c r="A505" t="inlineStr">
        <is>
          <t>17179639544406</t>
        </is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1</v>
      </c>
      <c r="AC505" t="n">
        <v>1</v>
      </c>
      <c r="AH505" t="n">
        <v>1</v>
      </c>
      <c r="AI505" t="n">
        <v>1</v>
      </c>
      <c r="AJ505" t="n">
        <v>1</v>
      </c>
      <c r="AK505" t="n">
        <v>1</v>
      </c>
      <c r="AP505" t="n">
        <v>0</v>
      </c>
      <c r="AQ505" t="n">
        <v>1</v>
      </c>
      <c r="AR505" t="n">
        <v>0</v>
      </c>
      <c r="AS505" t="n">
        <v>1</v>
      </c>
      <c r="AT505" t="n">
        <v>1</v>
      </c>
      <c r="AU505" t="n">
        <v>1</v>
      </c>
      <c r="AV505" t="n">
        <v>1</v>
      </c>
      <c r="AW505" t="n">
        <v>1</v>
      </c>
    </row>
    <row r="506">
      <c r="A506" t="inlineStr">
        <is>
          <t>17179639836912</t>
        </is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H506" t="n">
        <v>0</v>
      </c>
      <c r="AI506" t="n">
        <v>1</v>
      </c>
      <c r="AJ506" t="n">
        <v>0</v>
      </c>
      <c r="AK506" t="n">
        <v>1</v>
      </c>
      <c r="AP506" t="n">
        <v>0</v>
      </c>
      <c r="AQ506" t="n">
        <v>1</v>
      </c>
      <c r="AR506" t="n">
        <v>1</v>
      </c>
      <c r="AS506" t="n">
        <v>1</v>
      </c>
      <c r="AT506" t="n">
        <v>0</v>
      </c>
      <c r="AU506" t="n">
        <v>0</v>
      </c>
      <c r="AV506" t="n">
        <v>1</v>
      </c>
      <c r="AW506" t="n">
        <v>1</v>
      </c>
    </row>
    <row r="507">
      <c r="A507" t="inlineStr">
        <is>
          <t>17179640443770</t>
        </is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n">
        <v>1</v>
      </c>
      <c r="AC507" t="n">
        <v>1</v>
      </c>
      <c r="AH507" t="n">
        <v>1</v>
      </c>
      <c r="AI507" t="n">
        <v>1</v>
      </c>
      <c r="AJ507" t="n">
        <v>0</v>
      </c>
      <c r="AK507" t="n">
        <v>1</v>
      </c>
      <c r="AP507" t="n">
        <v>0</v>
      </c>
      <c r="AQ507" t="n">
        <v>1</v>
      </c>
      <c r="AR507" t="n">
        <v>1</v>
      </c>
      <c r="AS507" t="n">
        <v>1</v>
      </c>
      <c r="AT507" t="n">
        <v>0</v>
      </c>
      <c r="AU507" t="n">
        <v>0</v>
      </c>
      <c r="AV507" t="n">
        <v>1</v>
      </c>
      <c r="AW507" t="n">
        <v>1</v>
      </c>
    </row>
    <row r="508">
      <c r="A508" t="inlineStr">
        <is>
          <t>17179647713588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inlineStr">
        <is>
          <t>17179647852705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n">
        <v>1</v>
      </c>
      <c r="AC509" t="n">
        <v>1</v>
      </c>
      <c r="AH509" t="n">
        <v>1</v>
      </c>
      <c r="AI509" t="n">
        <v>0</v>
      </c>
      <c r="AJ509" t="n">
        <v>1</v>
      </c>
      <c r="AK509" t="n">
        <v>1</v>
      </c>
      <c r="AP509" t="n">
        <v>0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</row>
    <row r="510">
      <c r="A510" t="inlineStr">
        <is>
          <t>17179648218060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n">
        <v>1</v>
      </c>
      <c r="AC510" t="n">
        <v>1</v>
      </c>
      <c r="AH510" t="n">
        <v>1</v>
      </c>
      <c r="AI510" t="n">
        <v>1</v>
      </c>
      <c r="AJ510" t="n">
        <v>0</v>
      </c>
      <c r="AK510" t="n">
        <v>1</v>
      </c>
      <c r="AP510" t="n">
        <v>0</v>
      </c>
      <c r="AQ510" t="n">
        <v>1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</row>
    <row r="511">
      <c r="A511" t="inlineStr">
        <is>
          <t>17179648780624</t>
        </is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n">
        <v>1</v>
      </c>
      <c r="AC511" t="n">
        <v>1</v>
      </c>
      <c r="AH511" t="n">
        <v>1</v>
      </c>
      <c r="AI511" t="n">
        <v>0</v>
      </c>
      <c r="AJ511" t="n">
        <v>0</v>
      </c>
      <c r="AK511" t="n">
        <v>1</v>
      </c>
      <c r="AP511" t="n">
        <v>0</v>
      </c>
      <c r="AQ511" t="n">
        <v>1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</row>
    <row r="512">
      <c r="A512" t="inlineStr">
        <is>
          <t>17179657630196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1</v>
      </c>
      <c r="AC512" t="n">
        <v>1</v>
      </c>
      <c r="AH512" t="n">
        <v>1</v>
      </c>
      <c r="AI512" t="n">
        <v>1</v>
      </c>
      <c r="AJ512" t="n">
        <v>1</v>
      </c>
      <c r="AK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1</v>
      </c>
      <c r="AU512" t="n">
        <v>1</v>
      </c>
      <c r="AV512" t="n">
        <v>1</v>
      </c>
      <c r="AW512" t="n">
        <v>1</v>
      </c>
    </row>
    <row r="513">
      <c r="A513" t="inlineStr">
        <is>
          <t>17179658012056</t>
        </is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n">
        <v>1</v>
      </c>
      <c r="AC513" t="n">
        <v>1</v>
      </c>
      <c r="AH513" t="n">
        <v>1</v>
      </c>
      <c r="AI513" t="n">
        <v>0</v>
      </c>
      <c r="AJ513" t="n">
        <v>1</v>
      </c>
      <c r="AK513" t="n">
        <v>1</v>
      </c>
      <c r="AP513" t="n">
        <v>0</v>
      </c>
      <c r="AQ513" t="n">
        <v>1</v>
      </c>
      <c r="AR513" t="n">
        <v>1</v>
      </c>
      <c r="AS513" t="n">
        <v>1</v>
      </c>
      <c r="AT513" t="n">
        <v>1</v>
      </c>
      <c r="AU513" t="n">
        <v>0</v>
      </c>
      <c r="AV513" t="n">
        <v>0</v>
      </c>
      <c r="AW513" t="n">
        <v>1</v>
      </c>
    </row>
    <row r="514">
      <c r="A514" t="inlineStr">
        <is>
          <t>17179659651776</t>
        </is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H514" t="n">
        <v>1</v>
      </c>
      <c r="AI514" t="n">
        <v>0</v>
      </c>
      <c r="AJ514" t="n">
        <v>1</v>
      </c>
      <c r="AK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</row>
    <row r="515">
      <c r="A515" t="inlineStr">
        <is>
          <t>17179659756551</t>
        </is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n">
        <v>0</v>
      </c>
    </row>
    <row r="516">
      <c r="A516" t="inlineStr">
        <is>
          <t>17179660288760</t>
        </is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H516" t="n">
        <v>1</v>
      </c>
      <c r="AI516" t="n">
        <v>1</v>
      </c>
      <c r="AJ516" t="n">
        <v>0</v>
      </c>
      <c r="AK516" t="n">
        <v>1</v>
      </c>
      <c r="AP516" t="n">
        <v>0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</row>
    <row r="517">
      <c r="A517" t="inlineStr">
        <is>
          <t>17179663462883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inlineStr">
        <is>
          <t>17179686620427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n">
        <v>0</v>
      </c>
      <c r="AC518" t="n">
        <v>1</v>
      </c>
      <c r="AH518" t="n">
        <v>1</v>
      </c>
      <c r="AI518" t="n">
        <v>1</v>
      </c>
      <c r="AJ518" t="n">
        <v>0</v>
      </c>
      <c r="AK518" t="n">
        <v>1</v>
      </c>
      <c r="AP518" t="n">
        <v>0</v>
      </c>
      <c r="AQ518" t="n">
        <v>1</v>
      </c>
      <c r="AR518" t="n">
        <v>0</v>
      </c>
      <c r="AS518" t="n">
        <v>1</v>
      </c>
      <c r="AT518" t="n">
        <v>1</v>
      </c>
      <c r="AU518" t="n">
        <v>1</v>
      </c>
      <c r="AV518" t="n">
        <v>1</v>
      </c>
      <c r="AW518" t="n">
        <v>1</v>
      </c>
    </row>
    <row r="519">
      <c r="A519" t="inlineStr">
        <is>
          <t>17179689748805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H519" t="n">
        <v>1</v>
      </c>
      <c r="AI519" t="n">
        <v>0</v>
      </c>
      <c r="AJ519" t="n">
        <v>1</v>
      </c>
      <c r="AK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</row>
    <row r="520">
      <c r="A520" t="inlineStr">
        <is>
          <t>17180591417926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H520" t="n">
        <v>1</v>
      </c>
      <c r="AI520" t="n">
        <v>0</v>
      </c>
      <c r="AJ520" t="n">
        <v>1</v>
      </c>
      <c r="AK520" t="n">
        <v>1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</row>
    <row r="521">
      <c r="A521" t="inlineStr">
        <is>
          <t>17181021235001</t>
        </is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H521" t="n">
        <v>1</v>
      </c>
      <c r="AI521" t="n">
        <v>0</v>
      </c>
      <c r="AJ521" t="n">
        <v>1</v>
      </c>
      <c r="AK521" t="n">
        <v>0</v>
      </c>
      <c r="AP521" t="n">
        <v>1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</row>
    <row r="522">
      <c r="A522" t="inlineStr">
        <is>
          <t>17181037579798</t>
        </is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1</v>
      </c>
      <c r="AC522" t="n">
        <v>1</v>
      </c>
      <c r="AH522" t="n">
        <v>0</v>
      </c>
      <c r="AI522" t="n">
        <v>1</v>
      </c>
      <c r="AJ522" t="n">
        <v>1</v>
      </c>
      <c r="AK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1</v>
      </c>
      <c r="AV522" t="n">
        <v>1</v>
      </c>
      <c r="AW522" t="n">
        <v>1</v>
      </c>
    </row>
    <row r="523">
      <c r="A523" t="inlineStr">
        <is>
          <t>17181056217161</t>
        </is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n">
        <v>1</v>
      </c>
      <c r="AC523" t="n">
        <v>1</v>
      </c>
      <c r="AH523" t="n">
        <v>1</v>
      </c>
      <c r="AI523" t="n">
        <v>1</v>
      </c>
      <c r="AJ523" t="n">
        <v>0</v>
      </c>
      <c r="AK523" t="n">
        <v>1</v>
      </c>
      <c r="AP523" t="n">
        <v>1</v>
      </c>
      <c r="AQ523" t="n">
        <v>1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</row>
    <row r="524">
      <c r="A524" t="inlineStr">
        <is>
          <t>17181059140785</t>
        </is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0</v>
      </c>
      <c r="AJ524" t="n">
        <v>1</v>
      </c>
      <c r="AK524" t="n">
        <v>1</v>
      </c>
      <c r="AL524" t="n">
        <v>0</v>
      </c>
      <c r="AM524" t="n">
        <v>1</v>
      </c>
      <c r="AN524" t="n">
        <v>0</v>
      </c>
      <c r="AO524" t="n">
        <v>1</v>
      </c>
    </row>
    <row r="525">
      <c r="A525" t="inlineStr">
        <is>
          <t>17181059591875</t>
        </is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1</v>
      </c>
      <c r="AH525" t="n">
        <v>1</v>
      </c>
      <c r="AI525" t="n">
        <v>1</v>
      </c>
      <c r="AJ525" t="n">
        <v>1</v>
      </c>
      <c r="AK525" t="n">
        <v>1</v>
      </c>
      <c r="AP525" t="n">
        <v>1</v>
      </c>
      <c r="AQ525" t="n">
        <v>1</v>
      </c>
      <c r="AR525" t="n">
        <v>0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</row>
    <row r="526">
      <c r="A526" t="inlineStr">
        <is>
          <t>17181061218753</t>
        </is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n">
        <v>1</v>
      </c>
      <c r="AC526" t="n">
        <v>1</v>
      </c>
      <c r="AH526" t="n">
        <v>1</v>
      </c>
      <c r="AI526" t="n">
        <v>1</v>
      </c>
      <c r="AJ526" t="n">
        <v>1</v>
      </c>
      <c r="AK526" t="n">
        <v>0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</row>
    <row r="527">
      <c r="A527" t="inlineStr">
        <is>
          <t>17181066730974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H527" t="n">
        <v>1</v>
      </c>
      <c r="AI527" t="n">
        <v>1</v>
      </c>
      <c r="AJ527" t="n">
        <v>0</v>
      </c>
      <c r="AK527" t="n">
        <v>1</v>
      </c>
      <c r="AP527" t="n">
        <v>1</v>
      </c>
      <c r="AQ527" t="n">
        <v>1</v>
      </c>
      <c r="AR527" t="n">
        <v>0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</row>
    <row r="528">
      <c r="A528" t="inlineStr">
        <is>
          <t>17181067183160</t>
        </is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0</v>
      </c>
      <c r="AF528" t="n">
        <v>1</v>
      </c>
      <c r="AG528" t="n">
        <v>0</v>
      </c>
      <c r="AH528" t="n">
        <v>1</v>
      </c>
      <c r="AI528" t="n">
        <v>1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1</v>
      </c>
    </row>
    <row r="529">
      <c r="A529" t="inlineStr">
        <is>
          <t>17181068064785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0</v>
      </c>
      <c r="AF529" t="n">
        <v>1</v>
      </c>
      <c r="AG529" t="n">
        <v>1</v>
      </c>
      <c r="AH529" t="n">
        <v>1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</row>
    <row r="530">
      <c r="A530" t="inlineStr">
        <is>
          <t>17181072431428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1</v>
      </c>
      <c r="AM530" t="n">
        <v>0</v>
      </c>
      <c r="AN530" t="n">
        <v>1</v>
      </c>
      <c r="AO530" t="n">
        <v>0</v>
      </c>
    </row>
    <row r="531">
      <c r="A531" t="inlineStr">
        <is>
          <t>17184408580045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inlineStr">
        <is>
          <t>17184408940846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inlineStr">
        <is>
          <t>17185525197918</t>
        </is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n">
        <v>1</v>
      </c>
      <c r="AC533" t="n">
        <v>1</v>
      </c>
      <c r="AH533" t="n">
        <v>1</v>
      </c>
      <c r="AI533" t="n">
        <v>0</v>
      </c>
      <c r="AJ533" t="n">
        <v>0</v>
      </c>
      <c r="AK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</row>
    <row r="534">
      <c r="A534" t="inlineStr">
        <is>
          <t>17186662360791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n">
        <v>1</v>
      </c>
      <c r="AC534" t="n">
        <v>1</v>
      </c>
      <c r="AH534" t="n">
        <v>1</v>
      </c>
      <c r="AI534" t="n">
        <v>0</v>
      </c>
      <c r="AJ534" t="n">
        <v>1</v>
      </c>
      <c r="AK534" t="n">
        <v>1</v>
      </c>
      <c r="AP534" t="n">
        <v>1</v>
      </c>
      <c r="AQ534" t="n">
        <v>1</v>
      </c>
      <c r="AR534" t="n">
        <v>0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</row>
    <row r="535">
      <c r="A535" t="inlineStr">
        <is>
          <t>17186672972138</t>
        </is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H535" t="n">
        <v>1</v>
      </c>
      <c r="AI535" t="n">
        <v>1</v>
      </c>
      <c r="AJ535" t="n">
        <v>1</v>
      </c>
      <c r="AK535" t="n">
        <v>1</v>
      </c>
      <c r="AP535" t="n">
        <v>1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1</v>
      </c>
    </row>
    <row r="536">
      <c r="A536" t="inlineStr">
        <is>
          <t>17186673611993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H536" t="n">
        <v>1</v>
      </c>
      <c r="AI536" t="n">
        <v>1</v>
      </c>
      <c r="AJ536" t="n">
        <v>1</v>
      </c>
      <c r="AK536" t="n">
        <v>1</v>
      </c>
      <c r="AP536" t="n">
        <v>1</v>
      </c>
      <c r="AQ536" t="n">
        <v>1</v>
      </c>
      <c r="AR536" t="n">
        <v>0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</row>
    <row r="537">
      <c r="A537" t="inlineStr">
        <is>
          <t>17186674997602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H537" t="n">
        <v>1</v>
      </c>
      <c r="AI537" t="n">
        <v>0</v>
      </c>
      <c r="AJ537" t="n">
        <v>1</v>
      </c>
      <c r="AK537" t="n">
        <v>1</v>
      </c>
      <c r="AP537" t="n">
        <v>1</v>
      </c>
      <c r="AQ537" t="n">
        <v>1</v>
      </c>
      <c r="AR537" t="n">
        <v>0</v>
      </c>
      <c r="AS537" t="n">
        <v>1</v>
      </c>
      <c r="AT537" t="n">
        <v>0</v>
      </c>
      <c r="AU537" t="n">
        <v>1</v>
      </c>
      <c r="AV537" t="n">
        <v>1</v>
      </c>
      <c r="AW537" t="n">
        <v>1</v>
      </c>
    </row>
    <row r="538">
      <c r="A538" t="inlineStr">
        <is>
          <t>17186676086942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0</v>
      </c>
      <c r="AC538" t="n">
        <v>1</v>
      </c>
      <c r="AH538" t="n">
        <v>1</v>
      </c>
      <c r="AI538" t="n">
        <v>0</v>
      </c>
      <c r="AJ538" t="n">
        <v>0</v>
      </c>
      <c r="AK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</row>
    <row r="539">
      <c r="A539" t="inlineStr">
        <is>
          <t>17186676765799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H539" t="n">
        <v>1</v>
      </c>
      <c r="AI539" t="n">
        <v>1</v>
      </c>
      <c r="AJ539" t="n">
        <v>1</v>
      </c>
      <c r="AK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1</v>
      </c>
      <c r="AV539" t="n">
        <v>1</v>
      </c>
      <c r="AW539" t="n">
        <v>1</v>
      </c>
    </row>
    <row r="540">
      <c r="A540" t="inlineStr">
        <is>
          <t>17186678978524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H540" t="n">
        <v>1</v>
      </c>
      <c r="AI540" t="n">
        <v>0</v>
      </c>
      <c r="AJ540" t="n">
        <v>1</v>
      </c>
      <c r="AK540" t="n">
        <v>1</v>
      </c>
      <c r="AP540" t="n">
        <v>1</v>
      </c>
      <c r="AQ540" t="n">
        <v>1</v>
      </c>
      <c r="AR540" t="n">
        <v>0</v>
      </c>
      <c r="AS540" t="n">
        <v>1</v>
      </c>
      <c r="AT540" t="n">
        <v>1</v>
      </c>
      <c r="AU540" t="n">
        <v>1</v>
      </c>
      <c r="AV540" t="n">
        <v>1</v>
      </c>
      <c r="AW540" t="n">
        <v>1</v>
      </c>
    </row>
    <row r="541">
      <c r="A541" t="inlineStr">
        <is>
          <t>17186693162010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H541" t="n">
        <v>1</v>
      </c>
      <c r="AI541" t="n">
        <v>1</v>
      </c>
      <c r="AJ541" t="n">
        <v>1</v>
      </c>
      <c r="AK541" t="n">
        <v>1</v>
      </c>
      <c r="AP541" t="n">
        <v>0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n">
        <v>1</v>
      </c>
      <c r="AW541" t="n">
        <v>1</v>
      </c>
    </row>
    <row r="542">
      <c r="A542" t="inlineStr">
        <is>
          <t>17187251322333</t>
        </is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H542" t="n">
        <v>1</v>
      </c>
      <c r="AI542" t="n">
        <v>1</v>
      </c>
      <c r="AJ542" t="n">
        <v>0</v>
      </c>
      <c r="AK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1</v>
      </c>
      <c r="AW542" t="n">
        <v>0</v>
      </c>
    </row>
    <row r="543">
      <c r="A543" t="inlineStr">
        <is>
          <t>17187251532202</t>
        </is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1</v>
      </c>
    </row>
    <row r="544">
      <c r="A544" t="inlineStr">
        <is>
          <t>17187251620129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0</v>
      </c>
      <c r="AM544" t="n">
        <v>1</v>
      </c>
      <c r="AN544" t="n">
        <v>0</v>
      </c>
      <c r="AO544" t="n">
        <v>1</v>
      </c>
    </row>
    <row r="545">
      <c r="A545" t="inlineStr">
        <is>
          <t>17187251882037</t>
        </is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inlineStr">
        <is>
          <t>17187251912076</t>
        </is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n">
        <v>0</v>
      </c>
      <c r="AC546" t="n">
        <v>1</v>
      </c>
      <c r="AH546" t="n">
        <v>1</v>
      </c>
      <c r="AI546" t="n">
        <v>1</v>
      </c>
      <c r="AJ546" t="n">
        <v>0</v>
      </c>
      <c r="AK546" t="n">
        <v>1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1</v>
      </c>
      <c r="AW546" t="n">
        <v>1</v>
      </c>
    </row>
    <row r="547">
      <c r="A547" t="inlineStr">
        <is>
          <t>17187253085695</t>
        </is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H547" t="n">
        <v>1</v>
      </c>
      <c r="AI547" t="n">
        <v>1</v>
      </c>
      <c r="AJ547" t="n">
        <v>1</v>
      </c>
      <c r="AK547" t="n">
        <v>1</v>
      </c>
      <c r="AP547" t="n">
        <v>0</v>
      </c>
      <c r="AQ547" t="n">
        <v>1</v>
      </c>
      <c r="AR547" t="n">
        <v>0</v>
      </c>
      <c r="AS547" t="n">
        <v>1</v>
      </c>
      <c r="AT547" t="n">
        <v>1</v>
      </c>
      <c r="AU547" t="n">
        <v>1</v>
      </c>
      <c r="AV547" t="n">
        <v>1</v>
      </c>
      <c r="AW547" t="n">
        <v>1</v>
      </c>
    </row>
    <row r="548">
      <c r="A548" t="inlineStr">
        <is>
          <t>17187253217392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n">
        <v>1</v>
      </c>
      <c r="AC548" t="n">
        <v>1</v>
      </c>
      <c r="AH548" t="n">
        <v>1</v>
      </c>
      <c r="AI548" t="n">
        <v>1</v>
      </c>
      <c r="AJ548" t="n">
        <v>0</v>
      </c>
      <c r="AK548" t="n">
        <v>0</v>
      </c>
      <c r="AP548" t="n">
        <v>1</v>
      </c>
      <c r="AQ548" t="n">
        <v>1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1</v>
      </c>
    </row>
    <row r="549">
      <c r="A549" t="inlineStr">
        <is>
          <t>17187253311167</t>
        </is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H549" t="n">
        <v>0</v>
      </c>
      <c r="AI549" t="n">
        <v>0</v>
      </c>
      <c r="AJ549" t="n">
        <v>0</v>
      </c>
      <c r="AK549" t="n">
        <v>0</v>
      </c>
      <c r="AP549" t="n">
        <v>1</v>
      </c>
      <c r="AQ549" t="n">
        <v>1</v>
      </c>
      <c r="AR549" t="n">
        <v>0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</row>
    <row r="550">
      <c r="A550" t="inlineStr">
        <is>
          <t>17187253492033</t>
        </is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H550" t="n">
        <v>1</v>
      </c>
      <c r="AI550" t="n">
        <v>1</v>
      </c>
      <c r="AJ550" t="n">
        <v>1</v>
      </c>
      <c r="AK550" t="n">
        <v>1</v>
      </c>
      <c r="AP550" t="n">
        <v>1</v>
      </c>
      <c r="AQ550" t="n">
        <v>1</v>
      </c>
      <c r="AR550" t="n">
        <v>0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</row>
    <row r="551">
      <c r="A551" t="inlineStr">
        <is>
          <t>17187254531486</t>
        </is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1</v>
      </c>
      <c r="AB551" t="n">
        <v>1</v>
      </c>
      <c r="AC551" t="n">
        <v>0</v>
      </c>
      <c r="AH551" t="n">
        <v>1</v>
      </c>
      <c r="AI551" t="n">
        <v>1</v>
      </c>
      <c r="AJ551" t="n">
        <v>0</v>
      </c>
      <c r="AK551" t="n">
        <v>1</v>
      </c>
      <c r="AP551" t="n">
        <v>1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</row>
    <row r="552">
      <c r="A552" t="inlineStr">
        <is>
          <t>17187254639474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inlineStr">
        <is>
          <t>17187254755469</t>
        </is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H553" t="n">
        <v>1</v>
      </c>
      <c r="AI553" t="n">
        <v>0</v>
      </c>
      <c r="AJ553" t="n">
        <v>0</v>
      </c>
      <c r="AK553" t="n">
        <v>0</v>
      </c>
      <c r="AP553" t="n">
        <v>1</v>
      </c>
      <c r="AQ553" t="n">
        <v>1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1</v>
      </c>
    </row>
    <row r="554">
      <c r="A554" t="inlineStr">
        <is>
          <t>17187254835110</t>
        </is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H554" t="n">
        <v>1</v>
      </c>
      <c r="AI554" t="n">
        <v>1</v>
      </c>
      <c r="AJ554" t="n">
        <v>0</v>
      </c>
      <c r="AK554" t="n">
        <v>1</v>
      </c>
      <c r="AP554" t="n">
        <v>0</v>
      </c>
      <c r="AQ554" t="n">
        <v>1</v>
      </c>
      <c r="AR554" t="n">
        <v>0</v>
      </c>
      <c r="AS554" t="n">
        <v>0</v>
      </c>
      <c r="AT554" t="n">
        <v>1</v>
      </c>
      <c r="AU554" t="n">
        <v>1</v>
      </c>
      <c r="AV554" t="n">
        <v>1</v>
      </c>
      <c r="AW554" t="n">
        <v>1</v>
      </c>
    </row>
    <row r="555">
      <c r="A555" t="inlineStr">
        <is>
          <t>17187254955275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H555" t="n">
        <v>1</v>
      </c>
      <c r="AI555" t="n">
        <v>1</v>
      </c>
      <c r="AJ555" t="n">
        <v>1</v>
      </c>
      <c r="AK555" t="n">
        <v>1</v>
      </c>
      <c r="AP555" t="n">
        <v>1</v>
      </c>
      <c r="AQ555" t="n">
        <v>1</v>
      </c>
      <c r="AR555" t="n">
        <v>0</v>
      </c>
      <c r="AS555" t="n">
        <v>1</v>
      </c>
      <c r="AT555" t="n">
        <v>1</v>
      </c>
      <c r="AU555" t="n">
        <v>1</v>
      </c>
      <c r="AV555" t="n">
        <v>1</v>
      </c>
      <c r="AW555" t="n">
        <v>1</v>
      </c>
    </row>
    <row r="556">
      <c r="A556" t="inlineStr">
        <is>
          <t>17187255066811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1</v>
      </c>
      <c r="AA556" t="n">
        <v>1</v>
      </c>
      <c r="AB556" t="n">
        <v>1</v>
      </c>
      <c r="AC556" t="n">
        <v>1</v>
      </c>
      <c r="AH556" t="n">
        <v>1</v>
      </c>
      <c r="AI556" t="n">
        <v>1</v>
      </c>
      <c r="AJ556" t="n">
        <v>1</v>
      </c>
      <c r="AK556" t="n">
        <v>1</v>
      </c>
      <c r="AP556" t="n">
        <v>1</v>
      </c>
      <c r="AQ556" t="n">
        <v>1</v>
      </c>
      <c r="AR556" t="n">
        <v>0</v>
      </c>
      <c r="AS556" t="n">
        <v>1</v>
      </c>
      <c r="AT556" t="n">
        <v>1</v>
      </c>
      <c r="AU556" t="n">
        <v>1</v>
      </c>
      <c r="AV556" t="n">
        <v>1</v>
      </c>
      <c r="AW556" t="n">
        <v>1</v>
      </c>
    </row>
    <row r="557">
      <c r="A557" t="inlineStr">
        <is>
          <t>17187255162959</t>
        </is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H557" t="n">
        <v>1</v>
      </c>
      <c r="AI557" t="n">
        <v>1</v>
      </c>
      <c r="AJ557" t="n">
        <v>1</v>
      </c>
      <c r="AK557" t="n">
        <v>1</v>
      </c>
      <c r="AP557" t="n">
        <v>1</v>
      </c>
      <c r="AQ557" t="n">
        <v>1</v>
      </c>
      <c r="AR557" t="n">
        <v>0</v>
      </c>
      <c r="AS557" t="n">
        <v>1</v>
      </c>
      <c r="AT557" t="n">
        <v>1</v>
      </c>
      <c r="AU557" t="n">
        <v>1</v>
      </c>
      <c r="AV557" t="n">
        <v>1</v>
      </c>
      <c r="AW557" t="n">
        <v>1</v>
      </c>
    </row>
    <row r="558">
      <c r="A558" t="inlineStr">
        <is>
          <t>17187255230772</t>
        </is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H558" t="n">
        <v>1</v>
      </c>
      <c r="AI558" t="n">
        <v>1</v>
      </c>
      <c r="AJ558" t="n">
        <v>0</v>
      </c>
      <c r="AK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1</v>
      </c>
      <c r="AW558" t="n">
        <v>0</v>
      </c>
    </row>
    <row r="559">
      <c r="A559" t="inlineStr">
        <is>
          <t>17187255355208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H559" t="n">
        <v>1</v>
      </c>
      <c r="AI559" t="n">
        <v>1</v>
      </c>
      <c r="AJ559" t="n">
        <v>1</v>
      </c>
      <c r="AK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0</v>
      </c>
      <c r="AU559" t="n">
        <v>1</v>
      </c>
      <c r="AV559" t="n">
        <v>1</v>
      </c>
      <c r="AW559" t="n">
        <v>1</v>
      </c>
    </row>
    <row r="560">
      <c r="A560" t="inlineStr">
        <is>
          <t>17187255474518</t>
        </is>
      </c>
      <c r="B560" t="n">
        <v>0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H560" t="n">
        <v>1</v>
      </c>
      <c r="AI560" t="n">
        <v>1</v>
      </c>
      <c r="AJ560" t="n">
        <v>0</v>
      </c>
      <c r="AK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1</v>
      </c>
      <c r="AW560" t="n">
        <v>0</v>
      </c>
    </row>
    <row r="561">
      <c r="A561" t="inlineStr">
        <is>
          <t>17187255522587</t>
        </is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</row>
    <row r="562">
      <c r="A562" t="inlineStr">
        <is>
          <t>17187255679941</t>
        </is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H562" t="n">
        <v>1</v>
      </c>
      <c r="AI562" t="n">
        <v>1</v>
      </c>
      <c r="AJ562" t="n">
        <v>0</v>
      </c>
      <c r="AK562" t="n">
        <v>0</v>
      </c>
      <c r="AP562" t="n">
        <v>1</v>
      </c>
      <c r="AQ562" t="n">
        <v>1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</row>
    <row r="563">
      <c r="A563" t="inlineStr">
        <is>
          <t>17187255735742</t>
        </is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inlineStr">
        <is>
          <t>17187255884853</t>
        </is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H564" t="n">
        <v>1</v>
      </c>
      <c r="AI564" t="n">
        <v>1</v>
      </c>
      <c r="AJ564" t="n">
        <v>1</v>
      </c>
      <c r="AK564" t="n">
        <v>1</v>
      </c>
      <c r="AP564" t="n">
        <v>0</v>
      </c>
      <c r="AQ564" t="n">
        <v>1</v>
      </c>
      <c r="AR564" t="n">
        <v>0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</row>
    <row r="565">
      <c r="A565" t="inlineStr">
        <is>
          <t>17187255934212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</row>
    <row r="566">
      <c r="A566" t="inlineStr">
        <is>
          <t>17187256034223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1</v>
      </c>
      <c r="AH566" t="n">
        <v>0</v>
      </c>
      <c r="AI566" t="n">
        <v>0</v>
      </c>
      <c r="AJ566" t="n">
        <v>0</v>
      </c>
      <c r="AK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</row>
    <row r="567">
      <c r="A567" t="inlineStr">
        <is>
          <t>17187256152970</t>
        </is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1</v>
      </c>
      <c r="AH567" t="n">
        <v>1</v>
      </c>
      <c r="AI567" t="n">
        <v>1</v>
      </c>
      <c r="AJ567" t="n">
        <v>0</v>
      </c>
      <c r="AK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</row>
    <row r="568">
      <c r="A568" t="inlineStr">
        <is>
          <t>17187256259316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H568" t="n">
        <v>1</v>
      </c>
      <c r="AI568" t="n">
        <v>1</v>
      </c>
      <c r="AJ568" t="n">
        <v>1</v>
      </c>
      <c r="AK568" t="n">
        <v>1</v>
      </c>
      <c r="AP568" t="n">
        <v>1</v>
      </c>
      <c r="AQ568" t="n">
        <v>1</v>
      </c>
      <c r="AR568" t="n">
        <v>0</v>
      </c>
      <c r="AS568" t="n">
        <v>1</v>
      </c>
      <c r="AT568" t="n">
        <v>1</v>
      </c>
      <c r="AU568" t="n">
        <v>1</v>
      </c>
      <c r="AV568" t="n">
        <v>1</v>
      </c>
      <c r="AW568" t="n">
        <v>0</v>
      </c>
    </row>
    <row r="569">
      <c r="A569" t="inlineStr">
        <is>
          <t>17187256484908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n">
        <v>0</v>
      </c>
      <c r="AC569" t="n">
        <v>0</v>
      </c>
      <c r="AH569" t="n">
        <v>1</v>
      </c>
      <c r="AI569" t="n">
        <v>1</v>
      </c>
      <c r="AJ569" t="n">
        <v>0</v>
      </c>
      <c r="AK569" t="n">
        <v>1</v>
      </c>
      <c r="AP569" t="n">
        <v>1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</row>
    <row r="570">
      <c r="A570" t="inlineStr">
        <is>
          <t>17187256569755</t>
        </is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1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1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</row>
    <row r="571">
      <c r="A571" t="inlineStr">
        <is>
          <t>17187256654434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H571" t="n">
        <v>1</v>
      </c>
      <c r="AI571" t="n">
        <v>1</v>
      </c>
      <c r="AJ571" t="n">
        <v>0</v>
      </c>
      <c r="AK571" t="n">
        <v>1</v>
      </c>
      <c r="AP571" t="n">
        <v>0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0</v>
      </c>
    </row>
    <row r="572">
      <c r="A572" t="inlineStr">
        <is>
          <t>17187256779738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inlineStr">
        <is>
          <t>17187256859001</t>
        </is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0</v>
      </c>
      <c r="AH573" t="n">
        <v>1</v>
      </c>
      <c r="AI573" t="n">
        <v>1</v>
      </c>
      <c r="AJ573" t="n">
        <v>0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</row>
    <row r="574">
      <c r="A574" t="inlineStr">
        <is>
          <t>17187256936310</t>
        </is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1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inlineStr">
        <is>
          <t>17187257036843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1</v>
      </c>
      <c r="AC575" t="n">
        <v>1</v>
      </c>
      <c r="AH575" t="n">
        <v>1</v>
      </c>
      <c r="AI575" t="n">
        <v>1</v>
      </c>
      <c r="AJ575" t="n">
        <v>1</v>
      </c>
      <c r="AK575" t="n">
        <v>0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</row>
    <row r="576">
      <c r="A576" t="inlineStr">
        <is>
          <t>17187257137136</t>
        </is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H576" t="n">
        <v>1</v>
      </c>
      <c r="AI576" t="n">
        <v>1</v>
      </c>
      <c r="AJ576" t="n">
        <v>0</v>
      </c>
      <c r="AK576" t="n">
        <v>0</v>
      </c>
      <c r="AP576" t="n">
        <v>1</v>
      </c>
      <c r="AQ576" t="n">
        <v>1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</row>
    <row r="577">
      <c r="A577" t="inlineStr">
        <is>
          <t>17187257285800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n">
        <v>1</v>
      </c>
      <c r="AH577" t="n">
        <v>1</v>
      </c>
      <c r="AI577" t="n">
        <v>1</v>
      </c>
      <c r="AJ577" t="n">
        <v>0</v>
      </c>
      <c r="AK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1</v>
      </c>
      <c r="AU577" t="n">
        <v>1</v>
      </c>
      <c r="AV577" t="n">
        <v>1</v>
      </c>
      <c r="AW577" t="n">
        <v>1</v>
      </c>
    </row>
    <row r="578">
      <c r="A578" t="inlineStr">
        <is>
          <t>17187257417199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inlineStr">
        <is>
          <t>17188298822932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inlineStr">
        <is>
          <t>17199059759683</t>
        </is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H580" t="n">
        <v>1</v>
      </c>
      <c r="AI580" t="n">
        <v>1</v>
      </c>
      <c r="AJ580" t="n">
        <v>0</v>
      </c>
      <c r="AK580" t="n">
        <v>1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</row>
    <row r="581">
      <c r="A581" t="inlineStr">
        <is>
          <t>17199060420741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1</v>
      </c>
      <c r="AH581" t="n">
        <v>1</v>
      </c>
      <c r="AI581" t="n">
        <v>1</v>
      </c>
      <c r="AJ581" t="n">
        <v>0</v>
      </c>
      <c r="AK581" t="n">
        <v>1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1</v>
      </c>
    </row>
    <row r="582">
      <c r="A582" t="inlineStr">
        <is>
          <t>17199060978284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H582" t="n">
        <v>1</v>
      </c>
      <c r="AI582" t="n">
        <v>1</v>
      </c>
      <c r="AJ582" t="n">
        <v>1</v>
      </c>
      <c r="AK582" t="n">
        <v>1</v>
      </c>
      <c r="AP582" t="n">
        <v>1</v>
      </c>
      <c r="AQ582" t="n">
        <v>1</v>
      </c>
      <c r="AR582" t="n">
        <v>0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</row>
    <row r="583">
      <c r="A583" t="inlineStr">
        <is>
          <t>17199061326615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</row>
    <row r="584">
      <c r="A584" t="inlineStr">
        <is>
          <t>17199062781952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H584" t="n">
        <v>1</v>
      </c>
      <c r="AI584" t="n">
        <v>1</v>
      </c>
      <c r="AJ584" t="n">
        <v>1</v>
      </c>
      <c r="AK584" t="n">
        <v>1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1</v>
      </c>
      <c r="AW584" t="n">
        <v>1</v>
      </c>
    </row>
    <row r="585">
      <c r="A585" t="inlineStr">
        <is>
          <t>17199065148851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1</v>
      </c>
      <c r="AC585" t="n">
        <v>1</v>
      </c>
      <c r="AH585" t="n">
        <v>1</v>
      </c>
      <c r="AI585" t="n">
        <v>0</v>
      </c>
      <c r="AJ585" t="n">
        <v>0</v>
      </c>
      <c r="AK585" t="n">
        <v>0</v>
      </c>
      <c r="AP585" t="n">
        <v>1</v>
      </c>
      <c r="AQ585" t="n">
        <v>1</v>
      </c>
      <c r="AR585" t="n">
        <v>0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</row>
    <row r="586">
      <c r="A586" t="inlineStr">
        <is>
          <t>17199209882381</t>
        </is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1</v>
      </c>
      <c r="AC586" t="n">
        <v>1</v>
      </c>
      <c r="AH586" t="n">
        <v>1</v>
      </c>
      <c r="AI586" t="n">
        <v>1</v>
      </c>
      <c r="AJ586" t="n">
        <v>1</v>
      </c>
      <c r="AK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1</v>
      </c>
      <c r="AW586" t="n">
        <v>0</v>
      </c>
    </row>
    <row r="587">
      <c r="A587" t="inlineStr">
        <is>
          <t>17199212459407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</row>
    <row r="588">
      <c r="A588" t="inlineStr">
        <is>
          <t>17199213972918</t>
        </is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inlineStr">
        <is>
          <t>17199232266127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H589" t="n">
        <v>0</v>
      </c>
      <c r="AI589" t="n">
        <v>0</v>
      </c>
      <c r="AJ589" t="n">
        <v>0</v>
      </c>
      <c r="AK589" t="n">
        <v>0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</row>
    <row r="590">
      <c r="A590" t="inlineStr">
        <is>
          <t>17199236098064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</row>
    <row r="591">
      <c r="A591" t="inlineStr">
        <is>
          <t>17199237860430</t>
        </is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1</v>
      </c>
      <c r="AN591" t="n">
        <v>1</v>
      </c>
      <c r="AO591" t="n">
        <v>0</v>
      </c>
    </row>
    <row r="592">
      <c r="A592" t="inlineStr">
        <is>
          <t>17199238091276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</row>
    <row r="593">
      <c r="A593" t="inlineStr">
        <is>
          <t>17199241229824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</row>
    <row r="594">
      <c r="A594" t="inlineStr">
        <is>
          <t>17199244092333</t>
        </is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1</v>
      </c>
      <c r="AG594" t="n">
        <v>0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0</v>
      </c>
    </row>
    <row r="595">
      <c r="A595" t="inlineStr">
        <is>
          <t>17202768655459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inlineStr">
        <is>
          <t>17213266144794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n">
        <v>1</v>
      </c>
      <c r="AC596" t="n">
        <v>1</v>
      </c>
      <c r="AH596" t="n">
        <v>1</v>
      </c>
      <c r="AI596" t="n">
        <v>1</v>
      </c>
      <c r="AJ596" t="n">
        <v>1</v>
      </c>
      <c r="AK596" t="n">
        <v>1</v>
      </c>
      <c r="AP596" t="n">
        <v>1</v>
      </c>
      <c r="AQ596" t="n">
        <v>1</v>
      </c>
      <c r="AR596" t="n">
        <v>0</v>
      </c>
      <c r="AS596" t="n">
        <v>1</v>
      </c>
      <c r="AT596" t="n">
        <v>1</v>
      </c>
      <c r="AU596" t="n">
        <v>1</v>
      </c>
      <c r="AV596" t="n">
        <v>1</v>
      </c>
      <c r="AW596" t="n">
        <v>0</v>
      </c>
    </row>
    <row r="597">
      <c r="A597" t="inlineStr">
        <is>
          <t>17215611874630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1</v>
      </c>
      <c r="AB597" t="n">
        <v>1</v>
      </c>
      <c r="AC597" t="n">
        <v>1</v>
      </c>
      <c r="AH597" t="n">
        <v>1</v>
      </c>
      <c r="AI597" t="n">
        <v>1</v>
      </c>
      <c r="AJ597" t="n">
        <v>0</v>
      </c>
      <c r="AK597" t="n">
        <v>1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</row>
    <row r="598">
      <c r="A598" t="inlineStr">
        <is>
          <t>17217859538062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inlineStr">
        <is>
          <t>17217859652734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inlineStr">
        <is>
          <t>17217860233417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</row>
    <row r="601">
      <c r="A601" t="inlineStr">
        <is>
          <t>17217861975468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</row>
    <row r="602">
      <c r="A602" t="inlineStr">
        <is>
          <t>17217862165568</t>
        </is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n">
        <v>1</v>
      </c>
      <c r="AC602" t="n">
        <v>1</v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0</v>
      </c>
      <c r="AM602" t="n">
        <v>1</v>
      </c>
      <c r="AN602" t="n">
        <v>1</v>
      </c>
      <c r="AO602" t="n">
        <v>0</v>
      </c>
    </row>
    <row r="603">
      <c r="A603" t="inlineStr">
        <is>
          <t>17217863450307</t>
        </is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inlineStr">
        <is>
          <t>17217863558421</t>
        </is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</row>
    <row r="605">
      <c r="A605" t="inlineStr">
        <is>
          <t>17217864049820</t>
        </is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</row>
    <row r="606">
      <c r="A606" t="inlineStr">
        <is>
          <t>17217864970351</t>
        </is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I606" t="n">
        <v>0</v>
      </c>
      <c r="J606" t="n">
        <v>0</v>
      </c>
      <c r="K606" t="n">
        <v>0</v>
      </c>
      <c r="L606" t="n">
        <v>0</v>
      </c>
      <c r="O606" t="n">
        <v>1</v>
      </c>
      <c r="R606" t="n">
        <v>0</v>
      </c>
      <c r="T606" t="n">
        <v>0</v>
      </c>
      <c r="W606" t="n">
        <v>0</v>
      </c>
    </row>
    <row r="607">
      <c r="A607" t="inlineStr">
        <is>
          <t>17217866160678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</v>
      </c>
      <c r="AK607" t="n">
        <v>1</v>
      </c>
      <c r="AL607" t="n">
        <v>1</v>
      </c>
      <c r="AM607" t="n">
        <v>0</v>
      </c>
      <c r="AN607" t="n">
        <v>1</v>
      </c>
      <c r="AO607" t="n">
        <v>0</v>
      </c>
    </row>
    <row r="608">
      <c r="A608" t="inlineStr">
        <is>
          <t>17217866655987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1</v>
      </c>
      <c r="AN608" t="n">
        <v>1</v>
      </c>
      <c r="AO608" t="n">
        <v>0</v>
      </c>
    </row>
    <row r="609">
      <c r="A609" t="inlineStr">
        <is>
          <t>17217867358809</t>
        </is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0</v>
      </c>
    </row>
    <row r="610">
      <c r="A610" t="inlineStr">
        <is>
          <t>17217868876944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inlineStr">
        <is>
          <t>17217869168822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inlineStr">
        <is>
          <t>17217869289533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1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0</v>
      </c>
      <c r="AO612" t="n">
        <v>0</v>
      </c>
    </row>
    <row r="613">
      <c r="A613" t="inlineStr">
        <is>
          <t>17217869393864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inlineStr">
        <is>
          <t>17217869749453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1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</row>
    <row r="615">
      <c r="A615" t="inlineStr">
        <is>
          <t>17217869881510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H615" t="n">
        <v>0</v>
      </c>
      <c r="AI615" t="n">
        <v>0</v>
      </c>
      <c r="AJ615" t="n">
        <v>1</v>
      </c>
      <c r="AK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inlineStr">
        <is>
          <t>17217870266988</t>
        </is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1</v>
      </c>
      <c r="AG616" t="n">
        <v>1</v>
      </c>
      <c r="AH616" t="n">
        <v>1</v>
      </c>
      <c r="AI616" t="n">
        <v>0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</row>
    <row r="617">
      <c r="A617" t="inlineStr">
        <is>
          <t>17217870466111</t>
        </is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1</v>
      </c>
      <c r="AQ617" t="n">
        <v>1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1</v>
      </c>
    </row>
    <row r="618">
      <c r="A618" t="inlineStr">
        <is>
          <t>17217870516539</t>
        </is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H618" t="n">
        <v>0</v>
      </c>
      <c r="AI618" t="n">
        <v>1</v>
      </c>
      <c r="AJ618" t="n">
        <v>0</v>
      </c>
      <c r="AK618" t="n">
        <v>1</v>
      </c>
      <c r="AP618" t="n">
        <v>1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1</v>
      </c>
      <c r="AW618" t="n">
        <v>1</v>
      </c>
    </row>
    <row r="619">
      <c r="A619" t="inlineStr">
        <is>
          <t>17217870766892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inlineStr">
        <is>
          <t>17217871054098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inlineStr">
        <is>
          <t>17217871337109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</row>
    <row r="622">
      <c r="A622" t="inlineStr">
        <is>
          <t>17217871485598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inlineStr">
        <is>
          <t>17217871687272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1</v>
      </c>
      <c r="AO623" t="n">
        <v>0</v>
      </c>
    </row>
    <row r="624">
      <c r="A624" t="inlineStr">
        <is>
          <t>17217871853622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inlineStr">
        <is>
          <t>17217871949479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17217872262851</t>
        </is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inlineStr">
        <is>
          <t>17226859939846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0</v>
      </c>
    </row>
    <row r="628">
      <c r="A628" t="inlineStr">
        <is>
          <t>17226860040301</t>
        </is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H628" t="n">
        <v>1</v>
      </c>
      <c r="AI628" t="n">
        <v>0</v>
      </c>
      <c r="AJ628" t="n">
        <v>1</v>
      </c>
      <c r="AK628" t="n">
        <v>0</v>
      </c>
      <c r="AP628" t="n">
        <v>1</v>
      </c>
      <c r="AQ628" t="n">
        <v>1</v>
      </c>
      <c r="AR628" t="n">
        <v>0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</row>
    <row r="629">
      <c r="A629" t="inlineStr">
        <is>
          <t>17226860875436</t>
        </is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1</v>
      </c>
      <c r="AA629" t="n">
        <v>1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inlineStr">
        <is>
          <t>17226860994364</t>
        </is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H630" t="n">
        <v>1</v>
      </c>
      <c r="AI630" t="n">
        <v>1</v>
      </c>
      <c r="AJ630" t="n">
        <v>1</v>
      </c>
      <c r="AK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1</v>
      </c>
    </row>
    <row r="631">
      <c r="A631" t="inlineStr">
        <is>
          <t>17226861052426</t>
        </is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n">
        <v>0</v>
      </c>
      <c r="AC631" t="n">
        <v>0</v>
      </c>
      <c r="AH631" t="n">
        <v>1</v>
      </c>
      <c r="AI631" t="n">
        <v>1</v>
      </c>
      <c r="AJ631" t="n">
        <v>1</v>
      </c>
      <c r="AK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1</v>
      </c>
      <c r="AU631" t="n">
        <v>1</v>
      </c>
      <c r="AV631" t="n">
        <v>1</v>
      </c>
      <c r="AW631" t="n">
        <v>1</v>
      </c>
    </row>
    <row r="632">
      <c r="A632" t="inlineStr">
        <is>
          <t>17226861148988</t>
        </is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H632" t="n">
        <v>1</v>
      </c>
      <c r="AI632" t="n">
        <v>1</v>
      </c>
      <c r="AJ632" t="n">
        <v>1</v>
      </c>
      <c r="AK632" t="n">
        <v>1</v>
      </c>
      <c r="AP632" t="n">
        <v>0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1</v>
      </c>
    </row>
    <row r="633">
      <c r="A633" t="inlineStr">
        <is>
          <t>17226861239282</t>
        </is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1</v>
      </c>
      <c r="AB633" t="n">
        <v>1</v>
      </c>
      <c r="AC633" t="n">
        <v>0</v>
      </c>
      <c r="AH633" t="n">
        <v>1</v>
      </c>
      <c r="AI633" t="n">
        <v>1</v>
      </c>
      <c r="AJ633" t="n">
        <v>1</v>
      </c>
      <c r="AK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</row>
    <row r="634">
      <c r="A634" t="inlineStr">
        <is>
          <t>17226861371900</t>
        </is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inlineStr">
        <is>
          <t>17226861471052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</row>
    <row r="636">
      <c r="A636" t="inlineStr">
        <is>
          <t>17226861538188</t>
        </is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H636" t="n">
        <v>0</v>
      </c>
      <c r="AI636" t="n">
        <v>1</v>
      </c>
      <c r="AJ636" t="n">
        <v>0</v>
      </c>
      <c r="AK636" t="n">
        <v>0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</row>
    <row r="637">
      <c r="A637" t="inlineStr">
        <is>
          <t>17226861618724</t>
        </is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inlineStr">
        <is>
          <t>17226861729616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H638" t="n">
        <v>1</v>
      </c>
      <c r="AI638" t="n">
        <v>0</v>
      </c>
      <c r="AJ638" t="n">
        <v>0</v>
      </c>
      <c r="AK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1</v>
      </c>
      <c r="AU638" t="n">
        <v>0</v>
      </c>
      <c r="AV638" t="n">
        <v>1</v>
      </c>
      <c r="AW638" t="n">
        <v>1</v>
      </c>
    </row>
    <row r="639">
      <c r="A639" t="inlineStr">
        <is>
          <t>17226861834952</t>
        </is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1</v>
      </c>
      <c r="AC639" t="n">
        <v>1</v>
      </c>
      <c r="AD639" t="n">
        <v>1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1</v>
      </c>
      <c r="AM639" t="n">
        <v>1</v>
      </c>
      <c r="AN639" t="n">
        <v>0</v>
      </c>
      <c r="AO639" t="n">
        <v>0</v>
      </c>
    </row>
    <row r="640">
      <c r="A640" t="inlineStr">
        <is>
          <t>17226861997305</t>
        </is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</row>
    <row r="641">
      <c r="A641" t="inlineStr">
        <is>
          <t>17226862016049</t>
        </is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0</v>
      </c>
      <c r="AM641" t="n">
        <v>1</v>
      </c>
      <c r="AN641" t="n">
        <v>0</v>
      </c>
      <c r="AO641" t="n">
        <v>1</v>
      </c>
    </row>
    <row r="642">
      <c r="A642" t="inlineStr">
        <is>
          <t>17226901250563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H642" t="n">
        <v>0</v>
      </c>
      <c r="AI642" t="n">
        <v>0</v>
      </c>
      <c r="AJ642" t="n">
        <v>0</v>
      </c>
      <c r="AK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1</v>
      </c>
    </row>
    <row r="643">
      <c r="A643" t="inlineStr">
        <is>
          <t>17227932950606</t>
        </is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1</v>
      </c>
      <c r="AA643" t="n">
        <v>1</v>
      </c>
      <c r="AB643" t="n">
        <v>1</v>
      </c>
      <c r="AC643" t="n">
        <v>1</v>
      </c>
      <c r="AH643" t="n">
        <v>1</v>
      </c>
      <c r="AI643" t="n">
        <v>1</v>
      </c>
      <c r="AJ643" t="n">
        <v>1</v>
      </c>
      <c r="AK643" t="n">
        <v>1</v>
      </c>
      <c r="AP643" t="n">
        <v>1</v>
      </c>
      <c r="AQ643" t="n">
        <v>1</v>
      </c>
      <c r="AR643" t="n">
        <v>0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</row>
    <row r="644">
      <c r="A644" t="inlineStr">
        <is>
          <t>17227934284262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1</v>
      </c>
      <c r="AC644" t="n">
        <v>1</v>
      </c>
      <c r="AH644" t="n">
        <v>1</v>
      </c>
      <c r="AI644" t="n">
        <v>1</v>
      </c>
      <c r="AJ644" t="n">
        <v>1</v>
      </c>
      <c r="AK644" t="n">
        <v>1</v>
      </c>
      <c r="AP644" t="n">
        <v>1</v>
      </c>
      <c r="AQ644" t="n">
        <v>1</v>
      </c>
      <c r="AR644" t="n">
        <v>0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</row>
    <row r="645">
      <c r="A645" t="inlineStr">
        <is>
          <t>17227935621874</t>
        </is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1</v>
      </c>
      <c r="AC645" t="n">
        <v>1</v>
      </c>
      <c r="AH645" t="n">
        <v>1</v>
      </c>
      <c r="AI645" t="n">
        <v>1</v>
      </c>
      <c r="AJ645" t="n">
        <v>1</v>
      </c>
      <c r="AK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</row>
    <row r="646">
      <c r="A646" t="inlineStr">
        <is>
          <t>17227956853670</t>
        </is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H646" t="n">
        <v>1</v>
      </c>
      <c r="AI646" t="n">
        <v>1</v>
      </c>
      <c r="AJ646" t="n">
        <v>0</v>
      </c>
      <c r="AK646" t="n">
        <v>0</v>
      </c>
      <c r="AP646" t="n">
        <v>1</v>
      </c>
      <c r="AQ646" t="n">
        <v>0</v>
      </c>
      <c r="AR646" t="n">
        <v>0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</row>
    <row r="647">
      <c r="A647" t="inlineStr">
        <is>
          <t>17227958537844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1</v>
      </c>
      <c r="AH647" t="n">
        <v>1</v>
      </c>
      <c r="AI647" t="n">
        <v>1</v>
      </c>
      <c r="AJ647" t="n">
        <v>1</v>
      </c>
      <c r="AK647" t="n">
        <v>1</v>
      </c>
      <c r="AP647" t="n">
        <v>0</v>
      </c>
      <c r="AQ647" t="n">
        <v>1</v>
      </c>
      <c r="AR647" t="n">
        <v>1</v>
      </c>
      <c r="AS647" t="n">
        <v>0</v>
      </c>
      <c r="AT647" t="n">
        <v>1</v>
      </c>
      <c r="AU647" t="n">
        <v>1</v>
      </c>
      <c r="AV647" t="n">
        <v>1</v>
      </c>
      <c r="AW647" t="n">
        <v>1</v>
      </c>
    </row>
    <row r="648">
      <c r="A648" t="inlineStr">
        <is>
          <t>17227958697801</t>
        </is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inlineStr">
        <is>
          <t>17227959842348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1</v>
      </c>
      <c r="AU649" t="n">
        <v>0</v>
      </c>
      <c r="AV649" t="n">
        <v>1</v>
      </c>
      <c r="AW649" t="n">
        <v>1</v>
      </c>
    </row>
    <row r="650">
      <c r="A650" t="inlineStr">
        <is>
          <t>17228841433905</t>
        </is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1</v>
      </c>
      <c r="AH650" t="n">
        <v>1</v>
      </c>
      <c r="AI650" t="n">
        <v>1</v>
      </c>
      <c r="AJ650" t="n">
        <v>0</v>
      </c>
      <c r="AK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1</v>
      </c>
      <c r="AW650" t="n">
        <v>1</v>
      </c>
    </row>
    <row r="651">
      <c r="A651" t="inlineStr">
        <is>
          <t>17228841552337</t>
        </is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H651" t="n">
        <v>1</v>
      </c>
      <c r="AI651" t="n">
        <v>1</v>
      </c>
      <c r="AJ651" t="n">
        <v>0</v>
      </c>
      <c r="AK651" t="n">
        <v>0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0</v>
      </c>
      <c r="AV651" t="n">
        <v>0</v>
      </c>
      <c r="AW651" t="n">
        <v>1</v>
      </c>
    </row>
    <row r="652">
      <c r="A652" t="inlineStr">
        <is>
          <t>17231189994586</t>
        </is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1</v>
      </c>
      <c r="AD652" t="n">
        <v>1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1</v>
      </c>
      <c r="AL652" t="n">
        <v>0</v>
      </c>
      <c r="AM652" t="n">
        <v>1</v>
      </c>
      <c r="AN652" t="n">
        <v>1</v>
      </c>
      <c r="AO652" t="n">
        <v>0</v>
      </c>
    </row>
    <row r="653">
      <c r="A653" t="inlineStr">
        <is>
          <t>17231202585399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inlineStr">
        <is>
          <t>17231203076861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inlineStr">
        <is>
          <t>17231206157452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H655" t="n">
        <v>1</v>
      </c>
      <c r="AI655" t="n">
        <v>0</v>
      </c>
      <c r="AJ655" t="n">
        <v>1</v>
      </c>
      <c r="AK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17235245148766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H656" t="n">
        <v>1</v>
      </c>
      <c r="AI656" t="n">
        <v>0</v>
      </c>
      <c r="AJ656" t="n">
        <v>1</v>
      </c>
      <c r="AK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1</v>
      </c>
      <c r="AW656" t="n">
        <v>1</v>
      </c>
    </row>
    <row r="657">
      <c r="A657" t="inlineStr">
        <is>
          <t>17240300769322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1</v>
      </c>
    </row>
    <row r="658">
      <c r="A658" t="inlineStr">
        <is>
          <t>17240300911634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</row>
    <row r="659">
      <c r="A659" t="inlineStr">
        <is>
          <t>17240882670012</t>
        </is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inlineStr">
        <is>
          <t>17241867911037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n">
        <v>1</v>
      </c>
      <c r="AC660" t="n">
        <v>1</v>
      </c>
      <c r="AH660" t="n">
        <v>0</v>
      </c>
      <c r="AI660" t="n">
        <v>1</v>
      </c>
      <c r="AJ660" t="n">
        <v>0</v>
      </c>
      <c r="AK660" t="n">
        <v>1</v>
      </c>
      <c r="AP660" t="n">
        <v>1</v>
      </c>
      <c r="AQ660" t="n">
        <v>1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1</v>
      </c>
    </row>
    <row r="661">
      <c r="A661" t="inlineStr">
        <is>
          <t>17242883844124</t>
        </is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1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</row>
    <row r="662">
      <c r="A662" t="inlineStr">
        <is>
          <t>17242887488156</t>
        </is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</row>
    <row r="663">
      <c r="A663" t="inlineStr">
        <is>
          <t>17242900450185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inlineStr">
        <is>
          <t>17242900592653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inlineStr">
        <is>
          <t>17242900746613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inlineStr">
        <is>
          <t>17242900823769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  <c r="AC666" t="n">
        <v>1</v>
      </c>
      <c r="AH666" t="n">
        <v>1</v>
      </c>
      <c r="AI666" t="n">
        <v>1</v>
      </c>
      <c r="AJ666" t="n">
        <v>0</v>
      </c>
      <c r="AK666" t="n">
        <v>1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0</v>
      </c>
      <c r="AV666" t="n">
        <v>0</v>
      </c>
      <c r="AW666" t="n">
        <v>1</v>
      </c>
    </row>
    <row r="667">
      <c r="A667" t="inlineStr">
        <is>
          <t>17242900939445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</row>
    <row r="668">
      <c r="A668" t="inlineStr">
        <is>
          <t>17242901048600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</v>
      </c>
      <c r="AG668" t="n">
        <v>1</v>
      </c>
      <c r="AH668" t="n">
        <v>1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</row>
    <row r="669">
      <c r="A669" t="inlineStr">
        <is>
          <t>17242901251662</t>
        </is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0</v>
      </c>
    </row>
    <row r="670">
      <c r="A670" t="inlineStr">
        <is>
          <t>17242901612406</t>
        </is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0</v>
      </c>
      <c r="AH670" t="n">
        <v>1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</row>
    <row r="671">
      <c r="A671" t="inlineStr">
        <is>
          <t>17242901788151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  <c r="AK671" t="n">
        <v>1</v>
      </c>
      <c r="AL671" t="n">
        <v>0</v>
      </c>
      <c r="AM671" t="n">
        <v>1</v>
      </c>
      <c r="AN671" t="n">
        <v>1</v>
      </c>
      <c r="AO671" t="n">
        <v>1</v>
      </c>
    </row>
    <row r="672">
      <c r="A672" t="inlineStr">
        <is>
          <t>17242901836133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</row>
    <row r="673">
      <c r="A673" t="inlineStr">
        <is>
          <t>17242901989704</t>
        </is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n">
        <v>0</v>
      </c>
    </row>
    <row r="674">
      <c r="A674" t="inlineStr">
        <is>
          <t>17242902086668</t>
        </is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</row>
    <row r="675">
      <c r="A675" t="inlineStr">
        <is>
          <t>17242902188760</t>
        </is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inlineStr">
        <is>
          <t>17242902238316</t>
        </is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1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1</v>
      </c>
    </row>
    <row r="677">
      <c r="A677" t="inlineStr">
        <is>
          <t>17242902378474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H677" t="n">
        <v>1</v>
      </c>
      <c r="AI677" t="n">
        <v>0</v>
      </c>
      <c r="AJ677" t="n">
        <v>1</v>
      </c>
      <c r="AK677" t="n">
        <v>1</v>
      </c>
      <c r="AP677" t="n">
        <v>0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1</v>
      </c>
    </row>
    <row r="678">
      <c r="A678" t="inlineStr">
        <is>
          <t>17242902519252</t>
        </is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H678" t="n">
        <v>0</v>
      </c>
      <c r="AI678" t="n">
        <v>0</v>
      </c>
      <c r="AJ678" t="n">
        <v>0</v>
      </c>
      <c r="AK678" t="n">
        <v>1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</row>
    <row r="679">
      <c r="A679" t="inlineStr">
        <is>
          <t>17242902639195</t>
        </is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n">
        <v>1</v>
      </c>
      <c r="AC679" t="n">
        <v>0</v>
      </c>
      <c r="AH679" t="n">
        <v>1</v>
      </c>
      <c r="AI679" t="n">
        <v>1</v>
      </c>
      <c r="AJ679" t="n">
        <v>0</v>
      </c>
      <c r="AK679" t="n">
        <v>1</v>
      </c>
      <c r="AP679" t="n">
        <v>1</v>
      </c>
      <c r="AQ679" t="n">
        <v>1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1</v>
      </c>
    </row>
    <row r="680">
      <c r="A680" t="inlineStr">
        <is>
          <t>17242902721786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1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1</v>
      </c>
      <c r="AN680" t="n">
        <v>0</v>
      </c>
      <c r="AO680" t="n">
        <v>1</v>
      </c>
    </row>
    <row r="681">
      <c r="A681" t="inlineStr">
        <is>
          <t>17243006241144</t>
        </is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n">
        <v>0</v>
      </c>
      <c r="AC681" t="n">
        <v>1</v>
      </c>
      <c r="AH681" t="n">
        <v>1</v>
      </c>
      <c r="AI681" t="n">
        <v>1</v>
      </c>
      <c r="AJ681" t="n">
        <v>1</v>
      </c>
      <c r="AK681" t="n">
        <v>1</v>
      </c>
      <c r="AP681" t="n">
        <v>0</v>
      </c>
      <c r="AQ681" t="n">
        <v>1</v>
      </c>
      <c r="AR681" t="n">
        <v>0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</row>
    <row r="682">
      <c r="A682" t="inlineStr">
        <is>
          <t>17243491548292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0</v>
      </c>
      <c r="AG682" t="n">
        <v>0</v>
      </c>
      <c r="AH682" t="n">
        <v>1</v>
      </c>
      <c r="AI682" t="n">
        <v>1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</row>
    <row r="683">
      <c r="A683" t="inlineStr">
        <is>
          <t>17243493765453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1</v>
      </c>
      <c r="AJ683" t="n">
        <v>0</v>
      </c>
      <c r="AK683" t="n">
        <v>0</v>
      </c>
      <c r="AL683" t="n">
        <v>1</v>
      </c>
      <c r="AM683" t="n">
        <v>1</v>
      </c>
      <c r="AN683" t="n">
        <v>1</v>
      </c>
      <c r="AO683" t="n">
        <v>0</v>
      </c>
    </row>
    <row r="684">
      <c r="A684" t="inlineStr">
        <is>
          <t>17243518661460</t>
        </is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n">
        <v>0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</row>
    <row r="685">
      <c r="A685" t="inlineStr">
        <is>
          <t>17243656887475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1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</row>
    <row r="686">
      <c r="A686" t="inlineStr">
        <is>
          <t>17243658229062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</row>
    <row r="687">
      <c r="A687" t="inlineStr">
        <is>
          <t>17243659477129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1</v>
      </c>
      <c r="AA687" t="n">
        <v>1</v>
      </c>
      <c r="AB687" t="n">
        <v>1</v>
      </c>
      <c r="AC687" t="n">
        <v>1</v>
      </c>
      <c r="AD687" t="n">
        <v>0</v>
      </c>
      <c r="AE687" t="n">
        <v>0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</row>
    <row r="688">
      <c r="A688" t="inlineStr">
        <is>
          <t>17244050586234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1</v>
      </c>
      <c r="AK688" t="n">
        <v>1</v>
      </c>
      <c r="AL688" t="n">
        <v>0</v>
      </c>
      <c r="AM688" t="n">
        <v>1</v>
      </c>
      <c r="AN688" t="n">
        <v>0</v>
      </c>
      <c r="AO688" t="n">
        <v>1</v>
      </c>
    </row>
    <row r="689">
      <c r="A689" t="inlineStr">
        <is>
          <t>17244052351234</t>
        </is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0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1</v>
      </c>
      <c r="AO689" t="n">
        <v>1</v>
      </c>
    </row>
    <row r="690">
      <c r="A690" t="inlineStr">
        <is>
          <t>17244053566395</t>
        </is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1</v>
      </c>
      <c r="AC690" t="n">
        <v>0</v>
      </c>
      <c r="AH690" t="n">
        <v>1</v>
      </c>
      <c r="AI690" t="n">
        <v>1</v>
      </c>
      <c r="AJ690" t="n">
        <v>0</v>
      </c>
      <c r="AK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</row>
    <row r="691">
      <c r="A691" t="inlineStr">
        <is>
          <t>17244054177330</t>
        </is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H691" t="n">
        <v>1</v>
      </c>
      <c r="AI691" t="n">
        <v>1</v>
      </c>
      <c r="AJ691" t="n">
        <v>0</v>
      </c>
      <c r="AK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1</v>
      </c>
      <c r="AU691" t="n">
        <v>1</v>
      </c>
      <c r="AV691" t="n">
        <v>1</v>
      </c>
      <c r="AW691" t="n">
        <v>1</v>
      </c>
    </row>
    <row r="692">
      <c r="A692" t="inlineStr">
        <is>
          <t>17244057196588</t>
        </is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n">
        <v>1</v>
      </c>
      <c r="AC692" t="n">
        <v>1</v>
      </c>
      <c r="AH692" t="n">
        <v>1</v>
      </c>
      <c r="AI692" t="n">
        <v>1</v>
      </c>
      <c r="AJ692" t="n">
        <v>0</v>
      </c>
      <c r="AK692" t="n">
        <v>0</v>
      </c>
      <c r="AP692" t="n">
        <v>1</v>
      </c>
      <c r="AQ692" t="n">
        <v>1</v>
      </c>
      <c r="AR692" t="n">
        <v>0</v>
      </c>
      <c r="AS692" t="n">
        <v>1</v>
      </c>
      <c r="AT692" t="n">
        <v>0</v>
      </c>
      <c r="AU692" t="n">
        <v>1</v>
      </c>
      <c r="AV692" t="n">
        <v>1</v>
      </c>
      <c r="AW692" t="n">
        <v>1</v>
      </c>
    </row>
    <row r="693">
      <c r="A693" t="inlineStr">
        <is>
          <t>17244057258468</t>
        </is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H693" t="n">
        <v>1</v>
      </c>
      <c r="AI693" t="n">
        <v>0</v>
      </c>
      <c r="AJ693" t="n">
        <v>1</v>
      </c>
      <c r="AK693" t="n">
        <v>0</v>
      </c>
      <c r="AP693" t="n">
        <v>1</v>
      </c>
      <c r="AQ693" t="n">
        <v>1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</row>
    <row r="694">
      <c r="A694" t="inlineStr">
        <is>
          <t>17244057533774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inlineStr">
        <is>
          <t>17244057926737</t>
        </is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H695" t="n">
        <v>1</v>
      </c>
      <c r="AI695" t="n">
        <v>0</v>
      </c>
      <c r="AJ695" t="n">
        <v>0</v>
      </c>
      <c r="AK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1</v>
      </c>
    </row>
    <row r="696">
      <c r="A696" t="inlineStr">
        <is>
          <t>17244058089472</t>
        </is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inlineStr">
        <is>
          <t>17244058426497</t>
        </is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H697" t="n">
        <v>1</v>
      </c>
      <c r="AI697" t="n">
        <v>1</v>
      </c>
      <c r="AJ697" t="n">
        <v>1</v>
      </c>
      <c r="AK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1</v>
      </c>
      <c r="AU697" t="n">
        <v>1</v>
      </c>
      <c r="AV697" t="n">
        <v>1</v>
      </c>
      <c r="AW697" t="n">
        <v>0</v>
      </c>
    </row>
    <row r="698">
      <c r="A698" t="inlineStr">
        <is>
          <t>17244058572613</t>
        </is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0</v>
      </c>
      <c r="AH698" t="n">
        <v>1</v>
      </c>
      <c r="AI698" t="n">
        <v>1</v>
      </c>
      <c r="AJ698" t="n">
        <v>1</v>
      </c>
      <c r="AK698" t="n">
        <v>1</v>
      </c>
      <c r="AP698" t="n">
        <v>1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1</v>
      </c>
      <c r="AW698" t="n">
        <v>1</v>
      </c>
    </row>
    <row r="699">
      <c r="A699" t="inlineStr">
        <is>
          <t>17244058640124</t>
        </is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H699" t="n">
        <v>0</v>
      </c>
      <c r="AI699" t="n">
        <v>0</v>
      </c>
      <c r="AJ699" t="n">
        <v>1</v>
      </c>
      <c r="AK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</row>
    <row r="700">
      <c r="A700" t="inlineStr">
        <is>
          <t>17244058829374</t>
        </is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inlineStr">
        <is>
          <t>17244075879291</t>
        </is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H701" t="n">
        <v>1</v>
      </c>
      <c r="AI701" t="n">
        <v>1</v>
      </c>
      <c r="AJ701" t="n">
        <v>0</v>
      </c>
      <c r="AK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1</v>
      </c>
      <c r="AU701" t="n">
        <v>1</v>
      </c>
      <c r="AV701" t="n">
        <v>1</v>
      </c>
      <c r="AW701" t="n">
        <v>1</v>
      </c>
    </row>
    <row r="702">
      <c r="A702" t="inlineStr">
        <is>
          <t>17244146674368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inlineStr">
        <is>
          <t>17244148467265</t>
        </is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1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</row>
    <row r="704">
      <c r="A704" t="inlineStr">
        <is>
          <t>17244166896707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1</v>
      </c>
      <c r="AO704" t="n">
        <v>1</v>
      </c>
    </row>
    <row r="705">
      <c r="A705" t="inlineStr">
        <is>
          <t>17244455531076</t>
        </is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H705" t="n">
        <v>1</v>
      </c>
      <c r="AI705" t="n">
        <v>1</v>
      </c>
      <c r="AJ705" t="n">
        <v>1</v>
      </c>
      <c r="AK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1</v>
      </c>
      <c r="AU705" t="n">
        <v>1</v>
      </c>
      <c r="AV705" t="n">
        <v>0</v>
      </c>
      <c r="AW705" t="n">
        <v>1</v>
      </c>
    </row>
    <row r="706">
      <c r="A706" t="inlineStr">
        <is>
          <t>17244455753427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H706" t="n">
        <v>1</v>
      </c>
      <c r="AI706" t="n">
        <v>0</v>
      </c>
      <c r="AJ706" t="n">
        <v>0</v>
      </c>
      <c r="AK706" t="n">
        <v>0</v>
      </c>
      <c r="AP706" t="n">
        <v>0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0</v>
      </c>
    </row>
    <row r="707">
      <c r="A707" t="inlineStr">
        <is>
          <t>17244603750641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</row>
    <row r="708">
      <c r="A708" t="inlineStr">
        <is>
          <t>17244650320373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H708" t="n">
        <v>1</v>
      </c>
      <c r="AI708" t="n">
        <v>0</v>
      </c>
      <c r="AJ708" t="n">
        <v>1</v>
      </c>
      <c r="AK708" t="n">
        <v>0</v>
      </c>
      <c r="AP708" t="n">
        <v>1</v>
      </c>
      <c r="AQ708" t="n">
        <v>1</v>
      </c>
      <c r="AR708" t="n">
        <v>0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</row>
    <row r="709">
      <c r="A709" t="inlineStr">
        <is>
          <t>17244691265091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1</v>
      </c>
      <c r="AJ709" t="n">
        <v>0</v>
      </c>
      <c r="AK709" t="n">
        <v>1</v>
      </c>
      <c r="AL709" t="n">
        <v>0</v>
      </c>
      <c r="AM709" t="n">
        <v>1</v>
      </c>
      <c r="AN709" t="n">
        <v>1</v>
      </c>
      <c r="AO709" t="n">
        <v>1</v>
      </c>
    </row>
    <row r="710">
      <c r="A710" t="inlineStr">
        <is>
          <t>17244724011472</t>
        </is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H710" t="n">
        <v>0</v>
      </c>
      <c r="AI710" t="n">
        <v>0</v>
      </c>
      <c r="AJ710" t="n">
        <v>0</v>
      </c>
      <c r="AK710" t="n">
        <v>1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</row>
    <row r="711">
      <c r="A711" t="inlineStr">
        <is>
          <t>17244746352495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0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inlineStr">
        <is>
          <t>17244747125970</t>
        </is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n">
        <v>1</v>
      </c>
      <c r="AC712" t="n">
        <v>0</v>
      </c>
      <c r="AD712" t="n">
        <v>1</v>
      </c>
      <c r="AE712" t="n">
        <v>1</v>
      </c>
      <c r="AF712" t="n">
        <v>0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0</v>
      </c>
      <c r="AM712" t="n">
        <v>1</v>
      </c>
      <c r="AN712" t="n">
        <v>0</v>
      </c>
      <c r="AO712" t="n">
        <v>1</v>
      </c>
    </row>
    <row r="713">
      <c r="A713" t="inlineStr">
        <is>
          <t>17244747527167</t>
        </is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</row>
    <row r="714">
      <c r="A714" t="inlineStr">
        <is>
          <t>17244748394804</t>
        </is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1</v>
      </c>
      <c r="AH714" t="n">
        <v>1</v>
      </c>
      <c r="AI714" t="n">
        <v>0</v>
      </c>
      <c r="AJ714" t="n">
        <v>1</v>
      </c>
      <c r="AK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</row>
    <row r="715">
      <c r="A715" t="inlineStr">
        <is>
          <t>17244785588645</t>
        </is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1</v>
      </c>
      <c r="AH715" t="n">
        <v>1</v>
      </c>
      <c r="AI715" t="n">
        <v>1</v>
      </c>
      <c r="AJ715" t="n">
        <v>0</v>
      </c>
      <c r="AK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1</v>
      </c>
      <c r="AU715" t="n">
        <v>1</v>
      </c>
      <c r="AV715" t="n">
        <v>0</v>
      </c>
      <c r="AW715" t="n">
        <v>1</v>
      </c>
    </row>
    <row r="716">
      <c r="A716" t="inlineStr">
        <is>
          <t>17245036291269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1</v>
      </c>
      <c r="AC716" t="n">
        <v>1</v>
      </c>
      <c r="AH716" t="n">
        <v>1</v>
      </c>
      <c r="AI716" t="n">
        <v>1</v>
      </c>
      <c r="AJ716" t="n">
        <v>1</v>
      </c>
      <c r="AK716" t="n">
        <v>1</v>
      </c>
      <c r="AP716" t="n">
        <v>0</v>
      </c>
      <c r="AQ716" t="n">
        <v>1</v>
      </c>
      <c r="AR716" t="n">
        <v>1</v>
      </c>
      <c r="AS716" t="n">
        <v>1</v>
      </c>
      <c r="AT716" t="n">
        <v>0</v>
      </c>
      <c r="AU716" t="n">
        <v>1</v>
      </c>
      <c r="AV716" t="n">
        <v>1</v>
      </c>
      <c r="AW716" t="n">
        <v>1</v>
      </c>
    </row>
    <row r="717">
      <c r="A717" t="inlineStr">
        <is>
          <t>17245064354881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H717" t="n">
        <v>1</v>
      </c>
      <c r="AI717" t="n">
        <v>0</v>
      </c>
      <c r="AJ717" t="n">
        <v>1</v>
      </c>
      <c r="AK717" t="n">
        <v>0</v>
      </c>
      <c r="AP717" t="n">
        <v>1</v>
      </c>
      <c r="AQ717" t="n">
        <v>1</v>
      </c>
      <c r="AR717" t="n">
        <v>0</v>
      </c>
      <c r="AS717" t="n">
        <v>0</v>
      </c>
      <c r="AT717" t="n">
        <v>1</v>
      </c>
      <c r="AU717" t="n">
        <v>1</v>
      </c>
      <c r="AV717" t="n">
        <v>1</v>
      </c>
      <c r="AW717" t="n">
        <v>0</v>
      </c>
    </row>
    <row r="718">
      <c r="A718" t="inlineStr">
        <is>
          <t>17245065472508</t>
        </is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n">
        <v>1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1</v>
      </c>
      <c r="AJ718" t="n">
        <v>1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</row>
    <row r="719">
      <c r="A719" t="inlineStr">
        <is>
          <t>17245067734166</t>
        </is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1</v>
      </c>
      <c r="X719" t="n">
        <v>1</v>
      </c>
      <c r="Y719" t="n">
        <v>0</v>
      </c>
      <c r="Z719" t="n">
        <v>1</v>
      </c>
      <c r="AA719" t="n">
        <v>1</v>
      </c>
      <c r="AB719" t="n">
        <v>0</v>
      </c>
      <c r="AC719" t="n">
        <v>1</v>
      </c>
      <c r="AH719" t="n">
        <v>1</v>
      </c>
      <c r="AI719" t="n">
        <v>1</v>
      </c>
      <c r="AJ719" t="n">
        <v>0</v>
      </c>
      <c r="AK719" t="n">
        <v>1</v>
      </c>
      <c r="AP719" t="n">
        <v>0</v>
      </c>
      <c r="AQ719" t="n">
        <v>1</v>
      </c>
      <c r="AR719" t="n">
        <v>1</v>
      </c>
      <c r="AS719" t="n">
        <v>1</v>
      </c>
      <c r="AT719" t="n">
        <v>1</v>
      </c>
      <c r="AU719" t="n">
        <v>0</v>
      </c>
      <c r="AV719" t="n">
        <v>0</v>
      </c>
      <c r="AW719" t="n">
        <v>1</v>
      </c>
    </row>
    <row r="720">
      <c r="A720" t="inlineStr">
        <is>
          <t>17245074118082</t>
        </is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H720" t="n">
        <v>1</v>
      </c>
      <c r="AI720" t="n">
        <v>1</v>
      </c>
      <c r="AJ720" t="n">
        <v>0</v>
      </c>
      <c r="AK720" t="n">
        <v>1</v>
      </c>
      <c r="AP720" t="n">
        <v>0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</row>
    <row r="721">
      <c r="A721" t="inlineStr">
        <is>
          <t>17245077246836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inlineStr">
        <is>
          <t>17245077461578</t>
        </is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H722" t="n">
        <v>0</v>
      </c>
      <c r="AI722" t="n">
        <v>0</v>
      </c>
      <c r="AJ722" t="n">
        <v>0</v>
      </c>
      <c r="AK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1</v>
      </c>
      <c r="AW722" t="n">
        <v>1</v>
      </c>
    </row>
    <row r="723">
      <c r="A723" t="inlineStr">
        <is>
          <t>17245077529724</t>
        </is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1</v>
      </c>
      <c r="AC723" t="n">
        <v>1</v>
      </c>
      <c r="AH723" t="n">
        <v>1</v>
      </c>
      <c r="AI723" t="n">
        <v>1</v>
      </c>
      <c r="AJ723" t="n">
        <v>0</v>
      </c>
      <c r="AK723" t="n">
        <v>0</v>
      </c>
      <c r="AP723" t="n">
        <v>1</v>
      </c>
      <c r="AQ723" t="n">
        <v>1</v>
      </c>
      <c r="AR723" t="n">
        <v>0</v>
      </c>
      <c r="AS723" t="n">
        <v>1</v>
      </c>
      <c r="AT723" t="n">
        <v>1</v>
      </c>
      <c r="AU723" t="n">
        <v>1</v>
      </c>
      <c r="AV723" t="n">
        <v>1</v>
      </c>
      <c r="AW723" t="n">
        <v>1</v>
      </c>
    </row>
    <row r="724">
      <c r="A724" t="inlineStr">
        <is>
          <t>17245077957221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H724" t="n">
        <v>1</v>
      </c>
      <c r="AI724" t="n">
        <v>1</v>
      </c>
      <c r="AJ724" t="n">
        <v>1</v>
      </c>
      <c r="AK724" t="n">
        <v>1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1</v>
      </c>
      <c r="AV724" t="n">
        <v>1</v>
      </c>
      <c r="AW724" t="n">
        <v>1</v>
      </c>
    </row>
    <row r="725">
      <c r="A725" t="inlineStr">
        <is>
          <t>17245078454573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inlineStr">
        <is>
          <t>17245079251198</t>
        </is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1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inlineStr">
        <is>
          <t>17245079399684</t>
        </is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</row>
    <row r="728">
      <c r="A728" t="inlineStr">
        <is>
          <t>17245080030500</t>
        </is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0</v>
      </c>
      <c r="AC728" t="n">
        <v>1</v>
      </c>
      <c r="AH728" t="n">
        <v>1</v>
      </c>
      <c r="AI728" t="n">
        <v>0</v>
      </c>
      <c r="AJ728" t="n">
        <v>1</v>
      </c>
      <c r="AK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1</v>
      </c>
      <c r="AV728" t="n">
        <v>1</v>
      </c>
      <c r="AW728" t="n">
        <v>1</v>
      </c>
    </row>
    <row r="729">
      <c r="A729" t="inlineStr">
        <is>
          <t>17245080438690</t>
        </is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H729" t="n">
        <v>1</v>
      </c>
      <c r="AI729" t="n">
        <v>0</v>
      </c>
      <c r="AJ729" t="n">
        <v>0</v>
      </c>
      <c r="AK729" t="n">
        <v>1</v>
      </c>
      <c r="AP729" t="n">
        <v>0</v>
      </c>
      <c r="AQ729" t="n">
        <v>1</v>
      </c>
      <c r="AR729" t="n">
        <v>0</v>
      </c>
      <c r="AS729" t="n">
        <v>1</v>
      </c>
      <c r="AT729" t="n">
        <v>1</v>
      </c>
      <c r="AU729" t="n">
        <v>0</v>
      </c>
      <c r="AV729" t="n">
        <v>1</v>
      </c>
      <c r="AW729" t="n">
        <v>1</v>
      </c>
    </row>
    <row r="730">
      <c r="A730" t="inlineStr">
        <is>
          <t>17245080696502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H730" t="n">
        <v>1</v>
      </c>
      <c r="AI730" t="n">
        <v>1</v>
      </c>
      <c r="AJ730" t="n">
        <v>1</v>
      </c>
      <c r="AK730" t="n">
        <v>1</v>
      </c>
      <c r="AP730" t="n">
        <v>0</v>
      </c>
      <c r="AQ730" t="n">
        <v>1</v>
      </c>
      <c r="AR730" t="n">
        <v>0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</row>
    <row r="731">
      <c r="A731" t="inlineStr">
        <is>
          <t>17245080719306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</row>
    <row r="732">
      <c r="A732" t="inlineStr">
        <is>
          <t>17245080899097</t>
        </is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H732" t="n">
        <v>0</v>
      </c>
      <c r="AI732" t="n">
        <v>1</v>
      </c>
      <c r="AJ732" t="n">
        <v>0</v>
      </c>
      <c r="AK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1</v>
      </c>
      <c r="AU732" t="n">
        <v>0</v>
      </c>
      <c r="AV732" t="n">
        <v>1</v>
      </c>
      <c r="AW732" t="n">
        <v>0</v>
      </c>
    </row>
    <row r="733">
      <c r="A733" t="inlineStr">
        <is>
          <t>17245125566711</t>
        </is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1</v>
      </c>
      <c r="AH733" t="n">
        <v>1</v>
      </c>
      <c r="AI733" t="n">
        <v>0</v>
      </c>
      <c r="AJ733" t="n">
        <v>0</v>
      </c>
      <c r="AK733" t="n">
        <v>1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1</v>
      </c>
      <c r="AW733" t="n">
        <v>1</v>
      </c>
    </row>
    <row r="734">
      <c r="A734" t="inlineStr">
        <is>
          <t>17245225314787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0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</row>
    <row r="735">
      <c r="A735" t="inlineStr">
        <is>
          <t>17245229236022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1</v>
      </c>
      <c r="AH735" t="n">
        <v>1</v>
      </c>
      <c r="AI735" t="n">
        <v>1</v>
      </c>
      <c r="AJ735" t="n">
        <v>0</v>
      </c>
      <c r="AK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1</v>
      </c>
      <c r="AU735" t="n">
        <v>1</v>
      </c>
      <c r="AV735" t="n">
        <v>0</v>
      </c>
      <c r="AW735" t="n">
        <v>1</v>
      </c>
    </row>
    <row r="736">
      <c r="A736" t="inlineStr">
        <is>
          <t>17245230622956</t>
        </is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inlineStr">
        <is>
          <t>17245230916417</t>
        </is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0</v>
      </c>
      <c r="AG737" t="n">
        <v>1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</row>
    <row r="738">
      <c r="A738" t="inlineStr">
        <is>
          <t>17245238729138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H738" t="n">
        <v>1</v>
      </c>
      <c r="AI738" t="n">
        <v>0</v>
      </c>
      <c r="AJ738" t="n">
        <v>1</v>
      </c>
      <c r="AK738" t="n">
        <v>1</v>
      </c>
      <c r="AP738" t="n">
        <v>1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1</v>
      </c>
    </row>
    <row r="739">
      <c r="A739" t="inlineStr">
        <is>
          <t>17245243450014</t>
        </is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H739" t="n">
        <v>0</v>
      </c>
      <c r="AI739" t="n">
        <v>0</v>
      </c>
      <c r="AJ739" t="n">
        <v>0</v>
      </c>
      <c r="AK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</row>
    <row r="740">
      <c r="A740" t="inlineStr">
        <is>
          <t>17245243970913</t>
        </is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H740" t="n">
        <v>1</v>
      </c>
      <c r="AI740" t="n">
        <v>0</v>
      </c>
      <c r="AJ740" t="n">
        <v>0</v>
      </c>
      <c r="AK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1</v>
      </c>
      <c r="AV740" t="n">
        <v>1</v>
      </c>
      <c r="AW740" t="n">
        <v>1</v>
      </c>
    </row>
    <row r="741">
      <c r="A741" t="inlineStr">
        <is>
          <t>17245244036268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H741" t="n">
        <v>1</v>
      </c>
      <c r="AI741" t="n">
        <v>1</v>
      </c>
      <c r="AJ741" t="n">
        <v>1</v>
      </c>
      <c r="AK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1</v>
      </c>
      <c r="AW741" t="n">
        <v>1</v>
      </c>
    </row>
    <row r="742">
      <c r="A742" t="inlineStr">
        <is>
          <t>17245391832649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</row>
    <row r="743">
      <c r="A743" t="inlineStr">
        <is>
          <t>17245396433807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0</v>
      </c>
      <c r="AK743" t="n">
        <v>1</v>
      </c>
      <c r="AL743" t="n">
        <v>1</v>
      </c>
      <c r="AM743" t="n">
        <v>1</v>
      </c>
      <c r="AN743" t="n">
        <v>1</v>
      </c>
      <c r="AO743" t="n">
        <v>0</v>
      </c>
    </row>
    <row r="744">
      <c r="A744" t="inlineStr">
        <is>
          <t>17245397092055</t>
        </is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1</v>
      </c>
      <c r="AH744" t="n">
        <v>1</v>
      </c>
      <c r="AI744" t="n">
        <v>1</v>
      </c>
      <c r="AJ744" t="n">
        <v>0</v>
      </c>
      <c r="AK744" t="n">
        <v>0</v>
      </c>
      <c r="AP744" t="n">
        <v>1</v>
      </c>
      <c r="AQ744" t="n">
        <v>1</v>
      </c>
      <c r="AR744" t="n">
        <v>1</v>
      </c>
      <c r="AS744" t="n">
        <v>1</v>
      </c>
      <c r="AT744" t="n">
        <v>1</v>
      </c>
      <c r="AU744" t="n">
        <v>1</v>
      </c>
      <c r="AV744" t="n">
        <v>1</v>
      </c>
      <c r="AW744" t="n">
        <v>1</v>
      </c>
    </row>
    <row r="745">
      <c r="A745" t="inlineStr">
        <is>
          <t>17245401319055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n">
        <v>0</v>
      </c>
      <c r="AC745" t="n">
        <v>0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0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1</v>
      </c>
    </row>
    <row r="746">
      <c r="A746" t="inlineStr">
        <is>
          <t>17245544885541</t>
        </is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H746" t="n">
        <v>1</v>
      </c>
      <c r="AI746" t="n">
        <v>1</v>
      </c>
      <c r="AJ746" t="n">
        <v>0</v>
      </c>
      <c r="AK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</row>
    <row r="747">
      <c r="A747" t="inlineStr">
        <is>
          <t>17245545131310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inlineStr">
        <is>
          <t>17245545228885</t>
        </is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inlineStr">
        <is>
          <t>17245546536529</t>
        </is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n">
        <v>0</v>
      </c>
      <c r="AC749" t="n">
        <v>1</v>
      </c>
      <c r="AH749" t="n">
        <v>1</v>
      </c>
      <c r="AI749" t="n">
        <v>1</v>
      </c>
      <c r="AJ749" t="n">
        <v>0</v>
      </c>
      <c r="AK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0</v>
      </c>
      <c r="AV749" t="n">
        <v>0</v>
      </c>
      <c r="AW749" t="n">
        <v>1</v>
      </c>
    </row>
    <row r="750">
      <c r="A750" t="inlineStr">
        <is>
          <t>17245547480910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n">
        <v>1</v>
      </c>
      <c r="AC750" t="n">
        <v>1</v>
      </c>
      <c r="AH750" t="n">
        <v>1</v>
      </c>
      <c r="AI750" t="n">
        <v>1</v>
      </c>
      <c r="AJ750" t="n">
        <v>0</v>
      </c>
      <c r="AK750" t="n">
        <v>0</v>
      </c>
      <c r="AP750" t="n">
        <v>1</v>
      </c>
      <c r="AQ750" t="n">
        <v>1</v>
      </c>
      <c r="AR750" t="n">
        <v>0</v>
      </c>
      <c r="AS750" t="n">
        <v>1</v>
      </c>
      <c r="AT750" t="n">
        <v>1</v>
      </c>
      <c r="AU750" t="n">
        <v>1</v>
      </c>
      <c r="AV750" t="n">
        <v>1</v>
      </c>
      <c r="AW750" t="n">
        <v>1</v>
      </c>
    </row>
    <row r="751">
      <c r="A751" t="inlineStr">
        <is>
          <t>17245549184028</t>
        </is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0</v>
      </c>
      <c r="AC751" t="n">
        <v>1</v>
      </c>
      <c r="AH751" t="n">
        <v>1</v>
      </c>
      <c r="AI751" t="n">
        <v>1</v>
      </c>
      <c r="AJ751" t="n">
        <v>0</v>
      </c>
      <c r="AK751" t="n">
        <v>1</v>
      </c>
      <c r="AP751" t="n">
        <v>0</v>
      </c>
      <c r="AQ751" t="n">
        <v>1</v>
      </c>
      <c r="AR751" t="n">
        <v>1</v>
      </c>
      <c r="AS751" t="n">
        <v>1</v>
      </c>
      <c r="AT751" t="n">
        <v>1</v>
      </c>
      <c r="AU751" t="n">
        <v>0</v>
      </c>
      <c r="AV751" t="n">
        <v>1</v>
      </c>
      <c r="AW751" t="n">
        <v>1</v>
      </c>
    </row>
    <row r="752">
      <c r="A752" t="inlineStr">
        <is>
          <t>17245549997711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H752" t="n">
        <v>1</v>
      </c>
      <c r="AI752" t="n">
        <v>1</v>
      </c>
      <c r="AJ752" t="n">
        <v>1</v>
      </c>
      <c r="AK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</row>
    <row r="753">
      <c r="A753" t="inlineStr">
        <is>
          <t>17245550126796</t>
        </is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0</v>
      </c>
      <c r="AC753" t="n">
        <v>1</v>
      </c>
      <c r="AH753" t="n">
        <v>1</v>
      </c>
      <c r="AI753" t="n">
        <v>1</v>
      </c>
      <c r="AJ753" t="n">
        <v>0</v>
      </c>
      <c r="AK753" t="n">
        <v>1</v>
      </c>
      <c r="AP753" t="n">
        <v>0</v>
      </c>
      <c r="AQ753" t="n">
        <v>1</v>
      </c>
      <c r="AR753" t="n">
        <v>1</v>
      </c>
      <c r="AS753" t="n">
        <v>0</v>
      </c>
      <c r="AT753" t="n">
        <v>1</v>
      </c>
      <c r="AU753" t="n">
        <v>0</v>
      </c>
      <c r="AV753" t="n">
        <v>1</v>
      </c>
      <c r="AW753" t="n">
        <v>1</v>
      </c>
    </row>
    <row r="754">
      <c r="A754" t="inlineStr">
        <is>
          <t>17245551369474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1</v>
      </c>
      <c r="AB754" t="n">
        <v>1</v>
      </c>
      <c r="AC754" t="n">
        <v>0</v>
      </c>
      <c r="AH754" t="n">
        <v>1</v>
      </c>
      <c r="AI754" t="n">
        <v>0</v>
      </c>
      <c r="AJ754" t="n">
        <v>1</v>
      </c>
      <c r="AK754" t="n">
        <v>0</v>
      </c>
      <c r="AP754" t="n">
        <v>1</v>
      </c>
      <c r="AQ754" t="n">
        <v>1</v>
      </c>
      <c r="AR754" t="n">
        <v>1</v>
      </c>
      <c r="AS754" t="n">
        <v>1</v>
      </c>
      <c r="AT754" t="n">
        <v>1</v>
      </c>
      <c r="AU754" t="n">
        <v>1</v>
      </c>
      <c r="AV754" t="n">
        <v>1</v>
      </c>
      <c r="AW754" t="n">
        <v>0</v>
      </c>
    </row>
    <row r="755">
      <c r="A755" t="inlineStr">
        <is>
          <t>17245552513703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1</v>
      </c>
      <c r="AH755" t="n">
        <v>1</v>
      </c>
      <c r="AI755" t="n">
        <v>1</v>
      </c>
      <c r="AJ755" t="n">
        <v>0</v>
      </c>
      <c r="AK755" t="n">
        <v>1</v>
      </c>
      <c r="AP755" t="n">
        <v>1</v>
      </c>
      <c r="AQ755" t="n">
        <v>1</v>
      </c>
      <c r="AR755" t="n">
        <v>0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</row>
    <row r="756">
      <c r="A756" t="inlineStr">
        <is>
          <t>17245558313730</t>
        </is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1</v>
      </c>
      <c r="AH756" t="n">
        <v>1</v>
      </c>
      <c r="AI756" t="n">
        <v>1</v>
      </c>
      <c r="AJ756" t="n">
        <v>0</v>
      </c>
      <c r="AK756" t="n">
        <v>1</v>
      </c>
      <c r="AP756" t="n">
        <v>0</v>
      </c>
      <c r="AQ756" t="n">
        <v>1</v>
      </c>
      <c r="AR756" t="n">
        <v>0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</row>
    <row r="757">
      <c r="A757" t="inlineStr">
        <is>
          <t>17245737482710</t>
        </is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H757" t="n">
        <v>1</v>
      </c>
      <c r="AI757" t="n">
        <v>0</v>
      </c>
      <c r="AJ757" t="n">
        <v>1</v>
      </c>
      <c r="AK757" t="n">
        <v>0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1</v>
      </c>
      <c r="AV757" t="n">
        <v>1</v>
      </c>
      <c r="AW757" t="n">
        <v>0</v>
      </c>
    </row>
    <row r="758">
      <c r="A758" t="inlineStr">
        <is>
          <t>17245739054050</t>
        </is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H758" t="n">
        <v>1</v>
      </c>
      <c r="AI758" t="n">
        <v>0</v>
      </c>
      <c r="AJ758" t="n">
        <v>0</v>
      </c>
      <c r="AK758" t="n">
        <v>0</v>
      </c>
      <c r="AP758" t="n">
        <v>1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1</v>
      </c>
      <c r="AW758" t="n">
        <v>0</v>
      </c>
    </row>
    <row r="759">
      <c r="A759" t="inlineStr">
        <is>
          <t>17245739714080</t>
        </is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inlineStr">
        <is>
          <t>17245757970627</t>
        </is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inlineStr">
        <is>
          <t>17245758841088</t>
        </is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inlineStr">
        <is>
          <t>17245804280579</t>
        </is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1</v>
      </c>
      <c r="S762" t="n">
        <v>1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  <c r="Z762" t="n">
        <v>1</v>
      </c>
      <c r="AA762" t="n">
        <v>1</v>
      </c>
      <c r="AB762" t="n">
        <v>1</v>
      </c>
      <c r="AC762" t="n">
        <v>0</v>
      </c>
      <c r="AH762" t="n">
        <v>1</v>
      </c>
      <c r="AI762" t="n">
        <v>1</v>
      </c>
      <c r="AJ762" t="n">
        <v>0</v>
      </c>
      <c r="AK762" t="n">
        <v>1</v>
      </c>
      <c r="AP762" t="n">
        <v>1</v>
      </c>
      <c r="AQ762" t="n">
        <v>1</v>
      </c>
      <c r="AR762" t="n">
        <v>0</v>
      </c>
      <c r="AS762" t="n">
        <v>1</v>
      </c>
      <c r="AT762" t="n">
        <v>1</v>
      </c>
      <c r="AU762" t="n">
        <v>1</v>
      </c>
      <c r="AV762" t="n">
        <v>1</v>
      </c>
      <c r="AW762" t="n">
        <v>1</v>
      </c>
    </row>
    <row r="763">
      <c r="A763" t="inlineStr">
        <is>
          <t>17245804850995</t>
        </is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H763" t="n">
        <v>1</v>
      </c>
      <c r="AI763" t="n">
        <v>1</v>
      </c>
      <c r="AJ763" t="n">
        <v>0</v>
      </c>
      <c r="AK763" t="n">
        <v>0</v>
      </c>
      <c r="AP763" t="n">
        <v>0</v>
      </c>
      <c r="AQ763" t="n">
        <v>1</v>
      </c>
      <c r="AR763" t="n">
        <v>1</v>
      </c>
      <c r="AS763" t="n">
        <v>0</v>
      </c>
      <c r="AT763" t="n">
        <v>1</v>
      </c>
      <c r="AU763" t="n">
        <v>1</v>
      </c>
      <c r="AV763" t="n">
        <v>1</v>
      </c>
      <c r="AW763" t="n">
        <v>1</v>
      </c>
    </row>
    <row r="764">
      <c r="A764" t="inlineStr">
        <is>
          <t>17245810023984</t>
        </is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H764" t="n">
        <v>1</v>
      </c>
      <c r="AI764" t="n">
        <v>1</v>
      </c>
      <c r="AJ764" t="n">
        <v>0</v>
      </c>
      <c r="AK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1</v>
      </c>
      <c r="AU764" t="n">
        <v>1</v>
      </c>
      <c r="AV764" t="n">
        <v>0</v>
      </c>
      <c r="AW764" t="n">
        <v>0</v>
      </c>
    </row>
    <row r="765">
      <c r="A765" t="inlineStr">
        <is>
          <t>17245811355253</t>
        </is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n">
        <v>1</v>
      </c>
      <c r="AH765" t="n">
        <v>1</v>
      </c>
      <c r="AI765" t="n">
        <v>1</v>
      </c>
      <c r="AJ765" t="n">
        <v>0</v>
      </c>
      <c r="AK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0</v>
      </c>
      <c r="AW765" t="n">
        <v>1</v>
      </c>
    </row>
    <row r="766">
      <c r="A766" t="inlineStr">
        <is>
          <t>17245811565546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n">
        <v>0</v>
      </c>
      <c r="AC766" t="n">
        <v>1</v>
      </c>
      <c r="AH766" t="n">
        <v>1</v>
      </c>
      <c r="AI766" t="n">
        <v>0</v>
      </c>
      <c r="AJ766" t="n">
        <v>1</v>
      </c>
      <c r="AK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1</v>
      </c>
      <c r="AV766" t="n">
        <v>1</v>
      </c>
      <c r="AW766" t="n">
        <v>1</v>
      </c>
    </row>
    <row r="767">
      <c r="A767" t="inlineStr">
        <is>
          <t>17245813153664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H767" t="n">
        <v>1</v>
      </c>
      <c r="AI767" t="n">
        <v>1</v>
      </c>
      <c r="AJ767" t="n">
        <v>1</v>
      </c>
      <c r="AK767" t="n">
        <v>1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1</v>
      </c>
    </row>
    <row r="768">
      <c r="A768" t="inlineStr">
        <is>
          <t>17245813338705</t>
        </is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n">
        <v>1</v>
      </c>
      <c r="AH768" t="n">
        <v>1</v>
      </c>
      <c r="AI768" t="n">
        <v>1</v>
      </c>
      <c r="AJ768" t="n">
        <v>1</v>
      </c>
      <c r="AK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1</v>
      </c>
      <c r="AU768" t="n">
        <v>1</v>
      </c>
      <c r="AV768" t="n">
        <v>1</v>
      </c>
      <c r="AW768" t="n">
        <v>1</v>
      </c>
    </row>
    <row r="769">
      <c r="A769" t="inlineStr">
        <is>
          <t>17245815228123</t>
        </is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1</v>
      </c>
      <c r="AH769" t="n">
        <v>1</v>
      </c>
      <c r="AI769" t="n">
        <v>1</v>
      </c>
      <c r="AJ769" t="n">
        <v>1</v>
      </c>
      <c r="AK769" t="n">
        <v>0</v>
      </c>
      <c r="AP769" t="n">
        <v>1</v>
      </c>
      <c r="AQ769" t="n">
        <v>1</v>
      </c>
      <c r="AR769" t="n">
        <v>1</v>
      </c>
      <c r="AS769" t="n">
        <v>1</v>
      </c>
      <c r="AT769" t="n">
        <v>0</v>
      </c>
      <c r="AU769" t="n">
        <v>1</v>
      </c>
      <c r="AV769" t="n">
        <v>1</v>
      </c>
      <c r="AW769" t="n">
        <v>1</v>
      </c>
    </row>
    <row r="770">
      <c r="A770" t="inlineStr">
        <is>
          <t>17245815344926</t>
        </is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n">
        <v>1</v>
      </c>
      <c r="AH770" t="n">
        <v>1</v>
      </c>
      <c r="AI770" t="n">
        <v>1</v>
      </c>
      <c r="AJ770" t="n">
        <v>0</v>
      </c>
      <c r="AK770" t="n">
        <v>1</v>
      </c>
      <c r="AP770" t="n">
        <v>1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1</v>
      </c>
    </row>
    <row r="771">
      <c r="A771" t="inlineStr">
        <is>
          <t>17245815498575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0</v>
      </c>
      <c r="AC771" t="n">
        <v>1</v>
      </c>
      <c r="AH771" t="n">
        <v>1</v>
      </c>
      <c r="AI771" t="n">
        <v>1</v>
      </c>
      <c r="AJ771" t="n">
        <v>0</v>
      </c>
      <c r="AK771" t="n">
        <v>1</v>
      </c>
      <c r="AP771" t="n">
        <v>1</v>
      </c>
      <c r="AQ771" t="n">
        <v>1</v>
      </c>
      <c r="AR771" t="n">
        <v>0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</row>
    <row r="772">
      <c r="A772" t="inlineStr">
        <is>
          <t>17245816586310</t>
        </is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n">
        <v>1</v>
      </c>
      <c r="AC772" t="n">
        <v>1</v>
      </c>
      <c r="AH772" t="n">
        <v>1</v>
      </c>
      <c r="AI772" t="n">
        <v>1</v>
      </c>
      <c r="AJ772" t="n">
        <v>1</v>
      </c>
      <c r="AK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1</v>
      </c>
      <c r="AV772" t="n">
        <v>1</v>
      </c>
      <c r="AW772" t="n">
        <v>0</v>
      </c>
    </row>
    <row r="773">
      <c r="A773" t="inlineStr">
        <is>
          <t>17245851764276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inlineStr">
        <is>
          <t>17245851842247</t>
        </is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</row>
    <row r="775">
      <c r="A775" t="inlineStr">
        <is>
          <t>17245877511619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1</v>
      </c>
      <c r="AA775" t="n">
        <v>1</v>
      </c>
      <c r="AB775" t="n">
        <v>1</v>
      </c>
      <c r="AC775" t="n">
        <v>1</v>
      </c>
      <c r="AH775" t="n">
        <v>1</v>
      </c>
      <c r="AI775" t="n">
        <v>1</v>
      </c>
      <c r="AJ775" t="n">
        <v>1</v>
      </c>
      <c r="AK775" t="n">
        <v>1</v>
      </c>
      <c r="AP775" t="n">
        <v>1</v>
      </c>
      <c r="AQ775" t="n">
        <v>1</v>
      </c>
      <c r="AR775" t="n">
        <v>0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</row>
    <row r="776">
      <c r="A776" t="inlineStr">
        <is>
          <t>17245884937665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1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inlineStr">
        <is>
          <t>17245885098310</t>
        </is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1</v>
      </c>
      <c r="AJ777" t="n">
        <v>1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inlineStr">
        <is>
          <t>17245885247017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H778" t="n">
        <v>1</v>
      </c>
      <c r="AI778" t="n">
        <v>1</v>
      </c>
      <c r="AJ778" t="n">
        <v>0</v>
      </c>
      <c r="AK778" t="n">
        <v>1</v>
      </c>
      <c r="AP778" t="n">
        <v>1</v>
      </c>
      <c r="AQ778" t="n">
        <v>1</v>
      </c>
      <c r="AR778" t="n">
        <v>0</v>
      </c>
      <c r="AS778" t="n">
        <v>0</v>
      </c>
      <c r="AT778" t="n">
        <v>1</v>
      </c>
      <c r="AU778" t="n">
        <v>0</v>
      </c>
      <c r="AV778" t="n">
        <v>1</v>
      </c>
      <c r="AW778" t="n">
        <v>1</v>
      </c>
    </row>
    <row r="779">
      <c r="A779" t="inlineStr">
        <is>
          <t>17245885412646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H779" t="n">
        <v>1</v>
      </c>
      <c r="AI779" t="n">
        <v>1</v>
      </c>
      <c r="AJ779" t="n">
        <v>0</v>
      </c>
      <c r="AK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</row>
    <row r="780">
      <c r="A780" t="inlineStr">
        <is>
          <t>17245886098754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H780" t="n">
        <v>1</v>
      </c>
      <c r="AI780" t="n">
        <v>1</v>
      </c>
      <c r="AJ780" t="n">
        <v>1</v>
      </c>
      <c r="AK780" t="n">
        <v>1</v>
      </c>
      <c r="AP780" t="n">
        <v>1</v>
      </c>
      <c r="AQ780" t="n">
        <v>1</v>
      </c>
      <c r="AR780" t="n">
        <v>0</v>
      </c>
      <c r="AS780" t="n">
        <v>0</v>
      </c>
      <c r="AT780" t="n">
        <v>1</v>
      </c>
      <c r="AU780" t="n">
        <v>1</v>
      </c>
      <c r="AV780" t="n">
        <v>1</v>
      </c>
      <c r="AW780" t="n">
        <v>1</v>
      </c>
    </row>
    <row r="781">
      <c r="A781" t="inlineStr">
        <is>
          <t>17245886218989</t>
        </is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H781" t="n">
        <v>0</v>
      </c>
      <c r="AI781" t="n">
        <v>0</v>
      </c>
      <c r="AJ781" t="n">
        <v>0</v>
      </c>
      <c r="AK781" t="n">
        <v>0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</row>
    <row r="782">
      <c r="A782" t="inlineStr">
        <is>
          <t>17245886389061</t>
        </is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H782" t="n">
        <v>1</v>
      </c>
      <c r="AI782" t="n">
        <v>0</v>
      </c>
      <c r="AJ782" t="n">
        <v>0</v>
      </c>
      <c r="AK782" t="n">
        <v>1</v>
      </c>
      <c r="AP782" t="n">
        <v>0</v>
      </c>
      <c r="AQ782" t="n">
        <v>1</v>
      </c>
      <c r="AR782" t="n">
        <v>1</v>
      </c>
      <c r="AS782" t="n">
        <v>1</v>
      </c>
      <c r="AT782" t="n">
        <v>1</v>
      </c>
      <c r="AU782" t="n">
        <v>1</v>
      </c>
      <c r="AV782" t="n">
        <v>1</v>
      </c>
      <c r="AW782" t="n">
        <v>1</v>
      </c>
    </row>
    <row r="783">
      <c r="A783" t="inlineStr">
        <is>
          <t>17245886574904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n">
        <v>0</v>
      </c>
      <c r="AC783" t="n">
        <v>1</v>
      </c>
      <c r="AH783" t="n">
        <v>1</v>
      </c>
      <c r="AI783" t="n">
        <v>1</v>
      </c>
      <c r="AJ783" t="n">
        <v>0</v>
      </c>
      <c r="AK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1</v>
      </c>
      <c r="AU783" t="n">
        <v>1</v>
      </c>
      <c r="AV783" t="n">
        <v>1</v>
      </c>
      <c r="AW783" t="n">
        <v>1</v>
      </c>
    </row>
    <row r="784">
      <c r="A784" t="inlineStr">
        <is>
          <t>17245886739206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1</v>
      </c>
      <c r="AD784" t="n">
        <v>1</v>
      </c>
      <c r="AE784" t="n">
        <v>0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</row>
    <row r="785">
      <c r="A785" t="inlineStr">
        <is>
          <t>17245886914247</t>
        </is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n">
        <v>1</v>
      </c>
      <c r="AC785" t="n">
        <v>1</v>
      </c>
      <c r="AH785" t="n">
        <v>1</v>
      </c>
      <c r="AI785" t="n">
        <v>1</v>
      </c>
      <c r="AJ785" t="n">
        <v>0</v>
      </c>
      <c r="AK785" t="n">
        <v>1</v>
      </c>
      <c r="AP785" t="n">
        <v>1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1</v>
      </c>
    </row>
    <row r="786">
      <c r="A786" t="inlineStr">
        <is>
          <t>17245887935345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0</v>
      </c>
      <c r="AC786" t="n">
        <v>1</v>
      </c>
      <c r="AH786" t="n">
        <v>1</v>
      </c>
      <c r="AI786" t="n">
        <v>0</v>
      </c>
      <c r="AJ786" t="n">
        <v>0</v>
      </c>
      <c r="AK786" t="n">
        <v>1</v>
      </c>
      <c r="AP786" t="n">
        <v>0</v>
      </c>
      <c r="AQ786" t="n">
        <v>1</v>
      </c>
      <c r="AR786" t="n">
        <v>0</v>
      </c>
      <c r="AS786" t="n">
        <v>1</v>
      </c>
      <c r="AT786" t="n">
        <v>1</v>
      </c>
      <c r="AU786" t="n">
        <v>0</v>
      </c>
      <c r="AV786" t="n">
        <v>1</v>
      </c>
      <c r="AW786" t="n">
        <v>1</v>
      </c>
    </row>
    <row r="787">
      <c r="A787" t="inlineStr">
        <is>
          <t>17245888166904</t>
        </is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n">
        <v>0</v>
      </c>
      <c r="AC787" t="n">
        <v>1</v>
      </c>
      <c r="AH787" t="n">
        <v>1</v>
      </c>
      <c r="AI787" t="n">
        <v>1</v>
      </c>
      <c r="AJ787" t="n">
        <v>0</v>
      </c>
      <c r="AK787" t="n">
        <v>1</v>
      </c>
      <c r="AP787" t="n">
        <v>1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1</v>
      </c>
      <c r="AW787" t="n">
        <v>1</v>
      </c>
    </row>
    <row r="788">
      <c r="A788" t="inlineStr">
        <is>
          <t>17245908079812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H788" t="n">
        <v>1</v>
      </c>
      <c r="AI788" t="n">
        <v>1</v>
      </c>
      <c r="AJ788" t="n">
        <v>0</v>
      </c>
      <c r="AK788" t="n">
        <v>1</v>
      </c>
      <c r="AP788" t="n">
        <v>1</v>
      </c>
      <c r="AQ788" t="n">
        <v>1</v>
      </c>
      <c r="AR788" t="n">
        <v>0</v>
      </c>
      <c r="AS788" t="n">
        <v>1</v>
      </c>
      <c r="AT788" t="n">
        <v>1</v>
      </c>
      <c r="AU788" t="n">
        <v>1</v>
      </c>
      <c r="AV788" t="n">
        <v>1</v>
      </c>
      <c r="AW788" t="n">
        <v>1</v>
      </c>
    </row>
    <row r="789">
      <c r="A789" t="inlineStr">
        <is>
          <t>17245908425991</t>
        </is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H789" t="n">
        <v>1</v>
      </c>
      <c r="AI789" t="n">
        <v>0</v>
      </c>
      <c r="AJ789" t="n">
        <v>0</v>
      </c>
      <c r="AK789" t="n">
        <v>0</v>
      </c>
      <c r="AP789" t="n">
        <v>0</v>
      </c>
      <c r="AQ789" t="n">
        <v>1</v>
      </c>
      <c r="AR789" t="n">
        <v>1</v>
      </c>
      <c r="AS789" t="n">
        <v>0</v>
      </c>
      <c r="AT789" t="n">
        <v>0</v>
      </c>
      <c r="AU789" t="n">
        <v>1</v>
      </c>
      <c r="AV789" t="n">
        <v>1</v>
      </c>
      <c r="AW789" t="n">
        <v>0</v>
      </c>
    </row>
    <row r="790">
      <c r="A790" t="inlineStr">
        <is>
          <t>17245909342864</t>
        </is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1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H790" t="n">
        <v>1</v>
      </c>
      <c r="AI790" t="n">
        <v>0</v>
      </c>
      <c r="AJ790" t="n">
        <v>0</v>
      </c>
      <c r="AK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</row>
    <row r="791">
      <c r="A791" t="inlineStr">
        <is>
          <t>17245909411316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n">
        <v>1</v>
      </c>
      <c r="AC791" t="n">
        <v>1</v>
      </c>
      <c r="AH791" t="n">
        <v>1</v>
      </c>
      <c r="AI791" t="n">
        <v>0</v>
      </c>
      <c r="AJ791" t="n">
        <v>0</v>
      </c>
      <c r="AK791" t="n">
        <v>0</v>
      </c>
      <c r="AP791" t="n">
        <v>0</v>
      </c>
      <c r="AQ791" t="n">
        <v>1</v>
      </c>
      <c r="AR791" t="n">
        <v>1</v>
      </c>
      <c r="AS791" t="n">
        <v>0</v>
      </c>
      <c r="AT791" t="n">
        <v>1</v>
      </c>
      <c r="AU791" t="n">
        <v>1</v>
      </c>
      <c r="AV791" t="n">
        <v>1</v>
      </c>
      <c r="AW791" t="n">
        <v>1</v>
      </c>
    </row>
    <row r="792">
      <c r="A792" t="inlineStr">
        <is>
          <t>17245910046821</t>
        </is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n">
        <v>1</v>
      </c>
      <c r="AC792" t="n">
        <v>1</v>
      </c>
      <c r="AH792" t="n">
        <v>1</v>
      </c>
      <c r="AI792" t="n">
        <v>1</v>
      </c>
      <c r="AJ792" t="n">
        <v>0</v>
      </c>
      <c r="AK792" t="n">
        <v>1</v>
      </c>
      <c r="AP792" t="n">
        <v>1</v>
      </c>
      <c r="AQ792" t="n">
        <v>1</v>
      </c>
      <c r="AR792" t="n">
        <v>0</v>
      </c>
      <c r="AS792" t="n">
        <v>1</v>
      </c>
      <c r="AT792" t="n">
        <v>1</v>
      </c>
      <c r="AU792" t="n">
        <v>1</v>
      </c>
      <c r="AV792" t="n">
        <v>1</v>
      </c>
      <c r="AW792" t="n">
        <v>1</v>
      </c>
    </row>
    <row r="793">
      <c r="A793" t="inlineStr">
        <is>
          <t>17245910294405</t>
        </is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H793" t="n">
        <v>1</v>
      </c>
      <c r="AI793" t="n">
        <v>1</v>
      </c>
      <c r="AJ793" t="n">
        <v>1</v>
      </c>
      <c r="AK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0</v>
      </c>
      <c r="AW793" t="n">
        <v>1</v>
      </c>
    </row>
    <row r="794">
      <c r="A794" t="inlineStr">
        <is>
          <t>17245910631554</t>
        </is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n">
        <v>1</v>
      </c>
      <c r="AC794" t="n">
        <v>1</v>
      </c>
      <c r="AH794" t="n">
        <v>1</v>
      </c>
      <c r="AI794" t="n">
        <v>1</v>
      </c>
      <c r="AJ794" t="n">
        <v>1</v>
      </c>
      <c r="AK794" t="n">
        <v>1</v>
      </c>
      <c r="AP794" t="n">
        <v>0</v>
      </c>
      <c r="AQ794" t="n">
        <v>1</v>
      </c>
      <c r="AR794" t="n">
        <v>0</v>
      </c>
      <c r="AS794" t="n">
        <v>0</v>
      </c>
      <c r="AT794" t="n">
        <v>1</v>
      </c>
      <c r="AU794" t="n">
        <v>1</v>
      </c>
      <c r="AV794" t="n">
        <v>0</v>
      </c>
      <c r="AW794" t="n">
        <v>1</v>
      </c>
    </row>
    <row r="795">
      <c r="A795" t="inlineStr">
        <is>
          <t>17245911179785</t>
        </is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n">
        <v>1</v>
      </c>
      <c r="AC795" t="n">
        <v>1</v>
      </c>
      <c r="AH795" t="n">
        <v>1</v>
      </c>
      <c r="AI795" t="n">
        <v>1</v>
      </c>
      <c r="AJ795" t="n">
        <v>1</v>
      </c>
      <c r="AK795" t="n">
        <v>1</v>
      </c>
      <c r="AP795" t="n">
        <v>1</v>
      </c>
      <c r="AQ795" t="n">
        <v>1</v>
      </c>
      <c r="AR795" t="n">
        <v>0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</row>
    <row r="796">
      <c r="A796" t="inlineStr">
        <is>
          <t>17245911326029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1</v>
      </c>
      <c r="AN796" t="n">
        <v>1</v>
      </c>
      <c r="AO796" t="n">
        <v>1</v>
      </c>
    </row>
    <row r="797">
      <c r="A797" t="inlineStr">
        <is>
          <t>17245911690480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0</v>
      </c>
      <c r="AC797" t="n">
        <v>1</v>
      </c>
      <c r="AH797" t="n">
        <v>1</v>
      </c>
      <c r="AI797" t="n">
        <v>1</v>
      </c>
      <c r="AJ797" t="n">
        <v>1</v>
      </c>
      <c r="AK797" t="n">
        <v>1</v>
      </c>
      <c r="AP797" t="n">
        <v>0</v>
      </c>
      <c r="AQ797" t="n">
        <v>1</v>
      </c>
      <c r="AR797" t="n">
        <v>0</v>
      </c>
      <c r="AS797" t="n">
        <v>0</v>
      </c>
      <c r="AT797" t="n">
        <v>1</v>
      </c>
      <c r="AU797" t="n">
        <v>1</v>
      </c>
      <c r="AV797" t="n">
        <v>1</v>
      </c>
      <c r="AW797" t="n">
        <v>1</v>
      </c>
    </row>
    <row r="798">
      <c r="A798" t="inlineStr">
        <is>
          <t>17245912446263</t>
        </is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0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</row>
    <row r="799">
      <c r="A799" t="inlineStr">
        <is>
          <t>17245912871835</t>
        </is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H799" t="n">
        <v>0</v>
      </c>
      <c r="AI799" t="n">
        <v>0</v>
      </c>
      <c r="AJ799" t="n">
        <v>0</v>
      </c>
      <c r="AK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1</v>
      </c>
      <c r="AW799" t="n">
        <v>1</v>
      </c>
    </row>
    <row r="800">
      <c r="A800" t="inlineStr">
        <is>
          <t>17245913030156</t>
        </is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H800" t="n">
        <v>1</v>
      </c>
      <c r="AI800" t="n">
        <v>0</v>
      </c>
      <c r="AJ800" t="n">
        <v>1</v>
      </c>
      <c r="AK800" t="n">
        <v>1</v>
      </c>
      <c r="AP800" t="n">
        <v>1</v>
      </c>
      <c r="AQ800" t="n">
        <v>1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1</v>
      </c>
    </row>
    <row r="801">
      <c r="A801" t="inlineStr">
        <is>
          <t>17245913136032</t>
        </is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n">
        <v>1</v>
      </c>
      <c r="AC801" t="n">
        <v>0</v>
      </c>
      <c r="AH801" t="n">
        <v>1</v>
      </c>
      <c r="AI801" t="n">
        <v>1</v>
      </c>
      <c r="AJ801" t="n">
        <v>1</v>
      </c>
      <c r="AK801" t="n">
        <v>1</v>
      </c>
      <c r="AP801" t="n">
        <v>1</v>
      </c>
      <c r="AQ801" t="n">
        <v>1</v>
      </c>
      <c r="AR801" t="n">
        <v>0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</row>
    <row r="802">
      <c r="A802" t="inlineStr">
        <is>
          <t>17245913232564</t>
        </is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n">
        <v>0</v>
      </c>
      <c r="AC802" t="n">
        <v>1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</row>
    <row r="803">
      <c r="A803" t="inlineStr">
        <is>
          <t>17245913349997</t>
        </is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n">
        <v>0</v>
      </c>
      <c r="Z803" t="n">
        <v>1</v>
      </c>
      <c r="AA803" t="n">
        <v>1</v>
      </c>
      <c r="AB803" t="n">
        <v>1</v>
      </c>
      <c r="AC803" t="n">
        <v>1</v>
      </c>
      <c r="AH803" t="n">
        <v>1</v>
      </c>
      <c r="AI803" t="n">
        <v>0</v>
      </c>
      <c r="AJ803" t="n">
        <v>1</v>
      </c>
      <c r="AK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1</v>
      </c>
      <c r="AW803" t="n">
        <v>1</v>
      </c>
    </row>
    <row r="804">
      <c r="A804" t="inlineStr">
        <is>
          <t>17245913443356</t>
        </is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n">
        <v>1</v>
      </c>
      <c r="AC804" t="n">
        <v>1</v>
      </c>
      <c r="AH804" t="n">
        <v>1</v>
      </c>
      <c r="AI804" t="n">
        <v>1</v>
      </c>
      <c r="AJ804" t="n">
        <v>0</v>
      </c>
      <c r="AK804" t="n">
        <v>0</v>
      </c>
      <c r="AP804" t="n">
        <v>0</v>
      </c>
      <c r="AQ804" t="n">
        <v>1</v>
      </c>
      <c r="AR804" t="n">
        <v>1</v>
      </c>
      <c r="AS804" t="n">
        <v>1</v>
      </c>
      <c r="AT804" t="n">
        <v>1</v>
      </c>
      <c r="AU804" t="n">
        <v>1</v>
      </c>
      <c r="AV804" t="n">
        <v>1</v>
      </c>
      <c r="AW804" t="n">
        <v>1</v>
      </c>
    </row>
    <row r="805">
      <c r="A805" t="inlineStr">
        <is>
          <t>17245913512371</t>
        </is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n">
        <v>1</v>
      </c>
      <c r="AC805" t="n">
        <v>1</v>
      </c>
      <c r="AH805" t="n">
        <v>1</v>
      </c>
      <c r="AI805" t="n">
        <v>0</v>
      </c>
      <c r="AJ805" t="n">
        <v>1</v>
      </c>
      <c r="AK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0</v>
      </c>
      <c r="AU805" t="n">
        <v>0</v>
      </c>
      <c r="AV805" t="n">
        <v>1</v>
      </c>
      <c r="AW805" t="n">
        <v>1</v>
      </c>
    </row>
    <row r="806">
      <c r="A806" t="inlineStr">
        <is>
          <t>17245913691769</t>
        </is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1</v>
      </c>
      <c r="AO806" t="n">
        <v>1</v>
      </c>
    </row>
    <row r="807">
      <c r="A807" t="inlineStr">
        <is>
          <t>17245913819539</t>
        </is>
      </c>
      <c r="B807" t="n">
        <v>1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H807" t="n">
        <v>1</v>
      </c>
      <c r="AI807" t="n">
        <v>1</v>
      </c>
      <c r="AJ807" t="n">
        <v>1</v>
      </c>
      <c r="AK807" t="n">
        <v>0</v>
      </c>
      <c r="AP807" t="n">
        <v>0</v>
      </c>
      <c r="AQ807" t="n">
        <v>1</v>
      </c>
      <c r="AR807" t="n">
        <v>1</v>
      </c>
      <c r="AS807" t="n">
        <v>1</v>
      </c>
      <c r="AT807" t="n">
        <v>0</v>
      </c>
      <c r="AU807" t="n">
        <v>0</v>
      </c>
      <c r="AV807" t="n">
        <v>0</v>
      </c>
      <c r="AW807" t="n">
        <v>1</v>
      </c>
    </row>
    <row r="808">
      <c r="A808" t="inlineStr">
        <is>
          <t>17245914010597</t>
        </is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0</v>
      </c>
      <c r="AF808" t="n">
        <v>1</v>
      </c>
      <c r="AG808" t="n">
        <v>1</v>
      </c>
      <c r="AH808" t="n">
        <v>1</v>
      </c>
      <c r="AI808" t="n">
        <v>0</v>
      </c>
      <c r="AJ808" t="n">
        <v>1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</row>
    <row r="809">
      <c r="A809" t="inlineStr">
        <is>
          <t>17245914427624</t>
        </is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n">
        <v>1</v>
      </c>
      <c r="AC809" t="n">
        <v>1</v>
      </c>
      <c r="AH809" t="n">
        <v>1</v>
      </c>
      <c r="AI809" t="n">
        <v>1</v>
      </c>
      <c r="AJ809" t="n">
        <v>1</v>
      </c>
      <c r="AK809" t="n">
        <v>1</v>
      </c>
      <c r="AP809" t="n">
        <v>0</v>
      </c>
      <c r="AQ809" t="n">
        <v>1</v>
      </c>
      <c r="AR809" t="n">
        <v>0</v>
      </c>
      <c r="AS809" t="n">
        <v>1</v>
      </c>
      <c r="AT809" t="n">
        <v>1</v>
      </c>
      <c r="AU809" t="n">
        <v>1</v>
      </c>
      <c r="AV809" t="n">
        <v>1</v>
      </c>
      <c r="AW809" t="n">
        <v>1</v>
      </c>
    </row>
    <row r="810">
      <c r="A810" t="inlineStr">
        <is>
          <t>17245914662392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1</v>
      </c>
      <c r="AC810" t="n">
        <v>0</v>
      </c>
      <c r="AH810" t="n">
        <v>1</v>
      </c>
      <c r="AI810" t="n">
        <v>1</v>
      </c>
      <c r="AJ810" t="n">
        <v>1</v>
      </c>
      <c r="AK810" t="n">
        <v>1</v>
      </c>
      <c r="AP810" t="n">
        <v>0</v>
      </c>
      <c r="AQ810" t="n">
        <v>1</v>
      </c>
      <c r="AR810" t="n">
        <v>1</v>
      </c>
      <c r="AS810" t="n">
        <v>1</v>
      </c>
      <c r="AT810" t="n">
        <v>0</v>
      </c>
      <c r="AU810" t="n">
        <v>0</v>
      </c>
      <c r="AV810" t="n">
        <v>0</v>
      </c>
      <c r="AW810" t="n">
        <v>1</v>
      </c>
    </row>
    <row r="811">
      <c r="A811" t="inlineStr">
        <is>
          <t>17245914781303</t>
        </is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n">
        <v>1</v>
      </c>
      <c r="AC811" t="n">
        <v>0</v>
      </c>
      <c r="AH811" t="n">
        <v>1</v>
      </c>
      <c r="AI811" t="n">
        <v>0</v>
      </c>
      <c r="AJ811" t="n">
        <v>0</v>
      </c>
      <c r="AK811" t="n">
        <v>1</v>
      </c>
      <c r="AP811" t="n">
        <v>0</v>
      </c>
      <c r="AQ811" t="n">
        <v>1</v>
      </c>
      <c r="AR811" t="n">
        <v>1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</row>
    <row r="812">
      <c r="A812" t="inlineStr">
        <is>
          <t>17245914844884</t>
        </is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H812" t="n">
        <v>1</v>
      </c>
      <c r="AI812" t="n">
        <v>1</v>
      </c>
      <c r="AJ812" t="n">
        <v>0</v>
      </c>
      <c r="AK812" t="n">
        <v>0</v>
      </c>
      <c r="AP812" t="n">
        <v>1</v>
      </c>
      <c r="AQ812" t="n">
        <v>1</v>
      </c>
      <c r="AR812" t="n">
        <v>1</v>
      </c>
      <c r="AS812" t="n">
        <v>1</v>
      </c>
      <c r="AT812" t="n">
        <v>0</v>
      </c>
      <c r="AU812" t="n">
        <v>0</v>
      </c>
      <c r="AV812" t="n">
        <v>1</v>
      </c>
      <c r="AW812" t="n">
        <v>1</v>
      </c>
    </row>
    <row r="813">
      <c r="A813" t="inlineStr">
        <is>
          <t>17245915119158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H813" t="n">
        <v>1</v>
      </c>
      <c r="AI813" t="n">
        <v>1</v>
      </c>
      <c r="AJ813" t="n">
        <v>0</v>
      </c>
      <c r="AK813" t="n">
        <v>0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0</v>
      </c>
      <c r="AV813" t="n">
        <v>0</v>
      </c>
      <c r="AW813" t="n">
        <v>1</v>
      </c>
    </row>
    <row r="814">
      <c r="A814" t="inlineStr">
        <is>
          <t>17245915436705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1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17245915573287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n">
        <v>1</v>
      </c>
      <c r="AC815" t="n">
        <v>1</v>
      </c>
      <c r="AH815" t="n">
        <v>1</v>
      </c>
      <c r="AI815" t="n">
        <v>1</v>
      </c>
      <c r="AJ815" t="n">
        <v>0</v>
      </c>
      <c r="AK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1</v>
      </c>
      <c r="AV815" t="n">
        <v>1</v>
      </c>
      <c r="AW815" t="n">
        <v>1</v>
      </c>
    </row>
    <row r="816">
      <c r="A816" t="inlineStr">
        <is>
          <t>17245915647487</t>
        </is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1</v>
      </c>
      <c r="AC816" t="n">
        <v>0</v>
      </c>
      <c r="AH816" t="n">
        <v>1</v>
      </c>
      <c r="AI816" t="n">
        <v>1</v>
      </c>
      <c r="AJ816" t="n">
        <v>1</v>
      </c>
      <c r="AK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1</v>
      </c>
      <c r="AW816" t="n">
        <v>0</v>
      </c>
    </row>
    <row r="817">
      <c r="A817" t="inlineStr">
        <is>
          <t>17245915715043</t>
        </is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n">
        <v>1</v>
      </c>
      <c r="AC817" t="n">
        <v>1</v>
      </c>
      <c r="AH817" t="n">
        <v>1</v>
      </c>
      <c r="AI817" t="n">
        <v>1</v>
      </c>
      <c r="AJ817" t="n">
        <v>0</v>
      </c>
      <c r="AK817" t="n">
        <v>1</v>
      </c>
      <c r="AP817" t="n">
        <v>0</v>
      </c>
      <c r="AQ817" t="n">
        <v>0</v>
      </c>
      <c r="AR817" t="n">
        <v>1</v>
      </c>
      <c r="AS817" t="n">
        <v>1</v>
      </c>
      <c r="AT817" t="n">
        <v>1</v>
      </c>
      <c r="AU817" t="n">
        <v>0</v>
      </c>
      <c r="AV817" t="n">
        <v>0</v>
      </c>
      <c r="AW817" t="n">
        <v>1</v>
      </c>
    </row>
    <row r="818">
      <c r="A818" t="inlineStr">
        <is>
          <t>17245915846953</t>
        </is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</row>
    <row r="819">
      <c r="A819" t="inlineStr">
        <is>
          <t>17245915963217</t>
        </is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H819" t="n">
        <v>1</v>
      </c>
      <c r="AI819" t="n">
        <v>0</v>
      </c>
      <c r="AJ819" t="n">
        <v>1</v>
      </c>
      <c r="AK819" t="n">
        <v>0</v>
      </c>
      <c r="AP819" t="n">
        <v>1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1</v>
      </c>
    </row>
    <row r="820">
      <c r="A820" t="inlineStr">
        <is>
          <t>17245916083976</t>
        </is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n">
        <v>0</v>
      </c>
      <c r="AC820" t="n">
        <v>1</v>
      </c>
      <c r="AH820" t="n">
        <v>1</v>
      </c>
      <c r="AI820" t="n">
        <v>1</v>
      </c>
      <c r="AJ820" t="n">
        <v>0</v>
      </c>
      <c r="AK820" t="n">
        <v>0</v>
      </c>
      <c r="AP820" t="n">
        <v>1</v>
      </c>
      <c r="AQ820" t="n">
        <v>1</v>
      </c>
      <c r="AR820" t="n">
        <v>0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</row>
    <row r="821">
      <c r="A821" t="inlineStr">
        <is>
          <t>17245916125044</t>
        </is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n">
        <v>1</v>
      </c>
      <c r="AC821" t="n">
        <v>1</v>
      </c>
      <c r="AH821" t="n">
        <v>1</v>
      </c>
      <c r="AI821" t="n">
        <v>1</v>
      </c>
      <c r="AJ821" t="n">
        <v>0</v>
      </c>
      <c r="AK821" t="n">
        <v>0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0</v>
      </c>
      <c r="AV821" t="n">
        <v>1</v>
      </c>
      <c r="AW821" t="n">
        <v>1</v>
      </c>
    </row>
    <row r="822">
      <c r="A822" t="inlineStr">
        <is>
          <t>17245916568729</t>
        </is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H822" t="n">
        <v>1</v>
      </c>
      <c r="AI822" t="n">
        <v>1</v>
      </c>
      <c r="AJ822" t="n">
        <v>1</v>
      </c>
      <c r="AK822" t="n">
        <v>1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1</v>
      </c>
      <c r="AW822" t="n">
        <v>1</v>
      </c>
    </row>
    <row r="823">
      <c r="A823" t="inlineStr">
        <is>
          <t>17245916691477</t>
        </is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H823" t="n">
        <v>1</v>
      </c>
      <c r="AI823" t="n">
        <v>1</v>
      </c>
      <c r="AJ823" t="n">
        <v>0</v>
      </c>
      <c r="AK823" t="n">
        <v>0</v>
      </c>
      <c r="AP823" t="n">
        <v>1</v>
      </c>
      <c r="AQ823" t="n">
        <v>1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1</v>
      </c>
    </row>
    <row r="824">
      <c r="A824" t="inlineStr">
        <is>
          <t>17245916780734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1</v>
      </c>
      <c r="AC824" t="n">
        <v>1</v>
      </c>
      <c r="AH824" t="n">
        <v>0</v>
      </c>
      <c r="AI824" t="n">
        <v>0</v>
      </c>
      <c r="AJ824" t="n">
        <v>0</v>
      </c>
      <c r="AK824" t="n">
        <v>1</v>
      </c>
      <c r="AP824" t="n">
        <v>0</v>
      </c>
      <c r="AQ824" t="n">
        <v>1</v>
      </c>
      <c r="AR824" t="n">
        <v>0</v>
      </c>
      <c r="AS824" t="n">
        <v>1</v>
      </c>
      <c r="AT824" t="n">
        <v>1</v>
      </c>
      <c r="AU824" t="n">
        <v>1</v>
      </c>
      <c r="AV824" t="n">
        <v>1</v>
      </c>
      <c r="AW824" t="n">
        <v>1</v>
      </c>
    </row>
    <row r="825">
      <c r="A825" t="inlineStr">
        <is>
          <t>17245916877190</t>
        </is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H825" t="n">
        <v>1</v>
      </c>
      <c r="AI825" t="n">
        <v>1</v>
      </c>
      <c r="AJ825" t="n">
        <v>0</v>
      </c>
      <c r="AK825" t="n">
        <v>0</v>
      </c>
      <c r="AP825" t="n">
        <v>0</v>
      </c>
      <c r="AQ825" t="n">
        <v>1</v>
      </c>
      <c r="AR825" t="n">
        <v>0</v>
      </c>
      <c r="AS825" t="n">
        <v>1</v>
      </c>
      <c r="AT825" t="n">
        <v>0</v>
      </c>
      <c r="AU825" t="n">
        <v>0</v>
      </c>
      <c r="AV825" t="n">
        <v>1</v>
      </c>
      <c r="AW825" t="n">
        <v>1</v>
      </c>
    </row>
    <row r="826">
      <c r="A826" t="inlineStr">
        <is>
          <t>17245916954985</t>
        </is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1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  <c r="AH826" t="n">
        <v>1</v>
      </c>
      <c r="AI826" t="n">
        <v>1</v>
      </c>
      <c r="AJ826" t="n">
        <v>0</v>
      </c>
      <c r="AK826" t="n">
        <v>0</v>
      </c>
      <c r="AP826" t="n">
        <v>0</v>
      </c>
      <c r="AQ826" t="n">
        <v>1</v>
      </c>
      <c r="AR826" t="n">
        <v>1</v>
      </c>
      <c r="AS826" t="n">
        <v>0</v>
      </c>
      <c r="AT826" t="n">
        <v>1</v>
      </c>
      <c r="AU826" t="n">
        <v>0</v>
      </c>
      <c r="AV826" t="n">
        <v>0</v>
      </c>
      <c r="AW826" t="n">
        <v>1</v>
      </c>
    </row>
    <row r="827">
      <c r="A827" t="inlineStr">
        <is>
          <t>17245922326616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1</v>
      </c>
      <c r="AA827" t="n">
        <v>1</v>
      </c>
      <c r="AB827" t="n">
        <v>1</v>
      </c>
      <c r="AC827" t="n">
        <v>1</v>
      </c>
      <c r="AH827" t="n">
        <v>1</v>
      </c>
      <c r="AI827" t="n">
        <v>1</v>
      </c>
      <c r="AJ827" t="n">
        <v>0</v>
      </c>
      <c r="AK827" t="n">
        <v>1</v>
      </c>
      <c r="AP827" t="n">
        <v>0</v>
      </c>
      <c r="AQ827" t="n">
        <v>1</v>
      </c>
      <c r="AR827" t="n">
        <v>1</v>
      </c>
      <c r="AS827" t="n">
        <v>0</v>
      </c>
      <c r="AT827" t="n">
        <v>1</v>
      </c>
      <c r="AU827" t="n">
        <v>1</v>
      </c>
      <c r="AV827" t="n">
        <v>1</v>
      </c>
      <c r="AW827" t="n">
        <v>1</v>
      </c>
    </row>
    <row r="828">
      <c r="A828" t="inlineStr">
        <is>
          <t>17246002238120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0</v>
      </c>
    </row>
    <row r="829">
      <c r="A829" t="inlineStr">
        <is>
          <t>17246004974342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n">
        <v>1</v>
      </c>
      <c r="AC829" t="n">
        <v>1</v>
      </c>
      <c r="AH829" t="n">
        <v>1</v>
      </c>
      <c r="AI829" t="n">
        <v>0</v>
      </c>
      <c r="AJ829" t="n">
        <v>0</v>
      </c>
      <c r="AK829" t="n">
        <v>1</v>
      </c>
      <c r="AP829" t="n">
        <v>0</v>
      </c>
      <c r="AQ829" t="n">
        <v>1</v>
      </c>
      <c r="AR829" t="n">
        <v>1</v>
      </c>
      <c r="AS829" t="n">
        <v>1</v>
      </c>
      <c r="AT829" t="n">
        <v>1</v>
      </c>
      <c r="AU829" t="n">
        <v>0</v>
      </c>
      <c r="AV829" t="n">
        <v>1</v>
      </c>
      <c r="AW829" t="n">
        <v>0</v>
      </c>
    </row>
    <row r="830">
      <c r="A830" t="inlineStr">
        <is>
          <t>17246044565699</t>
        </is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H830" t="n">
        <v>1</v>
      </c>
      <c r="AI830" t="n">
        <v>1</v>
      </c>
      <c r="AJ830" t="n">
        <v>0</v>
      </c>
      <c r="AK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1</v>
      </c>
      <c r="AV830" t="n">
        <v>0</v>
      </c>
      <c r="AW830" t="n">
        <v>1</v>
      </c>
    </row>
    <row r="831">
      <c r="A831" t="inlineStr">
        <is>
          <t>17246137627291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1</v>
      </c>
      <c r="AC831" t="n">
        <v>1</v>
      </c>
      <c r="AH831" t="n">
        <v>1</v>
      </c>
      <c r="AI831" t="n">
        <v>1</v>
      </c>
      <c r="AJ831" t="n">
        <v>1</v>
      </c>
      <c r="AK831" t="n">
        <v>1</v>
      </c>
      <c r="AP831" t="n">
        <v>0</v>
      </c>
      <c r="AQ831" t="n">
        <v>0</v>
      </c>
      <c r="AR831" t="n">
        <v>0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</row>
    <row r="832">
      <c r="A832" t="inlineStr">
        <is>
          <t>17246140910159</t>
        </is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H832" t="n">
        <v>0</v>
      </c>
      <c r="AI832" t="n">
        <v>0</v>
      </c>
      <c r="AJ832" t="n">
        <v>0</v>
      </c>
      <c r="AK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1</v>
      </c>
    </row>
    <row r="833">
      <c r="A833" t="inlineStr">
        <is>
          <t>17246147477667</t>
        </is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1</v>
      </c>
      <c r="AA833" t="n">
        <v>1</v>
      </c>
      <c r="AB833" t="n">
        <v>1</v>
      </c>
      <c r="AC833" t="n">
        <v>1</v>
      </c>
      <c r="AH833" t="n">
        <v>1</v>
      </c>
      <c r="AI833" t="n">
        <v>1</v>
      </c>
      <c r="AJ833" t="n">
        <v>1</v>
      </c>
      <c r="AK833" t="n">
        <v>1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1</v>
      </c>
      <c r="AV833" t="n">
        <v>1</v>
      </c>
      <c r="AW833" t="n">
        <v>1</v>
      </c>
    </row>
    <row r="834">
      <c r="A834" t="inlineStr">
        <is>
          <t>17246150455073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1</v>
      </c>
      <c r="AC834" t="n">
        <v>1</v>
      </c>
      <c r="AH834" t="n">
        <v>1</v>
      </c>
      <c r="AI834" t="n">
        <v>1</v>
      </c>
      <c r="AJ834" t="n">
        <v>1</v>
      </c>
      <c r="AK834" t="n">
        <v>1</v>
      </c>
      <c r="AP834" t="n">
        <v>1</v>
      </c>
      <c r="AQ834" t="n">
        <v>1</v>
      </c>
      <c r="AR834" t="n">
        <v>0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</row>
    <row r="835">
      <c r="A835" t="inlineStr">
        <is>
          <t>17246936797797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1</v>
      </c>
      <c r="AH835" t="n">
        <v>1</v>
      </c>
      <c r="AI835" t="n">
        <v>0</v>
      </c>
      <c r="AJ835" t="n">
        <v>0</v>
      </c>
      <c r="AK835" t="n">
        <v>1</v>
      </c>
      <c r="AP835" t="n">
        <v>0</v>
      </c>
      <c r="AQ835" t="n">
        <v>1</v>
      </c>
      <c r="AR835" t="n">
        <v>0</v>
      </c>
      <c r="AS835" t="n">
        <v>1</v>
      </c>
      <c r="AT835" t="n">
        <v>1</v>
      </c>
      <c r="AU835" t="n">
        <v>0</v>
      </c>
      <c r="AV835" t="n">
        <v>1</v>
      </c>
      <c r="AW835" t="n">
        <v>1</v>
      </c>
    </row>
    <row r="836">
      <c r="A836" t="inlineStr">
        <is>
          <t>17247605022280</t>
        </is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  <c r="AB836" t="n">
        <v>1</v>
      </c>
      <c r="AC836" t="n">
        <v>1</v>
      </c>
      <c r="AH836" t="n">
        <v>1</v>
      </c>
      <c r="AI836" t="n">
        <v>1</v>
      </c>
      <c r="AJ836" t="n">
        <v>1</v>
      </c>
      <c r="AK836" t="n">
        <v>1</v>
      </c>
      <c r="AP836" t="n">
        <v>0</v>
      </c>
      <c r="AQ836" t="n">
        <v>1</v>
      </c>
      <c r="AR836" t="n">
        <v>0</v>
      </c>
      <c r="AS836" t="n">
        <v>1</v>
      </c>
      <c r="AT836" t="n">
        <v>1</v>
      </c>
      <c r="AU836" t="n">
        <v>1</v>
      </c>
      <c r="AV836" t="n">
        <v>1</v>
      </c>
      <c r="AW836" t="n">
        <v>1</v>
      </c>
    </row>
    <row r="837">
      <c r="A837" t="inlineStr">
        <is>
          <t>17247605315950</t>
        </is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H837" t="n">
        <v>1</v>
      </c>
      <c r="AI837" t="n">
        <v>0</v>
      </c>
      <c r="AJ837" t="n">
        <v>0</v>
      </c>
      <c r="AK837" t="n">
        <v>0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1</v>
      </c>
      <c r="AV837" t="n">
        <v>0</v>
      </c>
      <c r="AW837" t="n">
        <v>1</v>
      </c>
    </row>
    <row r="838">
      <c r="A838" t="inlineStr">
        <is>
          <t>17247613019124</t>
        </is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1</v>
      </c>
      <c r="AC838" t="n">
        <v>1</v>
      </c>
      <c r="AH838" t="n">
        <v>1</v>
      </c>
      <c r="AI838" t="n">
        <v>1</v>
      </c>
      <c r="AJ838" t="n">
        <v>0</v>
      </c>
      <c r="AK838" t="n">
        <v>0</v>
      </c>
      <c r="AP838" t="n">
        <v>0</v>
      </c>
      <c r="AQ838" t="n">
        <v>1</v>
      </c>
      <c r="AR838" t="n">
        <v>1</v>
      </c>
      <c r="AS838" t="n">
        <v>1</v>
      </c>
      <c r="AT838" t="n">
        <v>1</v>
      </c>
      <c r="AU838" t="n">
        <v>1</v>
      </c>
      <c r="AV838" t="n">
        <v>1</v>
      </c>
      <c r="AW838" t="n">
        <v>1</v>
      </c>
    </row>
    <row r="839">
      <c r="A839" t="inlineStr">
        <is>
          <t>17247615848029</t>
        </is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1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</row>
    <row r="840">
      <c r="A840" t="inlineStr">
        <is>
          <t>17247620675491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n">
        <v>1</v>
      </c>
      <c r="AC840" t="n">
        <v>1</v>
      </c>
      <c r="AH840" t="n">
        <v>1</v>
      </c>
      <c r="AI840" t="n">
        <v>1</v>
      </c>
      <c r="AJ840" t="n">
        <v>0</v>
      </c>
      <c r="AK840" t="n">
        <v>1</v>
      </c>
      <c r="AP840" t="n">
        <v>0</v>
      </c>
      <c r="AQ840" t="n">
        <v>1</v>
      </c>
      <c r="AR840" t="n">
        <v>0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</row>
    <row r="841">
      <c r="A841" t="inlineStr">
        <is>
          <t>17247625235640</t>
        </is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H841" t="n">
        <v>1</v>
      </c>
      <c r="AI841" t="n">
        <v>1</v>
      </c>
      <c r="AJ841" t="n">
        <v>0</v>
      </c>
      <c r="AK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1</v>
      </c>
      <c r="AW841" t="n">
        <v>1</v>
      </c>
    </row>
    <row r="842">
      <c r="A842" t="inlineStr">
        <is>
          <t>17247626963064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1</v>
      </c>
      <c r="AH842" t="n">
        <v>1</v>
      </c>
      <c r="AI842" t="n">
        <v>1</v>
      </c>
      <c r="AJ842" t="n">
        <v>0</v>
      </c>
      <c r="AK842" t="n">
        <v>1</v>
      </c>
      <c r="AP842" t="n">
        <v>0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1</v>
      </c>
    </row>
    <row r="843">
      <c r="A843" t="inlineStr">
        <is>
          <t>17247636470972</t>
        </is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n">
        <v>0</v>
      </c>
      <c r="AC843" t="n">
        <v>1</v>
      </c>
      <c r="AH843" t="n">
        <v>1</v>
      </c>
      <c r="AI843" t="n">
        <v>1</v>
      </c>
      <c r="AJ843" t="n">
        <v>0</v>
      </c>
      <c r="AK843" t="n">
        <v>0</v>
      </c>
      <c r="AP843" t="n">
        <v>1</v>
      </c>
      <c r="AQ843" t="n">
        <v>1</v>
      </c>
      <c r="AR843" t="n">
        <v>0</v>
      </c>
      <c r="AS843" t="n">
        <v>0</v>
      </c>
      <c r="AT843" t="n">
        <v>1</v>
      </c>
      <c r="AU843" t="n">
        <v>1</v>
      </c>
      <c r="AV843" t="n">
        <v>1</v>
      </c>
      <c r="AW843" t="n">
        <v>1</v>
      </c>
    </row>
    <row r="844">
      <c r="A844" t="inlineStr">
        <is>
          <t>17247638193635</t>
        </is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0</v>
      </c>
    </row>
    <row r="845">
      <c r="A845" t="inlineStr">
        <is>
          <t>17247638691965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H845" t="n">
        <v>0</v>
      </c>
      <c r="AI845" t="n">
        <v>0</v>
      </c>
      <c r="AJ845" t="n">
        <v>0</v>
      </c>
      <c r="AK845" t="n">
        <v>0</v>
      </c>
      <c r="AP845" t="n">
        <v>1</v>
      </c>
      <c r="AQ845" t="n">
        <v>1</v>
      </c>
      <c r="AR845" t="n">
        <v>0</v>
      </c>
      <c r="AS845" t="n">
        <v>0</v>
      </c>
      <c r="AT845" t="n">
        <v>1</v>
      </c>
      <c r="AU845" t="n">
        <v>1</v>
      </c>
      <c r="AV845" t="n">
        <v>1</v>
      </c>
      <c r="AW845" t="n">
        <v>0</v>
      </c>
    </row>
    <row r="846">
      <c r="A846" t="inlineStr">
        <is>
          <t>17248334540153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inlineStr">
        <is>
          <t>17248518333869</t>
        </is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inlineStr">
        <is>
          <t>17248520831324</t>
        </is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0</v>
      </c>
      <c r="AH848" t="n">
        <v>0</v>
      </c>
      <c r="AI848" t="n">
        <v>0</v>
      </c>
      <c r="AJ848" t="n">
        <v>1</v>
      </c>
      <c r="AK848" t="n">
        <v>0</v>
      </c>
      <c r="AP848" t="n">
        <v>0</v>
      </c>
      <c r="AQ848" t="n">
        <v>1</v>
      </c>
      <c r="AR848" t="n">
        <v>0</v>
      </c>
      <c r="AS848" t="n">
        <v>1</v>
      </c>
      <c r="AT848" t="n">
        <v>1</v>
      </c>
      <c r="AU848" t="n">
        <v>1</v>
      </c>
      <c r="AV848" t="n">
        <v>1</v>
      </c>
      <c r="AW848" t="n">
        <v>1</v>
      </c>
    </row>
    <row r="849">
      <c r="A849" t="inlineStr">
        <is>
          <t>17248534316615</t>
        </is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n">
        <v>1</v>
      </c>
      <c r="AC849" t="n">
        <v>1</v>
      </c>
      <c r="AH849" t="n">
        <v>1</v>
      </c>
      <c r="AI849" t="n">
        <v>1</v>
      </c>
      <c r="AJ849" t="n">
        <v>0</v>
      </c>
      <c r="AK849" t="n">
        <v>0</v>
      </c>
      <c r="AP849" t="n">
        <v>1</v>
      </c>
      <c r="AQ849" t="n">
        <v>1</v>
      </c>
      <c r="AR849" t="n">
        <v>0</v>
      </c>
      <c r="AS849" t="n">
        <v>1</v>
      </c>
      <c r="AT849" t="n">
        <v>1</v>
      </c>
      <c r="AU849" t="n">
        <v>0</v>
      </c>
      <c r="AV849" t="n">
        <v>1</v>
      </c>
      <c r="AW849" t="n">
        <v>1</v>
      </c>
    </row>
    <row r="850">
      <c r="A850" t="inlineStr">
        <is>
          <t>17248646512356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n">
        <v>0</v>
      </c>
      <c r="AC850" t="n">
        <v>1</v>
      </c>
      <c r="AH850" t="n">
        <v>1</v>
      </c>
      <c r="AI850" t="n">
        <v>0</v>
      </c>
      <c r="AJ850" t="n">
        <v>1</v>
      </c>
      <c r="AK850" t="n">
        <v>1</v>
      </c>
      <c r="AP850" t="n">
        <v>0</v>
      </c>
      <c r="AQ850" t="n">
        <v>1</v>
      </c>
      <c r="AR850" t="n">
        <v>0</v>
      </c>
      <c r="AS850" t="n">
        <v>1</v>
      </c>
      <c r="AT850" t="n">
        <v>1</v>
      </c>
      <c r="AU850" t="n">
        <v>1</v>
      </c>
      <c r="AV850" t="n">
        <v>1</v>
      </c>
      <c r="AW850" t="n">
        <v>1</v>
      </c>
    </row>
    <row r="851">
      <c r="A851" t="inlineStr">
        <is>
          <t>17248659133558</t>
        </is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n">
        <v>0</v>
      </c>
      <c r="AC851" t="n">
        <v>1</v>
      </c>
      <c r="AD851" t="n">
        <v>1</v>
      </c>
      <c r="AE851" t="n">
        <v>1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</row>
    <row r="852">
      <c r="A852" t="inlineStr">
        <is>
          <t>17248671131819</t>
        </is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H852" t="n">
        <v>1</v>
      </c>
      <c r="AI852" t="n">
        <v>1</v>
      </c>
      <c r="AJ852" t="n">
        <v>1</v>
      </c>
      <c r="AK852" t="n">
        <v>1</v>
      </c>
      <c r="AP852" t="n">
        <v>1</v>
      </c>
      <c r="AQ852" t="n">
        <v>1</v>
      </c>
      <c r="AR852" t="n">
        <v>0</v>
      </c>
      <c r="AS852" t="n">
        <v>1</v>
      </c>
      <c r="AT852" t="n">
        <v>1</v>
      </c>
      <c r="AU852" t="n">
        <v>1</v>
      </c>
      <c r="AV852" t="n">
        <v>1</v>
      </c>
      <c r="AW852" t="n">
        <v>1</v>
      </c>
    </row>
    <row r="853">
      <c r="A853" t="inlineStr">
        <is>
          <t>17248671240834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H853" t="n">
        <v>1</v>
      </c>
      <c r="AI853" t="n">
        <v>1</v>
      </c>
      <c r="AJ853" t="n">
        <v>1</v>
      </c>
      <c r="AK853" t="n">
        <v>1</v>
      </c>
      <c r="AP853" t="n">
        <v>1</v>
      </c>
      <c r="AQ853" t="n">
        <v>1</v>
      </c>
      <c r="AR853" t="n">
        <v>0</v>
      </c>
      <c r="AS853" t="n">
        <v>0</v>
      </c>
      <c r="AT853" t="n">
        <v>1</v>
      </c>
      <c r="AU853" t="n">
        <v>1</v>
      </c>
      <c r="AV853" t="n">
        <v>1</v>
      </c>
      <c r="AW853" t="n">
        <v>1</v>
      </c>
    </row>
    <row r="854">
      <c r="A854" t="inlineStr">
        <is>
          <t>17248673995061</t>
        </is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n">
        <v>1</v>
      </c>
      <c r="AC854" t="n">
        <v>1</v>
      </c>
      <c r="AH854" t="n">
        <v>1</v>
      </c>
      <c r="AI854" t="n">
        <v>1</v>
      </c>
      <c r="AJ854" t="n">
        <v>0</v>
      </c>
      <c r="AK854" t="n">
        <v>1</v>
      </c>
      <c r="AP854" t="n">
        <v>1</v>
      </c>
      <c r="AQ854" t="n">
        <v>1</v>
      </c>
      <c r="AR854" t="n">
        <v>0</v>
      </c>
      <c r="AS854" t="n">
        <v>1</v>
      </c>
      <c r="AT854" t="n">
        <v>1</v>
      </c>
      <c r="AU854" t="n">
        <v>0</v>
      </c>
      <c r="AV854" t="n">
        <v>1</v>
      </c>
      <c r="AW854" t="n">
        <v>1</v>
      </c>
    </row>
    <row r="855">
      <c r="A855" t="inlineStr">
        <is>
          <t>17248676580699</t>
        </is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0</v>
      </c>
      <c r="Y855" t="n">
        <v>1</v>
      </c>
      <c r="Z855" t="n">
        <v>0</v>
      </c>
      <c r="AA855" t="n">
        <v>1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inlineStr">
        <is>
          <t>17249183929044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0</v>
      </c>
    </row>
    <row r="857">
      <c r="A857" t="inlineStr">
        <is>
          <t>17249184346473</t>
        </is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1</v>
      </c>
      <c r="AO857" t="n">
        <v>0</v>
      </c>
    </row>
    <row r="858">
      <c r="A858" t="inlineStr">
        <is>
          <t>17249185146520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  <c r="AO858" t="n">
        <v>1</v>
      </c>
    </row>
    <row r="859">
      <c r="A859" t="inlineStr">
        <is>
          <t>17249185584142</t>
        </is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H859" t="n">
        <v>1</v>
      </c>
      <c r="AI859" t="n">
        <v>0</v>
      </c>
      <c r="AJ859" t="n">
        <v>1</v>
      </c>
      <c r="AK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1</v>
      </c>
      <c r="AU859" t="n">
        <v>1</v>
      </c>
      <c r="AV859" t="n">
        <v>1</v>
      </c>
      <c r="AW859" t="n">
        <v>1</v>
      </c>
    </row>
    <row r="860">
      <c r="A860" t="inlineStr">
        <is>
          <t>17249422119076</t>
        </is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n">
        <v>1</v>
      </c>
      <c r="AC860" t="n">
        <v>1</v>
      </c>
      <c r="AH860" t="n">
        <v>1</v>
      </c>
      <c r="AI860" t="n">
        <v>1</v>
      </c>
      <c r="AJ860" t="n">
        <v>1</v>
      </c>
      <c r="AK860" t="n">
        <v>1</v>
      </c>
      <c r="AP860" t="n">
        <v>1</v>
      </c>
      <c r="AQ860" t="n">
        <v>1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1</v>
      </c>
    </row>
    <row r="861">
      <c r="A861" t="inlineStr">
        <is>
          <t>17249480634754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H861" t="n">
        <v>1</v>
      </c>
      <c r="AI861" t="n">
        <v>1</v>
      </c>
      <c r="AJ861" t="n">
        <v>1</v>
      </c>
      <c r="AK861" t="n">
        <v>1</v>
      </c>
      <c r="AP861" t="n">
        <v>1</v>
      </c>
      <c r="AQ861" t="n">
        <v>1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</row>
    <row r="862">
      <c r="A862" t="inlineStr">
        <is>
          <t>17249481057060</t>
        </is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0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</row>
    <row r="863">
      <c r="A863" t="inlineStr">
        <is>
          <t>17249481246703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inlineStr">
        <is>
          <t>17249484361260</t>
        </is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n">
        <v>1</v>
      </c>
      <c r="AC864" t="n">
        <v>1</v>
      </c>
      <c r="AH864" t="n">
        <v>1</v>
      </c>
      <c r="AI864" t="n">
        <v>0</v>
      </c>
      <c r="AJ864" t="n">
        <v>0</v>
      </c>
      <c r="AK864" t="n">
        <v>1</v>
      </c>
      <c r="AP864" t="n">
        <v>1</v>
      </c>
      <c r="AQ864" t="n">
        <v>1</v>
      </c>
      <c r="AR864" t="n">
        <v>0</v>
      </c>
      <c r="AS864" t="n">
        <v>1</v>
      </c>
      <c r="AT864" t="n">
        <v>1</v>
      </c>
      <c r="AU864" t="n">
        <v>0</v>
      </c>
      <c r="AV864" t="n">
        <v>1</v>
      </c>
      <c r="AW864" t="n">
        <v>1</v>
      </c>
    </row>
    <row r="865">
      <c r="A865" t="inlineStr">
        <is>
          <t>17249497921035</t>
        </is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inlineStr">
        <is>
          <t>17249527368987</t>
        </is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H866" t="n">
        <v>0</v>
      </c>
      <c r="AI866" t="n">
        <v>1</v>
      </c>
      <c r="AJ866" t="n">
        <v>1</v>
      </c>
      <c r="AK866" t="n">
        <v>1</v>
      </c>
      <c r="AP866" t="n">
        <v>0</v>
      </c>
      <c r="AQ866" t="n">
        <v>1</v>
      </c>
      <c r="AR866" t="n">
        <v>0</v>
      </c>
      <c r="AS866" t="n">
        <v>0</v>
      </c>
      <c r="AT866" t="n">
        <v>1</v>
      </c>
      <c r="AU866" t="n">
        <v>0</v>
      </c>
      <c r="AV866" t="n">
        <v>1</v>
      </c>
      <c r="AW866" t="n">
        <v>1</v>
      </c>
    </row>
    <row r="867">
      <c r="A867" t="inlineStr">
        <is>
          <t>17249536765502</t>
        </is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n">
        <v>1</v>
      </c>
      <c r="AC867" t="n">
        <v>1</v>
      </c>
      <c r="AH867" t="n">
        <v>1</v>
      </c>
      <c r="AI867" t="n">
        <v>1</v>
      </c>
      <c r="AJ867" t="n">
        <v>0</v>
      </c>
      <c r="AK867" t="n">
        <v>1</v>
      </c>
      <c r="AP867" t="n">
        <v>1</v>
      </c>
      <c r="AQ867" t="n">
        <v>1</v>
      </c>
      <c r="AR867" t="n">
        <v>0</v>
      </c>
      <c r="AS867" t="n">
        <v>1</v>
      </c>
      <c r="AT867" t="n">
        <v>1</v>
      </c>
      <c r="AU867" t="n">
        <v>1</v>
      </c>
      <c r="AV867" t="n">
        <v>1</v>
      </c>
      <c r="AW867" t="n">
        <v>1</v>
      </c>
    </row>
    <row r="868">
      <c r="A868" t="inlineStr">
        <is>
          <t>17249543549182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1</v>
      </c>
      <c r="AC868" t="n">
        <v>1</v>
      </c>
      <c r="AH868" t="n">
        <v>0</v>
      </c>
      <c r="AI868" t="n">
        <v>0</v>
      </c>
      <c r="AJ868" t="n">
        <v>0</v>
      </c>
      <c r="AK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1</v>
      </c>
    </row>
    <row r="869">
      <c r="A869" t="inlineStr">
        <is>
          <t>17249820385616</t>
        </is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n">
        <v>0</v>
      </c>
      <c r="AC869" t="n">
        <v>1</v>
      </c>
      <c r="AH869" t="n">
        <v>1</v>
      </c>
      <c r="AI869" t="n">
        <v>1</v>
      </c>
      <c r="AJ869" t="n">
        <v>1</v>
      </c>
      <c r="AK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1</v>
      </c>
      <c r="AV869" t="n">
        <v>1</v>
      </c>
      <c r="AW869" t="n">
        <v>0</v>
      </c>
    </row>
    <row r="870">
      <c r="A870" t="inlineStr">
        <is>
          <t>17249838528552</t>
        </is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inlineStr">
        <is>
          <t>17249838697222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0</v>
      </c>
    </row>
    <row r="872">
      <c r="A872" t="inlineStr">
        <is>
          <t>17249838746801</t>
        </is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n">
        <v>1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inlineStr">
        <is>
          <t>17249839054050</t>
        </is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H873" t="n">
        <v>1</v>
      </c>
      <c r="AI873" t="n">
        <v>1</v>
      </c>
      <c r="AJ873" t="n">
        <v>1</v>
      </c>
      <c r="AK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0</v>
      </c>
      <c r="AW873" t="n">
        <v>1</v>
      </c>
    </row>
    <row r="874">
      <c r="A874" t="inlineStr">
        <is>
          <t>17249839267661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  <c r="AL874" t="n">
        <v>0</v>
      </c>
      <c r="AM874" t="n">
        <v>1</v>
      </c>
      <c r="AN874" t="n">
        <v>1</v>
      </c>
      <c r="AO874" t="n">
        <v>0</v>
      </c>
    </row>
    <row r="875">
      <c r="A875" t="inlineStr">
        <is>
          <t>17249839359788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H875" t="n">
        <v>1</v>
      </c>
      <c r="AI875" t="n">
        <v>1</v>
      </c>
      <c r="AJ875" t="n">
        <v>1</v>
      </c>
      <c r="AK875" t="n">
        <v>1</v>
      </c>
      <c r="AP875" t="n">
        <v>1</v>
      </c>
      <c r="AQ875" t="n">
        <v>1</v>
      </c>
      <c r="AR875" t="n">
        <v>0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</row>
    <row r="876">
      <c r="A876" t="inlineStr">
        <is>
          <t>17249839499807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inlineStr">
        <is>
          <t>17249839546612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1</v>
      </c>
      <c r="AL877" t="n">
        <v>0</v>
      </c>
      <c r="AM877" t="n">
        <v>1</v>
      </c>
      <c r="AN877" t="n">
        <v>1</v>
      </c>
      <c r="AO877" t="n">
        <v>0</v>
      </c>
    </row>
    <row r="878">
      <c r="A878" t="inlineStr">
        <is>
          <t>17249840224097</t>
        </is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0</v>
      </c>
      <c r="AC878" t="n">
        <v>1</v>
      </c>
      <c r="AH878" t="n">
        <v>1</v>
      </c>
      <c r="AI878" t="n">
        <v>1</v>
      </c>
      <c r="AJ878" t="n">
        <v>1</v>
      </c>
      <c r="AK878" t="n">
        <v>0</v>
      </c>
      <c r="AP878" t="n">
        <v>1</v>
      </c>
      <c r="AQ878" t="n">
        <v>1</v>
      </c>
      <c r="AR878" t="n">
        <v>1</v>
      </c>
      <c r="AS878" t="n">
        <v>1</v>
      </c>
      <c r="AT878" t="n">
        <v>0</v>
      </c>
      <c r="AU878" t="n">
        <v>0</v>
      </c>
      <c r="AV878" t="n">
        <v>1</v>
      </c>
      <c r="AW878" t="n">
        <v>1</v>
      </c>
    </row>
    <row r="879">
      <c r="A879" t="inlineStr">
        <is>
          <t>17249840374367</t>
        </is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0</v>
      </c>
      <c r="AB879" t="n">
        <v>0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0</v>
      </c>
      <c r="AM879" t="n">
        <v>0</v>
      </c>
      <c r="AN879" t="n">
        <v>1</v>
      </c>
      <c r="AO879" t="n">
        <v>0</v>
      </c>
    </row>
    <row r="880">
      <c r="A880" t="inlineStr">
        <is>
          <t>17249840412421</t>
        </is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n">
        <v>1</v>
      </c>
    </row>
    <row r="881">
      <c r="A881" t="inlineStr">
        <is>
          <t>17249840753924</t>
        </is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1</v>
      </c>
      <c r="AJ881" t="n">
        <v>1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</row>
    <row r="882">
      <c r="A882" t="inlineStr">
        <is>
          <t>17249840978252</t>
        </is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1</v>
      </c>
      <c r="AL882" t="n">
        <v>0</v>
      </c>
      <c r="AM882" t="n">
        <v>0</v>
      </c>
      <c r="AN882" t="n">
        <v>1</v>
      </c>
      <c r="AO882" t="n">
        <v>0</v>
      </c>
    </row>
    <row r="883">
      <c r="A883" t="inlineStr">
        <is>
          <t>17249841029491</t>
        </is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  <c r="AC883" t="n">
        <v>0</v>
      </c>
      <c r="AH883" t="n">
        <v>1</v>
      </c>
      <c r="AI883" t="n">
        <v>1</v>
      </c>
      <c r="AJ883" t="n">
        <v>1</v>
      </c>
      <c r="AK883" t="n">
        <v>1</v>
      </c>
      <c r="AP883" t="n">
        <v>1</v>
      </c>
      <c r="AQ883" t="n">
        <v>1</v>
      </c>
      <c r="AR883" t="n">
        <v>0</v>
      </c>
      <c r="AS883" t="n">
        <v>0</v>
      </c>
      <c r="AT883" t="n">
        <v>1</v>
      </c>
      <c r="AU883" t="n">
        <v>1</v>
      </c>
      <c r="AV883" t="n">
        <v>1</v>
      </c>
      <c r="AW883" t="n">
        <v>1</v>
      </c>
    </row>
    <row r="884">
      <c r="A884" t="inlineStr">
        <is>
          <t>17249841166035</t>
        </is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0</v>
      </c>
      <c r="AE884" t="n">
        <v>0</v>
      </c>
      <c r="AF884" t="n">
        <v>1</v>
      </c>
      <c r="AG884" t="n">
        <v>1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</row>
    <row r="885">
      <c r="A885" t="inlineStr">
        <is>
          <t>17249841269661</t>
        </is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0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</row>
    <row r="886">
      <c r="A886" t="inlineStr">
        <is>
          <t>17249841329946</t>
        </is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</v>
      </c>
    </row>
    <row r="887">
      <c r="A887" t="inlineStr">
        <is>
          <t>17249841469984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H887" t="n">
        <v>1</v>
      </c>
      <c r="AI887" t="n">
        <v>0</v>
      </c>
      <c r="AJ887" t="n">
        <v>0</v>
      </c>
      <c r="AK887" t="n">
        <v>0</v>
      </c>
      <c r="AP887" t="n">
        <v>1</v>
      </c>
      <c r="AQ887" t="n">
        <v>1</v>
      </c>
      <c r="AR887" t="n">
        <v>0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</row>
    <row r="888">
      <c r="A888" t="inlineStr">
        <is>
          <t>17249841875528</t>
        </is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0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</row>
    <row r="889">
      <c r="A889" t="inlineStr">
        <is>
          <t>17249850274798</t>
        </is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inlineStr">
        <is>
          <t>17249852518385</t>
        </is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1</v>
      </c>
      <c r="AC890" t="n">
        <v>1</v>
      </c>
      <c r="AH890" t="n">
        <v>1</v>
      </c>
      <c r="AI890" t="n">
        <v>0</v>
      </c>
      <c r="AJ890" t="n">
        <v>0</v>
      </c>
      <c r="AK890" t="n">
        <v>1</v>
      </c>
      <c r="AP890" t="n">
        <v>0</v>
      </c>
      <c r="AQ890" t="n">
        <v>1</v>
      </c>
      <c r="AR890" t="n">
        <v>0</v>
      </c>
      <c r="AS890" t="n">
        <v>1</v>
      </c>
      <c r="AT890" t="n">
        <v>1</v>
      </c>
      <c r="AU890" t="n">
        <v>0</v>
      </c>
      <c r="AV890" t="n">
        <v>1</v>
      </c>
      <c r="AW890" t="n">
        <v>1</v>
      </c>
    </row>
    <row r="891">
      <c r="A891" t="inlineStr">
        <is>
          <t>17249882388087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</v>
      </c>
      <c r="AG891" t="n">
        <v>1</v>
      </c>
      <c r="AH891" t="n">
        <v>1</v>
      </c>
      <c r="AI891" t="n">
        <v>0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</row>
    <row r="892">
      <c r="A892" t="inlineStr">
        <is>
          <t>17249882637283</t>
        </is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H892" t="n">
        <v>1</v>
      </c>
      <c r="AI892" t="n">
        <v>0</v>
      </c>
      <c r="AJ892" t="n">
        <v>1</v>
      </c>
      <c r="AK892" t="n">
        <v>1</v>
      </c>
      <c r="AP892" t="n">
        <v>0</v>
      </c>
      <c r="AQ892" t="n">
        <v>1</v>
      </c>
      <c r="AR892" t="n">
        <v>0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</row>
    <row r="893">
      <c r="A893" t="inlineStr">
        <is>
          <t>17249884298704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</v>
      </c>
      <c r="AF893" t="n">
        <v>1</v>
      </c>
      <c r="AG893" t="n">
        <v>0</v>
      </c>
      <c r="AH893" t="n">
        <v>1</v>
      </c>
      <c r="AI893" t="n">
        <v>0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</row>
    <row r="894">
      <c r="A894" t="inlineStr">
        <is>
          <t>17249892230824</t>
        </is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H894" t="n">
        <v>1</v>
      </c>
      <c r="AI894" t="n">
        <v>0</v>
      </c>
      <c r="AJ894" t="n">
        <v>1</v>
      </c>
      <c r="AK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1</v>
      </c>
      <c r="AU894" t="n">
        <v>1</v>
      </c>
      <c r="AV894" t="n">
        <v>1</v>
      </c>
      <c r="AW894" t="n">
        <v>1</v>
      </c>
    </row>
    <row r="895">
      <c r="A895" t="inlineStr">
        <is>
          <t>17250090332973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1</v>
      </c>
      <c r="AG895" t="n">
        <v>0</v>
      </c>
      <c r="AH895" t="n">
        <v>1</v>
      </c>
      <c r="AI895" t="n">
        <v>1</v>
      </c>
      <c r="AJ895" t="n">
        <v>0</v>
      </c>
      <c r="AK895" t="n">
        <v>0</v>
      </c>
      <c r="AL895" t="n">
        <v>1</v>
      </c>
      <c r="AM895" t="n">
        <v>1</v>
      </c>
      <c r="AN895" t="n">
        <v>1</v>
      </c>
      <c r="AO895" t="n">
        <v>1</v>
      </c>
    </row>
    <row r="896">
      <c r="A896" t="inlineStr">
        <is>
          <t>17250090885906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inlineStr">
        <is>
          <t>17250091478067</t>
        </is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inlineStr">
        <is>
          <t>17250091512045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inlineStr">
        <is>
          <t>17250092714909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H899" t="n">
        <v>1</v>
      </c>
      <c r="AI899" t="n">
        <v>1</v>
      </c>
      <c r="AJ899" t="n">
        <v>1</v>
      </c>
      <c r="AK899" t="n">
        <v>1</v>
      </c>
      <c r="AP899" t="n">
        <v>0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</row>
    <row r="900">
      <c r="A900" t="inlineStr">
        <is>
          <t>17250093142180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1</v>
      </c>
      <c r="AE900" t="n">
        <v>1</v>
      </c>
      <c r="AF900" t="n">
        <v>0</v>
      </c>
      <c r="AG900" t="n">
        <v>1</v>
      </c>
      <c r="AH900" t="n">
        <v>1</v>
      </c>
      <c r="AI900" t="n">
        <v>0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0</v>
      </c>
    </row>
    <row r="901">
      <c r="A901" t="inlineStr">
        <is>
          <t>17250093217775</t>
        </is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1</v>
      </c>
      <c r="AI901" t="n">
        <v>1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0</v>
      </c>
    </row>
    <row r="902">
      <c r="A902" t="inlineStr">
        <is>
          <t>17250093468769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1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inlineStr">
        <is>
          <t>17250154375757</t>
        </is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1</v>
      </c>
      <c r="AC903" t="n">
        <v>1</v>
      </c>
      <c r="AH903" t="n">
        <v>1</v>
      </c>
      <c r="AI903" t="n">
        <v>0</v>
      </c>
      <c r="AJ903" t="n">
        <v>0</v>
      </c>
      <c r="AK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</row>
    <row r="904">
      <c r="A904" t="inlineStr">
        <is>
          <t>17250159330812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H904" t="n">
        <v>1</v>
      </c>
      <c r="AI904" t="n">
        <v>1</v>
      </c>
      <c r="AJ904" t="n">
        <v>0</v>
      </c>
      <c r="AK904" t="n">
        <v>1</v>
      </c>
      <c r="AP904" t="n">
        <v>0</v>
      </c>
      <c r="AQ904" t="n">
        <v>1</v>
      </c>
      <c r="AR904" t="n">
        <v>0</v>
      </c>
      <c r="AS904" t="n">
        <v>1</v>
      </c>
      <c r="AT904" t="n">
        <v>1</v>
      </c>
      <c r="AU904" t="n">
        <v>1</v>
      </c>
      <c r="AV904" t="n">
        <v>1</v>
      </c>
      <c r="AW904" t="n">
        <v>1</v>
      </c>
    </row>
    <row r="905">
      <c r="A905" t="inlineStr">
        <is>
          <t>17250256443196</t>
        </is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0</v>
      </c>
      <c r="AG905" t="n">
        <v>0</v>
      </c>
      <c r="AH905" t="n">
        <v>1</v>
      </c>
      <c r="AI905" t="n">
        <v>0</v>
      </c>
      <c r="AJ905" t="n">
        <v>1</v>
      </c>
      <c r="AK905" t="n">
        <v>0</v>
      </c>
      <c r="AL905" t="n">
        <v>0</v>
      </c>
      <c r="AM905" t="n">
        <v>1</v>
      </c>
      <c r="AN905" t="n">
        <v>1</v>
      </c>
      <c r="AO905" t="n">
        <v>0</v>
      </c>
    </row>
    <row r="906">
      <c r="A906" t="inlineStr">
        <is>
          <t>17250260021640</t>
        </is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1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inlineStr">
        <is>
          <t>17250260212223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1</v>
      </c>
      <c r="AL907" t="n">
        <v>0</v>
      </c>
      <c r="AM907" t="n">
        <v>1</v>
      </c>
      <c r="AN907" t="n">
        <v>1</v>
      </c>
      <c r="AO907" t="n">
        <v>1</v>
      </c>
    </row>
    <row r="908">
      <c r="A908" t="inlineStr">
        <is>
          <t>17250264555657</t>
        </is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n">
        <v>1</v>
      </c>
      <c r="AC908" t="n">
        <v>0</v>
      </c>
      <c r="AH908" t="n">
        <v>1</v>
      </c>
      <c r="AI908" t="n">
        <v>1</v>
      </c>
      <c r="AJ908" t="n">
        <v>0</v>
      </c>
      <c r="AK908" t="n">
        <v>0</v>
      </c>
      <c r="AP908" t="n">
        <v>0</v>
      </c>
      <c r="AQ908" t="n">
        <v>1</v>
      </c>
      <c r="AR908" t="n">
        <v>1</v>
      </c>
      <c r="AS908" t="n">
        <v>0</v>
      </c>
      <c r="AT908" t="n">
        <v>1</v>
      </c>
      <c r="AU908" t="n">
        <v>1</v>
      </c>
      <c r="AV908" t="n">
        <v>1</v>
      </c>
      <c r="AW908" t="n">
        <v>1</v>
      </c>
    </row>
    <row r="909">
      <c r="A909" t="inlineStr">
        <is>
          <t>17250265758008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0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</row>
    <row r="910">
      <c r="A910" t="inlineStr">
        <is>
          <t>17250273896039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</row>
    <row r="911">
      <c r="A911" t="inlineStr">
        <is>
          <t>17250274914235</t>
        </is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1</v>
      </c>
      <c r="AB911" t="n">
        <v>0</v>
      </c>
      <c r="AC911" t="n">
        <v>0</v>
      </c>
      <c r="AH911" t="n">
        <v>1</v>
      </c>
      <c r="AI911" t="n">
        <v>1</v>
      </c>
      <c r="AJ911" t="n">
        <v>0</v>
      </c>
      <c r="AK911" t="n">
        <v>0</v>
      </c>
      <c r="AP911" t="n">
        <v>0</v>
      </c>
      <c r="AQ911" t="n">
        <v>1</v>
      </c>
      <c r="AR911" t="n">
        <v>1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</row>
    <row r="912">
      <c r="A912" t="inlineStr">
        <is>
          <t>17250275020244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H912" t="n">
        <v>1</v>
      </c>
      <c r="AI912" t="n">
        <v>0</v>
      </c>
      <c r="AJ912" t="n">
        <v>1</v>
      </c>
      <c r="AK912" t="n">
        <v>1</v>
      </c>
      <c r="AP912" t="n">
        <v>0</v>
      </c>
      <c r="AQ912" t="n">
        <v>1</v>
      </c>
      <c r="AR912" t="n">
        <v>0</v>
      </c>
      <c r="AS912" t="n">
        <v>0</v>
      </c>
      <c r="AT912" t="n">
        <v>1</v>
      </c>
      <c r="AU912" t="n">
        <v>1</v>
      </c>
      <c r="AV912" t="n">
        <v>1</v>
      </c>
      <c r="AW912" t="n">
        <v>1</v>
      </c>
    </row>
    <row r="913">
      <c r="A913" t="inlineStr">
        <is>
          <t>17250313727938</t>
        </is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H913" t="n">
        <v>1</v>
      </c>
      <c r="AI913" t="n">
        <v>1</v>
      </c>
      <c r="AJ913" t="n">
        <v>1</v>
      </c>
      <c r="AK913" t="n">
        <v>1</v>
      </c>
      <c r="AP913" t="n">
        <v>0</v>
      </c>
      <c r="AQ913" t="n">
        <v>0</v>
      </c>
      <c r="AR913" t="n">
        <v>0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</row>
    <row r="914">
      <c r="A914" t="inlineStr">
        <is>
          <t>17250405024331</t>
        </is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1</v>
      </c>
      <c r="AA914" t="n">
        <v>1</v>
      </c>
      <c r="AB914" t="n">
        <v>1</v>
      </c>
      <c r="AC914" t="n">
        <v>0</v>
      </c>
      <c r="AH914" t="n">
        <v>1</v>
      </c>
      <c r="AI914" t="n">
        <v>0</v>
      </c>
      <c r="AJ914" t="n">
        <v>1</v>
      </c>
      <c r="AK914" t="n">
        <v>1</v>
      </c>
      <c r="AP914" t="n">
        <v>1</v>
      </c>
      <c r="AQ914" t="n">
        <v>1</v>
      </c>
      <c r="AR914" t="n">
        <v>0</v>
      </c>
      <c r="AS914" t="n">
        <v>1</v>
      </c>
      <c r="AT914" t="n">
        <v>1</v>
      </c>
      <c r="AU914" t="n">
        <v>1</v>
      </c>
      <c r="AV914" t="n">
        <v>1</v>
      </c>
      <c r="AW914" t="n">
        <v>1</v>
      </c>
    </row>
    <row r="915">
      <c r="A915" t="inlineStr">
        <is>
          <t>17250417043324</t>
        </is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1</v>
      </c>
      <c r="AC915" t="n">
        <v>1</v>
      </c>
      <c r="AH915" t="n">
        <v>1</v>
      </c>
      <c r="AI915" t="n">
        <v>1</v>
      </c>
      <c r="AJ915" t="n">
        <v>0</v>
      </c>
      <c r="AK915" t="n">
        <v>0</v>
      </c>
      <c r="AP915" t="n">
        <v>1</v>
      </c>
      <c r="AQ915" t="n">
        <v>1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</row>
    <row r="916">
      <c r="A916" t="inlineStr">
        <is>
          <t>17250418264073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1</v>
      </c>
      <c r="AH916" t="n">
        <v>1</v>
      </c>
      <c r="AI916" t="n">
        <v>0</v>
      </c>
      <c r="AJ916" t="n">
        <v>0</v>
      </c>
      <c r="AK916" t="n">
        <v>1</v>
      </c>
      <c r="AP916" t="n">
        <v>1</v>
      </c>
      <c r="AQ916" t="n">
        <v>1</v>
      </c>
      <c r="AR916" t="n">
        <v>0</v>
      </c>
      <c r="AS916" t="n">
        <v>1</v>
      </c>
      <c r="AT916" t="n">
        <v>0</v>
      </c>
      <c r="AU916" t="n">
        <v>0</v>
      </c>
      <c r="AV916" t="n">
        <v>1</v>
      </c>
      <c r="AW916" t="n">
        <v>1</v>
      </c>
    </row>
    <row r="917">
      <c r="A917" t="inlineStr">
        <is>
          <t>17250418796621</t>
        </is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H917" t="n">
        <v>1</v>
      </c>
      <c r="AI917" t="n">
        <v>0</v>
      </c>
      <c r="AJ917" t="n">
        <v>1</v>
      </c>
      <c r="AK917" t="n">
        <v>1</v>
      </c>
      <c r="AP917" t="n">
        <v>0</v>
      </c>
      <c r="AQ917" t="n">
        <v>1</v>
      </c>
      <c r="AR917" t="n">
        <v>1</v>
      </c>
      <c r="AS917" t="n">
        <v>1</v>
      </c>
      <c r="AT917" t="n">
        <v>1</v>
      </c>
      <c r="AU917" t="n">
        <v>1</v>
      </c>
      <c r="AV917" t="n">
        <v>1</v>
      </c>
      <c r="AW917" t="n">
        <v>1</v>
      </c>
    </row>
    <row r="918">
      <c r="A918" t="inlineStr">
        <is>
          <t>17250419991813</t>
        </is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H918" t="n">
        <v>1</v>
      </c>
      <c r="AI918" t="n">
        <v>1</v>
      </c>
      <c r="AJ918" t="n">
        <v>0</v>
      </c>
      <c r="AK918" t="n">
        <v>0</v>
      </c>
      <c r="AP918" t="n">
        <v>1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</row>
    <row r="919">
      <c r="A919" t="inlineStr">
        <is>
          <t>17250420235881</t>
        </is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0</v>
      </c>
      <c r="AF919" t="n">
        <v>1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</row>
    <row r="920">
      <c r="A920" t="inlineStr">
        <is>
          <t>17250584470898</t>
        </is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n">
        <v>0</v>
      </c>
      <c r="AC920" t="n">
        <v>1</v>
      </c>
      <c r="AH920" t="n">
        <v>1</v>
      </c>
      <c r="AI920" t="n">
        <v>1</v>
      </c>
      <c r="AJ920" t="n">
        <v>0</v>
      </c>
      <c r="AK920" t="n">
        <v>0</v>
      </c>
      <c r="AP920" t="n">
        <v>1</v>
      </c>
      <c r="AQ920" t="n">
        <v>1</v>
      </c>
      <c r="AR920" t="n">
        <v>1</v>
      </c>
      <c r="AS920" t="n">
        <v>1</v>
      </c>
      <c r="AT920" t="n">
        <v>1</v>
      </c>
      <c r="AU920" t="n">
        <v>0</v>
      </c>
      <c r="AV920" t="n">
        <v>0</v>
      </c>
      <c r="AW920" t="n">
        <v>1</v>
      </c>
    </row>
    <row r="921">
      <c r="A921" t="inlineStr">
        <is>
          <t>17250584578533</t>
        </is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1</v>
      </c>
      <c r="AH921" t="n">
        <v>1</v>
      </c>
      <c r="AI921" t="n">
        <v>0</v>
      </c>
      <c r="AJ921" t="n">
        <v>0</v>
      </c>
      <c r="AK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1</v>
      </c>
      <c r="AU921" t="n">
        <v>0</v>
      </c>
      <c r="AV921" t="n">
        <v>1</v>
      </c>
      <c r="AW921" t="n">
        <v>1</v>
      </c>
    </row>
    <row r="922">
      <c r="A922" t="inlineStr">
        <is>
          <t>17250584733247</t>
        </is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n">
        <v>1</v>
      </c>
      <c r="AC922" t="n">
        <v>1</v>
      </c>
      <c r="AH922" t="n">
        <v>1</v>
      </c>
      <c r="AI922" t="n">
        <v>1</v>
      </c>
      <c r="AJ922" t="n">
        <v>0</v>
      </c>
      <c r="AK922" t="n">
        <v>1</v>
      </c>
      <c r="AP922" t="n">
        <v>0</v>
      </c>
      <c r="AQ922" t="n">
        <v>1</v>
      </c>
      <c r="AR922" t="n">
        <v>1</v>
      </c>
      <c r="AS922" t="n">
        <v>1</v>
      </c>
      <c r="AT922" t="n">
        <v>1</v>
      </c>
      <c r="AU922" t="n">
        <v>1</v>
      </c>
      <c r="AV922" t="n">
        <v>1</v>
      </c>
      <c r="AW922" t="n">
        <v>1</v>
      </c>
    </row>
    <row r="923">
      <c r="A923" t="inlineStr">
        <is>
          <t>17250584844138</t>
        </is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H923" t="n">
        <v>0</v>
      </c>
      <c r="AI923" t="n">
        <v>0</v>
      </c>
      <c r="AJ923" t="n">
        <v>0</v>
      </c>
      <c r="AK923" t="n">
        <v>0</v>
      </c>
      <c r="AP923" t="n">
        <v>0</v>
      </c>
      <c r="AQ923" t="n">
        <v>0</v>
      </c>
      <c r="AR923" t="n">
        <v>1</v>
      </c>
      <c r="AS923" t="n">
        <v>1</v>
      </c>
      <c r="AT923" t="n">
        <v>1</v>
      </c>
      <c r="AU923" t="n">
        <v>1</v>
      </c>
      <c r="AV923" t="n">
        <v>1</v>
      </c>
      <c r="AW923" t="n">
        <v>0</v>
      </c>
    </row>
    <row r="924">
      <c r="A924" t="inlineStr">
        <is>
          <t>17250584965943</t>
        </is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n">
        <v>1</v>
      </c>
      <c r="AH924" t="n">
        <v>1</v>
      </c>
      <c r="AI924" t="n">
        <v>1</v>
      </c>
      <c r="AJ924" t="n">
        <v>0</v>
      </c>
      <c r="AK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1</v>
      </c>
      <c r="AV924" t="n">
        <v>1</v>
      </c>
      <c r="AW924" t="n">
        <v>0</v>
      </c>
    </row>
    <row r="925">
      <c r="A925" t="inlineStr">
        <is>
          <t>17250585034448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H925" t="n">
        <v>1</v>
      </c>
      <c r="AI925" t="n">
        <v>0</v>
      </c>
      <c r="AJ925" t="n">
        <v>1</v>
      </c>
      <c r="AK925" t="n">
        <v>1</v>
      </c>
      <c r="AP925" t="n">
        <v>1</v>
      </c>
      <c r="AQ925" t="n">
        <v>1</v>
      </c>
      <c r="AR925" t="n">
        <v>0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</row>
    <row r="926">
      <c r="A926" t="inlineStr">
        <is>
          <t>17250585176319</t>
        </is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1</v>
      </c>
      <c r="V926" t="n">
        <v>1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H926" t="n">
        <v>1</v>
      </c>
      <c r="AI926" t="n">
        <v>1</v>
      </c>
      <c r="AJ926" t="n">
        <v>1</v>
      </c>
      <c r="AK926" t="n">
        <v>1</v>
      </c>
      <c r="AP926" t="n">
        <v>1</v>
      </c>
      <c r="AQ926" t="n">
        <v>1</v>
      </c>
      <c r="AR926" t="n">
        <v>0</v>
      </c>
      <c r="AS926" t="n">
        <v>1</v>
      </c>
      <c r="AT926" t="n">
        <v>1</v>
      </c>
      <c r="AU926" t="n">
        <v>1</v>
      </c>
      <c r="AV926" t="n">
        <v>1</v>
      </c>
      <c r="AW926" t="n">
        <v>1</v>
      </c>
    </row>
    <row r="927">
      <c r="A927" t="inlineStr">
        <is>
          <t>17250586778136</t>
        </is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H927" t="n">
        <v>1</v>
      </c>
      <c r="AI927" t="n">
        <v>1</v>
      </c>
      <c r="AJ927" t="n">
        <v>1</v>
      </c>
      <c r="AK927" t="n">
        <v>1</v>
      </c>
      <c r="AP927" t="n">
        <v>1</v>
      </c>
      <c r="AQ927" t="n">
        <v>1</v>
      </c>
      <c r="AR927" t="n">
        <v>0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</row>
    <row r="928">
      <c r="A928" t="inlineStr">
        <is>
          <t>17250848517127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n">
        <v>1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inlineStr">
        <is>
          <t>17250915754739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1</v>
      </c>
      <c r="AH929" t="n">
        <v>1</v>
      </c>
      <c r="AI929" t="n">
        <v>1</v>
      </c>
      <c r="AJ929" t="n">
        <v>1</v>
      </c>
      <c r="AK929" t="n">
        <v>1</v>
      </c>
      <c r="AP929" t="n">
        <v>1</v>
      </c>
      <c r="AQ929" t="n">
        <v>1</v>
      </c>
      <c r="AR929" t="n">
        <v>0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</row>
    <row r="930">
      <c r="A930" t="inlineStr">
        <is>
          <t>17250916914173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H930" t="n">
        <v>1</v>
      </c>
      <c r="AI930" t="n">
        <v>1</v>
      </c>
      <c r="AJ930" t="n">
        <v>1</v>
      </c>
      <c r="AK930" t="n">
        <v>1</v>
      </c>
      <c r="AP930" t="n">
        <v>1</v>
      </c>
      <c r="AQ930" t="n">
        <v>1</v>
      </c>
      <c r="AR930" t="n">
        <v>1</v>
      </c>
      <c r="AS930" t="n">
        <v>1</v>
      </c>
      <c r="AT930" t="n">
        <v>1</v>
      </c>
      <c r="AU930" t="n">
        <v>1</v>
      </c>
      <c r="AV930" t="n">
        <v>1</v>
      </c>
      <c r="AW930" t="n">
        <v>1</v>
      </c>
    </row>
    <row r="931">
      <c r="A931" t="inlineStr">
        <is>
          <t>17250917252846</t>
        </is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n">
        <v>1</v>
      </c>
      <c r="AC931" t="n">
        <v>1</v>
      </c>
      <c r="AH931" t="n">
        <v>1</v>
      </c>
      <c r="AI931" t="n">
        <v>1</v>
      </c>
      <c r="AJ931" t="n">
        <v>1</v>
      </c>
      <c r="AK931" t="n">
        <v>1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1</v>
      </c>
      <c r="AV931" t="n">
        <v>1</v>
      </c>
      <c r="AW931" t="n">
        <v>1</v>
      </c>
    </row>
    <row r="932">
      <c r="A932" t="inlineStr">
        <is>
          <t>17250917520108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H932" t="n">
        <v>1</v>
      </c>
      <c r="AI932" t="n">
        <v>1</v>
      </c>
      <c r="AJ932" t="n">
        <v>1</v>
      </c>
      <c r="AK932" t="n">
        <v>1</v>
      </c>
      <c r="AP932" t="n">
        <v>1</v>
      </c>
      <c r="AQ932" t="n">
        <v>0</v>
      </c>
      <c r="AR932" t="n">
        <v>0</v>
      </c>
      <c r="AS932" t="n">
        <v>1</v>
      </c>
      <c r="AT932" t="n">
        <v>1</v>
      </c>
      <c r="AU932" t="n">
        <v>1</v>
      </c>
      <c r="AV932" t="n">
        <v>1</v>
      </c>
      <c r="AW932" t="n">
        <v>1</v>
      </c>
    </row>
    <row r="933">
      <c r="A933" t="inlineStr">
        <is>
          <t>17250918274989</t>
        </is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H933" t="n">
        <v>0</v>
      </c>
      <c r="AI933" t="n">
        <v>0</v>
      </c>
      <c r="AJ933" t="n">
        <v>1</v>
      </c>
      <c r="AK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1</v>
      </c>
      <c r="AV933" t="n">
        <v>1</v>
      </c>
      <c r="AW933" t="n">
        <v>1</v>
      </c>
    </row>
    <row r="934">
      <c r="A934" t="inlineStr">
        <is>
          <t>17250918744320</t>
        </is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H934" t="n">
        <v>1</v>
      </c>
      <c r="AI934" t="n">
        <v>1</v>
      </c>
      <c r="AJ934" t="n">
        <v>1</v>
      </c>
      <c r="AK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</row>
    <row r="935">
      <c r="A935" t="inlineStr">
        <is>
          <t>17250918926157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H935" t="n">
        <v>1</v>
      </c>
      <c r="AI935" t="n">
        <v>1</v>
      </c>
      <c r="AJ935" t="n">
        <v>1</v>
      </c>
      <c r="AK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</row>
    <row r="936">
      <c r="A936" t="inlineStr">
        <is>
          <t>17250929087153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0</v>
      </c>
      <c r="AF936" t="n">
        <v>1</v>
      </c>
      <c r="AG936" t="n">
        <v>0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</row>
    <row r="937">
      <c r="A937" t="inlineStr">
        <is>
          <t>17251362915795</t>
        </is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inlineStr">
        <is>
          <t>17251366044732</t>
        </is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1</v>
      </c>
      <c r="AG938" t="n">
        <v>1</v>
      </c>
      <c r="AH938" t="n">
        <v>1</v>
      </c>
      <c r="AI938" t="n">
        <v>1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</row>
    <row r="939">
      <c r="A939" t="inlineStr">
        <is>
          <t>17251366622922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n">
        <v>0</v>
      </c>
      <c r="AC939" t="n">
        <v>1</v>
      </c>
      <c r="AH939" t="n">
        <v>0</v>
      </c>
      <c r="AI939" t="n">
        <v>0</v>
      </c>
      <c r="AJ939" t="n">
        <v>0</v>
      </c>
      <c r="AK939" t="n">
        <v>0</v>
      </c>
      <c r="AP939" t="n">
        <v>1</v>
      </c>
      <c r="AQ939" t="n">
        <v>1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1</v>
      </c>
    </row>
    <row r="940">
      <c r="A940" t="inlineStr">
        <is>
          <t>17251986110413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0</v>
      </c>
      <c r="AH940" t="n">
        <v>1</v>
      </c>
      <c r="AI940" t="n">
        <v>1</v>
      </c>
      <c r="AJ940" t="n">
        <v>0</v>
      </c>
      <c r="AK940" t="n">
        <v>1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</row>
    <row r="941">
      <c r="A941" t="inlineStr">
        <is>
          <t>17251986697400</t>
        </is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inlineStr">
        <is>
          <t>17251996969994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0</v>
      </c>
      <c r="AL942" t="n">
        <v>1</v>
      </c>
      <c r="AM942" t="n">
        <v>1</v>
      </c>
      <c r="AN942" t="n">
        <v>1</v>
      </c>
      <c r="AO942" t="n">
        <v>1</v>
      </c>
    </row>
    <row r="943">
      <c r="A943" t="inlineStr">
        <is>
          <t>17252180644757</t>
        </is>
      </c>
      <c r="B943" t="n">
        <v>0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  <c r="AC943" t="n">
        <v>1</v>
      </c>
      <c r="AH943" t="n">
        <v>1</v>
      </c>
      <c r="AI943" t="n">
        <v>0</v>
      </c>
      <c r="AJ943" t="n">
        <v>1</v>
      </c>
      <c r="AK943" t="n">
        <v>0</v>
      </c>
      <c r="AP943" t="n">
        <v>1</v>
      </c>
      <c r="AQ943" t="n">
        <v>1</v>
      </c>
      <c r="AR943" t="n">
        <v>0</v>
      </c>
      <c r="AS943" t="n">
        <v>1</v>
      </c>
      <c r="AT943" t="n">
        <v>1</v>
      </c>
      <c r="AU943" t="n">
        <v>1</v>
      </c>
      <c r="AV943" t="n">
        <v>1</v>
      </c>
      <c r="AW943" t="n">
        <v>0</v>
      </c>
    </row>
    <row r="944">
      <c r="A944" t="inlineStr">
        <is>
          <t>17253394222322</t>
        </is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1</v>
      </c>
      <c r="AG944" t="n">
        <v>1</v>
      </c>
      <c r="AH944" t="n">
        <v>1</v>
      </c>
      <c r="AI944" t="n">
        <v>1</v>
      </c>
      <c r="AJ944" t="n">
        <v>0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</row>
    <row r="945">
      <c r="A945" t="inlineStr">
        <is>
          <t>17253403488137</t>
        </is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0</v>
      </c>
      <c r="AL945" t="n">
        <v>0</v>
      </c>
      <c r="AM945" t="n">
        <v>1</v>
      </c>
      <c r="AN945" t="n">
        <v>0</v>
      </c>
      <c r="AO945" t="n">
        <v>1</v>
      </c>
    </row>
    <row r="946">
      <c r="A946" t="inlineStr">
        <is>
          <t>17253572696417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inlineStr">
        <is>
          <t>17253573025273</t>
        </is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H947" t="n">
        <v>1</v>
      </c>
      <c r="AI947" t="n">
        <v>1</v>
      </c>
      <c r="AJ947" t="n">
        <v>1</v>
      </c>
      <c r="AK947" t="n">
        <v>1</v>
      </c>
      <c r="AP947" t="n">
        <v>0</v>
      </c>
      <c r="AQ947" t="n">
        <v>1</v>
      </c>
      <c r="AR947" t="n">
        <v>0</v>
      </c>
      <c r="AS947" t="n">
        <v>0</v>
      </c>
      <c r="AT947" t="n">
        <v>1</v>
      </c>
      <c r="AU947" t="n">
        <v>1</v>
      </c>
      <c r="AV947" t="n">
        <v>1</v>
      </c>
      <c r="AW947" t="n">
        <v>1</v>
      </c>
    </row>
    <row r="948">
      <c r="A948" t="inlineStr">
        <is>
          <t>17253574166120</t>
        </is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</row>
    <row r="949">
      <c r="A949" t="inlineStr">
        <is>
          <t>17253586093614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H949" t="n">
        <v>1</v>
      </c>
      <c r="AI949" t="n">
        <v>1</v>
      </c>
      <c r="AJ949" t="n">
        <v>1</v>
      </c>
      <c r="AK949" t="n">
        <v>1</v>
      </c>
      <c r="AP949" t="n">
        <v>0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</row>
    <row r="950">
      <c r="A950" t="inlineStr">
        <is>
          <t>17253586472421</t>
        </is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n">
        <v>0</v>
      </c>
      <c r="AC950" t="n">
        <v>1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1</v>
      </c>
      <c r="AL950" t="n">
        <v>0</v>
      </c>
      <c r="AM950" t="n">
        <v>1</v>
      </c>
      <c r="AN950" t="n">
        <v>1</v>
      </c>
      <c r="AO950" t="n">
        <v>0</v>
      </c>
    </row>
    <row r="951">
      <c r="A951" t="inlineStr">
        <is>
          <t>17253608959674</t>
        </is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H951" t="n">
        <v>1</v>
      </c>
      <c r="AI951" t="n">
        <v>1</v>
      </c>
      <c r="AJ951" t="n">
        <v>1</v>
      </c>
      <c r="AK951" t="n">
        <v>1</v>
      </c>
      <c r="AP951" t="n">
        <v>1</v>
      </c>
      <c r="AQ951" t="n">
        <v>1</v>
      </c>
      <c r="AR951" t="n">
        <v>0</v>
      </c>
      <c r="AS951" t="n">
        <v>1</v>
      </c>
      <c r="AT951" t="n">
        <v>1</v>
      </c>
      <c r="AU951" t="n">
        <v>1</v>
      </c>
      <c r="AV951" t="n">
        <v>1</v>
      </c>
      <c r="AW951" t="n">
        <v>1</v>
      </c>
    </row>
    <row r="952">
      <c r="A952" t="inlineStr">
        <is>
          <t>17253920915223</t>
        </is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H952" t="n">
        <v>1</v>
      </c>
      <c r="AI952" t="n">
        <v>1</v>
      </c>
      <c r="AJ952" t="n">
        <v>1</v>
      </c>
      <c r="AK952" t="n">
        <v>1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1</v>
      </c>
      <c r="AW952" t="n">
        <v>1</v>
      </c>
    </row>
    <row r="953">
      <c r="A953" t="inlineStr">
        <is>
          <t>17253921567144</t>
        </is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H953" t="n">
        <v>1</v>
      </c>
      <c r="AI953" t="n">
        <v>1</v>
      </c>
      <c r="AJ953" t="n">
        <v>0</v>
      </c>
      <c r="AK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1</v>
      </c>
      <c r="AW953" t="n">
        <v>0</v>
      </c>
    </row>
    <row r="954">
      <c r="A954" t="inlineStr">
        <is>
          <t>17253922621249</t>
        </is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1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1</v>
      </c>
      <c r="AH954" t="n">
        <v>1</v>
      </c>
      <c r="AI954" t="n">
        <v>1</v>
      </c>
      <c r="AJ954" t="n">
        <v>0</v>
      </c>
      <c r="AK954" t="n">
        <v>1</v>
      </c>
      <c r="AL954" t="n">
        <v>0</v>
      </c>
      <c r="AM954" t="n">
        <v>1</v>
      </c>
      <c r="AN954" t="n">
        <v>0</v>
      </c>
      <c r="AO954" t="n">
        <v>1</v>
      </c>
    </row>
    <row r="955">
      <c r="A955" t="inlineStr">
        <is>
          <t>17255358681705</t>
        </is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H955" t="n">
        <v>0</v>
      </c>
      <c r="AI955" t="n">
        <v>1</v>
      </c>
      <c r="AJ955" t="n">
        <v>1</v>
      </c>
      <c r="AK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1</v>
      </c>
    </row>
    <row r="956">
      <c r="A956" t="inlineStr">
        <is>
          <t>17255358728214</t>
        </is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H956" t="n">
        <v>0</v>
      </c>
      <c r="AI956" t="n">
        <v>1</v>
      </c>
      <c r="AJ956" t="n">
        <v>1</v>
      </c>
      <c r="AK956" t="n">
        <v>1</v>
      </c>
      <c r="AP956" t="n">
        <v>1</v>
      </c>
      <c r="AQ956" t="n">
        <v>1</v>
      </c>
      <c r="AR956" t="n">
        <v>0</v>
      </c>
      <c r="AS956" t="n">
        <v>1</v>
      </c>
      <c r="AT956" t="n">
        <v>1</v>
      </c>
      <c r="AU956" t="n">
        <v>0</v>
      </c>
      <c r="AV956" t="n">
        <v>1</v>
      </c>
      <c r="AW956" t="n">
        <v>1</v>
      </c>
    </row>
    <row r="957">
      <c r="A957" t="inlineStr">
        <is>
          <t>17255360665913</t>
        </is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1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inlineStr">
        <is>
          <t>17255361370702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H958" t="n">
        <v>1</v>
      </c>
      <c r="AI958" t="n">
        <v>1</v>
      </c>
      <c r="AJ958" t="n">
        <v>0</v>
      </c>
      <c r="AK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1</v>
      </c>
      <c r="AW958" t="n">
        <v>1</v>
      </c>
    </row>
    <row r="959">
      <c r="A959" t="inlineStr">
        <is>
          <t>17255373378818</t>
        </is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H959" t="n">
        <v>1</v>
      </c>
      <c r="AI959" t="n">
        <v>1</v>
      </c>
      <c r="AJ959" t="n">
        <v>0</v>
      </c>
      <c r="AK959" t="n">
        <v>1</v>
      </c>
      <c r="AP959" t="n">
        <v>0</v>
      </c>
      <c r="AQ959" t="n">
        <v>1</v>
      </c>
      <c r="AR959" t="n">
        <v>0</v>
      </c>
      <c r="AS959" t="n">
        <v>1</v>
      </c>
      <c r="AT959" t="n">
        <v>1</v>
      </c>
      <c r="AU959" t="n">
        <v>0</v>
      </c>
      <c r="AV959" t="n">
        <v>1</v>
      </c>
      <c r="AW959" t="n">
        <v>1</v>
      </c>
    </row>
    <row r="960">
      <c r="A960" t="inlineStr">
        <is>
          <t>17255393496178</t>
        </is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n">
        <v>1</v>
      </c>
      <c r="AC960" t="n">
        <v>1</v>
      </c>
      <c r="AH960" t="n">
        <v>1</v>
      </c>
      <c r="AI960" t="n">
        <v>0</v>
      </c>
      <c r="AJ960" t="n">
        <v>0</v>
      </c>
      <c r="AK960" t="n">
        <v>1</v>
      </c>
      <c r="AP960" t="n">
        <v>1</v>
      </c>
      <c r="AQ960" t="n">
        <v>1</v>
      </c>
      <c r="AR960" t="n">
        <v>0</v>
      </c>
      <c r="AS960" t="n">
        <v>1</v>
      </c>
      <c r="AT960" t="n">
        <v>1</v>
      </c>
      <c r="AU960" t="n">
        <v>0</v>
      </c>
      <c r="AV960" t="n">
        <v>1</v>
      </c>
      <c r="AW960" t="n">
        <v>1</v>
      </c>
    </row>
    <row r="961">
      <c r="A961" t="inlineStr">
        <is>
          <t>17255393572773</t>
        </is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n">
        <v>0</v>
      </c>
      <c r="AC961" t="n">
        <v>1</v>
      </c>
      <c r="AH961" t="n">
        <v>0</v>
      </c>
      <c r="AI961" t="n">
        <v>1</v>
      </c>
      <c r="AJ961" t="n">
        <v>0</v>
      </c>
      <c r="AK961" t="n">
        <v>1</v>
      </c>
      <c r="AP961" t="n">
        <v>1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1</v>
      </c>
      <c r="AW961" t="n">
        <v>1</v>
      </c>
    </row>
    <row r="962">
      <c r="A962" t="inlineStr">
        <is>
          <t>17255395732363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H962" t="n">
        <v>1</v>
      </c>
      <c r="AI962" t="n">
        <v>0</v>
      </c>
      <c r="AJ962" t="n">
        <v>0</v>
      </c>
      <c r="AK962" t="n">
        <v>1</v>
      </c>
      <c r="AP962" t="n">
        <v>1</v>
      </c>
      <c r="AQ962" t="n">
        <v>1</v>
      </c>
      <c r="AR962" t="n">
        <v>0</v>
      </c>
      <c r="AS962" t="n">
        <v>1</v>
      </c>
      <c r="AT962" t="n">
        <v>1</v>
      </c>
      <c r="AU962" t="n">
        <v>0</v>
      </c>
      <c r="AV962" t="n">
        <v>1</v>
      </c>
      <c r="AW962" t="n">
        <v>1</v>
      </c>
    </row>
    <row r="963">
      <c r="A963" t="inlineStr">
        <is>
          <t>17255404640398</t>
        </is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H963" t="n">
        <v>1</v>
      </c>
      <c r="AI963" t="n">
        <v>1</v>
      </c>
      <c r="AJ963" t="n">
        <v>0</v>
      </c>
      <c r="AK963" t="n">
        <v>1</v>
      </c>
      <c r="AP963" t="n">
        <v>0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1</v>
      </c>
    </row>
    <row r="964">
      <c r="A964" t="inlineStr">
        <is>
          <t>17255418798605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n">
        <v>0</v>
      </c>
      <c r="Z964" t="n">
        <v>1</v>
      </c>
      <c r="AA964" t="n">
        <v>1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inlineStr">
        <is>
          <t>17255420660637</t>
        </is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n">
        <v>0</v>
      </c>
      <c r="AC965" t="n">
        <v>1</v>
      </c>
      <c r="AH965" t="n">
        <v>1</v>
      </c>
      <c r="AI965" t="n">
        <v>1</v>
      </c>
      <c r="AJ965" t="n">
        <v>0</v>
      </c>
      <c r="AK965" t="n">
        <v>1</v>
      </c>
      <c r="AP965" t="n">
        <v>0</v>
      </c>
      <c r="AQ965" t="n">
        <v>0</v>
      </c>
      <c r="AR965" t="n">
        <v>1</v>
      </c>
      <c r="AS965" t="n">
        <v>1</v>
      </c>
      <c r="AT965" t="n">
        <v>1</v>
      </c>
      <c r="AU965" t="n">
        <v>0</v>
      </c>
      <c r="AV965" t="n">
        <v>1</v>
      </c>
      <c r="AW965" t="n">
        <v>1</v>
      </c>
    </row>
    <row r="966">
      <c r="A966" t="inlineStr">
        <is>
          <t>17255704886977</t>
        </is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1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inlineStr">
        <is>
          <t>17256122038476</t>
        </is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n">
        <v>1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inlineStr">
        <is>
          <t>17257263873267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H968" t="n">
        <v>1</v>
      </c>
      <c r="AI968" t="n">
        <v>1</v>
      </c>
      <c r="AJ968" t="n">
        <v>1</v>
      </c>
      <c r="AK968" t="n">
        <v>1</v>
      </c>
      <c r="AP968" t="n">
        <v>0</v>
      </c>
      <c r="AQ968" t="n">
        <v>1</v>
      </c>
      <c r="AR968" t="n">
        <v>0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</row>
    <row r="969">
      <c r="A969" t="inlineStr">
        <is>
          <t>17257264056152</t>
        </is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1</v>
      </c>
      <c r="AA969" t="n">
        <v>1</v>
      </c>
      <c r="AB969" t="n">
        <v>1</v>
      </c>
      <c r="AC969" t="n">
        <v>1</v>
      </c>
      <c r="AH969" t="n">
        <v>1</v>
      </c>
      <c r="AI969" t="n">
        <v>1</v>
      </c>
      <c r="AJ969" t="n">
        <v>0</v>
      </c>
      <c r="AK969" t="n">
        <v>0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1</v>
      </c>
      <c r="AW969" t="n">
        <v>1</v>
      </c>
    </row>
    <row r="970">
      <c r="A970" t="inlineStr">
        <is>
          <t>17257264210303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H970" t="n">
        <v>1</v>
      </c>
      <c r="AI970" t="n">
        <v>1</v>
      </c>
      <c r="AJ970" t="n">
        <v>0</v>
      </c>
      <c r="AK970" t="n">
        <v>0</v>
      </c>
      <c r="AP970" t="n">
        <v>1</v>
      </c>
      <c r="AQ970" t="n">
        <v>1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1</v>
      </c>
    </row>
    <row r="971">
      <c r="A971" t="inlineStr">
        <is>
          <t>17257264547696</t>
        </is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n">
        <v>1</v>
      </c>
      <c r="AC971" t="n">
        <v>1</v>
      </c>
      <c r="AH971" t="n">
        <v>1</v>
      </c>
      <c r="AI971" t="n">
        <v>1</v>
      </c>
      <c r="AJ971" t="n">
        <v>1</v>
      </c>
      <c r="AK971" t="n">
        <v>1</v>
      </c>
      <c r="AP971" t="n">
        <v>0</v>
      </c>
      <c r="AQ971" t="n">
        <v>1</v>
      </c>
      <c r="AR971" t="n">
        <v>0</v>
      </c>
      <c r="AS971" t="n">
        <v>1</v>
      </c>
      <c r="AT971" t="n">
        <v>1</v>
      </c>
      <c r="AU971" t="n">
        <v>1</v>
      </c>
      <c r="AV971" t="n">
        <v>1</v>
      </c>
      <c r="AW971" t="n">
        <v>1</v>
      </c>
    </row>
    <row r="972">
      <c r="A972" t="inlineStr">
        <is>
          <t>17257460369764</t>
        </is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inlineStr">
        <is>
          <t>17257513384206</t>
        </is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1</v>
      </c>
      <c r="AC973" t="n">
        <v>1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1</v>
      </c>
      <c r="AK973" t="n">
        <v>1</v>
      </c>
      <c r="AL973" t="n">
        <v>0</v>
      </c>
      <c r="AM973" t="n">
        <v>0</v>
      </c>
      <c r="AN973" t="n">
        <v>1</v>
      </c>
      <c r="AO973" t="n">
        <v>1</v>
      </c>
    </row>
    <row r="974">
      <c r="A974" t="inlineStr">
        <is>
          <t>17257545012645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0</v>
      </c>
      <c r="AC974" t="n">
        <v>1</v>
      </c>
      <c r="AH974" t="n">
        <v>1</v>
      </c>
      <c r="AI974" t="n">
        <v>1</v>
      </c>
      <c r="AJ974" t="n">
        <v>1</v>
      </c>
      <c r="AK974" t="n">
        <v>1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1</v>
      </c>
      <c r="AV974" t="n">
        <v>1</v>
      </c>
      <c r="AW974" t="n">
        <v>1</v>
      </c>
    </row>
    <row r="975">
      <c r="A975" t="inlineStr">
        <is>
          <t>17257550690376</t>
        </is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1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0</v>
      </c>
      <c r="AD975" t="n">
        <v>1</v>
      </c>
      <c r="AE975" t="n">
        <v>0</v>
      </c>
      <c r="AF975" t="n">
        <v>1</v>
      </c>
      <c r="AG975" t="n">
        <v>1</v>
      </c>
      <c r="AH975" t="n">
        <v>0</v>
      </c>
      <c r="AI975" t="n">
        <v>1</v>
      </c>
      <c r="AJ975" t="n">
        <v>0</v>
      </c>
      <c r="AK975" t="n">
        <v>1</v>
      </c>
      <c r="AL975" t="n">
        <v>0</v>
      </c>
      <c r="AM975" t="n">
        <v>0</v>
      </c>
      <c r="AN975" t="n">
        <v>1</v>
      </c>
      <c r="AO975" t="n">
        <v>0</v>
      </c>
    </row>
    <row r="976">
      <c r="A976" t="inlineStr">
        <is>
          <t>17257551252449</t>
        </is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inlineStr">
        <is>
          <t>17257551480079</t>
        </is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0</v>
      </c>
      <c r="AC977" t="n">
        <v>1</v>
      </c>
      <c r="AH977" t="n">
        <v>1</v>
      </c>
      <c r="AI977" t="n">
        <v>1</v>
      </c>
      <c r="AJ977" t="n">
        <v>1</v>
      </c>
      <c r="AK977" t="n">
        <v>1</v>
      </c>
      <c r="AP977" t="n">
        <v>0</v>
      </c>
      <c r="AQ977" t="n">
        <v>1</v>
      </c>
      <c r="AR977" t="n">
        <v>0</v>
      </c>
      <c r="AS977" t="n">
        <v>1</v>
      </c>
      <c r="AT977" t="n">
        <v>1</v>
      </c>
      <c r="AU977" t="n">
        <v>1</v>
      </c>
      <c r="AV977" t="n">
        <v>1</v>
      </c>
      <c r="AW977" t="n">
        <v>1</v>
      </c>
    </row>
    <row r="978">
      <c r="A978" t="inlineStr">
        <is>
          <t>17257552397862</t>
        </is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1</v>
      </c>
      <c r="AH978" t="n">
        <v>1</v>
      </c>
      <c r="AI978" t="n">
        <v>0</v>
      </c>
      <c r="AJ978" t="n">
        <v>0</v>
      </c>
      <c r="AK978" t="n">
        <v>1</v>
      </c>
      <c r="AP978" t="n">
        <v>0</v>
      </c>
      <c r="AQ978" t="n">
        <v>1</v>
      </c>
      <c r="AR978" t="n">
        <v>0</v>
      </c>
      <c r="AS978" t="n">
        <v>1</v>
      </c>
      <c r="AT978" t="n">
        <v>1</v>
      </c>
      <c r="AU978" t="n">
        <v>0</v>
      </c>
      <c r="AV978" t="n">
        <v>1</v>
      </c>
      <c r="AW978" t="n">
        <v>1</v>
      </c>
    </row>
    <row r="979">
      <c r="A979" t="inlineStr">
        <is>
          <t>17257552462878</t>
        </is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1</v>
      </c>
      <c r="AL979" t="n">
        <v>0</v>
      </c>
      <c r="AM979" t="n">
        <v>1</v>
      </c>
      <c r="AN979" t="n">
        <v>0</v>
      </c>
      <c r="AO979" t="n">
        <v>1</v>
      </c>
    </row>
    <row r="980">
      <c r="A980" t="inlineStr">
        <is>
          <t>17257553239406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1</v>
      </c>
      <c r="AK980" t="n">
        <v>1</v>
      </c>
      <c r="AL980" t="n">
        <v>1</v>
      </c>
      <c r="AM980" t="n">
        <v>0</v>
      </c>
      <c r="AN980" t="n">
        <v>0</v>
      </c>
      <c r="AO980" t="n">
        <v>0</v>
      </c>
    </row>
    <row r="981">
      <c r="A981" t="inlineStr">
        <is>
          <t>17257553611727</t>
        </is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H981" t="n">
        <v>0</v>
      </c>
      <c r="AI981" t="n">
        <v>0</v>
      </c>
      <c r="AJ981" t="n">
        <v>1</v>
      </c>
      <c r="AK981" t="n">
        <v>1</v>
      </c>
      <c r="AP981" t="n">
        <v>0</v>
      </c>
      <c r="AQ981" t="n">
        <v>1</v>
      </c>
      <c r="AR981" t="n">
        <v>0</v>
      </c>
      <c r="AS981" t="n">
        <v>1</v>
      </c>
      <c r="AT981" t="n">
        <v>1</v>
      </c>
      <c r="AU981" t="n">
        <v>0</v>
      </c>
      <c r="AV981" t="n">
        <v>1</v>
      </c>
      <c r="AW981" t="n">
        <v>1</v>
      </c>
    </row>
    <row r="982">
      <c r="A982" t="inlineStr">
        <is>
          <t>17257553732408</t>
        </is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1</v>
      </c>
      <c r="AB982" t="n">
        <v>1</v>
      </c>
      <c r="AC982" t="n">
        <v>0</v>
      </c>
      <c r="AH982" t="n">
        <v>1</v>
      </c>
      <c r="AI982" t="n">
        <v>0</v>
      </c>
      <c r="AJ982" t="n">
        <v>1</v>
      </c>
      <c r="AK982" t="n">
        <v>1</v>
      </c>
      <c r="AP982" t="n">
        <v>1</v>
      </c>
      <c r="AQ982" t="n">
        <v>1</v>
      </c>
      <c r="AR982" t="n">
        <v>0</v>
      </c>
      <c r="AS982" t="n">
        <v>1</v>
      </c>
      <c r="AT982" t="n">
        <v>1</v>
      </c>
      <c r="AU982" t="n">
        <v>1</v>
      </c>
      <c r="AV982" t="n">
        <v>1</v>
      </c>
      <c r="AW982" t="n">
        <v>1</v>
      </c>
    </row>
    <row r="983">
      <c r="A983" t="inlineStr">
        <is>
          <t>17257557251685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n">
        <v>0</v>
      </c>
      <c r="AC983" t="n">
        <v>1</v>
      </c>
      <c r="AH983" t="n">
        <v>1</v>
      </c>
      <c r="AI983" t="n">
        <v>0</v>
      </c>
      <c r="AJ983" t="n">
        <v>0</v>
      </c>
      <c r="AK983" t="n">
        <v>1</v>
      </c>
      <c r="AP983" t="n">
        <v>0</v>
      </c>
      <c r="AQ983" t="n">
        <v>1</v>
      </c>
      <c r="AR983" t="n">
        <v>0</v>
      </c>
      <c r="AS983" t="n">
        <v>1</v>
      </c>
      <c r="AT983" t="n">
        <v>1</v>
      </c>
      <c r="AU983" t="n">
        <v>0</v>
      </c>
      <c r="AV983" t="n">
        <v>1</v>
      </c>
      <c r="AW983" t="n">
        <v>1</v>
      </c>
    </row>
    <row r="984">
      <c r="A984" t="inlineStr">
        <is>
          <t>17257557496920</t>
        </is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n">
        <v>1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inlineStr">
        <is>
          <t>17257558337505</t>
        </is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</row>
    <row r="986">
      <c r="A986" t="inlineStr">
        <is>
          <t>17257558655106</t>
        </is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n">
        <v>0</v>
      </c>
      <c r="AC986" t="n">
        <v>1</v>
      </c>
      <c r="AH986" t="n">
        <v>1</v>
      </c>
      <c r="AI986" t="n">
        <v>0</v>
      </c>
      <c r="AJ986" t="n">
        <v>0</v>
      </c>
      <c r="AK986" t="n">
        <v>1</v>
      </c>
      <c r="AP986" t="n">
        <v>0</v>
      </c>
      <c r="AQ986" t="n">
        <v>1</v>
      </c>
      <c r="AR986" t="n">
        <v>0</v>
      </c>
      <c r="AS986" t="n">
        <v>1</v>
      </c>
      <c r="AT986" t="n">
        <v>1</v>
      </c>
      <c r="AU986" t="n">
        <v>0</v>
      </c>
      <c r="AV986" t="n">
        <v>1</v>
      </c>
      <c r="AW986" t="n">
        <v>1</v>
      </c>
    </row>
    <row r="987">
      <c r="A987" t="inlineStr">
        <is>
          <t>17257559388557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inlineStr">
        <is>
          <t>17257559779276</t>
        </is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inlineStr">
        <is>
          <t>17257560543525</t>
        </is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n">
        <v>1</v>
      </c>
      <c r="AH989" t="n">
        <v>1</v>
      </c>
      <c r="AI989" t="n">
        <v>0</v>
      </c>
      <c r="AJ989" t="n">
        <v>0</v>
      </c>
      <c r="AK989" t="n">
        <v>1</v>
      </c>
      <c r="AP989" t="n">
        <v>0</v>
      </c>
      <c r="AQ989" t="n">
        <v>1</v>
      </c>
      <c r="AR989" t="n">
        <v>0</v>
      </c>
      <c r="AS989" t="n">
        <v>1</v>
      </c>
      <c r="AT989" t="n">
        <v>1</v>
      </c>
      <c r="AU989" t="n">
        <v>0</v>
      </c>
      <c r="AV989" t="n">
        <v>1</v>
      </c>
      <c r="AW989" t="n">
        <v>1</v>
      </c>
    </row>
    <row r="990">
      <c r="A990" t="inlineStr">
        <is>
          <t>17257560661477</t>
        </is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H990" t="n">
        <v>1</v>
      </c>
      <c r="AI990" t="n">
        <v>0</v>
      </c>
      <c r="AJ990" t="n">
        <v>0</v>
      </c>
      <c r="AK990" t="n">
        <v>1</v>
      </c>
      <c r="AP990" t="n">
        <v>0</v>
      </c>
      <c r="AQ990" t="n">
        <v>1</v>
      </c>
      <c r="AR990" t="n">
        <v>0</v>
      </c>
      <c r="AS990" t="n">
        <v>1</v>
      </c>
      <c r="AT990" t="n">
        <v>1</v>
      </c>
      <c r="AU990" t="n">
        <v>0</v>
      </c>
      <c r="AV990" t="n">
        <v>1</v>
      </c>
      <c r="AW990" t="n">
        <v>1</v>
      </c>
    </row>
    <row r="991">
      <c r="A991" t="inlineStr">
        <is>
          <t>17258278646610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H991" t="n">
        <v>1</v>
      </c>
      <c r="AI991" t="n">
        <v>1</v>
      </c>
      <c r="AJ991" t="n">
        <v>0</v>
      </c>
      <c r="AK991" t="n">
        <v>1</v>
      </c>
      <c r="AP991" t="n">
        <v>1</v>
      </c>
      <c r="AQ991" t="n">
        <v>1</v>
      </c>
      <c r="AR991" t="n">
        <v>0</v>
      </c>
      <c r="AS991" t="n">
        <v>1</v>
      </c>
      <c r="AT991" t="n">
        <v>1</v>
      </c>
      <c r="AU991" t="n">
        <v>1</v>
      </c>
      <c r="AV991" t="n">
        <v>1</v>
      </c>
      <c r="AW991" t="n">
        <v>1</v>
      </c>
    </row>
    <row r="992">
      <c r="A992" t="inlineStr">
        <is>
          <t>17258309094752</t>
        </is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n">
        <v>0</v>
      </c>
      <c r="Z992" t="n">
        <v>1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n">
        <v>0</v>
      </c>
      <c r="AG992" t="n">
        <v>1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inlineStr">
        <is>
          <t>17259905768194</t>
        </is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n">
        <v>0</v>
      </c>
      <c r="AC993" t="n">
        <v>1</v>
      </c>
      <c r="AH993" t="n">
        <v>1</v>
      </c>
      <c r="AI993" t="n">
        <v>1</v>
      </c>
      <c r="AJ993" t="n">
        <v>0</v>
      </c>
      <c r="AK993" t="n">
        <v>1</v>
      </c>
      <c r="AP993" t="n">
        <v>0</v>
      </c>
      <c r="AQ993" t="n">
        <v>1</v>
      </c>
      <c r="AR993" t="n">
        <v>0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</row>
    <row r="994">
      <c r="A994" t="inlineStr">
        <is>
          <t>17261349892439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H994" t="n">
        <v>0</v>
      </c>
      <c r="AI994" t="n">
        <v>1</v>
      </c>
      <c r="AJ994" t="n">
        <v>0</v>
      </c>
      <c r="AK994" t="n">
        <v>1</v>
      </c>
      <c r="AP994" t="n">
        <v>0</v>
      </c>
      <c r="AQ994" t="n">
        <v>1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1</v>
      </c>
    </row>
    <row r="995">
      <c r="A995" t="inlineStr">
        <is>
          <t>17261349986643</t>
        </is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n">
        <v>1</v>
      </c>
      <c r="AC995" t="n">
        <v>1</v>
      </c>
      <c r="AH995" t="n">
        <v>1</v>
      </c>
      <c r="AI995" t="n">
        <v>0</v>
      </c>
      <c r="AJ995" t="n">
        <v>1</v>
      </c>
      <c r="AK995" t="n">
        <v>1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1</v>
      </c>
      <c r="AV995" t="n">
        <v>1</v>
      </c>
      <c r="AW995" t="n">
        <v>1</v>
      </c>
    </row>
    <row r="996">
      <c r="A996" t="inlineStr">
        <is>
          <t>17261748631300</t>
        </is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1</v>
      </c>
      <c r="AH996" t="n">
        <v>1</v>
      </c>
      <c r="AI996" t="n">
        <v>1</v>
      </c>
      <c r="AJ996" t="n">
        <v>1</v>
      </c>
      <c r="AK996" t="n">
        <v>1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1</v>
      </c>
      <c r="AV996" t="n">
        <v>1</v>
      </c>
      <c r="AW996" t="n">
        <v>1</v>
      </c>
    </row>
    <row r="997">
      <c r="A997" t="inlineStr">
        <is>
          <t>17261870584164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H997" t="n">
        <v>1</v>
      </c>
      <c r="AI997" t="n">
        <v>1</v>
      </c>
      <c r="AJ997" t="n">
        <v>0</v>
      </c>
      <c r="AK997" t="n">
        <v>1</v>
      </c>
      <c r="AP997" t="n">
        <v>1</v>
      </c>
      <c r="AQ997" t="n">
        <v>1</v>
      </c>
      <c r="AR997" t="n">
        <v>0</v>
      </c>
      <c r="AS997" t="n">
        <v>1</v>
      </c>
      <c r="AT997" t="n">
        <v>1</v>
      </c>
      <c r="AU997" t="n">
        <v>1</v>
      </c>
      <c r="AV997" t="n">
        <v>1</v>
      </c>
      <c r="AW997" t="n">
        <v>1</v>
      </c>
    </row>
    <row r="998">
      <c r="A998" t="inlineStr">
        <is>
          <t>17262016441016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1</v>
      </c>
      <c r="AO998" t="n">
        <v>0</v>
      </c>
    </row>
    <row r="999">
      <c r="A999" t="inlineStr">
        <is>
          <t>17262098496717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n">
        <v>1</v>
      </c>
      <c r="AC999" t="n">
        <v>1</v>
      </c>
      <c r="AH999" t="n">
        <v>1</v>
      </c>
      <c r="AI999" t="n">
        <v>1</v>
      </c>
      <c r="AJ999" t="n">
        <v>1</v>
      </c>
      <c r="AK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1</v>
      </c>
    </row>
    <row r="1000">
      <c r="A1000" t="inlineStr">
        <is>
          <t>17262172679308</t>
        </is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1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0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</row>
    <row r="1001">
      <c r="A1001" t="inlineStr">
        <is>
          <t>17262173311441</t>
        </is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n">
        <v>0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0</v>
      </c>
      <c r="AF1001" t="n">
        <v>1</v>
      </c>
      <c r="AG1001" t="n">
        <v>1</v>
      </c>
      <c r="AH1001" t="n">
        <v>1</v>
      </c>
      <c r="AI1001" t="n">
        <v>0</v>
      </c>
      <c r="AJ1001" t="n">
        <v>1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</row>
    <row r="1002">
      <c r="A1002" t="inlineStr">
        <is>
          <t>17262173877425</t>
        </is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1</v>
      </c>
      <c r="AO1002" t="n">
        <v>1</v>
      </c>
    </row>
    <row r="1003">
      <c r="A1003" t="inlineStr">
        <is>
          <t>17262228590374</t>
        </is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n">
        <v>1</v>
      </c>
      <c r="AC1003" t="n">
        <v>1</v>
      </c>
      <c r="AD1003" t="n">
        <v>0</v>
      </c>
      <c r="AE1003" t="n">
        <v>0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</row>
    <row r="1004">
      <c r="A1004" t="inlineStr">
        <is>
          <t>17262228615598</t>
        </is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1</v>
      </c>
      <c r="Y1004" t="n">
        <v>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0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</row>
    <row r="1005">
      <c r="A1005" t="inlineStr">
        <is>
          <t>17262231938186</t>
        </is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</row>
    <row r="1006">
      <c r="A1006" t="inlineStr">
        <is>
          <t>17262233092155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1</v>
      </c>
      <c r="Y1006" t="n">
        <v>0</v>
      </c>
      <c r="Z1006" t="n">
        <v>0</v>
      </c>
      <c r="AA1006" t="n">
        <v>1</v>
      </c>
      <c r="AB1006" t="n">
        <v>1</v>
      </c>
      <c r="AC1006" t="n">
        <v>1</v>
      </c>
      <c r="AH1006" t="n">
        <v>1</v>
      </c>
      <c r="AI1006" t="n">
        <v>1</v>
      </c>
      <c r="AJ1006" t="n">
        <v>0</v>
      </c>
      <c r="AK1006" t="n">
        <v>0</v>
      </c>
      <c r="AP1006" t="n">
        <v>1</v>
      </c>
      <c r="AQ1006" t="n">
        <v>1</v>
      </c>
      <c r="AR1006" t="n">
        <v>0</v>
      </c>
      <c r="AS1006" t="n">
        <v>1</v>
      </c>
      <c r="AT1006" t="n">
        <v>1</v>
      </c>
      <c r="AU1006" t="n">
        <v>0</v>
      </c>
      <c r="AV1006" t="n">
        <v>1</v>
      </c>
      <c r="AW1006" t="n">
        <v>1</v>
      </c>
    </row>
    <row r="1007">
      <c r="A1007" t="inlineStr">
        <is>
          <t>17262236964508</t>
        </is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1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n">
        <v>1</v>
      </c>
      <c r="AC1007" t="n">
        <v>1</v>
      </c>
      <c r="AD1007" t="n">
        <v>0</v>
      </c>
      <c r="AE1007" t="n">
        <v>0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inlineStr">
        <is>
          <t>17262240819456</t>
        </is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n">
        <v>0</v>
      </c>
      <c r="AC1008" t="n">
        <v>1</v>
      </c>
      <c r="AD1008" t="n">
        <v>1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1</v>
      </c>
      <c r="AN1008" t="n">
        <v>1</v>
      </c>
      <c r="AO1008" t="n">
        <v>1</v>
      </c>
    </row>
    <row r="1009">
      <c r="A1009" t="inlineStr">
        <is>
          <t>17264466718761</t>
        </is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1</v>
      </c>
      <c r="AC1009" t="n">
        <v>1</v>
      </c>
      <c r="AD1009" t="n">
        <v>1</v>
      </c>
      <c r="AE1009" t="n">
        <v>0</v>
      </c>
      <c r="AF1009" t="n">
        <v>1</v>
      </c>
      <c r="AG1009" t="n">
        <v>1</v>
      </c>
      <c r="AH1009" t="n">
        <v>1</v>
      </c>
      <c r="AI1009" t="n">
        <v>0</v>
      </c>
      <c r="AJ1009" t="n">
        <v>1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</row>
    <row r="1010">
      <c r="A1010" t="inlineStr">
        <is>
          <t>17264472050242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inlineStr">
        <is>
          <t>17264473892780</t>
        </is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1</v>
      </c>
      <c r="AC1011" t="n">
        <v>1</v>
      </c>
      <c r="AH1011" t="n">
        <v>1</v>
      </c>
      <c r="AI1011" t="n">
        <v>1</v>
      </c>
      <c r="AJ1011" t="n">
        <v>1</v>
      </c>
      <c r="AK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1</v>
      </c>
      <c r="AV1011" t="n">
        <v>1</v>
      </c>
      <c r="AW1011" t="n">
        <v>1</v>
      </c>
    </row>
    <row r="1012">
      <c r="A1012" t="inlineStr">
        <is>
          <t>17265182191003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1</v>
      </c>
      <c r="AC1012" t="n">
        <v>1</v>
      </c>
      <c r="AH1012" t="n">
        <v>1</v>
      </c>
      <c r="AI1012" t="n">
        <v>1</v>
      </c>
      <c r="AJ1012" t="n">
        <v>1</v>
      </c>
      <c r="AK1012" t="n">
        <v>1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1</v>
      </c>
      <c r="AV1012" t="n">
        <v>1</v>
      </c>
      <c r="AW1012" t="n">
        <v>1</v>
      </c>
    </row>
    <row r="1013">
      <c r="A1013" t="inlineStr">
        <is>
          <t>17265182233205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1</v>
      </c>
      <c r="AJ1013" t="n">
        <v>1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inlineStr">
        <is>
          <t>17265182340435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1</v>
      </c>
      <c r="AN1014" t="n">
        <v>1</v>
      </c>
      <c r="AO1014" t="n">
        <v>0</v>
      </c>
    </row>
    <row r="1015">
      <c r="A1015" t="inlineStr">
        <is>
          <t>17269346851807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n">
        <v>0</v>
      </c>
      <c r="AC1015" t="n">
        <v>0</v>
      </c>
      <c r="AH1015" t="n">
        <v>1</v>
      </c>
      <c r="AI1015" t="n">
        <v>1</v>
      </c>
      <c r="AJ1015" t="n">
        <v>0</v>
      </c>
      <c r="AK1015" t="n">
        <v>1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  <c r="AU1015" t="n">
        <v>1</v>
      </c>
      <c r="AV1015" t="n">
        <v>1</v>
      </c>
      <c r="AW1015" t="n">
        <v>1</v>
      </c>
    </row>
    <row r="1016">
      <c r="A1016" t="inlineStr">
        <is>
          <t>17269938864058</t>
        </is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1</v>
      </c>
      <c r="AH1016" t="n">
        <v>1</v>
      </c>
      <c r="AI1016" t="n">
        <v>1</v>
      </c>
      <c r="AJ1016" t="n">
        <v>0</v>
      </c>
      <c r="AK1016" t="n">
        <v>1</v>
      </c>
      <c r="AP1016" t="n">
        <v>1</v>
      </c>
      <c r="AQ1016" t="n">
        <v>1</v>
      </c>
      <c r="AR1016" t="n">
        <v>0</v>
      </c>
      <c r="AS1016" t="n">
        <v>1</v>
      </c>
      <c r="AT1016" t="n">
        <v>1</v>
      </c>
      <c r="AU1016" t="n">
        <v>1</v>
      </c>
      <c r="AV1016" t="n">
        <v>1</v>
      </c>
      <c r="AW1016" t="n">
        <v>1</v>
      </c>
    </row>
    <row r="1017">
      <c r="A1017" t="inlineStr">
        <is>
          <t>17270407891017</t>
        </is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inlineStr">
        <is>
          <t>17270856742469</t>
        </is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n">
        <v>1</v>
      </c>
      <c r="AC1018" t="n">
        <v>1</v>
      </c>
      <c r="AH1018" t="n">
        <v>1</v>
      </c>
      <c r="AI1018" t="n">
        <v>1</v>
      </c>
      <c r="AJ1018" t="n">
        <v>0</v>
      </c>
      <c r="AK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1</v>
      </c>
      <c r="AU1018" t="n">
        <v>1</v>
      </c>
      <c r="AV1018" t="n">
        <v>1</v>
      </c>
      <c r="AW1018" t="n">
        <v>1</v>
      </c>
    </row>
    <row r="1019">
      <c r="A1019" t="inlineStr">
        <is>
          <t>17271269630790</t>
        </is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1</v>
      </c>
      <c r="AB1019" t="n">
        <v>1</v>
      </c>
      <c r="AC1019" t="n">
        <v>1</v>
      </c>
      <c r="AH1019" t="n">
        <v>0</v>
      </c>
      <c r="AI1019" t="n">
        <v>0</v>
      </c>
      <c r="AJ1019" t="n">
        <v>0</v>
      </c>
      <c r="AK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1</v>
      </c>
    </row>
    <row r="1020">
      <c r="A1020" t="inlineStr">
        <is>
          <t>17271269992090</t>
        </is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1</v>
      </c>
      <c r="AH1020" t="n">
        <v>1</v>
      </c>
      <c r="AI1020" t="n">
        <v>0</v>
      </c>
      <c r="AJ1020" t="n">
        <v>0</v>
      </c>
      <c r="AK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1</v>
      </c>
      <c r="AU1020" t="n">
        <v>0</v>
      </c>
      <c r="AV1020" t="n">
        <v>0</v>
      </c>
      <c r="AW1020" t="n">
        <v>1</v>
      </c>
    </row>
    <row r="1021">
      <c r="A1021" t="inlineStr">
        <is>
          <t>17272729136082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inlineStr">
        <is>
          <t>17283857948770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0</v>
      </c>
      <c r="AG1022" t="n">
        <v>1</v>
      </c>
      <c r="AH1022" t="n">
        <v>1</v>
      </c>
      <c r="AI1022" t="n">
        <v>1</v>
      </c>
      <c r="AJ1022" t="n">
        <v>0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</row>
    <row r="1023">
      <c r="A1023" t="inlineStr">
        <is>
          <t>17291294321646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1</v>
      </c>
      <c r="AH1023" t="n">
        <v>1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  <c r="AN1023" t="n">
        <v>1</v>
      </c>
      <c r="AO1023" t="n">
        <v>0</v>
      </c>
    </row>
    <row r="1024">
      <c r="A1024" t="inlineStr">
        <is>
          <t>17291326956982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</row>
    <row r="1025">
      <c r="A1025" t="inlineStr">
        <is>
          <t>17291327069682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1</v>
      </c>
      <c r="AB1025" t="n">
        <v>1</v>
      </c>
      <c r="AC1025" t="n">
        <v>1</v>
      </c>
      <c r="AH1025" t="n">
        <v>0</v>
      </c>
      <c r="AI1025" t="n">
        <v>0</v>
      </c>
      <c r="AJ1025" t="n">
        <v>0</v>
      </c>
      <c r="AK1025" t="n">
        <v>1</v>
      </c>
      <c r="AP1025" t="n">
        <v>1</v>
      </c>
      <c r="AQ1025" t="n">
        <v>1</v>
      </c>
      <c r="AR1025" t="n">
        <v>0</v>
      </c>
      <c r="AS1025" t="n">
        <v>1</v>
      </c>
      <c r="AT1025" t="n">
        <v>1</v>
      </c>
      <c r="AU1025" t="n">
        <v>1</v>
      </c>
      <c r="AV1025" t="n">
        <v>1</v>
      </c>
      <c r="AW1025" t="n">
        <v>1</v>
      </c>
    </row>
    <row r="1026">
      <c r="A1026" t="inlineStr">
        <is>
          <t>17294586083080</t>
        </is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1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inlineStr">
        <is>
          <t>17295942371873</t>
        </is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n">
        <v>1</v>
      </c>
      <c r="AC1027" t="n">
        <v>1</v>
      </c>
      <c r="AH1027" t="n">
        <v>1</v>
      </c>
      <c r="AI1027" t="n">
        <v>1</v>
      </c>
      <c r="AJ1027" t="n">
        <v>1</v>
      </c>
      <c r="AK1027" t="n">
        <v>1</v>
      </c>
      <c r="AP1027" t="n">
        <v>0</v>
      </c>
      <c r="AQ1027" t="n">
        <v>1</v>
      </c>
      <c r="AR1027" t="n">
        <v>1</v>
      </c>
      <c r="AS1027" t="n">
        <v>0</v>
      </c>
      <c r="AT1027" t="n">
        <v>1</v>
      </c>
      <c r="AU1027" t="n">
        <v>1</v>
      </c>
      <c r="AV1027" t="n">
        <v>1</v>
      </c>
      <c r="AW1027" t="n">
        <v>1</v>
      </c>
    </row>
    <row r="1028">
      <c r="A1028" t="inlineStr">
        <is>
          <t>17296996050670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0</v>
      </c>
      <c r="AF1028" t="n">
        <v>1</v>
      </c>
      <c r="AG1028" t="n">
        <v>0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1</v>
      </c>
    </row>
    <row r="1029">
      <c r="A1029" t="inlineStr">
        <is>
          <t>17299291418518</t>
        </is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H1029" t="n">
        <v>1</v>
      </c>
      <c r="AI1029" t="n">
        <v>1</v>
      </c>
      <c r="AJ1029" t="n">
        <v>0</v>
      </c>
      <c r="AK1029" t="n">
        <v>1</v>
      </c>
      <c r="AP1029" t="n">
        <v>0</v>
      </c>
      <c r="AQ1029" t="n">
        <v>1</v>
      </c>
      <c r="AR1029" t="n">
        <v>1</v>
      </c>
      <c r="AS1029" t="n">
        <v>1</v>
      </c>
      <c r="AT1029" t="n">
        <v>1</v>
      </c>
      <c r="AU1029" t="n">
        <v>0</v>
      </c>
      <c r="AV1029" t="n">
        <v>0</v>
      </c>
      <c r="AW1029" t="n">
        <v>1</v>
      </c>
    </row>
    <row r="1030">
      <c r="A1030" t="inlineStr">
        <is>
          <t>17300617430038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H1030" t="n">
        <v>1</v>
      </c>
      <c r="AI1030" t="n">
        <v>1</v>
      </c>
      <c r="AJ1030" t="n">
        <v>0</v>
      </c>
      <c r="AK1030" t="n">
        <v>1</v>
      </c>
      <c r="AP1030" t="n">
        <v>0</v>
      </c>
      <c r="AQ1030" t="n">
        <v>1</v>
      </c>
      <c r="AR1030" t="n">
        <v>0</v>
      </c>
      <c r="AS1030" t="n">
        <v>1</v>
      </c>
      <c r="AT1030" t="n">
        <v>1</v>
      </c>
      <c r="AU1030" t="n">
        <v>0</v>
      </c>
      <c r="AV1030" t="n">
        <v>1</v>
      </c>
      <c r="AW1030" t="n">
        <v>1</v>
      </c>
    </row>
    <row r="1031">
      <c r="A1031" t="inlineStr">
        <is>
          <t>17300688160128</t>
        </is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1</v>
      </c>
      <c r="AA1031" t="n">
        <v>1</v>
      </c>
      <c r="AB1031" t="n">
        <v>1</v>
      </c>
      <c r="AC1031" t="n">
        <v>1</v>
      </c>
      <c r="AH1031" t="n">
        <v>1</v>
      </c>
      <c r="AI1031" t="n">
        <v>1</v>
      </c>
      <c r="AJ1031" t="n">
        <v>1</v>
      </c>
      <c r="AK1031" t="n">
        <v>1</v>
      </c>
      <c r="AP1031" t="n">
        <v>1</v>
      </c>
      <c r="AQ1031" t="n">
        <v>1</v>
      </c>
      <c r="AR1031" t="n">
        <v>0</v>
      </c>
      <c r="AS1031" t="n">
        <v>1</v>
      </c>
      <c r="AT1031" t="n">
        <v>1</v>
      </c>
      <c r="AU1031" t="n">
        <v>1</v>
      </c>
      <c r="AV1031" t="n">
        <v>1</v>
      </c>
      <c r="AW1031" t="n">
        <v>1</v>
      </c>
    </row>
    <row r="1032">
      <c r="A1032" t="inlineStr">
        <is>
          <t>17301164387653</t>
        </is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0</v>
      </c>
      <c r="AF1032" t="n">
        <v>1</v>
      </c>
      <c r="AG1032" t="n">
        <v>1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1</v>
      </c>
    </row>
    <row r="1033">
      <c r="A1033" t="inlineStr">
        <is>
          <t>17302898466755</t>
        </is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inlineStr">
        <is>
          <t>17305000582049</t>
        </is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n">
        <v>0</v>
      </c>
      <c r="AC1034" t="n">
        <v>1</v>
      </c>
      <c r="AH1034" t="n">
        <v>1</v>
      </c>
      <c r="AI1034" t="n">
        <v>0</v>
      </c>
      <c r="AJ1034" t="n">
        <v>1</v>
      </c>
      <c r="AK1034" t="n">
        <v>0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</row>
    <row r="1035">
      <c r="A1035" t="inlineStr">
        <is>
          <t>17305433574113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inlineStr">
        <is>
          <t>267556670153</t>
        </is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n">
        <v>0</v>
      </c>
      <c r="AC1036" t="n">
        <v>1</v>
      </c>
      <c r="AH1036" t="n">
        <v>1</v>
      </c>
      <c r="AI1036" t="n">
        <v>0</v>
      </c>
      <c r="AJ1036" t="n">
        <v>0</v>
      </c>
      <c r="AK1036" t="n">
        <v>1</v>
      </c>
      <c r="AP1036" t="n">
        <v>0</v>
      </c>
      <c r="AQ1036" t="n">
        <v>1</v>
      </c>
      <c r="AR1036" t="n">
        <v>0</v>
      </c>
      <c r="AS1036" t="n">
        <v>1</v>
      </c>
      <c r="AT1036" t="n">
        <v>1</v>
      </c>
      <c r="AU1036" t="n">
        <v>0</v>
      </c>
      <c r="AV1036" t="n">
        <v>1</v>
      </c>
      <c r="AW1036" t="n">
        <v>1</v>
      </c>
    </row>
    <row r="1037">
      <c r="A1037" t="inlineStr">
        <is>
          <t>324043623039</t>
        </is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n">
        <v>0</v>
      </c>
      <c r="AC1037" t="n">
        <v>1</v>
      </c>
      <c r="AH1037" t="n">
        <v>1</v>
      </c>
      <c r="AI1037" t="n">
        <v>1</v>
      </c>
      <c r="AJ1037" t="n">
        <v>1</v>
      </c>
      <c r="AK1037" t="n">
        <v>1</v>
      </c>
      <c r="AP1037" t="n">
        <v>0</v>
      </c>
      <c r="AQ1037" t="n">
        <v>1</v>
      </c>
      <c r="AR1037" t="n">
        <v>1</v>
      </c>
      <c r="AS1037" t="n">
        <v>1</v>
      </c>
      <c r="AT1037" t="n">
        <v>1</v>
      </c>
      <c r="AU1037" t="n">
        <v>1</v>
      </c>
      <c r="AV1037" t="n">
        <v>1</v>
      </c>
      <c r="AW1037" t="n">
        <v>1</v>
      </c>
    </row>
    <row r="1038">
      <c r="A1038" t="inlineStr">
        <is>
          <t>8897233213937</t>
        </is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H1038" t="n">
        <v>1</v>
      </c>
      <c r="AI1038" t="n">
        <v>1</v>
      </c>
      <c r="AJ1038" t="n">
        <v>1</v>
      </c>
      <c r="AK1038" t="n">
        <v>1</v>
      </c>
      <c r="AP1038" t="n">
        <v>0</v>
      </c>
      <c r="AQ1038" t="n">
        <v>1</v>
      </c>
      <c r="AR1038" t="n">
        <v>0</v>
      </c>
      <c r="AS1038" t="n">
        <v>1</v>
      </c>
      <c r="AT1038" t="n">
        <v>1</v>
      </c>
      <c r="AU1038" t="n">
        <v>0</v>
      </c>
      <c r="AV1038" t="n">
        <v>1</v>
      </c>
      <c r="AW1038" t="n">
        <v>0</v>
      </c>
    </row>
    <row r="1040">
      <c r="A1040" s="4" t="inlineStr">
        <is>
          <t>S = số đúng</t>
        </is>
      </c>
      <c r="B1040">
        <f>SUM(B2:B1038)</f>
        <v/>
      </c>
      <c r="C1040">
        <f>SUM(C2:C1038)</f>
        <v/>
      </c>
      <c r="D1040">
        <f>SUM(D2:D1038)</f>
        <v/>
      </c>
      <c r="E1040">
        <f>SUM(E2:E1038)</f>
        <v/>
      </c>
      <c r="F1040">
        <f>SUM(F2:F1038)</f>
        <v/>
      </c>
      <c r="G1040">
        <f>SUM(G2:G1038)</f>
        <v/>
      </c>
      <c r="H1040">
        <f>SUM(H2:H1038)</f>
        <v/>
      </c>
      <c r="I1040">
        <f>SUM(I2:I1038)</f>
        <v/>
      </c>
      <c r="J1040">
        <f>SUM(J2:J1038)</f>
        <v/>
      </c>
      <c r="K1040">
        <f>SUM(K2:K1038)</f>
        <v/>
      </c>
      <c r="L1040">
        <f>SUM(L2:L1038)</f>
        <v/>
      </c>
      <c r="M1040">
        <f>SUM(M2:M1038)</f>
        <v/>
      </c>
      <c r="N1040">
        <f>SUM(N2:N1038)</f>
        <v/>
      </c>
      <c r="O1040">
        <f>SUM(O2:O1038)</f>
        <v/>
      </c>
      <c r="P1040">
        <f>SUM(P2:P1038)</f>
        <v/>
      </c>
      <c r="Q1040">
        <f>SUM(Q2:Q1038)</f>
        <v/>
      </c>
      <c r="R1040">
        <f>SUM(R2:R1038)</f>
        <v/>
      </c>
      <c r="S1040">
        <f>SUM(S2:S1038)</f>
        <v/>
      </c>
      <c r="T1040">
        <f>SUM(T2:T1038)</f>
        <v/>
      </c>
      <c r="U1040">
        <f>SUM(U2:U1038)</f>
        <v/>
      </c>
      <c r="V1040">
        <f>SUM(V2:V1038)</f>
        <v/>
      </c>
      <c r="W1040">
        <f>SUM(W2:W1038)</f>
        <v/>
      </c>
      <c r="X1040">
        <f>SUM(X2:X1038)</f>
        <v/>
      </c>
      <c r="Y1040">
        <f>SUM(Y2:Y1038)</f>
        <v/>
      </c>
      <c r="Z1040">
        <f>SUM(Z2:Z1038)</f>
        <v/>
      </c>
      <c r="AA1040">
        <f>SUM(AA2:AA1038)</f>
        <v/>
      </c>
      <c r="AB1040">
        <f>SUM(AB2:AB1038)</f>
        <v/>
      </c>
      <c r="AC1040">
        <f>SUM(AC2:AC1038)</f>
        <v/>
      </c>
      <c r="AD1040">
        <f>SUM(AD2:AD1038)</f>
        <v/>
      </c>
      <c r="AE1040">
        <f>SUM(AE2:AE1038)</f>
        <v/>
      </c>
      <c r="AF1040">
        <f>SUM(AF2:AF1038)</f>
        <v/>
      </c>
      <c r="AG1040">
        <f>SUM(AG2:AG1038)</f>
        <v/>
      </c>
      <c r="AH1040">
        <f>SUM(AH2:AH1038)</f>
        <v/>
      </c>
      <c r="AI1040">
        <f>SUM(AI2:AI1038)</f>
        <v/>
      </c>
      <c r="AJ1040">
        <f>SUM(AJ2:AJ1038)</f>
        <v/>
      </c>
      <c r="AK1040">
        <f>SUM(AK2:AK1038)</f>
        <v/>
      </c>
      <c r="AL1040">
        <f>SUM(AL2:AL1038)</f>
        <v/>
      </c>
      <c r="AM1040">
        <f>SUM(AM2:AM1038)</f>
        <v/>
      </c>
      <c r="AN1040">
        <f>SUM(AN2:AN1038)</f>
        <v/>
      </c>
      <c r="AO1040">
        <f>SUM(AO2:AO1038)</f>
        <v/>
      </c>
      <c r="AP1040">
        <f>SUM(AP2:AP1038)</f>
        <v/>
      </c>
      <c r="AQ1040">
        <f>SUM(AQ2:AQ1038)</f>
        <v/>
      </c>
      <c r="AR1040">
        <f>SUM(AR2:AR1038)</f>
        <v/>
      </c>
      <c r="AS1040">
        <f>SUM(AS2:AS1038)</f>
        <v/>
      </c>
      <c r="AT1040">
        <f>SUM(AT2:AT1038)</f>
        <v/>
      </c>
      <c r="AU1040">
        <f>SUM(AU2:AU1038)</f>
        <v/>
      </c>
      <c r="AV1040">
        <f>SUM(AV2:AV1038)</f>
        <v/>
      </c>
      <c r="AW1040">
        <f>SUM(AW2:AW1038)</f>
        <v/>
      </c>
    </row>
    <row r="1041">
      <c r="A1041" s="4" t="inlineStr">
        <is>
          <t>N đã làm</t>
        </is>
      </c>
      <c r="B1041">
        <f>COUNT(B2:B1038)</f>
        <v/>
      </c>
      <c r="C1041">
        <f>COUNT(C2:C1038)</f>
        <v/>
      </c>
      <c r="D1041">
        <f>COUNT(D2:D1038)</f>
        <v/>
      </c>
      <c r="E1041">
        <f>COUNT(E2:E1038)</f>
        <v/>
      </c>
      <c r="F1041">
        <f>COUNT(F2:F1038)</f>
        <v/>
      </c>
      <c r="G1041">
        <f>COUNT(G2:G1038)</f>
        <v/>
      </c>
      <c r="H1041">
        <f>COUNT(H2:H1038)</f>
        <v/>
      </c>
      <c r="I1041">
        <f>COUNT(I2:I1038)</f>
        <v/>
      </c>
      <c r="J1041">
        <f>COUNT(J2:J1038)</f>
        <v/>
      </c>
      <c r="K1041">
        <f>COUNT(K2:K1038)</f>
        <v/>
      </c>
      <c r="L1041">
        <f>COUNT(L2:L1038)</f>
        <v/>
      </c>
      <c r="M1041">
        <f>COUNT(M2:M1038)</f>
        <v/>
      </c>
      <c r="N1041">
        <f>COUNT(N2:N1038)</f>
        <v/>
      </c>
      <c r="O1041">
        <f>COUNT(O2:O1038)</f>
        <v/>
      </c>
      <c r="P1041">
        <f>COUNT(P2:P1038)</f>
        <v/>
      </c>
      <c r="Q1041">
        <f>COUNT(Q2:Q1038)</f>
        <v/>
      </c>
      <c r="R1041">
        <f>COUNT(R2:R1038)</f>
        <v/>
      </c>
      <c r="S1041">
        <f>COUNT(S2:S1038)</f>
        <v/>
      </c>
      <c r="T1041">
        <f>COUNT(T2:T1038)</f>
        <v/>
      </c>
      <c r="U1041">
        <f>COUNT(U2:U1038)</f>
        <v/>
      </c>
      <c r="V1041">
        <f>COUNT(V2:V1038)</f>
        <v/>
      </c>
      <c r="W1041">
        <f>COUNT(W2:W1038)</f>
        <v/>
      </c>
      <c r="X1041">
        <f>COUNT(X2:X1038)</f>
        <v/>
      </c>
      <c r="Y1041">
        <f>COUNT(Y2:Y1038)</f>
        <v/>
      </c>
      <c r="Z1041">
        <f>COUNT(Z2:Z1038)</f>
        <v/>
      </c>
      <c r="AA1041">
        <f>COUNT(AA2:AA1038)</f>
        <v/>
      </c>
      <c r="AB1041">
        <f>COUNT(AB2:AB1038)</f>
        <v/>
      </c>
      <c r="AC1041">
        <f>COUNT(AC2:AC1038)</f>
        <v/>
      </c>
      <c r="AD1041">
        <f>COUNT(AD2:AD1038)</f>
        <v/>
      </c>
      <c r="AE1041">
        <f>COUNT(AE2:AE1038)</f>
        <v/>
      </c>
      <c r="AF1041">
        <f>COUNT(AF2:AF1038)</f>
        <v/>
      </c>
      <c r="AG1041">
        <f>COUNT(AG2:AG1038)</f>
        <v/>
      </c>
      <c r="AH1041">
        <f>COUNT(AH2:AH1038)</f>
        <v/>
      </c>
      <c r="AI1041">
        <f>COUNT(AI2:AI1038)</f>
        <v/>
      </c>
      <c r="AJ1041">
        <f>COUNT(AJ2:AJ1038)</f>
        <v/>
      </c>
      <c r="AK1041">
        <f>COUNT(AK2:AK1038)</f>
        <v/>
      </c>
      <c r="AL1041">
        <f>COUNT(AL2:AL1038)</f>
        <v/>
      </c>
      <c r="AM1041">
        <f>COUNT(AM2:AM1038)</f>
        <v/>
      </c>
      <c r="AN1041">
        <f>COUNT(AN2:AN1038)</f>
        <v/>
      </c>
      <c r="AO1041">
        <f>COUNT(AO2:AO1038)</f>
        <v/>
      </c>
      <c r="AP1041">
        <f>COUNT(AP2:AP1038)</f>
        <v/>
      </c>
      <c r="AQ1041">
        <f>COUNT(AQ2:AQ1038)</f>
        <v/>
      </c>
      <c r="AR1041">
        <f>COUNT(AR2:AR1038)</f>
        <v/>
      </c>
      <c r="AS1041">
        <f>COUNT(AS2:AS1038)</f>
        <v/>
      </c>
      <c r="AT1041">
        <f>COUNT(AT2:AT1038)</f>
        <v/>
      </c>
      <c r="AU1041">
        <f>COUNT(AU2:AU1038)</f>
        <v/>
      </c>
      <c r="AV1041">
        <f>COUNT(AV2:AV1038)</f>
        <v/>
      </c>
      <c r="AW1041">
        <f>COUNT(AW2:AW1038)</f>
        <v/>
      </c>
    </row>
    <row r="1042">
      <c r="A1042" s="4" t="inlineStr">
        <is>
          <t>p = S/N</t>
        </is>
      </c>
      <c r="B1042" s="5">
        <f>B1040/B1041</f>
        <v/>
      </c>
      <c r="C1042" s="5">
        <f>C1040/C1041</f>
        <v/>
      </c>
      <c r="D1042" s="5">
        <f>D1040/D1041</f>
        <v/>
      </c>
      <c r="E1042" s="5">
        <f>E1040/E1041</f>
        <v/>
      </c>
      <c r="F1042" s="5">
        <f>F1040/F1041</f>
        <v/>
      </c>
      <c r="G1042" s="5">
        <f>G1040/G1041</f>
        <v/>
      </c>
      <c r="H1042" s="5">
        <f>H1040/H1041</f>
        <v/>
      </c>
      <c r="I1042" s="5">
        <f>I1040/I1041</f>
        <v/>
      </c>
      <c r="J1042" s="5">
        <f>J1040/J1041</f>
        <v/>
      </c>
      <c r="K1042" s="5">
        <f>K1040/K1041</f>
        <v/>
      </c>
      <c r="L1042" s="5">
        <f>L1040/L1041</f>
        <v/>
      </c>
      <c r="M1042" s="5">
        <f>M1040/M1041</f>
        <v/>
      </c>
      <c r="N1042" s="5">
        <f>N1040/N1041</f>
        <v/>
      </c>
      <c r="O1042" s="5">
        <f>O1040/O1041</f>
        <v/>
      </c>
      <c r="P1042" s="5">
        <f>P1040/P1041</f>
        <v/>
      </c>
      <c r="Q1042" s="5">
        <f>Q1040/Q1041</f>
        <v/>
      </c>
      <c r="R1042" s="5">
        <f>R1040/R1041</f>
        <v/>
      </c>
      <c r="S1042" s="5">
        <f>S1040/S1041</f>
        <v/>
      </c>
      <c r="T1042" s="5">
        <f>T1040/T1041</f>
        <v/>
      </c>
      <c r="U1042" s="5">
        <f>U1040/U1041</f>
        <v/>
      </c>
      <c r="V1042" s="5">
        <f>V1040/V1041</f>
        <v/>
      </c>
      <c r="W1042" s="5">
        <f>W1040/W1041</f>
        <v/>
      </c>
      <c r="X1042" s="5">
        <f>X1040/X1041</f>
        <v/>
      </c>
      <c r="Y1042" s="5">
        <f>Y1040/Y1041</f>
        <v/>
      </c>
      <c r="Z1042" s="5">
        <f>Z1040/Z1041</f>
        <v/>
      </c>
      <c r="AA1042" s="5">
        <f>AA1040/AA1041</f>
        <v/>
      </c>
      <c r="AB1042" s="5">
        <f>AB1040/AB1041</f>
        <v/>
      </c>
      <c r="AC1042" s="5">
        <f>AC1040/AC1041</f>
        <v/>
      </c>
      <c r="AD1042" s="5">
        <f>AD1040/AD1041</f>
        <v/>
      </c>
      <c r="AE1042" s="5">
        <f>AE1040/AE1041</f>
        <v/>
      </c>
      <c r="AF1042" s="5">
        <f>AF1040/AF1041</f>
        <v/>
      </c>
      <c r="AG1042" s="5">
        <f>AG1040/AG1041</f>
        <v/>
      </c>
      <c r="AH1042" s="5">
        <f>AH1040/AH1041</f>
        <v/>
      </c>
      <c r="AI1042" s="5">
        <f>AI1040/AI1041</f>
        <v/>
      </c>
      <c r="AJ1042" s="5">
        <f>AJ1040/AJ1041</f>
        <v/>
      </c>
      <c r="AK1042" s="5">
        <f>AK1040/AK1041</f>
        <v/>
      </c>
      <c r="AL1042" s="5">
        <f>AL1040/AL1041</f>
        <v/>
      </c>
      <c r="AM1042" s="5">
        <f>AM1040/AM1041</f>
        <v/>
      </c>
      <c r="AN1042" s="5">
        <f>AN1040/AN1041</f>
        <v/>
      </c>
      <c r="AO1042" s="5">
        <f>AO1040/AO1041</f>
        <v/>
      </c>
      <c r="AP1042" s="5">
        <f>AP1040/AP1041</f>
        <v/>
      </c>
      <c r="AQ1042" s="5">
        <f>AQ1040/AQ1041</f>
        <v/>
      </c>
      <c r="AR1042" s="5">
        <f>AR1040/AR1041</f>
        <v/>
      </c>
      <c r="AS1042" s="5">
        <f>AS1040/AS1041</f>
        <v/>
      </c>
      <c r="AT1042" s="5">
        <f>AT1040/AT1041</f>
        <v/>
      </c>
      <c r="AU1042" s="5">
        <f>AU1040/AU1041</f>
        <v/>
      </c>
      <c r="AV1042" s="5">
        <f>AV1040/AV1041</f>
        <v/>
      </c>
      <c r="AW1042" s="5">
        <f>AW1040/AW1041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6" customWidth="1" min="4" max="4"/>
    <col width="9" customWidth="1" min="5" max="5"/>
    <col width="9" customWidth="1" min="6" max="6"/>
    <col width="8" customWidth="1" min="7" max="7"/>
    <col width="24" customWidth="1" min="8" max="8"/>
    <col width="14" customWidth="1" min="9" max="9"/>
    <col width="7" customWidth="1" min="10" max="10"/>
  </cols>
  <sheetData>
    <row r="1">
      <c r="A1" s="3" t="inlineStr">
        <is>
          <t>i</t>
        </is>
      </c>
      <c r="B1" s="3" t="inlineStr">
        <is>
          <t>qid</t>
        </is>
      </c>
      <c r="C1" s="3" t="inlineStr">
        <is>
          <t>Câu</t>
        </is>
      </c>
      <c r="D1" s="3" t="inlineStr">
        <is>
          <t>Loại</t>
        </is>
      </c>
      <c r="E1" s="3" t="inlineStr">
        <is>
          <t>S (đúng)</t>
        </is>
      </c>
      <c r="F1" s="3" t="inlineStr">
        <is>
          <t>N (làm)</t>
        </is>
      </c>
      <c r="G1" s="3" t="inlineStr">
        <is>
          <t>p</t>
        </is>
      </c>
      <c r="H1" s="3" t="inlineStr">
        <is>
          <t>b0_raw=ln((N-S+.3)/(S+.3))</t>
        </is>
      </c>
      <c r="I1" s="3" t="inlineStr">
        <is>
          <t>b0 (canh tâm)</t>
        </is>
      </c>
      <c r="J1" s="3" t="inlineStr">
        <is>
          <t>Biên?</t>
        </is>
      </c>
    </row>
    <row r="2">
      <c r="A2" t="n">
        <v>1</v>
      </c>
      <c r="B2" t="inlineStr">
        <is>
          <t>208493209536</t>
        </is>
      </c>
      <c r="C2" t="inlineStr">
        <is>
          <t>Câu 1 MC</t>
        </is>
      </c>
      <c r="D2" t="inlineStr">
        <is>
          <t>MC</t>
        </is>
      </c>
      <c r="E2">
        <f>SUM('01_Data'!B2:B1038)</f>
        <v/>
      </c>
      <c r="F2">
        <f>COUNT('01_Data'!B2:B1038)</f>
        <v/>
      </c>
      <c r="G2" s="5">
        <f>E2/F2</f>
        <v/>
      </c>
      <c r="H2" s="5">
        <f>LN((F2-E2+0.3)/(E2+0.3))</f>
        <v/>
      </c>
      <c r="I2" s="5">
        <f>H2-AVERAGE($H$2:$H$49)</f>
        <v/>
      </c>
      <c r="J2">
        <f>IF(OR(E2=0,E2=F2),"BIÊN","")</f>
        <v/>
      </c>
    </row>
    <row r="3">
      <c r="A3" t="n">
        <v>2</v>
      </c>
      <c r="B3" t="inlineStr">
        <is>
          <t>208493412207</t>
        </is>
      </c>
      <c r="C3" t="inlineStr">
        <is>
          <t>Câu 2 MC</t>
        </is>
      </c>
      <c r="D3" t="inlineStr">
        <is>
          <t>MC</t>
        </is>
      </c>
      <c r="E3">
        <f>SUM('01_Data'!C2:C1038)</f>
        <v/>
      </c>
      <c r="F3">
        <f>COUNT('01_Data'!C2:C1038)</f>
        <v/>
      </c>
      <c r="G3" s="5">
        <f>E3/F3</f>
        <v/>
      </c>
      <c r="H3" s="5">
        <f>LN((F3-E3+0.3)/(E3+0.3))</f>
        <v/>
      </c>
      <c r="I3" s="5">
        <f>H3-AVERAGE($H$2:$H$49)</f>
        <v/>
      </c>
      <c r="J3">
        <f>IF(OR(E3=0,E3=F3),"BIÊN","")</f>
        <v/>
      </c>
    </row>
    <row r="4">
      <c r="A4" t="n">
        <v>3</v>
      </c>
      <c r="B4" t="inlineStr">
        <is>
          <t>208493634375</t>
        </is>
      </c>
      <c r="C4" t="inlineStr">
        <is>
          <t>Câu 3 MC</t>
        </is>
      </c>
      <c r="D4" t="inlineStr">
        <is>
          <t>MC</t>
        </is>
      </c>
      <c r="E4">
        <f>SUM('01_Data'!D2:D1038)</f>
        <v/>
      </c>
      <c r="F4">
        <f>COUNT('01_Data'!D2:D1038)</f>
        <v/>
      </c>
      <c r="G4" s="5">
        <f>E4/F4</f>
        <v/>
      </c>
      <c r="H4" s="5">
        <f>LN((F4-E4+0.3)/(E4+0.3))</f>
        <v/>
      </c>
      <c r="I4" s="5">
        <f>H4-AVERAGE($H$2:$H$49)</f>
        <v/>
      </c>
      <c r="J4">
        <f>IF(OR(E4=0,E4=F4),"BIÊN","")</f>
        <v/>
      </c>
    </row>
    <row r="5">
      <c r="A5" t="n">
        <v>4</v>
      </c>
      <c r="B5" t="inlineStr">
        <is>
          <t>208493806712</t>
        </is>
      </c>
      <c r="C5" t="inlineStr">
        <is>
          <t>Câu 4 MC</t>
        </is>
      </c>
      <c r="D5" t="inlineStr">
        <is>
          <t>MC</t>
        </is>
      </c>
      <c r="E5">
        <f>SUM('01_Data'!E2:E1038)</f>
        <v/>
      </c>
      <c r="F5">
        <f>COUNT('01_Data'!E2:E1038)</f>
        <v/>
      </c>
      <c r="G5" s="5">
        <f>E5/F5</f>
        <v/>
      </c>
      <c r="H5" s="5">
        <f>LN((F5-E5+0.3)/(E5+0.3))</f>
        <v/>
      </c>
      <c r="I5" s="5">
        <f>H5-AVERAGE($H$2:$H$49)</f>
        <v/>
      </c>
      <c r="J5">
        <f>IF(OR(E5=0,E5=F5),"BIÊN","")</f>
        <v/>
      </c>
    </row>
    <row r="6">
      <c r="A6" t="n">
        <v>5</v>
      </c>
      <c r="B6" t="inlineStr">
        <is>
          <t>208494503646</t>
        </is>
      </c>
      <c r="C6" t="inlineStr">
        <is>
          <t>Câu 5 MC</t>
        </is>
      </c>
      <c r="D6" t="inlineStr">
        <is>
          <t>MC</t>
        </is>
      </c>
      <c r="E6">
        <f>SUM('01_Data'!F2:F1038)</f>
        <v/>
      </c>
      <c r="F6">
        <f>COUNT('01_Data'!F2:F1038)</f>
        <v/>
      </c>
      <c r="G6" s="5">
        <f>E6/F6</f>
        <v/>
      </c>
      <c r="H6" s="5">
        <f>LN((F6-E6+0.3)/(E6+0.3))</f>
        <v/>
      </c>
      <c r="I6" s="5">
        <f>H6-AVERAGE($H$2:$H$49)</f>
        <v/>
      </c>
      <c r="J6">
        <f>IF(OR(E6=0,E6=F6),"BIÊN","")</f>
        <v/>
      </c>
    </row>
    <row r="7">
      <c r="A7" t="n">
        <v>6</v>
      </c>
      <c r="B7" t="inlineStr">
        <is>
          <t>208495066643</t>
        </is>
      </c>
      <c r="C7" t="inlineStr">
        <is>
          <t>Câu 6 MC</t>
        </is>
      </c>
      <c r="D7" t="inlineStr">
        <is>
          <t>MC</t>
        </is>
      </c>
      <c r="E7">
        <f>SUM('01_Data'!G2:G1038)</f>
        <v/>
      </c>
      <c r="F7">
        <f>COUNT('01_Data'!G2:G1038)</f>
        <v/>
      </c>
      <c r="G7" s="5">
        <f>E7/F7</f>
        <v/>
      </c>
      <c r="H7" s="5">
        <f>LN((F7-E7+0.3)/(E7+0.3))</f>
        <v/>
      </c>
      <c r="I7" s="5">
        <f>H7-AVERAGE($H$2:$H$49)</f>
        <v/>
      </c>
      <c r="J7">
        <f>IF(OR(E7=0,E7=F7),"BIÊN","")</f>
        <v/>
      </c>
    </row>
    <row r="8">
      <c r="A8" t="n">
        <v>7</v>
      </c>
      <c r="B8" t="inlineStr">
        <is>
          <t>208495459130</t>
        </is>
      </c>
      <c r="C8" t="inlineStr">
        <is>
          <t>Câu 7 MC</t>
        </is>
      </c>
      <c r="D8" t="inlineStr">
        <is>
          <t>MC</t>
        </is>
      </c>
      <c r="E8">
        <f>SUM('01_Data'!H2:H1038)</f>
        <v/>
      </c>
      <c r="F8">
        <f>COUNT('01_Data'!H2:H1038)</f>
        <v/>
      </c>
      <c r="G8" s="5">
        <f>E8/F8</f>
        <v/>
      </c>
      <c r="H8" s="5">
        <f>LN((F8-E8+0.3)/(E8+0.3))</f>
        <v/>
      </c>
      <c r="I8" s="5">
        <f>H8-AVERAGE($H$2:$H$49)</f>
        <v/>
      </c>
      <c r="J8">
        <f>IF(OR(E8=0,E8=F8),"BIÊN","")</f>
        <v/>
      </c>
    </row>
    <row r="9">
      <c r="A9" t="n">
        <v>8</v>
      </c>
      <c r="B9" t="inlineStr">
        <is>
          <t>208495984573</t>
        </is>
      </c>
      <c r="C9" t="inlineStr">
        <is>
          <t>Câu 8 MC</t>
        </is>
      </c>
      <c r="D9" t="inlineStr">
        <is>
          <t>MC</t>
        </is>
      </c>
      <c r="E9">
        <f>SUM('01_Data'!I2:I1038)</f>
        <v/>
      </c>
      <c r="F9">
        <f>COUNT('01_Data'!I2:I1038)</f>
        <v/>
      </c>
      <c r="G9" s="5">
        <f>E9/F9</f>
        <v/>
      </c>
      <c r="H9" s="5">
        <f>LN((F9-E9+0.3)/(E9+0.3))</f>
        <v/>
      </c>
      <c r="I9" s="5">
        <f>H9-AVERAGE($H$2:$H$49)</f>
        <v/>
      </c>
      <c r="J9">
        <f>IF(OR(E9=0,E9=F9),"BIÊN","")</f>
        <v/>
      </c>
    </row>
    <row r="10">
      <c r="A10" t="n">
        <v>9</v>
      </c>
      <c r="B10" t="inlineStr">
        <is>
          <t>208496326564</t>
        </is>
      </c>
      <c r="C10" t="inlineStr">
        <is>
          <t>Câu 9 MC</t>
        </is>
      </c>
      <c r="D10" t="inlineStr">
        <is>
          <t>MC</t>
        </is>
      </c>
      <c r="E10">
        <f>SUM('01_Data'!J2:J1038)</f>
        <v/>
      </c>
      <c r="F10">
        <f>COUNT('01_Data'!J2:J1038)</f>
        <v/>
      </c>
      <c r="G10" s="5">
        <f>E10/F10</f>
        <v/>
      </c>
      <c r="H10" s="5">
        <f>LN((F10-E10+0.3)/(E10+0.3))</f>
        <v/>
      </c>
      <c r="I10" s="5">
        <f>H10-AVERAGE($H$2:$H$49)</f>
        <v/>
      </c>
      <c r="J10">
        <f>IF(OR(E10=0,E10=F10),"BIÊN","")</f>
        <v/>
      </c>
    </row>
    <row r="11">
      <c r="A11" t="n">
        <v>10</v>
      </c>
      <c r="B11" t="inlineStr">
        <is>
          <t>208497043631</t>
        </is>
      </c>
      <c r="C11" t="inlineStr">
        <is>
          <t>Câu 10 MC</t>
        </is>
      </c>
      <c r="D11" t="inlineStr">
        <is>
          <t>MC</t>
        </is>
      </c>
      <c r="E11">
        <f>SUM('01_Data'!K2:K1038)</f>
        <v/>
      </c>
      <c r="F11">
        <f>COUNT('01_Data'!K2:K1038)</f>
        <v/>
      </c>
      <c r="G11" s="5">
        <f>E11/F11</f>
        <v/>
      </c>
      <c r="H11" s="5">
        <f>LN((F11-E11+0.3)/(E11+0.3))</f>
        <v/>
      </c>
      <c r="I11" s="5">
        <f>H11-AVERAGE($H$2:$H$49)</f>
        <v/>
      </c>
      <c r="J11">
        <f>IF(OR(E11=0,E11=F11),"BIÊN","")</f>
        <v/>
      </c>
    </row>
    <row r="12">
      <c r="A12" t="n">
        <v>11</v>
      </c>
      <c r="B12" t="inlineStr">
        <is>
          <t>208497697530</t>
        </is>
      </c>
      <c r="C12" t="inlineStr">
        <is>
          <t>Câu 24 MC</t>
        </is>
      </c>
      <c r="D12" t="inlineStr">
        <is>
          <t>MC</t>
        </is>
      </c>
      <c r="E12">
        <f>SUM('01_Data'!L2:L1038)</f>
        <v/>
      </c>
      <c r="F12">
        <f>COUNT('01_Data'!L2:L1038)</f>
        <v/>
      </c>
      <c r="G12" s="5">
        <f>E12/F12</f>
        <v/>
      </c>
      <c r="H12" s="5">
        <f>LN((F12-E12+0.3)/(E12+0.3))</f>
        <v/>
      </c>
      <c r="I12" s="5">
        <f>H12-AVERAGE($H$2:$H$49)</f>
        <v/>
      </c>
      <c r="J12">
        <f>IF(OR(E12=0,E12=F12),"BIÊN","")</f>
        <v/>
      </c>
    </row>
    <row r="13">
      <c r="A13" t="n">
        <v>12</v>
      </c>
      <c r="B13" t="inlineStr">
        <is>
          <t>208497947837</t>
        </is>
      </c>
      <c r="C13" t="inlineStr">
        <is>
          <t>Câu 23 MC</t>
        </is>
      </c>
      <c r="D13" t="inlineStr">
        <is>
          <t>MC</t>
        </is>
      </c>
      <c r="E13">
        <f>SUM('01_Data'!M2:M1038)</f>
        <v/>
      </c>
      <c r="F13">
        <f>COUNT('01_Data'!M2:M1038)</f>
        <v/>
      </c>
      <c r="G13" s="5">
        <f>E13/F13</f>
        <v/>
      </c>
      <c r="H13" s="5">
        <f>LN((F13-E13+0.3)/(E13+0.3))</f>
        <v/>
      </c>
      <c r="I13" s="5">
        <f>H13-AVERAGE($H$2:$H$49)</f>
        <v/>
      </c>
      <c r="J13">
        <f>IF(OR(E13=0,E13=F13),"BIÊN","")</f>
        <v/>
      </c>
    </row>
    <row r="14">
      <c r="A14" t="n">
        <v>13</v>
      </c>
      <c r="B14" t="inlineStr">
        <is>
          <t>208498680706</t>
        </is>
      </c>
      <c r="C14" t="inlineStr">
        <is>
          <t>Câu 11 MC</t>
        </is>
      </c>
      <c r="D14" t="inlineStr">
        <is>
          <t>MC</t>
        </is>
      </c>
      <c r="E14">
        <f>SUM('01_Data'!N2:N1038)</f>
        <v/>
      </c>
      <c r="F14">
        <f>COUNT('01_Data'!N2:N1038)</f>
        <v/>
      </c>
      <c r="G14" s="5">
        <f>E14/F14</f>
        <v/>
      </c>
      <c r="H14" s="5">
        <f>LN((F14-E14+0.3)/(E14+0.3))</f>
        <v/>
      </c>
      <c r="I14" s="5">
        <f>H14-AVERAGE($H$2:$H$49)</f>
        <v/>
      </c>
      <c r="J14">
        <f>IF(OR(E14=0,E14=F14),"BIÊN","")</f>
        <v/>
      </c>
    </row>
    <row r="15">
      <c r="A15" t="n">
        <v>14</v>
      </c>
      <c r="B15" t="inlineStr">
        <is>
          <t>208498750254</t>
        </is>
      </c>
      <c r="C15" t="inlineStr">
        <is>
          <t>Câu 12 MC</t>
        </is>
      </c>
      <c r="D15" t="inlineStr">
        <is>
          <t>MC</t>
        </is>
      </c>
      <c r="E15">
        <f>SUM('01_Data'!O2:O1038)</f>
        <v/>
      </c>
      <c r="F15">
        <f>COUNT('01_Data'!O2:O1038)</f>
        <v/>
      </c>
      <c r="G15" s="5">
        <f>E15/F15</f>
        <v/>
      </c>
      <c r="H15" s="5">
        <f>LN((F15-E15+0.3)/(E15+0.3))</f>
        <v/>
      </c>
      <c r="I15" s="5">
        <f>H15-AVERAGE($H$2:$H$49)</f>
        <v/>
      </c>
      <c r="J15">
        <f>IF(OR(E15=0,E15=F15),"BIÊN","")</f>
        <v/>
      </c>
    </row>
    <row r="16">
      <c r="A16" t="n">
        <v>15</v>
      </c>
      <c r="B16" t="inlineStr">
        <is>
          <t>208500103341</t>
        </is>
      </c>
      <c r="C16" t="inlineStr">
        <is>
          <t>Câu 13 MC</t>
        </is>
      </c>
      <c r="D16" t="inlineStr">
        <is>
          <t>MC</t>
        </is>
      </c>
      <c r="E16">
        <f>SUM('01_Data'!P2:P1038)</f>
        <v/>
      </c>
      <c r="F16">
        <f>COUNT('01_Data'!P2:P1038)</f>
        <v/>
      </c>
      <c r="G16" s="5">
        <f>E16/F16</f>
        <v/>
      </c>
      <c r="H16" s="5">
        <f>LN((F16-E16+0.3)/(E16+0.3))</f>
        <v/>
      </c>
      <c r="I16" s="5">
        <f>H16-AVERAGE($H$2:$H$49)</f>
        <v/>
      </c>
      <c r="J16">
        <f>IF(OR(E16=0,E16=F16),"BIÊN","")</f>
        <v/>
      </c>
    </row>
    <row r="17">
      <c r="A17" t="n">
        <v>16</v>
      </c>
      <c r="B17" t="inlineStr">
        <is>
          <t>208500538567</t>
        </is>
      </c>
      <c r="C17" t="inlineStr">
        <is>
          <t>Câu 22 MC</t>
        </is>
      </c>
      <c r="D17" t="inlineStr">
        <is>
          <t>MC</t>
        </is>
      </c>
      <c r="E17">
        <f>SUM('01_Data'!Q2:Q1038)</f>
        <v/>
      </c>
      <c r="F17">
        <f>COUNT('01_Data'!Q2:Q1038)</f>
        <v/>
      </c>
      <c r="G17" s="5">
        <f>E17/F17</f>
        <v/>
      </c>
      <c r="H17" s="5">
        <f>LN((F17-E17+0.3)/(E17+0.3))</f>
        <v/>
      </c>
      <c r="I17" s="5">
        <f>H17-AVERAGE($H$2:$H$49)</f>
        <v/>
      </c>
      <c r="J17">
        <f>IF(OR(E17=0,E17=F17),"BIÊN","")</f>
        <v/>
      </c>
    </row>
    <row r="18">
      <c r="A18" t="n">
        <v>17</v>
      </c>
      <c r="B18" t="inlineStr">
        <is>
          <t>208501397853</t>
        </is>
      </c>
      <c r="C18" t="inlineStr">
        <is>
          <t>Câu 16 MC</t>
        </is>
      </c>
      <c r="D18" t="inlineStr">
        <is>
          <t>MC</t>
        </is>
      </c>
      <c r="E18">
        <f>SUM('01_Data'!R2:R1038)</f>
        <v/>
      </c>
      <c r="F18">
        <f>COUNT('01_Data'!R2:R1038)</f>
        <v/>
      </c>
      <c r="G18" s="5">
        <f>E18/F18</f>
        <v/>
      </c>
      <c r="H18" s="5">
        <f>LN((F18-E18+0.3)/(E18+0.3))</f>
        <v/>
      </c>
      <c r="I18" s="5">
        <f>H18-AVERAGE($H$2:$H$49)</f>
        <v/>
      </c>
      <c r="J18">
        <f>IF(OR(E18=0,E18=F18),"BIÊN","")</f>
        <v/>
      </c>
    </row>
    <row r="19">
      <c r="A19" t="n">
        <v>18</v>
      </c>
      <c r="B19" t="inlineStr">
        <is>
          <t>208501882621</t>
        </is>
      </c>
      <c r="C19" t="inlineStr">
        <is>
          <t>Câu 17 MC</t>
        </is>
      </c>
      <c r="D19" t="inlineStr">
        <is>
          <t>MC</t>
        </is>
      </c>
      <c r="E19">
        <f>SUM('01_Data'!S2:S1038)</f>
        <v/>
      </c>
      <c r="F19">
        <f>COUNT('01_Data'!S2:S1038)</f>
        <v/>
      </c>
      <c r="G19" s="5">
        <f>E19/F19</f>
        <v/>
      </c>
      <c r="H19" s="5">
        <f>LN((F19-E19+0.3)/(E19+0.3))</f>
        <v/>
      </c>
      <c r="I19" s="5">
        <f>H19-AVERAGE($H$2:$H$49)</f>
        <v/>
      </c>
      <c r="J19">
        <f>IF(OR(E19=0,E19=F19),"BIÊN","")</f>
        <v/>
      </c>
    </row>
    <row r="20">
      <c r="A20" t="n">
        <v>19</v>
      </c>
      <c r="B20" t="inlineStr">
        <is>
          <t>208502464537</t>
        </is>
      </c>
      <c r="C20" t="inlineStr">
        <is>
          <t>Câu 18 MC</t>
        </is>
      </c>
      <c r="D20" t="inlineStr">
        <is>
          <t>MC</t>
        </is>
      </c>
      <c r="E20">
        <f>SUM('01_Data'!T2:T1038)</f>
        <v/>
      </c>
      <c r="F20">
        <f>COUNT('01_Data'!T2:T1038)</f>
        <v/>
      </c>
      <c r="G20" s="5">
        <f>E20/F20</f>
        <v/>
      </c>
      <c r="H20" s="5">
        <f>LN((F20-E20+0.3)/(E20+0.3))</f>
        <v/>
      </c>
      <c r="I20" s="5">
        <f>H20-AVERAGE($H$2:$H$49)</f>
        <v/>
      </c>
      <c r="J20">
        <f>IF(OR(E20=0,E20=F20),"BIÊN","")</f>
        <v/>
      </c>
    </row>
    <row r="21">
      <c r="A21" t="n">
        <v>20</v>
      </c>
      <c r="B21" t="inlineStr">
        <is>
          <t>208518915377</t>
        </is>
      </c>
      <c r="C21" t="inlineStr">
        <is>
          <t>Câu 14 MC</t>
        </is>
      </c>
      <c r="D21" t="inlineStr">
        <is>
          <t>MC</t>
        </is>
      </c>
      <c r="E21">
        <f>SUM('01_Data'!U2:U1038)</f>
        <v/>
      </c>
      <c r="F21">
        <f>COUNT('01_Data'!U2:U1038)</f>
        <v/>
      </c>
      <c r="G21" s="5">
        <f>E21/F21</f>
        <v/>
      </c>
      <c r="H21" s="5">
        <f>LN((F21-E21+0.3)/(E21+0.3))</f>
        <v/>
      </c>
      <c r="I21" s="5">
        <f>H21-AVERAGE($H$2:$H$49)</f>
        <v/>
      </c>
      <c r="J21">
        <f>IF(OR(E21=0,E21=F21),"BIÊN","")</f>
        <v/>
      </c>
    </row>
    <row r="22">
      <c r="A22" t="n">
        <v>21</v>
      </c>
      <c r="B22" t="inlineStr">
        <is>
          <t>208519541200</t>
        </is>
      </c>
      <c r="C22" t="inlineStr">
        <is>
          <t>Câu 15 MC</t>
        </is>
      </c>
      <c r="D22" t="inlineStr">
        <is>
          <t>MC</t>
        </is>
      </c>
      <c r="E22">
        <f>SUM('01_Data'!V2:V1038)</f>
        <v/>
      </c>
      <c r="F22">
        <f>COUNT('01_Data'!V2:V1038)</f>
        <v/>
      </c>
      <c r="G22" s="5">
        <f>E22/F22</f>
        <v/>
      </c>
      <c r="H22" s="5">
        <f>LN((F22-E22+0.3)/(E22+0.3))</f>
        <v/>
      </c>
      <c r="I22" s="5">
        <f>H22-AVERAGE($H$2:$H$49)</f>
        <v/>
      </c>
      <c r="J22">
        <f>IF(OR(E22=0,E22=F22),"BIÊN","")</f>
        <v/>
      </c>
    </row>
    <row r="23">
      <c r="A23" t="n">
        <v>22</v>
      </c>
      <c r="B23" t="inlineStr">
        <is>
          <t>208519949207</t>
        </is>
      </c>
      <c r="C23" t="inlineStr">
        <is>
          <t>Câu 19 MC</t>
        </is>
      </c>
      <c r="D23" t="inlineStr">
        <is>
          <t>MC</t>
        </is>
      </c>
      <c r="E23">
        <f>SUM('01_Data'!W2:W1038)</f>
        <v/>
      </c>
      <c r="F23">
        <f>COUNT('01_Data'!W2:W1038)</f>
        <v/>
      </c>
      <c r="G23" s="5">
        <f>E23/F23</f>
        <v/>
      </c>
      <c r="H23" s="5">
        <f>LN((F23-E23+0.3)/(E23+0.3))</f>
        <v/>
      </c>
      <c r="I23" s="5">
        <f>H23-AVERAGE($H$2:$H$49)</f>
        <v/>
      </c>
      <c r="J23">
        <f>IF(OR(E23=0,E23=F23),"BIÊN","")</f>
        <v/>
      </c>
    </row>
    <row r="24">
      <c r="A24" t="n">
        <v>23</v>
      </c>
      <c r="B24" t="inlineStr">
        <is>
          <t>208520832930</t>
        </is>
      </c>
      <c r="C24" t="inlineStr">
        <is>
          <t>Câu 20 MC</t>
        </is>
      </c>
      <c r="D24" t="inlineStr">
        <is>
          <t>MC</t>
        </is>
      </c>
      <c r="E24">
        <f>SUM('01_Data'!X2:X1038)</f>
        <v/>
      </c>
      <c r="F24">
        <f>COUNT('01_Data'!X2:X1038)</f>
        <v/>
      </c>
      <c r="G24" s="5">
        <f>E24/F24</f>
        <v/>
      </c>
      <c r="H24" s="5">
        <f>LN((F24-E24+0.3)/(E24+0.3))</f>
        <v/>
      </c>
      <c r="I24" s="5">
        <f>H24-AVERAGE($H$2:$H$49)</f>
        <v/>
      </c>
      <c r="J24">
        <f>IF(OR(E24=0,E24=F24),"BIÊN","")</f>
        <v/>
      </c>
    </row>
    <row r="25">
      <c r="A25" t="n">
        <v>24</v>
      </c>
      <c r="B25" t="inlineStr">
        <is>
          <t>208521276474</t>
        </is>
      </c>
      <c r="C25" t="inlineStr">
        <is>
          <t>Câu 21 MC</t>
        </is>
      </c>
      <c r="D25" t="inlineStr">
        <is>
          <t>MC</t>
        </is>
      </c>
      <c r="E25">
        <f>SUM('01_Data'!Y2:Y1038)</f>
        <v/>
      </c>
      <c r="F25">
        <f>COUNT('01_Data'!Y2:Y1038)</f>
        <v/>
      </c>
      <c r="G25" s="5">
        <f>E25/F25</f>
        <v/>
      </c>
      <c r="H25" s="5">
        <f>LN((F25-E25+0.3)/(E25+0.3))</f>
        <v/>
      </c>
      <c r="I25" s="5">
        <f>H25-AVERAGE($H$2:$H$49)</f>
        <v/>
      </c>
      <c r="J25">
        <f>IF(OR(E25=0,E25=F25),"BIÊN","")</f>
        <v/>
      </c>
    </row>
    <row r="26">
      <c r="A26" t="n">
        <v>25</v>
      </c>
      <c r="B26" t="inlineStr">
        <is>
          <t>208529022568_a</t>
        </is>
      </c>
      <c r="C26" t="inlineStr">
        <is>
          <t>Câu 25.a TF</t>
        </is>
      </c>
      <c r="D26" t="inlineStr">
        <is>
          <t>TF</t>
        </is>
      </c>
      <c r="E26">
        <f>SUM('01_Data'!Z2:Z1038)</f>
        <v/>
      </c>
      <c r="F26">
        <f>COUNT('01_Data'!Z2:Z1038)</f>
        <v/>
      </c>
      <c r="G26" s="5">
        <f>E26/F26</f>
        <v/>
      </c>
      <c r="H26" s="5">
        <f>LN((F26-E26+0.3)/(E26+0.3))</f>
        <v/>
      </c>
      <c r="I26" s="5">
        <f>H26-AVERAGE($H$2:$H$49)</f>
        <v/>
      </c>
      <c r="J26">
        <f>IF(OR(E26=0,E26=F26),"BIÊN","")</f>
        <v/>
      </c>
    </row>
    <row r="27">
      <c r="A27" t="n">
        <v>26</v>
      </c>
      <c r="B27" t="inlineStr">
        <is>
          <t>208529022568_b</t>
        </is>
      </c>
      <c r="C27" t="inlineStr">
        <is>
          <t>Câu 25.b TF</t>
        </is>
      </c>
      <c r="D27" t="inlineStr">
        <is>
          <t>TF</t>
        </is>
      </c>
      <c r="E27">
        <f>SUM('01_Data'!AA2:AA1038)</f>
        <v/>
      </c>
      <c r="F27">
        <f>COUNT('01_Data'!AA2:AA1038)</f>
        <v/>
      </c>
      <c r="G27" s="5">
        <f>E27/F27</f>
        <v/>
      </c>
      <c r="H27" s="5">
        <f>LN((F27-E27+0.3)/(E27+0.3))</f>
        <v/>
      </c>
      <c r="I27" s="5">
        <f>H27-AVERAGE($H$2:$H$49)</f>
        <v/>
      </c>
      <c r="J27">
        <f>IF(OR(E27=0,E27=F27),"BIÊN","")</f>
        <v/>
      </c>
    </row>
    <row r="28">
      <c r="A28" t="n">
        <v>27</v>
      </c>
      <c r="B28" t="inlineStr">
        <is>
          <t>208529022568_c</t>
        </is>
      </c>
      <c r="C28" t="inlineStr">
        <is>
          <t>Câu 25.c TF</t>
        </is>
      </c>
      <c r="D28" t="inlineStr">
        <is>
          <t>TF</t>
        </is>
      </c>
      <c r="E28">
        <f>SUM('01_Data'!AB2:AB1038)</f>
        <v/>
      </c>
      <c r="F28">
        <f>COUNT('01_Data'!AB2:AB1038)</f>
        <v/>
      </c>
      <c r="G28" s="5">
        <f>E28/F28</f>
        <v/>
      </c>
      <c r="H28" s="5">
        <f>LN((F28-E28+0.3)/(E28+0.3))</f>
        <v/>
      </c>
      <c r="I28" s="5">
        <f>H28-AVERAGE($H$2:$H$49)</f>
        <v/>
      </c>
      <c r="J28">
        <f>IF(OR(E28=0,E28=F28),"BIÊN","")</f>
        <v/>
      </c>
    </row>
    <row r="29">
      <c r="A29" t="n">
        <v>28</v>
      </c>
      <c r="B29" t="inlineStr">
        <is>
          <t>208529022568_d</t>
        </is>
      </c>
      <c r="C29" t="inlineStr">
        <is>
          <t>Câu 25.d TF</t>
        </is>
      </c>
      <c r="D29" t="inlineStr">
        <is>
          <t>TF</t>
        </is>
      </c>
      <c r="E29">
        <f>SUM('01_Data'!AC2:AC1038)</f>
        <v/>
      </c>
      <c r="F29">
        <f>COUNT('01_Data'!AC2:AC1038)</f>
        <v/>
      </c>
      <c r="G29" s="5">
        <f>E29/F29</f>
        <v/>
      </c>
      <c r="H29" s="5">
        <f>LN((F29-E29+0.3)/(E29+0.3))</f>
        <v/>
      </c>
      <c r="I29" s="5">
        <f>H29-AVERAGE($H$2:$H$49)</f>
        <v/>
      </c>
      <c r="J29">
        <f>IF(OR(E29=0,E29=F29),"BIÊN","")</f>
        <v/>
      </c>
    </row>
    <row r="30">
      <c r="A30" t="n">
        <v>29</v>
      </c>
      <c r="B30" t="inlineStr">
        <is>
          <t>208560377855_a</t>
        </is>
      </c>
      <c r="C30" t="inlineStr">
        <is>
          <t>Câu 27.a TF</t>
        </is>
      </c>
      <c r="D30" t="inlineStr">
        <is>
          <t>TF</t>
        </is>
      </c>
      <c r="E30">
        <f>SUM('01_Data'!AD2:AD1038)</f>
        <v/>
      </c>
      <c r="F30">
        <f>COUNT('01_Data'!AD2:AD1038)</f>
        <v/>
      </c>
      <c r="G30" s="5">
        <f>E30/F30</f>
        <v/>
      </c>
      <c r="H30" s="5">
        <f>LN((F30-E30+0.3)/(E30+0.3))</f>
        <v/>
      </c>
      <c r="I30" s="5">
        <f>H30-AVERAGE($H$2:$H$49)</f>
        <v/>
      </c>
      <c r="J30">
        <f>IF(OR(E30=0,E30=F30),"BIÊN","")</f>
        <v/>
      </c>
    </row>
    <row r="31">
      <c r="A31" t="n">
        <v>30</v>
      </c>
      <c r="B31" t="inlineStr">
        <is>
          <t>208560377855_b</t>
        </is>
      </c>
      <c r="C31" t="inlineStr">
        <is>
          <t>Câu 27.b TF</t>
        </is>
      </c>
      <c r="D31" t="inlineStr">
        <is>
          <t>TF</t>
        </is>
      </c>
      <c r="E31">
        <f>SUM('01_Data'!AE2:AE1038)</f>
        <v/>
      </c>
      <c r="F31">
        <f>COUNT('01_Data'!AE2:AE1038)</f>
        <v/>
      </c>
      <c r="G31" s="5">
        <f>E31/F31</f>
        <v/>
      </c>
      <c r="H31" s="5">
        <f>LN((F31-E31+0.3)/(E31+0.3))</f>
        <v/>
      </c>
      <c r="I31" s="5">
        <f>H31-AVERAGE($H$2:$H$49)</f>
        <v/>
      </c>
      <c r="J31">
        <f>IF(OR(E31=0,E31=F31),"BIÊN","")</f>
        <v/>
      </c>
    </row>
    <row r="32">
      <c r="A32" t="n">
        <v>31</v>
      </c>
      <c r="B32" t="inlineStr">
        <is>
          <t>208560377855_c</t>
        </is>
      </c>
      <c r="C32" t="inlineStr">
        <is>
          <t>Câu 27.c TF</t>
        </is>
      </c>
      <c r="D32" t="inlineStr">
        <is>
          <t>TF</t>
        </is>
      </c>
      <c r="E32">
        <f>SUM('01_Data'!AF2:AF1038)</f>
        <v/>
      </c>
      <c r="F32">
        <f>COUNT('01_Data'!AF2:AF1038)</f>
        <v/>
      </c>
      <c r="G32" s="5">
        <f>E32/F32</f>
        <v/>
      </c>
      <c r="H32" s="5">
        <f>LN((F32-E32+0.3)/(E32+0.3))</f>
        <v/>
      </c>
      <c r="I32" s="5">
        <f>H32-AVERAGE($H$2:$H$49)</f>
        <v/>
      </c>
      <c r="J32">
        <f>IF(OR(E32=0,E32=F32),"BIÊN","")</f>
        <v/>
      </c>
    </row>
    <row r="33">
      <c r="A33" t="n">
        <v>32</v>
      </c>
      <c r="B33" t="inlineStr">
        <is>
          <t>208560377855_d</t>
        </is>
      </c>
      <c r="C33" t="inlineStr">
        <is>
          <t>Câu 27.d TF</t>
        </is>
      </c>
      <c r="D33" t="inlineStr">
        <is>
          <t>TF</t>
        </is>
      </c>
      <c r="E33">
        <f>SUM('01_Data'!AG2:AG1038)</f>
        <v/>
      </c>
      <c r="F33">
        <f>COUNT('01_Data'!AG2:AG1038)</f>
        <v/>
      </c>
      <c r="G33" s="5">
        <f>E33/F33</f>
        <v/>
      </c>
      <c r="H33" s="5">
        <f>LN((F33-E33+0.3)/(E33+0.3))</f>
        <v/>
      </c>
      <c r="I33" s="5">
        <f>H33-AVERAGE($H$2:$H$49)</f>
        <v/>
      </c>
      <c r="J33">
        <f>IF(OR(E33=0,E33=F33),"BIÊN","")</f>
        <v/>
      </c>
    </row>
    <row r="34">
      <c r="A34" t="n">
        <v>33</v>
      </c>
      <c r="B34" t="inlineStr">
        <is>
          <t>208572448723_a</t>
        </is>
      </c>
      <c r="C34" t="inlineStr">
        <is>
          <t>Câu 26.a TF</t>
        </is>
      </c>
      <c r="D34" t="inlineStr">
        <is>
          <t>TF</t>
        </is>
      </c>
      <c r="E34">
        <f>SUM('01_Data'!AH2:AH1038)</f>
        <v/>
      </c>
      <c r="F34">
        <f>COUNT('01_Data'!AH2:AH1038)</f>
        <v/>
      </c>
      <c r="G34" s="5">
        <f>E34/F34</f>
        <v/>
      </c>
      <c r="H34" s="5">
        <f>LN((F34-E34+0.3)/(E34+0.3))</f>
        <v/>
      </c>
      <c r="I34" s="5">
        <f>H34-AVERAGE($H$2:$H$49)</f>
        <v/>
      </c>
      <c r="J34">
        <f>IF(OR(E34=0,E34=F34),"BIÊN","")</f>
        <v/>
      </c>
    </row>
    <row r="35">
      <c r="A35" t="n">
        <v>34</v>
      </c>
      <c r="B35" t="inlineStr">
        <is>
          <t>208572448723_b</t>
        </is>
      </c>
      <c r="C35" t="inlineStr">
        <is>
          <t>Câu 26.b TF</t>
        </is>
      </c>
      <c r="D35" t="inlineStr">
        <is>
          <t>TF</t>
        </is>
      </c>
      <c r="E35">
        <f>SUM('01_Data'!AI2:AI1038)</f>
        <v/>
      </c>
      <c r="F35">
        <f>COUNT('01_Data'!AI2:AI1038)</f>
        <v/>
      </c>
      <c r="G35" s="5">
        <f>E35/F35</f>
        <v/>
      </c>
      <c r="H35" s="5">
        <f>LN((F35-E35+0.3)/(E35+0.3))</f>
        <v/>
      </c>
      <c r="I35" s="5">
        <f>H35-AVERAGE($H$2:$H$49)</f>
        <v/>
      </c>
      <c r="J35">
        <f>IF(OR(E35=0,E35=F35),"BIÊN","")</f>
        <v/>
      </c>
    </row>
    <row r="36">
      <c r="A36" t="n">
        <v>35</v>
      </c>
      <c r="B36" t="inlineStr">
        <is>
          <t>208572448723_c</t>
        </is>
      </c>
      <c r="C36" t="inlineStr">
        <is>
          <t>Câu 26.c TF</t>
        </is>
      </c>
      <c r="D36" t="inlineStr">
        <is>
          <t>TF</t>
        </is>
      </c>
      <c r="E36">
        <f>SUM('01_Data'!AJ2:AJ1038)</f>
        <v/>
      </c>
      <c r="F36">
        <f>COUNT('01_Data'!AJ2:AJ1038)</f>
        <v/>
      </c>
      <c r="G36" s="5">
        <f>E36/F36</f>
        <v/>
      </c>
      <c r="H36" s="5">
        <f>LN((F36-E36+0.3)/(E36+0.3))</f>
        <v/>
      </c>
      <c r="I36" s="5">
        <f>H36-AVERAGE($H$2:$H$49)</f>
        <v/>
      </c>
      <c r="J36">
        <f>IF(OR(E36=0,E36=F36),"BIÊN","")</f>
        <v/>
      </c>
    </row>
    <row r="37">
      <c r="A37" t="n">
        <v>36</v>
      </c>
      <c r="B37" t="inlineStr">
        <is>
          <t>208572448723_d</t>
        </is>
      </c>
      <c r="C37" t="inlineStr">
        <is>
          <t>Câu 26.d TF</t>
        </is>
      </c>
      <c r="D37" t="inlineStr">
        <is>
          <t>TF</t>
        </is>
      </c>
      <c r="E37">
        <f>SUM('01_Data'!AK2:AK1038)</f>
        <v/>
      </c>
      <c r="F37">
        <f>COUNT('01_Data'!AK2:AK1038)</f>
        <v/>
      </c>
      <c r="G37" s="5">
        <f>E37/F37</f>
        <v/>
      </c>
      <c r="H37" s="5">
        <f>LN((F37-E37+0.3)/(E37+0.3))</f>
        <v/>
      </c>
      <c r="I37" s="5">
        <f>H37-AVERAGE($H$2:$H$49)</f>
        <v/>
      </c>
      <c r="J37">
        <f>IF(OR(E37=0,E37=F37),"BIÊN","")</f>
        <v/>
      </c>
    </row>
    <row r="38">
      <c r="A38" t="n">
        <v>37</v>
      </c>
      <c r="B38" t="inlineStr">
        <is>
          <t>208572588199_a</t>
        </is>
      </c>
      <c r="C38" t="inlineStr">
        <is>
          <t>Câu 28.a TF</t>
        </is>
      </c>
      <c r="D38" t="inlineStr">
        <is>
          <t>TF</t>
        </is>
      </c>
      <c r="E38">
        <f>SUM('01_Data'!AL2:AL1038)</f>
        <v/>
      </c>
      <c r="F38">
        <f>COUNT('01_Data'!AL2:AL1038)</f>
        <v/>
      </c>
      <c r="G38" s="5">
        <f>E38/F38</f>
        <v/>
      </c>
      <c r="H38" s="5">
        <f>LN((F38-E38+0.3)/(E38+0.3))</f>
        <v/>
      </c>
      <c r="I38" s="5">
        <f>H38-AVERAGE($H$2:$H$49)</f>
        <v/>
      </c>
      <c r="J38">
        <f>IF(OR(E38=0,E38=F38),"BIÊN","")</f>
        <v/>
      </c>
    </row>
    <row r="39">
      <c r="A39" t="n">
        <v>38</v>
      </c>
      <c r="B39" t="inlineStr">
        <is>
          <t>208572588199_b</t>
        </is>
      </c>
      <c r="C39" t="inlineStr">
        <is>
          <t>Câu 28.b TF</t>
        </is>
      </c>
      <c r="D39" t="inlineStr">
        <is>
          <t>TF</t>
        </is>
      </c>
      <c r="E39">
        <f>SUM('01_Data'!AM2:AM1038)</f>
        <v/>
      </c>
      <c r="F39">
        <f>COUNT('01_Data'!AM2:AM1038)</f>
        <v/>
      </c>
      <c r="G39" s="5">
        <f>E39/F39</f>
        <v/>
      </c>
      <c r="H39" s="5">
        <f>LN((F39-E39+0.3)/(E39+0.3))</f>
        <v/>
      </c>
      <c r="I39" s="5">
        <f>H39-AVERAGE($H$2:$H$49)</f>
        <v/>
      </c>
      <c r="J39">
        <f>IF(OR(E39=0,E39=F39),"BIÊN","")</f>
        <v/>
      </c>
    </row>
    <row r="40">
      <c r="A40" t="n">
        <v>39</v>
      </c>
      <c r="B40" t="inlineStr">
        <is>
          <t>208572588199_c</t>
        </is>
      </c>
      <c r="C40" t="inlineStr">
        <is>
          <t>Câu 28.c TF</t>
        </is>
      </c>
      <c r="D40" t="inlineStr">
        <is>
          <t>TF</t>
        </is>
      </c>
      <c r="E40">
        <f>SUM('01_Data'!AN2:AN1038)</f>
        <v/>
      </c>
      <c r="F40">
        <f>COUNT('01_Data'!AN2:AN1038)</f>
        <v/>
      </c>
      <c r="G40" s="5">
        <f>E40/F40</f>
        <v/>
      </c>
      <c r="H40" s="5">
        <f>LN((F40-E40+0.3)/(E40+0.3))</f>
        <v/>
      </c>
      <c r="I40" s="5">
        <f>H40-AVERAGE($H$2:$H$49)</f>
        <v/>
      </c>
      <c r="J40">
        <f>IF(OR(E40=0,E40=F40),"BIÊN","")</f>
        <v/>
      </c>
    </row>
    <row r="41">
      <c r="A41" t="n">
        <v>40</v>
      </c>
      <c r="B41" t="inlineStr">
        <is>
          <t>208572588199_d</t>
        </is>
      </c>
      <c r="C41" t="inlineStr">
        <is>
          <t>Câu 28.d TF</t>
        </is>
      </c>
      <c r="D41" t="inlineStr">
        <is>
          <t>TF</t>
        </is>
      </c>
      <c r="E41">
        <f>SUM('01_Data'!AO2:AO1038)</f>
        <v/>
      </c>
      <c r="F41">
        <f>COUNT('01_Data'!AO2:AO1038)</f>
        <v/>
      </c>
      <c r="G41" s="5">
        <f>E41/F41</f>
        <v/>
      </c>
      <c r="H41" s="5">
        <f>LN((F41-E41+0.3)/(E41+0.3))</f>
        <v/>
      </c>
      <c r="I41" s="5">
        <f>H41-AVERAGE($H$2:$H$49)</f>
        <v/>
      </c>
      <c r="J41">
        <f>IF(OR(E41=0,E41=F41),"BIÊN","")</f>
        <v/>
      </c>
    </row>
    <row r="42">
      <c r="A42" t="n">
        <v>41</v>
      </c>
      <c r="B42" t="inlineStr">
        <is>
          <t>208572673790_a</t>
        </is>
      </c>
      <c r="C42" t="inlineStr">
        <is>
          <t>Câu 29.a TF</t>
        </is>
      </c>
      <c r="D42" t="inlineStr">
        <is>
          <t>TF</t>
        </is>
      </c>
      <c r="E42">
        <f>SUM('01_Data'!AP2:AP1038)</f>
        <v/>
      </c>
      <c r="F42">
        <f>COUNT('01_Data'!AP2:AP1038)</f>
        <v/>
      </c>
      <c r="G42" s="5">
        <f>E42/F42</f>
        <v/>
      </c>
      <c r="H42" s="5">
        <f>LN((F42-E42+0.3)/(E42+0.3))</f>
        <v/>
      </c>
      <c r="I42" s="5">
        <f>H42-AVERAGE($H$2:$H$49)</f>
        <v/>
      </c>
      <c r="J42">
        <f>IF(OR(E42=0,E42=F42),"BIÊN","")</f>
        <v/>
      </c>
    </row>
    <row r="43">
      <c r="A43" t="n">
        <v>42</v>
      </c>
      <c r="B43" t="inlineStr">
        <is>
          <t>208572673790_b</t>
        </is>
      </c>
      <c r="C43" t="inlineStr">
        <is>
          <t>Câu 29.b TF</t>
        </is>
      </c>
      <c r="D43" t="inlineStr">
        <is>
          <t>TF</t>
        </is>
      </c>
      <c r="E43">
        <f>SUM('01_Data'!AQ2:AQ1038)</f>
        <v/>
      </c>
      <c r="F43">
        <f>COUNT('01_Data'!AQ2:AQ1038)</f>
        <v/>
      </c>
      <c r="G43" s="5">
        <f>E43/F43</f>
        <v/>
      </c>
      <c r="H43" s="5">
        <f>LN((F43-E43+0.3)/(E43+0.3))</f>
        <v/>
      </c>
      <c r="I43" s="5">
        <f>H43-AVERAGE($H$2:$H$49)</f>
        <v/>
      </c>
      <c r="J43">
        <f>IF(OR(E43=0,E43=F43),"BIÊN","")</f>
        <v/>
      </c>
    </row>
    <row r="44">
      <c r="A44" t="n">
        <v>43</v>
      </c>
      <c r="B44" t="inlineStr">
        <is>
          <t>208572673790_c</t>
        </is>
      </c>
      <c r="C44" t="inlineStr">
        <is>
          <t>Câu 29.c TF</t>
        </is>
      </c>
      <c r="D44" t="inlineStr">
        <is>
          <t>TF</t>
        </is>
      </c>
      <c r="E44">
        <f>SUM('01_Data'!AR2:AR1038)</f>
        <v/>
      </c>
      <c r="F44">
        <f>COUNT('01_Data'!AR2:AR1038)</f>
        <v/>
      </c>
      <c r="G44" s="5">
        <f>E44/F44</f>
        <v/>
      </c>
      <c r="H44" s="5">
        <f>LN((F44-E44+0.3)/(E44+0.3))</f>
        <v/>
      </c>
      <c r="I44" s="5">
        <f>H44-AVERAGE($H$2:$H$49)</f>
        <v/>
      </c>
      <c r="J44">
        <f>IF(OR(E44=0,E44=F44),"BIÊN","")</f>
        <v/>
      </c>
    </row>
    <row r="45">
      <c r="A45" t="n">
        <v>44</v>
      </c>
      <c r="B45" t="inlineStr">
        <is>
          <t>208572673790_d</t>
        </is>
      </c>
      <c r="C45" t="inlineStr">
        <is>
          <t>Câu 29.d TF</t>
        </is>
      </c>
      <c r="D45" t="inlineStr">
        <is>
          <t>TF</t>
        </is>
      </c>
      <c r="E45">
        <f>SUM('01_Data'!AS2:AS1038)</f>
        <v/>
      </c>
      <c r="F45">
        <f>COUNT('01_Data'!AS2:AS1038)</f>
        <v/>
      </c>
      <c r="G45" s="5">
        <f>E45/F45</f>
        <v/>
      </c>
      <c r="H45" s="5">
        <f>LN((F45-E45+0.3)/(E45+0.3))</f>
        <v/>
      </c>
      <c r="I45" s="5">
        <f>H45-AVERAGE($H$2:$H$49)</f>
        <v/>
      </c>
      <c r="J45">
        <f>IF(OR(E45=0,E45=F45),"BIÊN","")</f>
        <v/>
      </c>
    </row>
    <row r="46">
      <c r="A46" t="n">
        <v>45</v>
      </c>
      <c r="B46" t="inlineStr">
        <is>
          <t>208576851532_a</t>
        </is>
      </c>
      <c r="C46" t="inlineStr">
        <is>
          <t>Câu 30.a TF</t>
        </is>
      </c>
      <c r="D46" t="inlineStr">
        <is>
          <t>TF</t>
        </is>
      </c>
      <c r="E46">
        <f>SUM('01_Data'!AT2:AT1038)</f>
        <v/>
      </c>
      <c r="F46">
        <f>COUNT('01_Data'!AT2:AT1038)</f>
        <v/>
      </c>
      <c r="G46" s="5">
        <f>E46/F46</f>
        <v/>
      </c>
      <c r="H46" s="5">
        <f>LN((F46-E46+0.3)/(E46+0.3))</f>
        <v/>
      </c>
      <c r="I46" s="5">
        <f>H46-AVERAGE($H$2:$H$49)</f>
        <v/>
      </c>
      <c r="J46">
        <f>IF(OR(E46=0,E46=F46),"BIÊN","")</f>
        <v/>
      </c>
    </row>
    <row r="47">
      <c r="A47" t="n">
        <v>46</v>
      </c>
      <c r="B47" t="inlineStr">
        <is>
          <t>208576851532_b</t>
        </is>
      </c>
      <c r="C47" t="inlineStr">
        <is>
          <t>Câu 30.b TF</t>
        </is>
      </c>
      <c r="D47" t="inlineStr">
        <is>
          <t>TF</t>
        </is>
      </c>
      <c r="E47">
        <f>SUM('01_Data'!AU2:AU1038)</f>
        <v/>
      </c>
      <c r="F47">
        <f>COUNT('01_Data'!AU2:AU1038)</f>
        <v/>
      </c>
      <c r="G47" s="5">
        <f>E47/F47</f>
        <v/>
      </c>
      <c r="H47" s="5">
        <f>LN((F47-E47+0.3)/(E47+0.3))</f>
        <v/>
      </c>
      <c r="I47" s="5">
        <f>H47-AVERAGE($H$2:$H$49)</f>
        <v/>
      </c>
      <c r="J47">
        <f>IF(OR(E47=0,E47=F47),"BIÊN","")</f>
        <v/>
      </c>
    </row>
    <row r="48">
      <c r="A48" t="n">
        <v>47</v>
      </c>
      <c r="B48" t="inlineStr">
        <is>
          <t>208576851532_c</t>
        </is>
      </c>
      <c r="C48" t="inlineStr">
        <is>
          <t>Câu 30.c TF</t>
        </is>
      </c>
      <c r="D48" t="inlineStr">
        <is>
          <t>TF</t>
        </is>
      </c>
      <c r="E48">
        <f>SUM('01_Data'!AV2:AV1038)</f>
        <v/>
      </c>
      <c r="F48">
        <f>COUNT('01_Data'!AV2:AV1038)</f>
        <v/>
      </c>
      <c r="G48" s="5">
        <f>E48/F48</f>
        <v/>
      </c>
      <c r="H48" s="5">
        <f>LN((F48-E48+0.3)/(E48+0.3))</f>
        <v/>
      </c>
      <c r="I48" s="5">
        <f>H48-AVERAGE($H$2:$H$49)</f>
        <v/>
      </c>
      <c r="J48">
        <f>IF(OR(E48=0,E48=F48),"BIÊN","")</f>
        <v/>
      </c>
    </row>
    <row r="49">
      <c r="A49" t="n">
        <v>48</v>
      </c>
      <c r="B49" t="inlineStr">
        <is>
          <t>208576851532_d</t>
        </is>
      </c>
      <c r="C49" t="inlineStr">
        <is>
          <t>Câu 30.d TF</t>
        </is>
      </c>
      <c r="D49" t="inlineStr">
        <is>
          <t>TF</t>
        </is>
      </c>
      <c r="E49">
        <f>SUM('01_Data'!AW2:AW1038)</f>
        <v/>
      </c>
      <c r="F49">
        <f>COUNT('01_Data'!AW2:AW1038)</f>
        <v/>
      </c>
      <c r="G49" s="5">
        <f>E49/F49</f>
        <v/>
      </c>
      <c r="H49" s="5">
        <f>LN((F49-E49+0.3)/(E49+0.3))</f>
        <v/>
      </c>
      <c r="I49" s="5">
        <f>H49-AVERAGE($H$2:$H$49)</f>
        <v/>
      </c>
      <c r="J49">
        <f>IF(OR(E49=0,E49=F49),"BIÊN","")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3" t="inlineStr">
        <is>
          <t>i</t>
        </is>
      </c>
      <c r="B1" s="3" t="inlineStr">
        <is>
          <t>iduser</t>
        </is>
      </c>
      <c r="C1" s="3" t="inlineStr">
        <is>
          <t>R</t>
        </is>
      </c>
      <c r="D1" s="3" t="inlineStr">
        <is>
          <t>M</t>
        </is>
      </c>
      <c r="E1" s="3" t="inlineStr">
        <is>
          <t>θ0</t>
        </is>
      </c>
      <c r="F1" s="3" t="inlineStr">
        <is>
          <t>ΣP_1</t>
        </is>
      </c>
      <c r="G1" s="3" t="inlineStr">
        <is>
          <t>ΣP²_1</t>
        </is>
      </c>
      <c r="H1" s="3" t="inlineStr">
        <is>
          <t>θ1</t>
        </is>
      </c>
      <c r="I1" s="3" t="inlineStr">
        <is>
          <t>ΣP_2</t>
        </is>
      </c>
      <c r="J1" s="3" t="inlineStr">
        <is>
          <t>ΣP²_2</t>
        </is>
      </c>
      <c r="K1" s="3" t="inlineStr">
        <is>
          <t>θ2</t>
        </is>
      </c>
      <c r="L1" s="3" t="inlineStr">
        <is>
          <t>ΣP_3</t>
        </is>
      </c>
      <c r="M1" s="3" t="inlineStr">
        <is>
          <t>ΣP²_3</t>
        </is>
      </c>
      <c r="N1" s="3" t="inlineStr">
        <is>
          <t>θ3</t>
        </is>
      </c>
      <c r="O1" s="3" t="inlineStr">
        <is>
          <t>ΣP_4</t>
        </is>
      </c>
      <c r="P1" s="3" t="inlineStr">
        <is>
          <t>ΣP²_4</t>
        </is>
      </c>
      <c r="Q1" s="3" t="inlineStr">
        <is>
          <t>θ4</t>
        </is>
      </c>
      <c r="R1" s="3" t="inlineStr">
        <is>
          <t>ΣP_5</t>
        </is>
      </c>
      <c r="S1" s="3" t="inlineStr">
        <is>
          <t>ΣP²_5</t>
        </is>
      </c>
      <c r="T1" s="3" t="inlineStr">
        <is>
          <t>θ5</t>
        </is>
      </c>
      <c r="U1" s="3" t="inlineStr">
        <is>
          <t>ΣP_6</t>
        </is>
      </c>
      <c r="V1" s="3" t="inlineStr">
        <is>
          <t>ΣP²_6</t>
        </is>
      </c>
      <c r="W1" s="3" t="inlineStr">
        <is>
          <t>θ6</t>
        </is>
      </c>
      <c r="X1" s="3" t="inlineStr">
        <is>
          <t>ΣP_7</t>
        </is>
      </c>
      <c r="Y1" s="3" t="inlineStr">
        <is>
          <t>ΣP²_7</t>
        </is>
      </c>
      <c r="Z1" s="3" t="inlineStr">
        <is>
          <t>θ7</t>
        </is>
      </c>
      <c r="AA1" s="3" t="inlineStr">
        <is>
          <t>ΣP_8</t>
        </is>
      </c>
      <c r="AB1" s="3" t="inlineStr">
        <is>
          <t>ΣP²_8</t>
        </is>
      </c>
      <c r="AC1" s="3" t="inlineStr">
        <is>
          <t>θ8</t>
        </is>
      </c>
    </row>
    <row r="2">
      <c r="A2" t="n">
        <v>1</v>
      </c>
      <c r="B2">
        <f>'01_Data'!A2</f>
        <v/>
      </c>
      <c r="C2">
        <f>SUM('01_Data'!$B2:$AW2)</f>
        <v/>
      </c>
      <c r="D2">
        <f>COUNT('01_Data'!$B2:$AW2)</f>
        <v/>
      </c>
      <c r="E2" s="5">
        <f>MEDIAN(-6,LN((C2+0.3)/(D2-C2+0.3)),6)</f>
        <v/>
      </c>
      <c r="F2" s="5">
        <f>SUMPRODUCT(('01_Data'!$B2:$AW2&lt;&gt;"")*(1/(1+EXP(-(E2-'03_Lap_b'!$B$5:$AW$5)))))</f>
        <v/>
      </c>
      <c r="G2" s="5">
        <f>SUMPRODUCT(('01_Data'!$B2:$AW2&lt;&gt;"")*(1/(1+EXP(-(E2-'03_Lap_b'!$B$5:$AW$5))))^2)</f>
        <v/>
      </c>
      <c r="H2" s="5">
        <f>MEDIAN(-6,E2+(C2-F2)/MAX(F2-G2,0.000000001),6)</f>
        <v/>
      </c>
      <c r="I2" s="5">
        <f>SUMPRODUCT(('01_Data'!$B2:$AW2&lt;&gt;"")*(1/(1+EXP(-(H2-'03_Lap_b'!$B$10:$AW$10)))))</f>
        <v/>
      </c>
      <c r="J2" s="5">
        <f>SUMPRODUCT(('01_Data'!$B2:$AW2&lt;&gt;"")*(1/(1+EXP(-(H2-'03_Lap_b'!$B$10:$AW$10))))^2)</f>
        <v/>
      </c>
      <c r="K2" s="5">
        <f>MEDIAN(-6,H2+(C2-I2)/MAX(I2-J2,0.000000001),6)</f>
        <v/>
      </c>
      <c r="L2" s="5">
        <f>SUMPRODUCT(('01_Data'!$B2:$AW2&lt;&gt;"")*(1/(1+EXP(-(K2-'03_Lap_b'!$B$15:$AW$15)))))</f>
        <v/>
      </c>
      <c r="M2" s="5">
        <f>SUMPRODUCT(('01_Data'!$B2:$AW2&lt;&gt;"")*(1/(1+EXP(-(K2-'03_Lap_b'!$B$15:$AW$15))))^2)</f>
        <v/>
      </c>
      <c r="N2" s="5">
        <f>MEDIAN(-6,K2+(C2-L2)/MAX(L2-M2,0.000000001),6)</f>
        <v/>
      </c>
      <c r="O2" s="5">
        <f>SUMPRODUCT(('01_Data'!$B2:$AW2&lt;&gt;"")*(1/(1+EXP(-(N2-'03_Lap_b'!$B$20:$AW$20)))))</f>
        <v/>
      </c>
      <c r="P2" s="5">
        <f>SUMPRODUCT(('01_Data'!$B2:$AW2&lt;&gt;"")*(1/(1+EXP(-(N2-'03_Lap_b'!$B$20:$AW$20))))^2)</f>
        <v/>
      </c>
      <c r="Q2" s="5">
        <f>MEDIAN(-6,N2+(C2-O2)/MAX(O2-P2,0.000000001),6)</f>
        <v/>
      </c>
      <c r="R2" s="5">
        <f>SUMPRODUCT(('01_Data'!$B2:$AW2&lt;&gt;"")*(1/(1+EXP(-(Q2-'03_Lap_b'!$B$25:$AW$25)))))</f>
        <v/>
      </c>
      <c r="S2" s="5">
        <f>SUMPRODUCT(('01_Data'!$B2:$AW2&lt;&gt;"")*(1/(1+EXP(-(Q2-'03_Lap_b'!$B$25:$AW$25))))^2)</f>
        <v/>
      </c>
      <c r="T2" s="5">
        <f>MEDIAN(-6,Q2+(C2-R2)/MAX(R2-S2,0.000000001),6)</f>
        <v/>
      </c>
      <c r="U2" s="5">
        <f>SUMPRODUCT(('01_Data'!$B2:$AW2&lt;&gt;"")*(1/(1+EXP(-(T2-'03_Lap_b'!$B$30:$AW$30)))))</f>
        <v/>
      </c>
      <c r="V2" s="5">
        <f>SUMPRODUCT(('01_Data'!$B2:$AW2&lt;&gt;"")*(1/(1+EXP(-(T2-'03_Lap_b'!$B$30:$AW$30))))^2)</f>
        <v/>
      </c>
      <c r="W2" s="5">
        <f>MEDIAN(-6,T2+(C2-U2)/MAX(U2-V2,0.000000001),6)</f>
        <v/>
      </c>
      <c r="X2" s="5">
        <f>SUMPRODUCT(('01_Data'!$B2:$AW2&lt;&gt;"")*(1/(1+EXP(-(W2-'03_Lap_b'!$B$35:$AW$35)))))</f>
        <v/>
      </c>
      <c r="Y2" s="5">
        <f>SUMPRODUCT(('01_Data'!$B2:$AW2&lt;&gt;"")*(1/(1+EXP(-(W2-'03_Lap_b'!$B$35:$AW$35))))^2)</f>
        <v/>
      </c>
      <c r="Z2" s="5">
        <f>MEDIAN(-6,W2+(C2-X2)/MAX(X2-Y2,0.000000001),6)</f>
        <v/>
      </c>
      <c r="AA2" s="5">
        <f>SUMPRODUCT(('01_Data'!$B2:$AW2&lt;&gt;"")*(1/(1+EXP(-(Z2-'03_Lap_b'!$B$40:$AW$40)))))</f>
        <v/>
      </c>
      <c r="AB2" s="5">
        <f>SUMPRODUCT(('01_Data'!$B2:$AW2&lt;&gt;"")*(1/(1+EXP(-(Z2-'03_Lap_b'!$B$40:$AW$40))))^2)</f>
        <v/>
      </c>
      <c r="AC2" s="5">
        <f>MEDIAN(-6,Z2+(C2-AA2)/MAX(AA2-AB2,0.000000001),6)</f>
        <v/>
      </c>
    </row>
    <row r="3">
      <c r="A3" t="n">
        <v>2</v>
      </c>
      <c r="B3">
        <f>'01_Data'!A3</f>
        <v/>
      </c>
      <c r="C3">
        <f>SUM('01_Data'!$B3:$AW3)</f>
        <v/>
      </c>
      <c r="D3">
        <f>COUNT('01_Data'!$B3:$AW3)</f>
        <v/>
      </c>
      <c r="E3" s="5">
        <f>MEDIAN(-6,LN((C3+0.3)/(D3-C3+0.3)),6)</f>
        <v/>
      </c>
      <c r="F3" s="5">
        <f>SUMPRODUCT(('01_Data'!$B3:$AW3&lt;&gt;"")*(1/(1+EXP(-(E3-'03_Lap_b'!$B$5:$AW$5)))))</f>
        <v/>
      </c>
      <c r="G3" s="5">
        <f>SUMPRODUCT(('01_Data'!$B3:$AW3&lt;&gt;"")*(1/(1+EXP(-(E3-'03_Lap_b'!$B$5:$AW$5))))^2)</f>
        <v/>
      </c>
      <c r="H3" s="5">
        <f>MEDIAN(-6,E3+(C3-F3)/MAX(F3-G3,0.000000001),6)</f>
        <v/>
      </c>
      <c r="I3" s="5">
        <f>SUMPRODUCT(('01_Data'!$B3:$AW3&lt;&gt;"")*(1/(1+EXP(-(H3-'03_Lap_b'!$B$10:$AW$10)))))</f>
        <v/>
      </c>
      <c r="J3" s="5">
        <f>SUMPRODUCT(('01_Data'!$B3:$AW3&lt;&gt;"")*(1/(1+EXP(-(H3-'03_Lap_b'!$B$10:$AW$10))))^2)</f>
        <v/>
      </c>
      <c r="K3" s="5">
        <f>MEDIAN(-6,H3+(C3-I3)/MAX(I3-J3,0.000000001),6)</f>
        <v/>
      </c>
      <c r="L3" s="5">
        <f>SUMPRODUCT(('01_Data'!$B3:$AW3&lt;&gt;"")*(1/(1+EXP(-(K3-'03_Lap_b'!$B$15:$AW$15)))))</f>
        <v/>
      </c>
      <c r="M3" s="5">
        <f>SUMPRODUCT(('01_Data'!$B3:$AW3&lt;&gt;"")*(1/(1+EXP(-(K3-'03_Lap_b'!$B$15:$AW$15))))^2)</f>
        <v/>
      </c>
      <c r="N3" s="5">
        <f>MEDIAN(-6,K3+(C3-L3)/MAX(L3-M3,0.000000001),6)</f>
        <v/>
      </c>
      <c r="O3" s="5">
        <f>SUMPRODUCT(('01_Data'!$B3:$AW3&lt;&gt;"")*(1/(1+EXP(-(N3-'03_Lap_b'!$B$20:$AW$20)))))</f>
        <v/>
      </c>
      <c r="P3" s="5">
        <f>SUMPRODUCT(('01_Data'!$B3:$AW3&lt;&gt;"")*(1/(1+EXP(-(N3-'03_Lap_b'!$B$20:$AW$20))))^2)</f>
        <v/>
      </c>
      <c r="Q3" s="5">
        <f>MEDIAN(-6,N3+(C3-O3)/MAX(O3-P3,0.000000001),6)</f>
        <v/>
      </c>
      <c r="R3" s="5">
        <f>SUMPRODUCT(('01_Data'!$B3:$AW3&lt;&gt;"")*(1/(1+EXP(-(Q3-'03_Lap_b'!$B$25:$AW$25)))))</f>
        <v/>
      </c>
      <c r="S3" s="5">
        <f>SUMPRODUCT(('01_Data'!$B3:$AW3&lt;&gt;"")*(1/(1+EXP(-(Q3-'03_Lap_b'!$B$25:$AW$25))))^2)</f>
        <v/>
      </c>
      <c r="T3" s="5">
        <f>MEDIAN(-6,Q3+(C3-R3)/MAX(R3-S3,0.000000001),6)</f>
        <v/>
      </c>
      <c r="U3" s="5">
        <f>SUMPRODUCT(('01_Data'!$B3:$AW3&lt;&gt;"")*(1/(1+EXP(-(T3-'03_Lap_b'!$B$30:$AW$30)))))</f>
        <v/>
      </c>
      <c r="V3" s="5">
        <f>SUMPRODUCT(('01_Data'!$B3:$AW3&lt;&gt;"")*(1/(1+EXP(-(T3-'03_Lap_b'!$B$30:$AW$30))))^2)</f>
        <v/>
      </c>
      <c r="W3" s="5">
        <f>MEDIAN(-6,T3+(C3-U3)/MAX(U3-V3,0.000000001),6)</f>
        <v/>
      </c>
      <c r="X3" s="5">
        <f>SUMPRODUCT(('01_Data'!$B3:$AW3&lt;&gt;"")*(1/(1+EXP(-(W3-'03_Lap_b'!$B$35:$AW$35)))))</f>
        <v/>
      </c>
      <c r="Y3" s="5">
        <f>SUMPRODUCT(('01_Data'!$B3:$AW3&lt;&gt;"")*(1/(1+EXP(-(W3-'03_Lap_b'!$B$35:$AW$35))))^2)</f>
        <v/>
      </c>
      <c r="Z3" s="5">
        <f>MEDIAN(-6,W3+(C3-X3)/MAX(X3-Y3,0.000000001),6)</f>
        <v/>
      </c>
      <c r="AA3" s="5">
        <f>SUMPRODUCT(('01_Data'!$B3:$AW3&lt;&gt;"")*(1/(1+EXP(-(Z3-'03_Lap_b'!$B$40:$AW$40)))))</f>
        <v/>
      </c>
      <c r="AB3" s="5">
        <f>SUMPRODUCT(('01_Data'!$B3:$AW3&lt;&gt;"")*(1/(1+EXP(-(Z3-'03_Lap_b'!$B$40:$AW$40))))^2)</f>
        <v/>
      </c>
      <c r="AC3" s="5">
        <f>MEDIAN(-6,Z3+(C3-AA3)/MAX(AA3-AB3,0.000000001),6)</f>
        <v/>
      </c>
    </row>
    <row r="4">
      <c r="A4" t="n">
        <v>3</v>
      </c>
      <c r="B4">
        <f>'01_Data'!A4</f>
        <v/>
      </c>
      <c r="C4">
        <f>SUM('01_Data'!$B4:$AW4)</f>
        <v/>
      </c>
      <c r="D4">
        <f>COUNT('01_Data'!$B4:$AW4)</f>
        <v/>
      </c>
      <c r="E4" s="5">
        <f>MEDIAN(-6,LN((C4+0.3)/(D4-C4+0.3)),6)</f>
        <v/>
      </c>
      <c r="F4" s="5">
        <f>SUMPRODUCT(('01_Data'!$B4:$AW4&lt;&gt;"")*(1/(1+EXP(-(E4-'03_Lap_b'!$B$5:$AW$5)))))</f>
        <v/>
      </c>
      <c r="G4" s="5">
        <f>SUMPRODUCT(('01_Data'!$B4:$AW4&lt;&gt;"")*(1/(1+EXP(-(E4-'03_Lap_b'!$B$5:$AW$5))))^2)</f>
        <v/>
      </c>
      <c r="H4" s="5">
        <f>MEDIAN(-6,E4+(C4-F4)/MAX(F4-G4,0.000000001),6)</f>
        <v/>
      </c>
      <c r="I4" s="5">
        <f>SUMPRODUCT(('01_Data'!$B4:$AW4&lt;&gt;"")*(1/(1+EXP(-(H4-'03_Lap_b'!$B$10:$AW$10)))))</f>
        <v/>
      </c>
      <c r="J4" s="5">
        <f>SUMPRODUCT(('01_Data'!$B4:$AW4&lt;&gt;"")*(1/(1+EXP(-(H4-'03_Lap_b'!$B$10:$AW$10))))^2)</f>
        <v/>
      </c>
      <c r="K4" s="5">
        <f>MEDIAN(-6,H4+(C4-I4)/MAX(I4-J4,0.000000001),6)</f>
        <v/>
      </c>
      <c r="L4" s="5">
        <f>SUMPRODUCT(('01_Data'!$B4:$AW4&lt;&gt;"")*(1/(1+EXP(-(K4-'03_Lap_b'!$B$15:$AW$15)))))</f>
        <v/>
      </c>
      <c r="M4" s="5">
        <f>SUMPRODUCT(('01_Data'!$B4:$AW4&lt;&gt;"")*(1/(1+EXP(-(K4-'03_Lap_b'!$B$15:$AW$15))))^2)</f>
        <v/>
      </c>
      <c r="N4" s="5">
        <f>MEDIAN(-6,K4+(C4-L4)/MAX(L4-M4,0.000000001),6)</f>
        <v/>
      </c>
      <c r="O4" s="5">
        <f>SUMPRODUCT(('01_Data'!$B4:$AW4&lt;&gt;"")*(1/(1+EXP(-(N4-'03_Lap_b'!$B$20:$AW$20)))))</f>
        <v/>
      </c>
      <c r="P4" s="5">
        <f>SUMPRODUCT(('01_Data'!$B4:$AW4&lt;&gt;"")*(1/(1+EXP(-(N4-'03_Lap_b'!$B$20:$AW$20))))^2)</f>
        <v/>
      </c>
      <c r="Q4" s="5">
        <f>MEDIAN(-6,N4+(C4-O4)/MAX(O4-P4,0.000000001),6)</f>
        <v/>
      </c>
      <c r="R4" s="5">
        <f>SUMPRODUCT(('01_Data'!$B4:$AW4&lt;&gt;"")*(1/(1+EXP(-(Q4-'03_Lap_b'!$B$25:$AW$25)))))</f>
        <v/>
      </c>
      <c r="S4" s="5">
        <f>SUMPRODUCT(('01_Data'!$B4:$AW4&lt;&gt;"")*(1/(1+EXP(-(Q4-'03_Lap_b'!$B$25:$AW$25))))^2)</f>
        <v/>
      </c>
      <c r="T4" s="5">
        <f>MEDIAN(-6,Q4+(C4-R4)/MAX(R4-S4,0.000000001),6)</f>
        <v/>
      </c>
      <c r="U4" s="5">
        <f>SUMPRODUCT(('01_Data'!$B4:$AW4&lt;&gt;"")*(1/(1+EXP(-(T4-'03_Lap_b'!$B$30:$AW$30)))))</f>
        <v/>
      </c>
      <c r="V4" s="5">
        <f>SUMPRODUCT(('01_Data'!$B4:$AW4&lt;&gt;"")*(1/(1+EXP(-(T4-'03_Lap_b'!$B$30:$AW$30))))^2)</f>
        <v/>
      </c>
      <c r="W4" s="5">
        <f>MEDIAN(-6,T4+(C4-U4)/MAX(U4-V4,0.000000001),6)</f>
        <v/>
      </c>
      <c r="X4" s="5">
        <f>SUMPRODUCT(('01_Data'!$B4:$AW4&lt;&gt;"")*(1/(1+EXP(-(W4-'03_Lap_b'!$B$35:$AW$35)))))</f>
        <v/>
      </c>
      <c r="Y4" s="5">
        <f>SUMPRODUCT(('01_Data'!$B4:$AW4&lt;&gt;"")*(1/(1+EXP(-(W4-'03_Lap_b'!$B$35:$AW$35))))^2)</f>
        <v/>
      </c>
      <c r="Z4" s="5">
        <f>MEDIAN(-6,W4+(C4-X4)/MAX(X4-Y4,0.000000001),6)</f>
        <v/>
      </c>
      <c r="AA4" s="5">
        <f>SUMPRODUCT(('01_Data'!$B4:$AW4&lt;&gt;"")*(1/(1+EXP(-(Z4-'03_Lap_b'!$B$40:$AW$40)))))</f>
        <v/>
      </c>
      <c r="AB4" s="5">
        <f>SUMPRODUCT(('01_Data'!$B4:$AW4&lt;&gt;"")*(1/(1+EXP(-(Z4-'03_Lap_b'!$B$40:$AW$40))))^2)</f>
        <v/>
      </c>
      <c r="AC4" s="5">
        <f>MEDIAN(-6,Z4+(C4-AA4)/MAX(AA4-AB4,0.000000001),6)</f>
        <v/>
      </c>
    </row>
    <row r="5">
      <c r="A5" t="n">
        <v>4</v>
      </c>
      <c r="B5">
        <f>'01_Data'!A5</f>
        <v/>
      </c>
      <c r="C5">
        <f>SUM('01_Data'!$B5:$AW5)</f>
        <v/>
      </c>
      <c r="D5">
        <f>COUNT('01_Data'!$B5:$AW5)</f>
        <v/>
      </c>
      <c r="E5" s="5">
        <f>MEDIAN(-6,LN((C5+0.3)/(D5-C5+0.3)),6)</f>
        <v/>
      </c>
      <c r="F5" s="5">
        <f>SUMPRODUCT(('01_Data'!$B5:$AW5&lt;&gt;"")*(1/(1+EXP(-(E5-'03_Lap_b'!$B$5:$AW$5)))))</f>
        <v/>
      </c>
      <c r="G5" s="5">
        <f>SUMPRODUCT(('01_Data'!$B5:$AW5&lt;&gt;"")*(1/(1+EXP(-(E5-'03_Lap_b'!$B$5:$AW$5))))^2)</f>
        <v/>
      </c>
      <c r="H5" s="5">
        <f>MEDIAN(-6,E5+(C5-F5)/MAX(F5-G5,0.000000001),6)</f>
        <v/>
      </c>
      <c r="I5" s="5">
        <f>SUMPRODUCT(('01_Data'!$B5:$AW5&lt;&gt;"")*(1/(1+EXP(-(H5-'03_Lap_b'!$B$10:$AW$10)))))</f>
        <v/>
      </c>
      <c r="J5" s="5">
        <f>SUMPRODUCT(('01_Data'!$B5:$AW5&lt;&gt;"")*(1/(1+EXP(-(H5-'03_Lap_b'!$B$10:$AW$10))))^2)</f>
        <v/>
      </c>
      <c r="K5" s="5">
        <f>MEDIAN(-6,H5+(C5-I5)/MAX(I5-J5,0.000000001),6)</f>
        <v/>
      </c>
      <c r="L5" s="5">
        <f>SUMPRODUCT(('01_Data'!$B5:$AW5&lt;&gt;"")*(1/(1+EXP(-(K5-'03_Lap_b'!$B$15:$AW$15)))))</f>
        <v/>
      </c>
      <c r="M5" s="5">
        <f>SUMPRODUCT(('01_Data'!$B5:$AW5&lt;&gt;"")*(1/(1+EXP(-(K5-'03_Lap_b'!$B$15:$AW$15))))^2)</f>
        <v/>
      </c>
      <c r="N5" s="5">
        <f>MEDIAN(-6,K5+(C5-L5)/MAX(L5-M5,0.000000001),6)</f>
        <v/>
      </c>
      <c r="O5" s="5">
        <f>SUMPRODUCT(('01_Data'!$B5:$AW5&lt;&gt;"")*(1/(1+EXP(-(N5-'03_Lap_b'!$B$20:$AW$20)))))</f>
        <v/>
      </c>
      <c r="P5" s="5">
        <f>SUMPRODUCT(('01_Data'!$B5:$AW5&lt;&gt;"")*(1/(1+EXP(-(N5-'03_Lap_b'!$B$20:$AW$20))))^2)</f>
        <v/>
      </c>
      <c r="Q5" s="5">
        <f>MEDIAN(-6,N5+(C5-O5)/MAX(O5-P5,0.000000001),6)</f>
        <v/>
      </c>
      <c r="R5" s="5">
        <f>SUMPRODUCT(('01_Data'!$B5:$AW5&lt;&gt;"")*(1/(1+EXP(-(Q5-'03_Lap_b'!$B$25:$AW$25)))))</f>
        <v/>
      </c>
      <c r="S5" s="5">
        <f>SUMPRODUCT(('01_Data'!$B5:$AW5&lt;&gt;"")*(1/(1+EXP(-(Q5-'03_Lap_b'!$B$25:$AW$25))))^2)</f>
        <v/>
      </c>
      <c r="T5" s="5">
        <f>MEDIAN(-6,Q5+(C5-R5)/MAX(R5-S5,0.000000001),6)</f>
        <v/>
      </c>
      <c r="U5" s="5">
        <f>SUMPRODUCT(('01_Data'!$B5:$AW5&lt;&gt;"")*(1/(1+EXP(-(T5-'03_Lap_b'!$B$30:$AW$30)))))</f>
        <v/>
      </c>
      <c r="V5" s="5">
        <f>SUMPRODUCT(('01_Data'!$B5:$AW5&lt;&gt;"")*(1/(1+EXP(-(T5-'03_Lap_b'!$B$30:$AW$30))))^2)</f>
        <v/>
      </c>
      <c r="W5" s="5">
        <f>MEDIAN(-6,T5+(C5-U5)/MAX(U5-V5,0.000000001),6)</f>
        <v/>
      </c>
      <c r="X5" s="5">
        <f>SUMPRODUCT(('01_Data'!$B5:$AW5&lt;&gt;"")*(1/(1+EXP(-(W5-'03_Lap_b'!$B$35:$AW$35)))))</f>
        <v/>
      </c>
      <c r="Y5" s="5">
        <f>SUMPRODUCT(('01_Data'!$B5:$AW5&lt;&gt;"")*(1/(1+EXP(-(W5-'03_Lap_b'!$B$35:$AW$35))))^2)</f>
        <v/>
      </c>
      <c r="Z5" s="5">
        <f>MEDIAN(-6,W5+(C5-X5)/MAX(X5-Y5,0.000000001),6)</f>
        <v/>
      </c>
      <c r="AA5" s="5">
        <f>SUMPRODUCT(('01_Data'!$B5:$AW5&lt;&gt;"")*(1/(1+EXP(-(Z5-'03_Lap_b'!$B$40:$AW$40)))))</f>
        <v/>
      </c>
      <c r="AB5" s="5">
        <f>SUMPRODUCT(('01_Data'!$B5:$AW5&lt;&gt;"")*(1/(1+EXP(-(Z5-'03_Lap_b'!$B$40:$AW$40))))^2)</f>
        <v/>
      </c>
      <c r="AC5" s="5">
        <f>MEDIAN(-6,Z5+(C5-AA5)/MAX(AA5-AB5,0.000000001),6)</f>
        <v/>
      </c>
    </row>
    <row r="6">
      <c r="A6" t="n">
        <v>5</v>
      </c>
      <c r="B6">
        <f>'01_Data'!A6</f>
        <v/>
      </c>
      <c r="C6">
        <f>SUM('01_Data'!$B6:$AW6)</f>
        <v/>
      </c>
      <c r="D6">
        <f>COUNT('01_Data'!$B6:$AW6)</f>
        <v/>
      </c>
      <c r="E6" s="5">
        <f>MEDIAN(-6,LN((C6+0.3)/(D6-C6+0.3)),6)</f>
        <v/>
      </c>
      <c r="F6" s="5">
        <f>SUMPRODUCT(('01_Data'!$B6:$AW6&lt;&gt;"")*(1/(1+EXP(-(E6-'03_Lap_b'!$B$5:$AW$5)))))</f>
        <v/>
      </c>
      <c r="G6" s="5">
        <f>SUMPRODUCT(('01_Data'!$B6:$AW6&lt;&gt;"")*(1/(1+EXP(-(E6-'03_Lap_b'!$B$5:$AW$5))))^2)</f>
        <v/>
      </c>
      <c r="H6" s="5">
        <f>MEDIAN(-6,E6+(C6-F6)/MAX(F6-G6,0.000000001),6)</f>
        <v/>
      </c>
      <c r="I6" s="5">
        <f>SUMPRODUCT(('01_Data'!$B6:$AW6&lt;&gt;"")*(1/(1+EXP(-(H6-'03_Lap_b'!$B$10:$AW$10)))))</f>
        <v/>
      </c>
      <c r="J6" s="5">
        <f>SUMPRODUCT(('01_Data'!$B6:$AW6&lt;&gt;"")*(1/(1+EXP(-(H6-'03_Lap_b'!$B$10:$AW$10))))^2)</f>
        <v/>
      </c>
      <c r="K6" s="5">
        <f>MEDIAN(-6,H6+(C6-I6)/MAX(I6-J6,0.000000001),6)</f>
        <v/>
      </c>
      <c r="L6" s="5">
        <f>SUMPRODUCT(('01_Data'!$B6:$AW6&lt;&gt;"")*(1/(1+EXP(-(K6-'03_Lap_b'!$B$15:$AW$15)))))</f>
        <v/>
      </c>
      <c r="M6" s="5">
        <f>SUMPRODUCT(('01_Data'!$B6:$AW6&lt;&gt;"")*(1/(1+EXP(-(K6-'03_Lap_b'!$B$15:$AW$15))))^2)</f>
        <v/>
      </c>
      <c r="N6" s="5">
        <f>MEDIAN(-6,K6+(C6-L6)/MAX(L6-M6,0.000000001),6)</f>
        <v/>
      </c>
      <c r="O6" s="5">
        <f>SUMPRODUCT(('01_Data'!$B6:$AW6&lt;&gt;"")*(1/(1+EXP(-(N6-'03_Lap_b'!$B$20:$AW$20)))))</f>
        <v/>
      </c>
      <c r="P6" s="5">
        <f>SUMPRODUCT(('01_Data'!$B6:$AW6&lt;&gt;"")*(1/(1+EXP(-(N6-'03_Lap_b'!$B$20:$AW$20))))^2)</f>
        <v/>
      </c>
      <c r="Q6" s="5">
        <f>MEDIAN(-6,N6+(C6-O6)/MAX(O6-P6,0.000000001),6)</f>
        <v/>
      </c>
      <c r="R6" s="5">
        <f>SUMPRODUCT(('01_Data'!$B6:$AW6&lt;&gt;"")*(1/(1+EXP(-(Q6-'03_Lap_b'!$B$25:$AW$25)))))</f>
        <v/>
      </c>
      <c r="S6" s="5">
        <f>SUMPRODUCT(('01_Data'!$B6:$AW6&lt;&gt;"")*(1/(1+EXP(-(Q6-'03_Lap_b'!$B$25:$AW$25))))^2)</f>
        <v/>
      </c>
      <c r="T6" s="5">
        <f>MEDIAN(-6,Q6+(C6-R6)/MAX(R6-S6,0.000000001),6)</f>
        <v/>
      </c>
      <c r="U6" s="5">
        <f>SUMPRODUCT(('01_Data'!$B6:$AW6&lt;&gt;"")*(1/(1+EXP(-(T6-'03_Lap_b'!$B$30:$AW$30)))))</f>
        <v/>
      </c>
      <c r="V6" s="5">
        <f>SUMPRODUCT(('01_Data'!$B6:$AW6&lt;&gt;"")*(1/(1+EXP(-(T6-'03_Lap_b'!$B$30:$AW$30))))^2)</f>
        <v/>
      </c>
      <c r="W6" s="5">
        <f>MEDIAN(-6,T6+(C6-U6)/MAX(U6-V6,0.000000001),6)</f>
        <v/>
      </c>
      <c r="X6" s="5">
        <f>SUMPRODUCT(('01_Data'!$B6:$AW6&lt;&gt;"")*(1/(1+EXP(-(W6-'03_Lap_b'!$B$35:$AW$35)))))</f>
        <v/>
      </c>
      <c r="Y6" s="5">
        <f>SUMPRODUCT(('01_Data'!$B6:$AW6&lt;&gt;"")*(1/(1+EXP(-(W6-'03_Lap_b'!$B$35:$AW$35))))^2)</f>
        <v/>
      </c>
      <c r="Z6" s="5">
        <f>MEDIAN(-6,W6+(C6-X6)/MAX(X6-Y6,0.000000001),6)</f>
        <v/>
      </c>
      <c r="AA6" s="5">
        <f>SUMPRODUCT(('01_Data'!$B6:$AW6&lt;&gt;"")*(1/(1+EXP(-(Z6-'03_Lap_b'!$B$40:$AW$40)))))</f>
        <v/>
      </c>
      <c r="AB6" s="5">
        <f>SUMPRODUCT(('01_Data'!$B6:$AW6&lt;&gt;"")*(1/(1+EXP(-(Z6-'03_Lap_b'!$B$40:$AW$40))))^2)</f>
        <v/>
      </c>
      <c r="AC6" s="5">
        <f>MEDIAN(-6,Z6+(C6-AA6)/MAX(AA6-AB6,0.000000001),6)</f>
        <v/>
      </c>
    </row>
    <row r="7">
      <c r="A7" t="n">
        <v>6</v>
      </c>
      <c r="B7">
        <f>'01_Data'!A7</f>
        <v/>
      </c>
      <c r="C7">
        <f>SUM('01_Data'!$B7:$AW7)</f>
        <v/>
      </c>
      <c r="D7">
        <f>COUNT('01_Data'!$B7:$AW7)</f>
        <v/>
      </c>
      <c r="E7" s="5">
        <f>MEDIAN(-6,LN((C7+0.3)/(D7-C7+0.3)),6)</f>
        <v/>
      </c>
      <c r="F7" s="5">
        <f>SUMPRODUCT(('01_Data'!$B7:$AW7&lt;&gt;"")*(1/(1+EXP(-(E7-'03_Lap_b'!$B$5:$AW$5)))))</f>
        <v/>
      </c>
      <c r="G7" s="5">
        <f>SUMPRODUCT(('01_Data'!$B7:$AW7&lt;&gt;"")*(1/(1+EXP(-(E7-'03_Lap_b'!$B$5:$AW$5))))^2)</f>
        <v/>
      </c>
      <c r="H7" s="5">
        <f>MEDIAN(-6,E7+(C7-F7)/MAX(F7-G7,0.000000001),6)</f>
        <v/>
      </c>
      <c r="I7" s="5">
        <f>SUMPRODUCT(('01_Data'!$B7:$AW7&lt;&gt;"")*(1/(1+EXP(-(H7-'03_Lap_b'!$B$10:$AW$10)))))</f>
        <v/>
      </c>
      <c r="J7" s="5">
        <f>SUMPRODUCT(('01_Data'!$B7:$AW7&lt;&gt;"")*(1/(1+EXP(-(H7-'03_Lap_b'!$B$10:$AW$10))))^2)</f>
        <v/>
      </c>
      <c r="K7" s="5">
        <f>MEDIAN(-6,H7+(C7-I7)/MAX(I7-J7,0.000000001),6)</f>
        <v/>
      </c>
      <c r="L7" s="5">
        <f>SUMPRODUCT(('01_Data'!$B7:$AW7&lt;&gt;"")*(1/(1+EXP(-(K7-'03_Lap_b'!$B$15:$AW$15)))))</f>
        <v/>
      </c>
      <c r="M7" s="5">
        <f>SUMPRODUCT(('01_Data'!$B7:$AW7&lt;&gt;"")*(1/(1+EXP(-(K7-'03_Lap_b'!$B$15:$AW$15))))^2)</f>
        <v/>
      </c>
      <c r="N7" s="5">
        <f>MEDIAN(-6,K7+(C7-L7)/MAX(L7-M7,0.000000001),6)</f>
        <v/>
      </c>
      <c r="O7" s="5">
        <f>SUMPRODUCT(('01_Data'!$B7:$AW7&lt;&gt;"")*(1/(1+EXP(-(N7-'03_Lap_b'!$B$20:$AW$20)))))</f>
        <v/>
      </c>
      <c r="P7" s="5">
        <f>SUMPRODUCT(('01_Data'!$B7:$AW7&lt;&gt;"")*(1/(1+EXP(-(N7-'03_Lap_b'!$B$20:$AW$20))))^2)</f>
        <v/>
      </c>
      <c r="Q7" s="5">
        <f>MEDIAN(-6,N7+(C7-O7)/MAX(O7-P7,0.000000001),6)</f>
        <v/>
      </c>
      <c r="R7" s="5">
        <f>SUMPRODUCT(('01_Data'!$B7:$AW7&lt;&gt;"")*(1/(1+EXP(-(Q7-'03_Lap_b'!$B$25:$AW$25)))))</f>
        <v/>
      </c>
      <c r="S7" s="5">
        <f>SUMPRODUCT(('01_Data'!$B7:$AW7&lt;&gt;"")*(1/(1+EXP(-(Q7-'03_Lap_b'!$B$25:$AW$25))))^2)</f>
        <v/>
      </c>
      <c r="T7" s="5">
        <f>MEDIAN(-6,Q7+(C7-R7)/MAX(R7-S7,0.000000001),6)</f>
        <v/>
      </c>
      <c r="U7" s="5">
        <f>SUMPRODUCT(('01_Data'!$B7:$AW7&lt;&gt;"")*(1/(1+EXP(-(T7-'03_Lap_b'!$B$30:$AW$30)))))</f>
        <v/>
      </c>
      <c r="V7" s="5">
        <f>SUMPRODUCT(('01_Data'!$B7:$AW7&lt;&gt;"")*(1/(1+EXP(-(T7-'03_Lap_b'!$B$30:$AW$30))))^2)</f>
        <v/>
      </c>
      <c r="W7" s="5">
        <f>MEDIAN(-6,T7+(C7-U7)/MAX(U7-V7,0.000000001),6)</f>
        <v/>
      </c>
      <c r="X7" s="5">
        <f>SUMPRODUCT(('01_Data'!$B7:$AW7&lt;&gt;"")*(1/(1+EXP(-(W7-'03_Lap_b'!$B$35:$AW$35)))))</f>
        <v/>
      </c>
      <c r="Y7" s="5">
        <f>SUMPRODUCT(('01_Data'!$B7:$AW7&lt;&gt;"")*(1/(1+EXP(-(W7-'03_Lap_b'!$B$35:$AW$35))))^2)</f>
        <v/>
      </c>
      <c r="Z7" s="5">
        <f>MEDIAN(-6,W7+(C7-X7)/MAX(X7-Y7,0.000000001),6)</f>
        <v/>
      </c>
      <c r="AA7" s="5">
        <f>SUMPRODUCT(('01_Data'!$B7:$AW7&lt;&gt;"")*(1/(1+EXP(-(Z7-'03_Lap_b'!$B$40:$AW$40)))))</f>
        <v/>
      </c>
      <c r="AB7" s="5">
        <f>SUMPRODUCT(('01_Data'!$B7:$AW7&lt;&gt;"")*(1/(1+EXP(-(Z7-'03_Lap_b'!$B$40:$AW$40))))^2)</f>
        <v/>
      </c>
      <c r="AC7" s="5">
        <f>MEDIAN(-6,Z7+(C7-AA7)/MAX(AA7-AB7,0.000000001),6)</f>
        <v/>
      </c>
    </row>
    <row r="8">
      <c r="A8" t="n">
        <v>7</v>
      </c>
      <c r="B8">
        <f>'01_Data'!A8</f>
        <v/>
      </c>
      <c r="C8">
        <f>SUM('01_Data'!$B8:$AW8)</f>
        <v/>
      </c>
      <c r="D8">
        <f>COUNT('01_Data'!$B8:$AW8)</f>
        <v/>
      </c>
      <c r="E8" s="5">
        <f>MEDIAN(-6,LN((C8+0.3)/(D8-C8+0.3)),6)</f>
        <v/>
      </c>
      <c r="F8" s="5">
        <f>SUMPRODUCT(('01_Data'!$B8:$AW8&lt;&gt;"")*(1/(1+EXP(-(E8-'03_Lap_b'!$B$5:$AW$5)))))</f>
        <v/>
      </c>
      <c r="G8" s="5">
        <f>SUMPRODUCT(('01_Data'!$B8:$AW8&lt;&gt;"")*(1/(1+EXP(-(E8-'03_Lap_b'!$B$5:$AW$5))))^2)</f>
        <v/>
      </c>
      <c r="H8" s="5">
        <f>MEDIAN(-6,E8+(C8-F8)/MAX(F8-G8,0.000000001),6)</f>
        <v/>
      </c>
      <c r="I8" s="5">
        <f>SUMPRODUCT(('01_Data'!$B8:$AW8&lt;&gt;"")*(1/(1+EXP(-(H8-'03_Lap_b'!$B$10:$AW$10)))))</f>
        <v/>
      </c>
      <c r="J8" s="5">
        <f>SUMPRODUCT(('01_Data'!$B8:$AW8&lt;&gt;"")*(1/(1+EXP(-(H8-'03_Lap_b'!$B$10:$AW$10))))^2)</f>
        <v/>
      </c>
      <c r="K8" s="5">
        <f>MEDIAN(-6,H8+(C8-I8)/MAX(I8-J8,0.000000001),6)</f>
        <v/>
      </c>
      <c r="L8" s="5">
        <f>SUMPRODUCT(('01_Data'!$B8:$AW8&lt;&gt;"")*(1/(1+EXP(-(K8-'03_Lap_b'!$B$15:$AW$15)))))</f>
        <v/>
      </c>
      <c r="M8" s="5">
        <f>SUMPRODUCT(('01_Data'!$B8:$AW8&lt;&gt;"")*(1/(1+EXP(-(K8-'03_Lap_b'!$B$15:$AW$15))))^2)</f>
        <v/>
      </c>
      <c r="N8" s="5">
        <f>MEDIAN(-6,K8+(C8-L8)/MAX(L8-M8,0.000000001),6)</f>
        <v/>
      </c>
      <c r="O8" s="5">
        <f>SUMPRODUCT(('01_Data'!$B8:$AW8&lt;&gt;"")*(1/(1+EXP(-(N8-'03_Lap_b'!$B$20:$AW$20)))))</f>
        <v/>
      </c>
      <c r="P8" s="5">
        <f>SUMPRODUCT(('01_Data'!$B8:$AW8&lt;&gt;"")*(1/(1+EXP(-(N8-'03_Lap_b'!$B$20:$AW$20))))^2)</f>
        <v/>
      </c>
      <c r="Q8" s="5">
        <f>MEDIAN(-6,N8+(C8-O8)/MAX(O8-P8,0.000000001),6)</f>
        <v/>
      </c>
      <c r="R8" s="5">
        <f>SUMPRODUCT(('01_Data'!$B8:$AW8&lt;&gt;"")*(1/(1+EXP(-(Q8-'03_Lap_b'!$B$25:$AW$25)))))</f>
        <v/>
      </c>
      <c r="S8" s="5">
        <f>SUMPRODUCT(('01_Data'!$B8:$AW8&lt;&gt;"")*(1/(1+EXP(-(Q8-'03_Lap_b'!$B$25:$AW$25))))^2)</f>
        <v/>
      </c>
      <c r="T8" s="5">
        <f>MEDIAN(-6,Q8+(C8-R8)/MAX(R8-S8,0.000000001),6)</f>
        <v/>
      </c>
      <c r="U8" s="5">
        <f>SUMPRODUCT(('01_Data'!$B8:$AW8&lt;&gt;"")*(1/(1+EXP(-(T8-'03_Lap_b'!$B$30:$AW$30)))))</f>
        <v/>
      </c>
      <c r="V8" s="5">
        <f>SUMPRODUCT(('01_Data'!$B8:$AW8&lt;&gt;"")*(1/(1+EXP(-(T8-'03_Lap_b'!$B$30:$AW$30))))^2)</f>
        <v/>
      </c>
      <c r="W8" s="5">
        <f>MEDIAN(-6,T8+(C8-U8)/MAX(U8-V8,0.000000001),6)</f>
        <v/>
      </c>
      <c r="X8" s="5">
        <f>SUMPRODUCT(('01_Data'!$B8:$AW8&lt;&gt;"")*(1/(1+EXP(-(W8-'03_Lap_b'!$B$35:$AW$35)))))</f>
        <v/>
      </c>
      <c r="Y8" s="5">
        <f>SUMPRODUCT(('01_Data'!$B8:$AW8&lt;&gt;"")*(1/(1+EXP(-(W8-'03_Lap_b'!$B$35:$AW$35))))^2)</f>
        <v/>
      </c>
      <c r="Z8" s="5">
        <f>MEDIAN(-6,W8+(C8-X8)/MAX(X8-Y8,0.000000001),6)</f>
        <v/>
      </c>
      <c r="AA8" s="5">
        <f>SUMPRODUCT(('01_Data'!$B8:$AW8&lt;&gt;"")*(1/(1+EXP(-(Z8-'03_Lap_b'!$B$40:$AW$40)))))</f>
        <v/>
      </c>
      <c r="AB8" s="5">
        <f>SUMPRODUCT(('01_Data'!$B8:$AW8&lt;&gt;"")*(1/(1+EXP(-(Z8-'03_Lap_b'!$B$40:$AW$40))))^2)</f>
        <v/>
      </c>
      <c r="AC8" s="5">
        <f>MEDIAN(-6,Z8+(C8-AA8)/MAX(AA8-AB8,0.000000001),6)</f>
        <v/>
      </c>
    </row>
    <row r="9">
      <c r="A9" t="n">
        <v>8</v>
      </c>
      <c r="B9">
        <f>'01_Data'!A9</f>
        <v/>
      </c>
      <c r="C9">
        <f>SUM('01_Data'!$B9:$AW9)</f>
        <v/>
      </c>
      <c r="D9">
        <f>COUNT('01_Data'!$B9:$AW9)</f>
        <v/>
      </c>
      <c r="E9" s="5">
        <f>MEDIAN(-6,LN((C9+0.3)/(D9-C9+0.3)),6)</f>
        <v/>
      </c>
      <c r="F9" s="5">
        <f>SUMPRODUCT(('01_Data'!$B9:$AW9&lt;&gt;"")*(1/(1+EXP(-(E9-'03_Lap_b'!$B$5:$AW$5)))))</f>
        <v/>
      </c>
      <c r="G9" s="5">
        <f>SUMPRODUCT(('01_Data'!$B9:$AW9&lt;&gt;"")*(1/(1+EXP(-(E9-'03_Lap_b'!$B$5:$AW$5))))^2)</f>
        <v/>
      </c>
      <c r="H9" s="5">
        <f>MEDIAN(-6,E9+(C9-F9)/MAX(F9-G9,0.000000001),6)</f>
        <v/>
      </c>
      <c r="I9" s="5">
        <f>SUMPRODUCT(('01_Data'!$B9:$AW9&lt;&gt;"")*(1/(1+EXP(-(H9-'03_Lap_b'!$B$10:$AW$10)))))</f>
        <v/>
      </c>
      <c r="J9" s="5">
        <f>SUMPRODUCT(('01_Data'!$B9:$AW9&lt;&gt;"")*(1/(1+EXP(-(H9-'03_Lap_b'!$B$10:$AW$10))))^2)</f>
        <v/>
      </c>
      <c r="K9" s="5">
        <f>MEDIAN(-6,H9+(C9-I9)/MAX(I9-J9,0.000000001),6)</f>
        <v/>
      </c>
      <c r="L9" s="5">
        <f>SUMPRODUCT(('01_Data'!$B9:$AW9&lt;&gt;"")*(1/(1+EXP(-(K9-'03_Lap_b'!$B$15:$AW$15)))))</f>
        <v/>
      </c>
      <c r="M9" s="5">
        <f>SUMPRODUCT(('01_Data'!$B9:$AW9&lt;&gt;"")*(1/(1+EXP(-(K9-'03_Lap_b'!$B$15:$AW$15))))^2)</f>
        <v/>
      </c>
      <c r="N9" s="5">
        <f>MEDIAN(-6,K9+(C9-L9)/MAX(L9-M9,0.000000001),6)</f>
        <v/>
      </c>
      <c r="O9" s="5">
        <f>SUMPRODUCT(('01_Data'!$B9:$AW9&lt;&gt;"")*(1/(1+EXP(-(N9-'03_Lap_b'!$B$20:$AW$20)))))</f>
        <v/>
      </c>
      <c r="P9" s="5">
        <f>SUMPRODUCT(('01_Data'!$B9:$AW9&lt;&gt;"")*(1/(1+EXP(-(N9-'03_Lap_b'!$B$20:$AW$20))))^2)</f>
        <v/>
      </c>
      <c r="Q9" s="5">
        <f>MEDIAN(-6,N9+(C9-O9)/MAX(O9-P9,0.000000001),6)</f>
        <v/>
      </c>
      <c r="R9" s="5">
        <f>SUMPRODUCT(('01_Data'!$B9:$AW9&lt;&gt;"")*(1/(1+EXP(-(Q9-'03_Lap_b'!$B$25:$AW$25)))))</f>
        <v/>
      </c>
      <c r="S9" s="5">
        <f>SUMPRODUCT(('01_Data'!$B9:$AW9&lt;&gt;"")*(1/(1+EXP(-(Q9-'03_Lap_b'!$B$25:$AW$25))))^2)</f>
        <v/>
      </c>
      <c r="T9" s="5">
        <f>MEDIAN(-6,Q9+(C9-R9)/MAX(R9-S9,0.000000001),6)</f>
        <v/>
      </c>
      <c r="U9" s="5">
        <f>SUMPRODUCT(('01_Data'!$B9:$AW9&lt;&gt;"")*(1/(1+EXP(-(T9-'03_Lap_b'!$B$30:$AW$30)))))</f>
        <v/>
      </c>
      <c r="V9" s="5">
        <f>SUMPRODUCT(('01_Data'!$B9:$AW9&lt;&gt;"")*(1/(1+EXP(-(T9-'03_Lap_b'!$B$30:$AW$30))))^2)</f>
        <v/>
      </c>
      <c r="W9" s="5">
        <f>MEDIAN(-6,T9+(C9-U9)/MAX(U9-V9,0.000000001),6)</f>
        <v/>
      </c>
      <c r="X9" s="5">
        <f>SUMPRODUCT(('01_Data'!$B9:$AW9&lt;&gt;"")*(1/(1+EXP(-(W9-'03_Lap_b'!$B$35:$AW$35)))))</f>
        <v/>
      </c>
      <c r="Y9" s="5">
        <f>SUMPRODUCT(('01_Data'!$B9:$AW9&lt;&gt;"")*(1/(1+EXP(-(W9-'03_Lap_b'!$B$35:$AW$35))))^2)</f>
        <v/>
      </c>
      <c r="Z9" s="5">
        <f>MEDIAN(-6,W9+(C9-X9)/MAX(X9-Y9,0.000000001),6)</f>
        <v/>
      </c>
      <c r="AA9" s="5">
        <f>SUMPRODUCT(('01_Data'!$B9:$AW9&lt;&gt;"")*(1/(1+EXP(-(Z9-'03_Lap_b'!$B$40:$AW$40)))))</f>
        <v/>
      </c>
      <c r="AB9" s="5">
        <f>SUMPRODUCT(('01_Data'!$B9:$AW9&lt;&gt;"")*(1/(1+EXP(-(Z9-'03_Lap_b'!$B$40:$AW$40))))^2)</f>
        <v/>
      </c>
      <c r="AC9" s="5">
        <f>MEDIAN(-6,Z9+(C9-AA9)/MAX(AA9-AB9,0.000000001),6)</f>
        <v/>
      </c>
    </row>
    <row r="10">
      <c r="A10" t="n">
        <v>9</v>
      </c>
      <c r="B10">
        <f>'01_Data'!A10</f>
        <v/>
      </c>
      <c r="C10">
        <f>SUM('01_Data'!$B10:$AW10)</f>
        <v/>
      </c>
      <c r="D10">
        <f>COUNT('01_Data'!$B10:$AW10)</f>
        <v/>
      </c>
      <c r="E10" s="5">
        <f>MEDIAN(-6,LN((C10+0.3)/(D10-C10+0.3)),6)</f>
        <v/>
      </c>
      <c r="F10" s="5">
        <f>SUMPRODUCT(('01_Data'!$B10:$AW10&lt;&gt;"")*(1/(1+EXP(-(E10-'03_Lap_b'!$B$5:$AW$5)))))</f>
        <v/>
      </c>
      <c r="G10" s="5">
        <f>SUMPRODUCT(('01_Data'!$B10:$AW10&lt;&gt;"")*(1/(1+EXP(-(E10-'03_Lap_b'!$B$5:$AW$5))))^2)</f>
        <v/>
      </c>
      <c r="H10" s="5">
        <f>MEDIAN(-6,E10+(C10-F10)/MAX(F10-G10,0.000000001),6)</f>
        <v/>
      </c>
      <c r="I10" s="5">
        <f>SUMPRODUCT(('01_Data'!$B10:$AW10&lt;&gt;"")*(1/(1+EXP(-(H10-'03_Lap_b'!$B$10:$AW$10)))))</f>
        <v/>
      </c>
      <c r="J10" s="5">
        <f>SUMPRODUCT(('01_Data'!$B10:$AW10&lt;&gt;"")*(1/(1+EXP(-(H10-'03_Lap_b'!$B$10:$AW$10))))^2)</f>
        <v/>
      </c>
      <c r="K10" s="5">
        <f>MEDIAN(-6,H10+(C10-I10)/MAX(I10-J10,0.000000001),6)</f>
        <v/>
      </c>
      <c r="L10" s="5">
        <f>SUMPRODUCT(('01_Data'!$B10:$AW10&lt;&gt;"")*(1/(1+EXP(-(K10-'03_Lap_b'!$B$15:$AW$15)))))</f>
        <v/>
      </c>
      <c r="M10" s="5">
        <f>SUMPRODUCT(('01_Data'!$B10:$AW10&lt;&gt;"")*(1/(1+EXP(-(K10-'03_Lap_b'!$B$15:$AW$15))))^2)</f>
        <v/>
      </c>
      <c r="N10" s="5">
        <f>MEDIAN(-6,K10+(C10-L10)/MAX(L10-M10,0.000000001),6)</f>
        <v/>
      </c>
      <c r="O10" s="5">
        <f>SUMPRODUCT(('01_Data'!$B10:$AW10&lt;&gt;"")*(1/(1+EXP(-(N10-'03_Lap_b'!$B$20:$AW$20)))))</f>
        <v/>
      </c>
      <c r="P10" s="5">
        <f>SUMPRODUCT(('01_Data'!$B10:$AW10&lt;&gt;"")*(1/(1+EXP(-(N10-'03_Lap_b'!$B$20:$AW$20))))^2)</f>
        <v/>
      </c>
      <c r="Q10" s="5">
        <f>MEDIAN(-6,N10+(C10-O10)/MAX(O10-P10,0.000000001),6)</f>
        <v/>
      </c>
      <c r="R10" s="5">
        <f>SUMPRODUCT(('01_Data'!$B10:$AW10&lt;&gt;"")*(1/(1+EXP(-(Q10-'03_Lap_b'!$B$25:$AW$25)))))</f>
        <v/>
      </c>
      <c r="S10" s="5">
        <f>SUMPRODUCT(('01_Data'!$B10:$AW10&lt;&gt;"")*(1/(1+EXP(-(Q10-'03_Lap_b'!$B$25:$AW$25))))^2)</f>
        <v/>
      </c>
      <c r="T10" s="5">
        <f>MEDIAN(-6,Q10+(C10-R10)/MAX(R10-S10,0.000000001),6)</f>
        <v/>
      </c>
      <c r="U10" s="5">
        <f>SUMPRODUCT(('01_Data'!$B10:$AW10&lt;&gt;"")*(1/(1+EXP(-(T10-'03_Lap_b'!$B$30:$AW$30)))))</f>
        <v/>
      </c>
      <c r="V10" s="5">
        <f>SUMPRODUCT(('01_Data'!$B10:$AW10&lt;&gt;"")*(1/(1+EXP(-(T10-'03_Lap_b'!$B$30:$AW$30))))^2)</f>
        <v/>
      </c>
      <c r="W10" s="5">
        <f>MEDIAN(-6,T10+(C10-U10)/MAX(U10-V10,0.000000001),6)</f>
        <v/>
      </c>
      <c r="X10" s="5">
        <f>SUMPRODUCT(('01_Data'!$B10:$AW10&lt;&gt;"")*(1/(1+EXP(-(W10-'03_Lap_b'!$B$35:$AW$35)))))</f>
        <v/>
      </c>
      <c r="Y10" s="5">
        <f>SUMPRODUCT(('01_Data'!$B10:$AW10&lt;&gt;"")*(1/(1+EXP(-(W10-'03_Lap_b'!$B$35:$AW$35))))^2)</f>
        <v/>
      </c>
      <c r="Z10" s="5">
        <f>MEDIAN(-6,W10+(C10-X10)/MAX(X10-Y10,0.000000001),6)</f>
        <v/>
      </c>
      <c r="AA10" s="5">
        <f>SUMPRODUCT(('01_Data'!$B10:$AW10&lt;&gt;"")*(1/(1+EXP(-(Z10-'03_Lap_b'!$B$40:$AW$40)))))</f>
        <v/>
      </c>
      <c r="AB10" s="5">
        <f>SUMPRODUCT(('01_Data'!$B10:$AW10&lt;&gt;"")*(1/(1+EXP(-(Z10-'03_Lap_b'!$B$40:$AW$40))))^2)</f>
        <v/>
      </c>
      <c r="AC10" s="5">
        <f>MEDIAN(-6,Z10+(C10-AA10)/MAX(AA10-AB10,0.000000001),6)</f>
        <v/>
      </c>
    </row>
    <row r="11">
      <c r="A11" t="n">
        <v>10</v>
      </c>
      <c r="B11">
        <f>'01_Data'!A11</f>
        <v/>
      </c>
      <c r="C11">
        <f>SUM('01_Data'!$B11:$AW11)</f>
        <v/>
      </c>
      <c r="D11">
        <f>COUNT('01_Data'!$B11:$AW11)</f>
        <v/>
      </c>
      <c r="E11" s="5">
        <f>MEDIAN(-6,LN((C11+0.3)/(D11-C11+0.3)),6)</f>
        <v/>
      </c>
      <c r="F11" s="5">
        <f>SUMPRODUCT(('01_Data'!$B11:$AW11&lt;&gt;"")*(1/(1+EXP(-(E11-'03_Lap_b'!$B$5:$AW$5)))))</f>
        <v/>
      </c>
      <c r="G11" s="5">
        <f>SUMPRODUCT(('01_Data'!$B11:$AW11&lt;&gt;"")*(1/(1+EXP(-(E11-'03_Lap_b'!$B$5:$AW$5))))^2)</f>
        <v/>
      </c>
      <c r="H11" s="5">
        <f>MEDIAN(-6,E11+(C11-F11)/MAX(F11-G11,0.000000001),6)</f>
        <v/>
      </c>
      <c r="I11" s="5">
        <f>SUMPRODUCT(('01_Data'!$B11:$AW11&lt;&gt;"")*(1/(1+EXP(-(H11-'03_Lap_b'!$B$10:$AW$10)))))</f>
        <v/>
      </c>
      <c r="J11" s="5">
        <f>SUMPRODUCT(('01_Data'!$B11:$AW11&lt;&gt;"")*(1/(1+EXP(-(H11-'03_Lap_b'!$B$10:$AW$10))))^2)</f>
        <v/>
      </c>
      <c r="K11" s="5">
        <f>MEDIAN(-6,H11+(C11-I11)/MAX(I11-J11,0.000000001),6)</f>
        <v/>
      </c>
      <c r="L11" s="5">
        <f>SUMPRODUCT(('01_Data'!$B11:$AW11&lt;&gt;"")*(1/(1+EXP(-(K11-'03_Lap_b'!$B$15:$AW$15)))))</f>
        <v/>
      </c>
      <c r="M11" s="5">
        <f>SUMPRODUCT(('01_Data'!$B11:$AW11&lt;&gt;"")*(1/(1+EXP(-(K11-'03_Lap_b'!$B$15:$AW$15))))^2)</f>
        <v/>
      </c>
      <c r="N11" s="5">
        <f>MEDIAN(-6,K11+(C11-L11)/MAX(L11-M11,0.000000001),6)</f>
        <v/>
      </c>
      <c r="O11" s="5">
        <f>SUMPRODUCT(('01_Data'!$B11:$AW11&lt;&gt;"")*(1/(1+EXP(-(N11-'03_Lap_b'!$B$20:$AW$20)))))</f>
        <v/>
      </c>
      <c r="P11" s="5">
        <f>SUMPRODUCT(('01_Data'!$B11:$AW11&lt;&gt;"")*(1/(1+EXP(-(N11-'03_Lap_b'!$B$20:$AW$20))))^2)</f>
        <v/>
      </c>
      <c r="Q11" s="5">
        <f>MEDIAN(-6,N11+(C11-O11)/MAX(O11-P11,0.000000001),6)</f>
        <v/>
      </c>
      <c r="R11" s="5">
        <f>SUMPRODUCT(('01_Data'!$B11:$AW11&lt;&gt;"")*(1/(1+EXP(-(Q11-'03_Lap_b'!$B$25:$AW$25)))))</f>
        <v/>
      </c>
      <c r="S11" s="5">
        <f>SUMPRODUCT(('01_Data'!$B11:$AW11&lt;&gt;"")*(1/(1+EXP(-(Q11-'03_Lap_b'!$B$25:$AW$25))))^2)</f>
        <v/>
      </c>
      <c r="T11" s="5">
        <f>MEDIAN(-6,Q11+(C11-R11)/MAX(R11-S11,0.000000001),6)</f>
        <v/>
      </c>
      <c r="U11" s="5">
        <f>SUMPRODUCT(('01_Data'!$B11:$AW11&lt;&gt;"")*(1/(1+EXP(-(T11-'03_Lap_b'!$B$30:$AW$30)))))</f>
        <v/>
      </c>
      <c r="V11" s="5">
        <f>SUMPRODUCT(('01_Data'!$B11:$AW11&lt;&gt;"")*(1/(1+EXP(-(T11-'03_Lap_b'!$B$30:$AW$30))))^2)</f>
        <v/>
      </c>
      <c r="W11" s="5">
        <f>MEDIAN(-6,T11+(C11-U11)/MAX(U11-V11,0.000000001),6)</f>
        <v/>
      </c>
      <c r="X11" s="5">
        <f>SUMPRODUCT(('01_Data'!$B11:$AW11&lt;&gt;"")*(1/(1+EXP(-(W11-'03_Lap_b'!$B$35:$AW$35)))))</f>
        <v/>
      </c>
      <c r="Y11" s="5">
        <f>SUMPRODUCT(('01_Data'!$B11:$AW11&lt;&gt;"")*(1/(1+EXP(-(W11-'03_Lap_b'!$B$35:$AW$35))))^2)</f>
        <v/>
      </c>
      <c r="Z11" s="5">
        <f>MEDIAN(-6,W11+(C11-X11)/MAX(X11-Y11,0.000000001),6)</f>
        <v/>
      </c>
      <c r="AA11" s="5">
        <f>SUMPRODUCT(('01_Data'!$B11:$AW11&lt;&gt;"")*(1/(1+EXP(-(Z11-'03_Lap_b'!$B$40:$AW$40)))))</f>
        <v/>
      </c>
      <c r="AB11" s="5">
        <f>SUMPRODUCT(('01_Data'!$B11:$AW11&lt;&gt;"")*(1/(1+EXP(-(Z11-'03_Lap_b'!$B$40:$AW$40))))^2)</f>
        <v/>
      </c>
      <c r="AC11" s="5">
        <f>MEDIAN(-6,Z11+(C11-AA11)/MAX(AA11-AB11,0.000000001),6)</f>
        <v/>
      </c>
    </row>
    <row r="12">
      <c r="A12" t="n">
        <v>11</v>
      </c>
      <c r="B12">
        <f>'01_Data'!A12</f>
        <v/>
      </c>
      <c r="C12">
        <f>SUM('01_Data'!$B12:$AW12)</f>
        <v/>
      </c>
      <c r="D12">
        <f>COUNT('01_Data'!$B12:$AW12)</f>
        <v/>
      </c>
      <c r="E12" s="5">
        <f>MEDIAN(-6,LN((C12+0.3)/(D12-C12+0.3)),6)</f>
        <v/>
      </c>
      <c r="F12" s="5">
        <f>SUMPRODUCT(('01_Data'!$B12:$AW12&lt;&gt;"")*(1/(1+EXP(-(E12-'03_Lap_b'!$B$5:$AW$5)))))</f>
        <v/>
      </c>
      <c r="G12" s="5">
        <f>SUMPRODUCT(('01_Data'!$B12:$AW12&lt;&gt;"")*(1/(1+EXP(-(E12-'03_Lap_b'!$B$5:$AW$5))))^2)</f>
        <v/>
      </c>
      <c r="H12" s="5">
        <f>MEDIAN(-6,E12+(C12-F12)/MAX(F12-G12,0.000000001),6)</f>
        <v/>
      </c>
      <c r="I12" s="5">
        <f>SUMPRODUCT(('01_Data'!$B12:$AW12&lt;&gt;"")*(1/(1+EXP(-(H12-'03_Lap_b'!$B$10:$AW$10)))))</f>
        <v/>
      </c>
      <c r="J12" s="5">
        <f>SUMPRODUCT(('01_Data'!$B12:$AW12&lt;&gt;"")*(1/(1+EXP(-(H12-'03_Lap_b'!$B$10:$AW$10))))^2)</f>
        <v/>
      </c>
      <c r="K12" s="5">
        <f>MEDIAN(-6,H12+(C12-I12)/MAX(I12-J12,0.000000001),6)</f>
        <v/>
      </c>
      <c r="L12" s="5">
        <f>SUMPRODUCT(('01_Data'!$B12:$AW12&lt;&gt;"")*(1/(1+EXP(-(K12-'03_Lap_b'!$B$15:$AW$15)))))</f>
        <v/>
      </c>
      <c r="M12" s="5">
        <f>SUMPRODUCT(('01_Data'!$B12:$AW12&lt;&gt;"")*(1/(1+EXP(-(K12-'03_Lap_b'!$B$15:$AW$15))))^2)</f>
        <v/>
      </c>
      <c r="N12" s="5">
        <f>MEDIAN(-6,K12+(C12-L12)/MAX(L12-M12,0.000000001),6)</f>
        <v/>
      </c>
      <c r="O12" s="5">
        <f>SUMPRODUCT(('01_Data'!$B12:$AW12&lt;&gt;"")*(1/(1+EXP(-(N12-'03_Lap_b'!$B$20:$AW$20)))))</f>
        <v/>
      </c>
      <c r="P12" s="5">
        <f>SUMPRODUCT(('01_Data'!$B12:$AW12&lt;&gt;"")*(1/(1+EXP(-(N12-'03_Lap_b'!$B$20:$AW$20))))^2)</f>
        <v/>
      </c>
      <c r="Q12" s="5">
        <f>MEDIAN(-6,N12+(C12-O12)/MAX(O12-P12,0.000000001),6)</f>
        <v/>
      </c>
      <c r="R12" s="5">
        <f>SUMPRODUCT(('01_Data'!$B12:$AW12&lt;&gt;"")*(1/(1+EXP(-(Q12-'03_Lap_b'!$B$25:$AW$25)))))</f>
        <v/>
      </c>
      <c r="S12" s="5">
        <f>SUMPRODUCT(('01_Data'!$B12:$AW12&lt;&gt;"")*(1/(1+EXP(-(Q12-'03_Lap_b'!$B$25:$AW$25))))^2)</f>
        <v/>
      </c>
      <c r="T12" s="5">
        <f>MEDIAN(-6,Q12+(C12-R12)/MAX(R12-S12,0.000000001),6)</f>
        <v/>
      </c>
      <c r="U12" s="5">
        <f>SUMPRODUCT(('01_Data'!$B12:$AW12&lt;&gt;"")*(1/(1+EXP(-(T12-'03_Lap_b'!$B$30:$AW$30)))))</f>
        <v/>
      </c>
      <c r="V12" s="5">
        <f>SUMPRODUCT(('01_Data'!$B12:$AW12&lt;&gt;"")*(1/(1+EXP(-(T12-'03_Lap_b'!$B$30:$AW$30))))^2)</f>
        <v/>
      </c>
      <c r="W12" s="5">
        <f>MEDIAN(-6,T12+(C12-U12)/MAX(U12-V12,0.000000001),6)</f>
        <v/>
      </c>
      <c r="X12" s="5">
        <f>SUMPRODUCT(('01_Data'!$B12:$AW12&lt;&gt;"")*(1/(1+EXP(-(W12-'03_Lap_b'!$B$35:$AW$35)))))</f>
        <v/>
      </c>
      <c r="Y12" s="5">
        <f>SUMPRODUCT(('01_Data'!$B12:$AW12&lt;&gt;"")*(1/(1+EXP(-(W12-'03_Lap_b'!$B$35:$AW$35))))^2)</f>
        <v/>
      </c>
      <c r="Z12" s="5">
        <f>MEDIAN(-6,W12+(C12-X12)/MAX(X12-Y12,0.000000001),6)</f>
        <v/>
      </c>
      <c r="AA12" s="5">
        <f>SUMPRODUCT(('01_Data'!$B12:$AW12&lt;&gt;"")*(1/(1+EXP(-(Z12-'03_Lap_b'!$B$40:$AW$40)))))</f>
        <v/>
      </c>
      <c r="AB12" s="5">
        <f>SUMPRODUCT(('01_Data'!$B12:$AW12&lt;&gt;"")*(1/(1+EXP(-(Z12-'03_Lap_b'!$B$40:$AW$40))))^2)</f>
        <v/>
      </c>
      <c r="AC12" s="5">
        <f>MEDIAN(-6,Z12+(C12-AA12)/MAX(AA12-AB12,0.000000001),6)</f>
        <v/>
      </c>
    </row>
    <row r="13">
      <c r="A13" t="n">
        <v>12</v>
      </c>
      <c r="B13">
        <f>'01_Data'!A13</f>
        <v/>
      </c>
      <c r="C13">
        <f>SUM('01_Data'!$B13:$AW13)</f>
        <v/>
      </c>
      <c r="D13">
        <f>COUNT('01_Data'!$B13:$AW13)</f>
        <v/>
      </c>
      <c r="E13" s="5">
        <f>MEDIAN(-6,LN((C13+0.3)/(D13-C13+0.3)),6)</f>
        <v/>
      </c>
      <c r="F13" s="5">
        <f>SUMPRODUCT(('01_Data'!$B13:$AW13&lt;&gt;"")*(1/(1+EXP(-(E13-'03_Lap_b'!$B$5:$AW$5)))))</f>
        <v/>
      </c>
      <c r="G13" s="5">
        <f>SUMPRODUCT(('01_Data'!$B13:$AW13&lt;&gt;"")*(1/(1+EXP(-(E13-'03_Lap_b'!$B$5:$AW$5))))^2)</f>
        <v/>
      </c>
      <c r="H13" s="5">
        <f>MEDIAN(-6,E13+(C13-F13)/MAX(F13-G13,0.000000001),6)</f>
        <v/>
      </c>
      <c r="I13" s="5">
        <f>SUMPRODUCT(('01_Data'!$B13:$AW13&lt;&gt;"")*(1/(1+EXP(-(H13-'03_Lap_b'!$B$10:$AW$10)))))</f>
        <v/>
      </c>
      <c r="J13" s="5">
        <f>SUMPRODUCT(('01_Data'!$B13:$AW13&lt;&gt;"")*(1/(1+EXP(-(H13-'03_Lap_b'!$B$10:$AW$10))))^2)</f>
        <v/>
      </c>
      <c r="K13" s="5">
        <f>MEDIAN(-6,H13+(C13-I13)/MAX(I13-J13,0.000000001),6)</f>
        <v/>
      </c>
      <c r="L13" s="5">
        <f>SUMPRODUCT(('01_Data'!$B13:$AW13&lt;&gt;"")*(1/(1+EXP(-(K13-'03_Lap_b'!$B$15:$AW$15)))))</f>
        <v/>
      </c>
      <c r="M13" s="5">
        <f>SUMPRODUCT(('01_Data'!$B13:$AW13&lt;&gt;"")*(1/(1+EXP(-(K13-'03_Lap_b'!$B$15:$AW$15))))^2)</f>
        <v/>
      </c>
      <c r="N13" s="5">
        <f>MEDIAN(-6,K13+(C13-L13)/MAX(L13-M13,0.000000001),6)</f>
        <v/>
      </c>
      <c r="O13" s="5">
        <f>SUMPRODUCT(('01_Data'!$B13:$AW13&lt;&gt;"")*(1/(1+EXP(-(N13-'03_Lap_b'!$B$20:$AW$20)))))</f>
        <v/>
      </c>
      <c r="P13" s="5">
        <f>SUMPRODUCT(('01_Data'!$B13:$AW13&lt;&gt;"")*(1/(1+EXP(-(N13-'03_Lap_b'!$B$20:$AW$20))))^2)</f>
        <v/>
      </c>
      <c r="Q13" s="5">
        <f>MEDIAN(-6,N13+(C13-O13)/MAX(O13-P13,0.000000001),6)</f>
        <v/>
      </c>
      <c r="R13" s="5">
        <f>SUMPRODUCT(('01_Data'!$B13:$AW13&lt;&gt;"")*(1/(1+EXP(-(Q13-'03_Lap_b'!$B$25:$AW$25)))))</f>
        <v/>
      </c>
      <c r="S13" s="5">
        <f>SUMPRODUCT(('01_Data'!$B13:$AW13&lt;&gt;"")*(1/(1+EXP(-(Q13-'03_Lap_b'!$B$25:$AW$25))))^2)</f>
        <v/>
      </c>
      <c r="T13" s="5">
        <f>MEDIAN(-6,Q13+(C13-R13)/MAX(R13-S13,0.000000001),6)</f>
        <v/>
      </c>
      <c r="U13" s="5">
        <f>SUMPRODUCT(('01_Data'!$B13:$AW13&lt;&gt;"")*(1/(1+EXP(-(T13-'03_Lap_b'!$B$30:$AW$30)))))</f>
        <v/>
      </c>
      <c r="V13" s="5">
        <f>SUMPRODUCT(('01_Data'!$B13:$AW13&lt;&gt;"")*(1/(1+EXP(-(T13-'03_Lap_b'!$B$30:$AW$30))))^2)</f>
        <v/>
      </c>
      <c r="W13" s="5">
        <f>MEDIAN(-6,T13+(C13-U13)/MAX(U13-V13,0.000000001),6)</f>
        <v/>
      </c>
      <c r="X13" s="5">
        <f>SUMPRODUCT(('01_Data'!$B13:$AW13&lt;&gt;"")*(1/(1+EXP(-(W13-'03_Lap_b'!$B$35:$AW$35)))))</f>
        <v/>
      </c>
      <c r="Y13" s="5">
        <f>SUMPRODUCT(('01_Data'!$B13:$AW13&lt;&gt;"")*(1/(1+EXP(-(W13-'03_Lap_b'!$B$35:$AW$35))))^2)</f>
        <v/>
      </c>
      <c r="Z13" s="5">
        <f>MEDIAN(-6,W13+(C13-X13)/MAX(X13-Y13,0.000000001),6)</f>
        <v/>
      </c>
      <c r="AA13" s="5">
        <f>SUMPRODUCT(('01_Data'!$B13:$AW13&lt;&gt;"")*(1/(1+EXP(-(Z13-'03_Lap_b'!$B$40:$AW$40)))))</f>
        <v/>
      </c>
      <c r="AB13" s="5">
        <f>SUMPRODUCT(('01_Data'!$B13:$AW13&lt;&gt;"")*(1/(1+EXP(-(Z13-'03_Lap_b'!$B$40:$AW$40))))^2)</f>
        <v/>
      </c>
      <c r="AC13" s="5">
        <f>MEDIAN(-6,Z13+(C13-AA13)/MAX(AA13-AB13,0.000000001),6)</f>
        <v/>
      </c>
    </row>
    <row r="14">
      <c r="A14" t="n">
        <v>13</v>
      </c>
      <c r="B14">
        <f>'01_Data'!A14</f>
        <v/>
      </c>
      <c r="C14">
        <f>SUM('01_Data'!$B14:$AW14)</f>
        <v/>
      </c>
      <c r="D14">
        <f>COUNT('01_Data'!$B14:$AW14)</f>
        <v/>
      </c>
      <c r="E14" s="5">
        <f>MEDIAN(-6,LN((C14+0.3)/(D14-C14+0.3)),6)</f>
        <v/>
      </c>
      <c r="F14" s="5">
        <f>SUMPRODUCT(('01_Data'!$B14:$AW14&lt;&gt;"")*(1/(1+EXP(-(E14-'03_Lap_b'!$B$5:$AW$5)))))</f>
        <v/>
      </c>
      <c r="G14" s="5">
        <f>SUMPRODUCT(('01_Data'!$B14:$AW14&lt;&gt;"")*(1/(1+EXP(-(E14-'03_Lap_b'!$B$5:$AW$5))))^2)</f>
        <v/>
      </c>
      <c r="H14" s="5">
        <f>MEDIAN(-6,E14+(C14-F14)/MAX(F14-G14,0.000000001),6)</f>
        <v/>
      </c>
      <c r="I14" s="5">
        <f>SUMPRODUCT(('01_Data'!$B14:$AW14&lt;&gt;"")*(1/(1+EXP(-(H14-'03_Lap_b'!$B$10:$AW$10)))))</f>
        <v/>
      </c>
      <c r="J14" s="5">
        <f>SUMPRODUCT(('01_Data'!$B14:$AW14&lt;&gt;"")*(1/(1+EXP(-(H14-'03_Lap_b'!$B$10:$AW$10))))^2)</f>
        <v/>
      </c>
      <c r="K14" s="5">
        <f>MEDIAN(-6,H14+(C14-I14)/MAX(I14-J14,0.000000001),6)</f>
        <v/>
      </c>
      <c r="L14" s="5">
        <f>SUMPRODUCT(('01_Data'!$B14:$AW14&lt;&gt;"")*(1/(1+EXP(-(K14-'03_Lap_b'!$B$15:$AW$15)))))</f>
        <v/>
      </c>
      <c r="M14" s="5">
        <f>SUMPRODUCT(('01_Data'!$B14:$AW14&lt;&gt;"")*(1/(1+EXP(-(K14-'03_Lap_b'!$B$15:$AW$15))))^2)</f>
        <v/>
      </c>
      <c r="N14" s="5">
        <f>MEDIAN(-6,K14+(C14-L14)/MAX(L14-M14,0.000000001),6)</f>
        <v/>
      </c>
      <c r="O14" s="5">
        <f>SUMPRODUCT(('01_Data'!$B14:$AW14&lt;&gt;"")*(1/(1+EXP(-(N14-'03_Lap_b'!$B$20:$AW$20)))))</f>
        <v/>
      </c>
      <c r="P14" s="5">
        <f>SUMPRODUCT(('01_Data'!$B14:$AW14&lt;&gt;"")*(1/(1+EXP(-(N14-'03_Lap_b'!$B$20:$AW$20))))^2)</f>
        <v/>
      </c>
      <c r="Q14" s="5">
        <f>MEDIAN(-6,N14+(C14-O14)/MAX(O14-P14,0.000000001),6)</f>
        <v/>
      </c>
      <c r="R14" s="5">
        <f>SUMPRODUCT(('01_Data'!$B14:$AW14&lt;&gt;"")*(1/(1+EXP(-(Q14-'03_Lap_b'!$B$25:$AW$25)))))</f>
        <v/>
      </c>
      <c r="S14" s="5">
        <f>SUMPRODUCT(('01_Data'!$B14:$AW14&lt;&gt;"")*(1/(1+EXP(-(Q14-'03_Lap_b'!$B$25:$AW$25))))^2)</f>
        <v/>
      </c>
      <c r="T14" s="5">
        <f>MEDIAN(-6,Q14+(C14-R14)/MAX(R14-S14,0.000000001),6)</f>
        <v/>
      </c>
      <c r="U14" s="5">
        <f>SUMPRODUCT(('01_Data'!$B14:$AW14&lt;&gt;"")*(1/(1+EXP(-(T14-'03_Lap_b'!$B$30:$AW$30)))))</f>
        <v/>
      </c>
      <c r="V14" s="5">
        <f>SUMPRODUCT(('01_Data'!$B14:$AW14&lt;&gt;"")*(1/(1+EXP(-(T14-'03_Lap_b'!$B$30:$AW$30))))^2)</f>
        <v/>
      </c>
      <c r="W14" s="5">
        <f>MEDIAN(-6,T14+(C14-U14)/MAX(U14-V14,0.000000001),6)</f>
        <v/>
      </c>
      <c r="X14" s="5">
        <f>SUMPRODUCT(('01_Data'!$B14:$AW14&lt;&gt;"")*(1/(1+EXP(-(W14-'03_Lap_b'!$B$35:$AW$35)))))</f>
        <v/>
      </c>
      <c r="Y14" s="5">
        <f>SUMPRODUCT(('01_Data'!$B14:$AW14&lt;&gt;"")*(1/(1+EXP(-(W14-'03_Lap_b'!$B$35:$AW$35))))^2)</f>
        <v/>
      </c>
      <c r="Z14" s="5">
        <f>MEDIAN(-6,W14+(C14-X14)/MAX(X14-Y14,0.000000001),6)</f>
        <v/>
      </c>
      <c r="AA14" s="5">
        <f>SUMPRODUCT(('01_Data'!$B14:$AW14&lt;&gt;"")*(1/(1+EXP(-(Z14-'03_Lap_b'!$B$40:$AW$40)))))</f>
        <v/>
      </c>
      <c r="AB14" s="5">
        <f>SUMPRODUCT(('01_Data'!$B14:$AW14&lt;&gt;"")*(1/(1+EXP(-(Z14-'03_Lap_b'!$B$40:$AW$40))))^2)</f>
        <v/>
      </c>
      <c r="AC14" s="5">
        <f>MEDIAN(-6,Z14+(C14-AA14)/MAX(AA14-AB14,0.000000001),6)</f>
        <v/>
      </c>
    </row>
    <row r="15">
      <c r="A15" t="n">
        <v>14</v>
      </c>
      <c r="B15">
        <f>'01_Data'!A15</f>
        <v/>
      </c>
      <c r="C15">
        <f>SUM('01_Data'!$B15:$AW15)</f>
        <v/>
      </c>
      <c r="D15">
        <f>COUNT('01_Data'!$B15:$AW15)</f>
        <v/>
      </c>
      <c r="E15" s="5">
        <f>MEDIAN(-6,LN((C15+0.3)/(D15-C15+0.3)),6)</f>
        <v/>
      </c>
      <c r="F15" s="5">
        <f>SUMPRODUCT(('01_Data'!$B15:$AW15&lt;&gt;"")*(1/(1+EXP(-(E15-'03_Lap_b'!$B$5:$AW$5)))))</f>
        <v/>
      </c>
      <c r="G15" s="5">
        <f>SUMPRODUCT(('01_Data'!$B15:$AW15&lt;&gt;"")*(1/(1+EXP(-(E15-'03_Lap_b'!$B$5:$AW$5))))^2)</f>
        <v/>
      </c>
      <c r="H15" s="5">
        <f>MEDIAN(-6,E15+(C15-F15)/MAX(F15-G15,0.000000001),6)</f>
        <v/>
      </c>
      <c r="I15" s="5">
        <f>SUMPRODUCT(('01_Data'!$B15:$AW15&lt;&gt;"")*(1/(1+EXP(-(H15-'03_Lap_b'!$B$10:$AW$10)))))</f>
        <v/>
      </c>
      <c r="J15" s="5">
        <f>SUMPRODUCT(('01_Data'!$B15:$AW15&lt;&gt;"")*(1/(1+EXP(-(H15-'03_Lap_b'!$B$10:$AW$10))))^2)</f>
        <v/>
      </c>
      <c r="K15" s="5">
        <f>MEDIAN(-6,H15+(C15-I15)/MAX(I15-J15,0.000000001),6)</f>
        <v/>
      </c>
      <c r="L15" s="5">
        <f>SUMPRODUCT(('01_Data'!$B15:$AW15&lt;&gt;"")*(1/(1+EXP(-(K15-'03_Lap_b'!$B$15:$AW$15)))))</f>
        <v/>
      </c>
      <c r="M15" s="5">
        <f>SUMPRODUCT(('01_Data'!$B15:$AW15&lt;&gt;"")*(1/(1+EXP(-(K15-'03_Lap_b'!$B$15:$AW$15))))^2)</f>
        <v/>
      </c>
      <c r="N15" s="5">
        <f>MEDIAN(-6,K15+(C15-L15)/MAX(L15-M15,0.000000001),6)</f>
        <v/>
      </c>
      <c r="O15" s="5">
        <f>SUMPRODUCT(('01_Data'!$B15:$AW15&lt;&gt;"")*(1/(1+EXP(-(N15-'03_Lap_b'!$B$20:$AW$20)))))</f>
        <v/>
      </c>
      <c r="P15" s="5">
        <f>SUMPRODUCT(('01_Data'!$B15:$AW15&lt;&gt;"")*(1/(1+EXP(-(N15-'03_Lap_b'!$B$20:$AW$20))))^2)</f>
        <v/>
      </c>
      <c r="Q15" s="5">
        <f>MEDIAN(-6,N15+(C15-O15)/MAX(O15-P15,0.000000001),6)</f>
        <v/>
      </c>
      <c r="R15" s="5">
        <f>SUMPRODUCT(('01_Data'!$B15:$AW15&lt;&gt;"")*(1/(1+EXP(-(Q15-'03_Lap_b'!$B$25:$AW$25)))))</f>
        <v/>
      </c>
      <c r="S15" s="5">
        <f>SUMPRODUCT(('01_Data'!$B15:$AW15&lt;&gt;"")*(1/(1+EXP(-(Q15-'03_Lap_b'!$B$25:$AW$25))))^2)</f>
        <v/>
      </c>
      <c r="T15" s="5">
        <f>MEDIAN(-6,Q15+(C15-R15)/MAX(R15-S15,0.000000001),6)</f>
        <v/>
      </c>
      <c r="U15" s="5">
        <f>SUMPRODUCT(('01_Data'!$B15:$AW15&lt;&gt;"")*(1/(1+EXP(-(T15-'03_Lap_b'!$B$30:$AW$30)))))</f>
        <v/>
      </c>
      <c r="V15" s="5">
        <f>SUMPRODUCT(('01_Data'!$B15:$AW15&lt;&gt;"")*(1/(1+EXP(-(T15-'03_Lap_b'!$B$30:$AW$30))))^2)</f>
        <v/>
      </c>
      <c r="W15" s="5">
        <f>MEDIAN(-6,T15+(C15-U15)/MAX(U15-V15,0.000000001),6)</f>
        <v/>
      </c>
      <c r="X15" s="5">
        <f>SUMPRODUCT(('01_Data'!$B15:$AW15&lt;&gt;"")*(1/(1+EXP(-(W15-'03_Lap_b'!$B$35:$AW$35)))))</f>
        <v/>
      </c>
      <c r="Y15" s="5">
        <f>SUMPRODUCT(('01_Data'!$B15:$AW15&lt;&gt;"")*(1/(1+EXP(-(W15-'03_Lap_b'!$B$35:$AW$35))))^2)</f>
        <v/>
      </c>
      <c r="Z15" s="5">
        <f>MEDIAN(-6,W15+(C15-X15)/MAX(X15-Y15,0.000000001),6)</f>
        <v/>
      </c>
      <c r="AA15" s="5">
        <f>SUMPRODUCT(('01_Data'!$B15:$AW15&lt;&gt;"")*(1/(1+EXP(-(Z15-'03_Lap_b'!$B$40:$AW$40)))))</f>
        <v/>
      </c>
      <c r="AB15" s="5">
        <f>SUMPRODUCT(('01_Data'!$B15:$AW15&lt;&gt;"")*(1/(1+EXP(-(Z15-'03_Lap_b'!$B$40:$AW$40))))^2)</f>
        <v/>
      </c>
      <c r="AC15" s="5">
        <f>MEDIAN(-6,Z15+(C15-AA15)/MAX(AA15-AB15,0.000000001),6)</f>
        <v/>
      </c>
    </row>
    <row r="16">
      <c r="A16" t="n">
        <v>15</v>
      </c>
      <c r="B16">
        <f>'01_Data'!A16</f>
        <v/>
      </c>
      <c r="C16">
        <f>SUM('01_Data'!$B16:$AW16)</f>
        <v/>
      </c>
      <c r="D16">
        <f>COUNT('01_Data'!$B16:$AW16)</f>
        <v/>
      </c>
      <c r="E16" s="5">
        <f>MEDIAN(-6,LN((C16+0.3)/(D16-C16+0.3)),6)</f>
        <v/>
      </c>
      <c r="F16" s="5">
        <f>SUMPRODUCT(('01_Data'!$B16:$AW16&lt;&gt;"")*(1/(1+EXP(-(E16-'03_Lap_b'!$B$5:$AW$5)))))</f>
        <v/>
      </c>
      <c r="G16" s="5">
        <f>SUMPRODUCT(('01_Data'!$B16:$AW16&lt;&gt;"")*(1/(1+EXP(-(E16-'03_Lap_b'!$B$5:$AW$5))))^2)</f>
        <v/>
      </c>
      <c r="H16" s="5">
        <f>MEDIAN(-6,E16+(C16-F16)/MAX(F16-G16,0.000000001),6)</f>
        <v/>
      </c>
      <c r="I16" s="5">
        <f>SUMPRODUCT(('01_Data'!$B16:$AW16&lt;&gt;"")*(1/(1+EXP(-(H16-'03_Lap_b'!$B$10:$AW$10)))))</f>
        <v/>
      </c>
      <c r="J16" s="5">
        <f>SUMPRODUCT(('01_Data'!$B16:$AW16&lt;&gt;"")*(1/(1+EXP(-(H16-'03_Lap_b'!$B$10:$AW$10))))^2)</f>
        <v/>
      </c>
      <c r="K16" s="5">
        <f>MEDIAN(-6,H16+(C16-I16)/MAX(I16-J16,0.000000001),6)</f>
        <v/>
      </c>
      <c r="L16" s="5">
        <f>SUMPRODUCT(('01_Data'!$B16:$AW16&lt;&gt;"")*(1/(1+EXP(-(K16-'03_Lap_b'!$B$15:$AW$15)))))</f>
        <v/>
      </c>
      <c r="M16" s="5">
        <f>SUMPRODUCT(('01_Data'!$B16:$AW16&lt;&gt;"")*(1/(1+EXP(-(K16-'03_Lap_b'!$B$15:$AW$15))))^2)</f>
        <v/>
      </c>
      <c r="N16" s="5">
        <f>MEDIAN(-6,K16+(C16-L16)/MAX(L16-M16,0.000000001),6)</f>
        <v/>
      </c>
      <c r="O16" s="5">
        <f>SUMPRODUCT(('01_Data'!$B16:$AW16&lt;&gt;"")*(1/(1+EXP(-(N16-'03_Lap_b'!$B$20:$AW$20)))))</f>
        <v/>
      </c>
      <c r="P16" s="5">
        <f>SUMPRODUCT(('01_Data'!$B16:$AW16&lt;&gt;"")*(1/(1+EXP(-(N16-'03_Lap_b'!$B$20:$AW$20))))^2)</f>
        <v/>
      </c>
      <c r="Q16" s="5">
        <f>MEDIAN(-6,N16+(C16-O16)/MAX(O16-P16,0.000000001),6)</f>
        <v/>
      </c>
      <c r="R16" s="5">
        <f>SUMPRODUCT(('01_Data'!$B16:$AW16&lt;&gt;"")*(1/(1+EXP(-(Q16-'03_Lap_b'!$B$25:$AW$25)))))</f>
        <v/>
      </c>
      <c r="S16" s="5">
        <f>SUMPRODUCT(('01_Data'!$B16:$AW16&lt;&gt;"")*(1/(1+EXP(-(Q16-'03_Lap_b'!$B$25:$AW$25))))^2)</f>
        <v/>
      </c>
      <c r="T16" s="5">
        <f>MEDIAN(-6,Q16+(C16-R16)/MAX(R16-S16,0.000000001),6)</f>
        <v/>
      </c>
      <c r="U16" s="5">
        <f>SUMPRODUCT(('01_Data'!$B16:$AW16&lt;&gt;"")*(1/(1+EXP(-(T16-'03_Lap_b'!$B$30:$AW$30)))))</f>
        <v/>
      </c>
      <c r="V16" s="5">
        <f>SUMPRODUCT(('01_Data'!$B16:$AW16&lt;&gt;"")*(1/(1+EXP(-(T16-'03_Lap_b'!$B$30:$AW$30))))^2)</f>
        <v/>
      </c>
      <c r="W16" s="5">
        <f>MEDIAN(-6,T16+(C16-U16)/MAX(U16-V16,0.000000001),6)</f>
        <v/>
      </c>
      <c r="X16" s="5">
        <f>SUMPRODUCT(('01_Data'!$B16:$AW16&lt;&gt;"")*(1/(1+EXP(-(W16-'03_Lap_b'!$B$35:$AW$35)))))</f>
        <v/>
      </c>
      <c r="Y16" s="5">
        <f>SUMPRODUCT(('01_Data'!$B16:$AW16&lt;&gt;"")*(1/(1+EXP(-(W16-'03_Lap_b'!$B$35:$AW$35))))^2)</f>
        <v/>
      </c>
      <c r="Z16" s="5">
        <f>MEDIAN(-6,W16+(C16-X16)/MAX(X16-Y16,0.000000001),6)</f>
        <v/>
      </c>
      <c r="AA16" s="5">
        <f>SUMPRODUCT(('01_Data'!$B16:$AW16&lt;&gt;"")*(1/(1+EXP(-(Z16-'03_Lap_b'!$B$40:$AW$40)))))</f>
        <v/>
      </c>
      <c r="AB16" s="5">
        <f>SUMPRODUCT(('01_Data'!$B16:$AW16&lt;&gt;"")*(1/(1+EXP(-(Z16-'03_Lap_b'!$B$40:$AW$40))))^2)</f>
        <v/>
      </c>
      <c r="AC16" s="5">
        <f>MEDIAN(-6,Z16+(C16-AA16)/MAX(AA16-AB16,0.000000001),6)</f>
        <v/>
      </c>
    </row>
    <row r="17">
      <c r="A17" t="n">
        <v>16</v>
      </c>
      <c r="B17">
        <f>'01_Data'!A17</f>
        <v/>
      </c>
      <c r="C17">
        <f>SUM('01_Data'!$B17:$AW17)</f>
        <v/>
      </c>
      <c r="D17">
        <f>COUNT('01_Data'!$B17:$AW17)</f>
        <v/>
      </c>
      <c r="E17" s="5">
        <f>MEDIAN(-6,LN((C17+0.3)/(D17-C17+0.3)),6)</f>
        <v/>
      </c>
      <c r="F17" s="5">
        <f>SUMPRODUCT(('01_Data'!$B17:$AW17&lt;&gt;"")*(1/(1+EXP(-(E17-'03_Lap_b'!$B$5:$AW$5)))))</f>
        <v/>
      </c>
      <c r="G17" s="5">
        <f>SUMPRODUCT(('01_Data'!$B17:$AW17&lt;&gt;"")*(1/(1+EXP(-(E17-'03_Lap_b'!$B$5:$AW$5))))^2)</f>
        <v/>
      </c>
      <c r="H17" s="5">
        <f>MEDIAN(-6,E17+(C17-F17)/MAX(F17-G17,0.000000001),6)</f>
        <v/>
      </c>
      <c r="I17" s="5">
        <f>SUMPRODUCT(('01_Data'!$B17:$AW17&lt;&gt;"")*(1/(1+EXP(-(H17-'03_Lap_b'!$B$10:$AW$10)))))</f>
        <v/>
      </c>
      <c r="J17" s="5">
        <f>SUMPRODUCT(('01_Data'!$B17:$AW17&lt;&gt;"")*(1/(1+EXP(-(H17-'03_Lap_b'!$B$10:$AW$10))))^2)</f>
        <v/>
      </c>
      <c r="K17" s="5">
        <f>MEDIAN(-6,H17+(C17-I17)/MAX(I17-J17,0.000000001),6)</f>
        <v/>
      </c>
      <c r="L17" s="5">
        <f>SUMPRODUCT(('01_Data'!$B17:$AW17&lt;&gt;"")*(1/(1+EXP(-(K17-'03_Lap_b'!$B$15:$AW$15)))))</f>
        <v/>
      </c>
      <c r="M17" s="5">
        <f>SUMPRODUCT(('01_Data'!$B17:$AW17&lt;&gt;"")*(1/(1+EXP(-(K17-'03_Lap_b'!$B$15:$AW$15))))^2)</f>
        <v/>
      </c>
      <c r="N17" s="5">
        <f>MEDIAN(-6,K17+(C17-L17)/MAX(L17-M17,0.000000001),6)</f>
        <v/>
      </c>
      <c r="O17" s="5">
        <f>SUMPRODUCT(('01_Data'!$B17:$AW17&lt;&gt;"")*(1/(1+EXP(-(N17-'03_Lap_b'!$B$20:$AW$20)))))</f>
        <v/>
      </c>
      <c r="P17" s="5">
        <f>SUMPRODUCT(('01_Data'!$B17:$AW17&lt;&gt;"")*(1/(1+EXP(-(N17-'03_Lap_b'!$B$20:$AW$20))))^2)</f>
        <v/>
      </c>
      <c r="Q17" s="5">
        <f>MEDIAN(-6,N17+(C17-O17)/MAX(O17-P17,0.000000001),6)</f>
        <v/>
      </c>
      <c r="R17" s="5">
        <f>SUMPRODUCT(('01_Data'!$B17:$AW17&lt;&gt;"")*(1/(1+EXP(-(Q17-'03_Lap_b'!$B$25:$AW$25)))))</f>
        <v/>
      </c>
      <c r="S17" s="5">
        <f>SUMPRODUCT(('01_Data'!$B17:$AW17&lt;&gt;"")*(1/(1+EXP(-(Q17-'03_Lap_b'!$B$25:$AW$25))))^2)</f>
        <v/>
      </c>
      <c r="T17" s="5">
        <f>MEDIAN(-6,Q17+(C17-R17)/MAX(R17-S17,0.000000001),6)</f>
        <v/>
      </c>
      <c r="U17" s="5">
        <f>SUMPRODUCT(('01_Data'!$B17:$AW17&lt;&gt;"")*(1/(1+EXP(-(T17-'03_Lap_b'!$B$30:$AW$30)))))</f>
        <v/>
      </c>
      <c r="V17" s="5">
        <f>SUMPRODUCT(('01_Data'!$B17:$AW17&lt;&gt;"")*(1/(1+EXP(-(T17-'03_Lap_b'!$B$30:$AW$30))))^2)</f>
        <v/>
      </c>
      <c r="W17" s="5">
        <f>MEDIAN(-6,T17+(C17-U17)/MAX(U17-V17,0.000000001),6)</f>
        <v/>
      </c>
      <c r="X17" s="5">
        <f>SUMPRODUCT(('01_Data'!$B17:$AW17&lt;&gt;"")*(1/(1+EXP(-(W17-'03_Lap_b'!$B$35:$AW$35)))))</f>
        <v/>
      </c>
      <c r="Y17" s="5">
        <f>SUMPRODUCT(('01_Data'!$B17:$AW17&lt;&gt;"")*(1/(1+EXP(-(W17-'03_Lap_b'!$B$35:$AW$35))))^2)</f>
        <v/>
      </c>
      <c r="Z17" s="5">
        <f>MEDIAN(-6,W17+(C17-X17)/MAX(X17-Y17,0.000000001),6)</f>
        <v/>
      </c>
      <c r="AA17" s="5">
        <f>SUMPRODUCT(('01_Data'!$B17:$AW17&lt;&gt;"")*(1/(1+EXP(-(Z17-'03_Lap_b'!$B$40:$AW$40)))))</f>
        <v/>
      </c>
      <c r="AB17" s="5">
        <f>SUMPRODUCT(('01_Data'!$B17:$AW17&lt;&gt;"")*(1/(1+EXP(-(Z17-'03_Lap_b'!$B$40:$AW$40))))^2)</f>
        <v/>
      </c>
      <c r="AC17" s="5">
        <f>MEDIAN(-6,Z17+(C17-AA17)/MAX(AA17-AB17,0.000000001),6)</f>
        <v/>
      </c>
    </row>
    <row r="18">
      <c r="A18" t="n">
        <v>17</v>
      </c>
      <c r="B18">
        <f>'01_Data'!A18</f>
        <v/>
      </c>
      <c r="C18">
        <f>SUM('01_Data'!$B18:$AW18)</f>
        <v/>
      </c>
      <c r="D18">
        <f>COUNT('01_Data'!$B18:$AW18)</f>
        <v/>
      </c>
      <c r="E18" s="5">
        <f>MEDIAN(-6,LN((C18+0.3)/(D18-C18+0.3)),6)</f>
        <v/>
      </c>
      <c r="F18" s="5">
        <f>SUMPRODUCT(('01_Data'!$B18:$AW18&lt;&gt;"")*(1/(1+EXP(-(E18-'03_Lap_b'!$B$5:$AW$5)))))</f>
        <v/>
      </c>
      <c r="G18" s="5">
        <f>SUMPRODUCT(('01_Data'!$B18:$AW18&lt;&gt;"")*(1/(1+EXP(-(E18-'03_Lap_b'!$B$5:$AW$5))))^2)</f>
        <v/>
      </c>
      <c r="H18" s="5">
        <f>MEDIAN(-6,E18+(C18-F18)/MAX(F18-G18,0.000000001),6)</f>
        <v/>
      </c>
      <c r="I18" s="5">
        <f>SUMPRODUCT(('01_Data'!$B18:$AW18&lt;&gt;"")*(1/(1+EXP(-(H18-'03_Lap_b'!$B$10:$AW$10)))))</f>
        <v/>
      </c>
      <c r="J18" s="5">
        <f>SUMPRODUCT(('01_Data'!$B18:$AW18&lt;&gt;"")*(1/(1+EXP(-(H18-'03_Lap_b'!$B$10:$AW$10))))^2)</f>
        <v/>
      </c>
      <c r="K18" s="5">
        <f>MEDIAN(-6,H18+(C18-I18)/MAX(I18-J18,0.000000001),6)</f>
        <v/>
      </c>
      <c r="L18" s="5">
        <f>SUMPRODUCT(('01_Data'!$B18:$AW18&lt;&gt;"")*(1/(1+EXP(-(K18-'03_Lap_b'!$B$15:$AW$15)))))</f>
        <v/>
      </c>
      <c r="M18" s="5">
        <f>SUMPRODUCT(('01_Data'!$B18:$AW18&lt;&gt;"")*(1/(1+EXP(-(K18-'03_Lap_b'!$B$15:$AW$15))))^2)</f>
        <v/>
      </c>
      <c r="N18" s="5">
        <f>MEDIAN(-6,K18+(C18-L18)/MAX(L18-M18,0.000000001),6)</f>
        <v/>
      </c>
      <c r="O18" s="5">
        <f>SUMPRODUCT(('01_Data'!$B18:$AW18&lt;&gt;"")*(1/(1+EXP(-(N18-'03_Lap_b'!$B$20:$AW$20)))))</f>
        <v/>
      </c>
      <c r="P18" s="5">
        <f>SUMPRODUCT(('01_Data'!$B18:$AW18&lt;&gt;"")*(1/(1+EXP(-(N18-'03_Lap_b'!$B$20:$AW$20))))^2)</f>
        <v/>
      </c>
      <c r="Q18" s="5">
        <f>MEDIAN(-6,N18+(C18-O18)/MAX(O18-P18,0.000000001),6)</f>
        <v/>
      </c>
      <c r="R18" s="5">
        <f>SUMPRODUCT(('01_Data'!$B18:$AW18&lt;&gt;"")*(1/(1+EXP(-(Q18-'03_Lap_b'!$B$25:$AW$25)))))</f>
        <v/>
      </c>
      <c r="S18" s="5">
        <f>SUMPRODUCT(('01_Data'!$B18:$AW18&lt;&gt;"")*(1/(1+EXP(-(Q18-'03_Lap_b'!$B$25:$AW$25))))^2)</f>
        <v/>
      </c>
      <c r="T18" s="5">
        <f>MEDIAN(-6,Q18+(C18-R18)/MAX(R18-S18,0.000000001),6)</f>
        <v/>
      </c>
      <c r="U18" s="5">
        <f>SUMPRODUCT(('01_Data'!$B18:$AW18&lt;&gt;"")*(1/(1+EXP(-(T18-'03_Lap_b'!$B$30:$AW$30)))))</f>
        <v/>
      </c>
      <c r="V18" s="5">
        <f>SUMPRODUCT(('01_Data'!$B18:$AW18&lt;&gt;"")*(1/(1+EXP(-(T18-'03_Lap_b'!$B$30:$AW$30))))^2)</f>
        <v/>
      </c>
      <c r="W18" s="5">
        <f>MEDIAN(-6,T18+(C18-U18)/MAX(U18-V18,0.000000001),6)</f>
        <v/>
      </c>
      <c r="X18" s="5">
        <f>SUMPRODUCT(('01_Data'!$B18:$AW18&lt;&gt;"")*(1/(1+EXP(-(W18-'03_Lap_b'!$B$35:$AW$35)))))</f>
        <v/>
      </c>
      <c r="Y18" s="5">
        <f>SUMPRODUCT(('01_Data'!$B18:$AW18&lt;&gt;"")*(1/(1+EXP(-(W18-'03_Lap_b'!$B$35:$AW$35))))^2)</f>
        <v/>
      </c>
      <c r="Z18" s="5">
        <f>MEDIAN(-6,W18+(C18-X18)/MAX(X18-Y18,0.000000001),6)</f>
        <v/>
      </c>
      <c r="AA18" s="5">
        <f>SUMPRODUCT(('01_Data'!$B18:$AW18&lt;&gt;"")*(1/(1+EXP(-(Z18-'03_Lap_b'!$B$40:$AW$40)))))</f>
        <v/>
      </c>
      <c r="AB18" s="5">
        <f>SUMPRODUCT(('01_Data'!$B18:$AW18&lt;&gt;"")*(1/(1+EXP(-(Z18-'03_Lap_b'!$B$40:$AW$40))))^2)</f>
        <v/>
      </c>
      <c r="AC18" s="5">
        <f>MEDIAN(-6,Z18+(C18-AA18)/MAX(AA18-AB18,0.000000001),6)</f>
        <v/>
      </c>
    </row>
    <row r="19">
      <c r="A19" t="n">
        <v>18</v>
      </c>
      <c r="B19">
        <f>'01_Data'!A19</f>
        <v/>
      </c>
      <c r="C19">
        <f>SUM('01_Data'!$B19:$AW19)</f>
        <v/>
      </c>
      <c r="D19">
        <f>COUNT('01_Data'!$B19:$AW19)</f>
        <v/>
      </c>
      <c r="E19" s="5">
        <f>MEDIAN(-6,LN((C19+0.3)/(D19-C19+0.3)),6)</f>
        <v/>
      </c>
      <c r="F19" s="5">
        <f>SUMPRODUCT(('01_Data'!$B19:$AW19&lt;&gt;"")*(1/(1+EXP(-(E19-'03_Lap_b'!$B$5:$AW$5)))))</f>
        <v/>
      </c>
      <c r="G19" s="5">
        <f>SUMPRODUCT(('01_Data'!$B19:$AW19&lt;&gt;"")*(1/(1+EXP(-(E19-'03_Lap_b'!$B$5:$AW$5))))^2)</f>
        <v/>
      </c>
      <c r="H19" s="5">
        <f>MEDIAN(-6,E19+(C19-F19)/MAX(F19-G19,0.000000001),6)</f>
        <v/>
      </c>
      <c r="I19" s="5">
        <f>SUMPRODUCT(('01_Data'!$B19:$AW19&lt;&gt;"")*(1/(1+EXP(-(H19-'03_Lap_b'!$B$10:$AW$10)))))</f>
        <v/>
      </c>
      <c r="J19" s="5">
        <f>SUMPRODUCT(('01_Data'!$B19:$AW19&lt;&gt;"")*(1/(1+EXP(-(H19-'03_Lap_b'!$B$10:$AW$10))))^2)</f>
        <v/>
      </c>
      <c r="K19" s="5">
        <f>MEDIAN(-6,H19+(C19-I19)/MAX(I19-J19,0.000000001),6)</f>
        <v/>
      </c>
      <c r="L19" s="5">
        <f>SUMPRODUCT(('01_Data'!$B19:$AW19&lt;&gt;"")*(1/(1+EXP(-(K19-'03_Lap_b'!$B$15:$AW$15)))))</f>
        <v/>
      </c>
      <c r="M19" s="5">
        <f>SUMPRODUCT(('01_Data'!$B19:$AW19&lt;&gt;"")*(1/(1+EXP(-(K19-'03_Lap_b'!$B$15:$AW$15))))^2)</f>
        <v/>
      </c>
      <c r="N19" s="5">
        <f>MEDIAN(-6,K19+(C19-L19)/MAX(L19-M19,0.000000001),6)</f>
        <v/>
      </c>
      <c r="O19" s="5">
        <f>SUMPRODUCT(('01_Data'!$B19:$AW19&lt;&gt;"")*(1/(1+EXP(-(N19-'03_Lap_b'!$B$20:$AW$20)))))</f>
        <v/>
      </c>
      <c r="P19" s="5">
        <f>SUMPRODUCT(('01_Data'!$B19:$AW19&lt;&gt;"")*(1/(1+EXP(-(N19-'03_Lap_b'!$B$20:$AW$20))))^2)</f>
        <v/>
      </c>
      <c r="Q19" s="5">
        <f>MEDIAN(-6,N19+(C19-O19)/MAX(O19-P19,0.000000001),6)</f>
        <v/>
      </c>
      <c r="R19" s="5">
        <f>SUMPRODUCT(('01_Data'!$B19:$AW19&lt;&gt;"")*(1/(1+EXP(-(Q19-'03_Lap_b'!$B$25:$AW$25)))))</f>
        <v/>
      </c>
      <c r="S19" s="5">
        <f>SUMPRODUCT(('01_Data'!$B19:$AW19&lt;&gt;"")*(1/(1+EXP(-(Q19-'03_Lap_b'!$B$25:$AW$25))))^2)</f>
        <v/>
      </c>
      <c r="T19" s="5">
        <f>MEDIAN(-6,Q19+(C19-R19)/MAX(R19-S19,0.000000001),6)</f>
        <v/>
      </c>
      <c r="U19" s="5">
        <f>SUMPRODUCT(('01_Data'!$B19:$AW19&lt;&gt;"")*(1/(1+EXP(-(T19-'03_Lap_b'!$B$30:$AW$30)))))</f>
        <v/>
      </c>
      <c r="V19" s="5">
        <f>SUMPRODUCT(('01_Data'!$B19:$AW19&lt;&gt;"")*(1/(1+EXP(-(T19-'03_Lap_b'!$B$30:$AW$30))))^2)</f>
        <v/>
      </c>
      <c r="W19" s="5">
        <f>MEDIAN(-6,T19+(C19-U19)/MAX(U19-V19,0.000000001),6)</f>
        <v/>
      </c>
      <c r="X19" s="5">
        <f>SUMPRODUCT(('01_Data'!$B19:$AW19&lt;&gt;"")*(1/(1+EXP(-(W19-'03_Lap_b'!$B$35:$AW$35)))))</f>
        <v/>
      </c>
      <c r="Y19" s="5">
        <f>SUMPRODUCT(('01_Data'!$B19:$AW19&lt;&gt;"")*(1/(1+EXP(-(W19-'03_Lap_b'!$B$35:$AW$35))))^2)</f>
        <v/>
      </c>
      <c r="Z19" s="5">
        <f>MEDIAN(-6,W19+(C19-X19)/MAX(X19-Y19,0.000000001),6)</f>
        <v/>
      </c>
      <c r="AA19" s="5">
        <f>SUMPRODUCT(('01_Data'!$B19:$AW19&lt;&gt;"")*(1/(1+EXP(-(Z19-'03_Lap_b'!$B$40:$AW$40)))))</f>
        <v/>
      </c>
      <c r="AB19" s="5">
        <f>SUMPRODUCT(('01_Data'!$B19:$AW19&lt;&gt;"")*(1/(1+EXP(-(Z19-'03_Lap_b'!$B$40:$AW$40))))^2)</f>
        <v/>
      </c>
      <c r="AC19" s="5">
        <f>MEDIAN(-6,Z19+(C19-AA19)/MAX(AA19-AB19,0.000000001),6)</f>
        <v/>
      </c>
    </row>
    <row r="20">
      <c r="A20" t="n">
        <v>19</v>
      </c>
      <c r="B20">
        <f>'01_Data'!A20</f>
        <v/>
      </c>
      <c r="C20">
        <f>SUM('01_Data'!$B20:$AW20)</f>
        <v/>
      </c>
      <c r="D20">
        <f>COUNT('01_Data'!$B20:$AW20)</f>
        <v/>
      </c>
      <c r="E20" s="5">
        <f>MEDIAN(-6,LN((C20+0.3)/(D20-C20+0.3)),6)</f>
        <v/>
      </c>
      <c r="F20" s="5">
        <f>SUMPRODUCT(('01_Data'!$B20:$AW20&lt;&gt;"")*(1/(1+EXP(-(E20-'03_Lap_b'!$B$5:$AW$5)))))</f>
        <v/>
      </c>
      <c r="G20" s="5">
        <f>SUMPRODUCT(('01_Data'!$B20:$AW20&lt;&gt;"")*(1/(1+EXP(-(E20-'03_Lap_b'!$B$5:$AW$5))))^2)</f>
        <v/>
      </c>
      <c r="H20" s="5">
        <f>MEDIAN(-6,E20+(C20-F20)/MAX(F20-G20,0.000000001),6)</f>
        <v/>
      </c>
      <c r="I20" s="5">
        <f>SUMPRODUCT(('01_Data'!$B20:$AW20&lt;&gt;"")*(1/(1+EXP(-(H20-'03_Lap_b'!$B$10:$AW$10)))))</f>
        <v/>
      </c>
      <c r="J20" s="5">
        <f>SUMPRODUCT(('01_Data'!$B20:$AW20&lt;&gt;"")*(1/(1+EXP(-(H20-'03_Lap_b'!$B$10:$AW$10))))^2)</f>
        <v/>
      </c>
      <c r="K20" s="5">
        <f>MEDIAN(-6,H20+(C20-I20)/MAX(I20-J20,0.000000001),6)</f>
        <v/>
      </c>
      <c r="L20" s="5">
        <f>SUMPRODUCT(('01_Data'!$B20:$AW20&lt;&gt;"")*(1/(1+EXP(-(K20-'03_Lap_b'!$B$15:$AW$15)))))</f>
        <v/>
      </c>
      <c r="M20" s="5">
        <f>SUMPRODUCT(('01_Data'!$B20:$AW20&lt;&gt;"")*(1/(1+EXP(-(K20-'03_Lap_b'!$B$15:$AW$15))))^2)</f>
        <v/>
      </c>
      <c r="N20" s="5">
        <f>MEDIAN(-6,K20+(C20-L20)/MAX(L20-M20,0.000000001),6)</f>
        <v/>
      </c>
      <c r="O20" s="5">
        <f>SUMPRODUCT(('01_Data'!$B20:$AW20&lt;&gt;"")*(1/(1+EXP(-(N20-'03_Lap_b'!$B$20:$AW$20)))))</f>
        <v/>
      </c>
      <c r="P20" s="5">
        <f>SUMPRODUCT(('01_Data'!$B20:$AW20&lt;&gt;"")*(1/(1+EXP(-(N20-'03_Lap_b'!$B$20:$AW$20))))^2)</f>
        <v/>
      </c>
      <c r="Q20" s="5">
        <f>MEDIAN(-6,N20+(C20-O20)/MAX(O20-P20,0.000000001),6)</f>
        <v/>
      </c>
      <c r="R20" s="5">
        <f>SUMPRODUCT(('01_Data'!$B20:$AW20&lt;&gt;"")*(1/(1+EXP(-(Q20-'03_Lap_b'!$B$25:$AW$25)))))</f>
        <v/>
      </c>
      <c r="S20" s="5">
        <f>SUMPRODUCT(('01_Data'!$B20:$AW20&lt;&gt;"")*(1/(1+EXP(-(Q20-'03_Lap_b'!$B$25:$AW$25))))^2)</f>
        <v/>
      </c>
      <c r="T20" s="5">
        <f>MEDIAN(-6,Q20+(C20-R20)/MAX(R20-S20,0.000000001),6)</f>
        <v/>
      </c>
      <c r="U20" s="5">
        <f>SUMPRODUCT(('01_Data'!$B20:$AW20&lt;&gt;"")*(1/(1+EXP(-(T20-'03_Lap_b'!$B$30:$AW$30)))))</f>
        <v/>
      </c>
      <c r="V20" s="5">
        <f>SUMPRODUCT(('01_Data'!$B20:$AW20&lt;&gt;"")*(1/(1+EXP(-(T20-'03_Lap_b'!$B$30:$AW$30))))^2)</f>
        <v/>
      </c>
      <c r="W20" s="5">
        <f>MEDIAN(-6,T20+(C20-U20)/MAX(U20-V20,0.000000001),6)</f>
        <v/>
      </c>
      <c r="X20" s="5">
        <f>SUMPRODUCT(('01_Data'!$B20:$AW20&lt;&gt;"")*(1/(1+EXP(-(W20-'03_Lap_b'!$B$35:$AW$35)))))</f>
        <v/>
      </c>
      <c r="Y20" s="5">
        <f>SUMPRODUCT(('01_Data'!$B20:$AW20&lt;&gt;"")*(1/(1+EXP(-(W20-'03_Lap_b'!$B$35:$AW$35))))^2)</f>
        <v/>
      </c>
      <c r="Z20" s="5">
        <f>MEDIAN(-6,W20+(C20-X20)/MAX(X20-Y20,0.000000001),6)</f>
        <v/>
      </c>
      <c r="AA20" s="5">
        <f>SUMPRODUCT(('01_Data'!$B20:$AW20&lt;&gt;"")*(1/(1+EXP(-(Z20-'03_Lap_b'!$B$40:$AW$40)))))</f>
        <v/>
      </c>
      <c r="AB20" s="5">
        <f>SUMPRODUCT(('01_Data'!$B20:$AW20&lt;&gt;"")*(1/(1+EXP(-(Z20-'03_Lap_b'!$B$40:$AW$40))))^2)</f>
        <v/>
      </c>
      <c r="AC20" s="5">
        <f>MEDIAN(-6,Z20+(C20-AA20)/MAX(AA20-AB20,0.000000001),6)</f>
        <v/>
      </c>
    </row>
    <row r="21">
      <c r="A21" t="n">
        <v>20</v>
      </c>
      <c r="B21">
        <f>'01_Data'!A21</f>
        <v/>
      </c>
      <c r="C21">
        <f>SUM('01_Data'!$B21:$AW21)</f>
        <v/>
      </c>
      <c r="D21">
        <f>COUNT('01_Data'!$B21:$AW21)</f>
        <v/>
      </c>
      <c r="E21" s="5">
        <f>MEDIAN(-6,LN((C21+0.3)/(D21-C21+0.3)),6)</f>
        <v/>
      </c>
      <c r="F21" s="5">
        <f>SUMPRODUCT(('01_Data'!$B21:$AW21&lt;&gt;"")*(1/(1+EXP(-(E21-'03_Lap_b'!$B$5:$AW$5)))))</f>
        <v/>
      </c>
      <c r="G21" s="5">
        <f>SUMPRODUCT(('01_Data'!$B21:$AW21&lt;&gt;"")*(1/(1+EXP(-(E21-'03_Lap_b'!$B$5:$AW$5))))^2)</f>
        <v/>
      </c>
      <c r="H21" s="5">
        <f>MEDIAN(-6,E21+(C21-F21)/MAX(F21-G21,0.000000001),6)</f>
        <v/>
      </c>
      <c r="I21" s="5">
        <f>SUMPRODUCT(('01_Data'!$B21:$AW21&lt;&gt;"")*(1/(1+EXP(-(H21-'03_Lap_b'!$B$10:$AW$10)))))</f>
        <v/>
      </c>
      <c r="J21" s="5">
        <f>SUMPRODUCT(('01_Data'!$B21:$AW21&lt;&gt;"")*(1/(1+EXP(-(H21-'03_Lap_b'!$B$10:$AW$10))))^2)</f>
        <v/>
      </c>
      <c r="K21" s="5">
        <f>MEDIAN(-6,H21+(C21-I21)/MAX(I21-J21,0.000000001),6)</f>
        <v/>
      </c>
      <c r="L21" s="5">
        <f>SUMPRODUCT(('01_Data'!$B21:$AW21&lt;&gt;"")*(1/(1+EXP(-(K21-'03_Lap_b'!$B$15:$AW$15)))))</f>
        <v/>
      </c>
      <c r="M21" s="5">
        <f>SUMPRODUCT(('01_Data'!$B21:$AW21&lt;&gt;"")*(1/(1+EXP(-(K21-'03_Lap_b'!$B$15:$AW$15))))^2)</f>
        <v/>
      </c>
      <c r="N21" s="5">
        <f>MEDIAN(-6,K21+(C21-L21)/MAX(L21-M21,0.000000001),6)</f>
        <v/>
      </c>
      <c r="O21" s="5">
        <f>SUMPRODUCT(('01_Data'!$B21:$AW21&lt;&gt;"")*(1/(1+EXP(-(N21-'03_Lap_b'!$B$20:$AW$20)))))</f>
        <v/>
      </c>
      <c r="P21" s="5">
        <f>SUMPRODUCT(('01_Data'!$B21:$AW21&lt;&gt;"")*(1/(1+EXP(-(N21-'03_Lap_b'!$B$20:$AW$20))))^2)</f>
        <v/>
      </c>
      <c r="Q21" s="5">
        <f>MEDIAN(-6,N21+(C21-O21)/MAX(O21-P21,0.000000001),6)</f>
        <v/>
      </c>
      <c r="R21" s="5">
        <f>SUMPRODUCT(('01_Data'!$B21:$AW21&lt;&gt;"")*(1/(1+EXP(-(Q21-'03_Lap_b'!$B$25:$AW$25)))))</f>
        <v/>
      </c>
      <c r="S21" s="5">
        <f>SUMPRODUCT(('01_Data'!$B21:$AW21&lt;&gt;"")*(1/(1+EXP(-(Q21-'03_Lap_b'!$B$25:$AW$25))))^2)</f>
        <v/>
      </c>
      <c r="T21" s="5">
        <f>MEDIAN(-6,Q21+(C21-R21)/MAX(R21-S21,0.000000001),6)</f>
        <v/>
      </c>
      <c r="U21" s="5">
        <f>SUMPRODUCT(('01_Data'!$B21:$AW21&lt;&gt;"")*(1/(1+EXP(-(T21-'03_Lap_b'!$B$30:$AW$30)))))</f>
        <v/>
      </c>
      <c r="V21" s="5">
        <f>SUMPRODUCT(('01_Data'!$B21:$AW21&lt;&gt;"")*(1/(1+EXP(-(T21-'03_Lap_b'!$B$30:$AW$30))))^2)</f>
        <v/>
      </c>
      <c r="W21" s="5">
        <f>MEDIAN(-6,T21+(C21-U21)/MAX(U21-V21,0.000000001),6)</f>
        <v/>
      </c>
      <c r="X21" s="5">
        <f>SUMPRODUCT(('01_Data'!$B21:$AW21&lt;&gt;"")*(1/(1+EXP(-(W21-'03_Lap_b'!$B$35:$AW$35)))))</f>
        <v/>
      </c>
      <c r="Y21" s="5">
        <f>SUMPRODUCT(('01_Data'!$B21:$AW21&lt;&gt;"")*(1/(1+EXP(-(W21-'03_Lap_b'!$B$35:$AW$35))))^2)</f>
        <v/>
      </c>
      <c r="Z21" s="5">
        <f>MEDIAN(-6,W21+(C21-X21)/MAX(X21-Y21,0.000000001),6)</f>
        <v/>
      </c>
      <c r="AA21" s="5">
        <f>SUMPRODUCT(('01_Data'!$B21:$AW21&lt;&gt;"")*(1/(1+EXP(-(Z21-'03_Lap_b'!$B$40:$AW$40)))))</f>
        <v/>
      </c>
      <c r="AB21" s="5">
        <f>SUMPRODUCT(('01_Data'!$B21:$AW21&lt;&gt;"")*(1/(1+EXP(-(Z21-'03_Lap_b'!$B$40:$AW$40))))^2)</f>
        <v/>
      </c>
      <c r="AC21" s="5">
        <f>MEDIAN(-6,Z21+(C21-AA21)/MAX(AA21-AB21,0.000000001),6)</f>
        <v/>
      </c>
    </row>
    <row r="22">
      <c r="A22" t="n">
        <v>21</v>
      </c>
      <c r="B22">
        <f>'01_Data'!A22</f>
        <v/>
      </c>
      <c r="C22">
        <f>SUM('01_Data'!$B22:$AW22)</f>
        <v/>
      </c>
      <c r="D22">
        <f>COUNT('01_Data'!$B22:$AW22)</f>
        <v/>
      </c>
      <c r="E22" s="5">
        <f>MEDIAN(-6,LN((C22+0.3)/(D22-C22+0.3)),6)</f>
        <v/>
      </c>
      <c r="F22" s="5">
        <f>SUMPRODUCT(('01_Data'!$B22:$AW22&lt;&gt;"")*(1/(1+EXP(-(E22-'03_Lap_b'!$B$5:$AW$5)))))</f>
        <v/>
      </c>
      <c r="G22" s="5">
        <f>SUMPRODUCT(('01_Data'!$B22:$AW22&lt;&gt;"")*(1/(1+EXP(-(E22-'03_Lap_b'!$B$5:$AW$5))))^2)</f>
        <v/>
      </c>
      <c r="H22" s="5">
        <f>MEDIAN(-6,E22+(C22-F22)/MAX(F22-G22,0.000000001),6)</f>
        <v/>
      </c>
      <c r="I22" s="5">
        <f>SUMPRODUCT(('01_Data'!$B22:$AW22&lt;&gt;"")*(1/(1+EXP(-(H22-'03_Lap_b'!$B$10:$AW$10)))))</f>
        <v/>
      </c>
      <c r="J22" s="5">
        <f>SUMPRODUCT(('01_Data'!$B22:$AW22&lt;&gt;"")*(1/(1+EXP(-(H22-'03_Lap_b'!$B$10:$AW$10))))^2)</f>
        <v/>
      </c>
      <c r="K22" s="5">
        <f>MEDIAN(-6,H22+(C22-I22)/MAX(I22-J22,0.000000001),6)</f>
        <v/>
      </c>
      <c r="L22" s="5">
        <f>SUMPRODUCT(('01_Data'!$B22:$AW22&lt;&gt;"")*(1/(1+EXP(-(K22-'03_Lap_b'!$B$15:$AW$15)))))</f>
        <v/>
      </c>
      <c r="M22" s="5">
        <f>SUMPRODUCT(('01_Data'!$B22:$AW22&lt;&gt;"")*(1/(1+EXP(-(K22-'03_Lap_b'!$B$15:$AW$15))))^2)</f>
        <v/>
      </c>
      <c r="N22" s="5">
        <f>MEDIAN(-6,K22+(C22-L22)/MAX(L22-M22,0.000000001),6)</f>
        <v/>
      </c>
      <c r="O22" s="5">
        <f>SUMPRODUCT(('01_Data'!$B22:$AW22&lt;&gt;"")*(1/(1+EXP(-(N22-'03_Lap_b'!$B$20:$AW$20)))))</f>
        <v/>
      </c>
      <c r="P22" s="5">
        <f>SUMPRODUCT(('01_Data'!$B22:$AW22&lt;&gt;"")*(1/(1+EXP(-(N22-'03_Lap_b'!$B$20:$AW$20))))^2)</f>
        <v/>
      </c>
      <c r="Q22" s="5">
        <f>MEDIAN(-6,N22+(C22-O22)/MAX(O22-P22,0.000000001),6)</f>
        <v/>
      </c>
      <c r="R22" s="5">
        <f>SUMPRODUCT(('01_Data'!$B22:$AW22&lt;&gt;"")*(1/(1+EXP(-(Q22-'03_Lap_b'!$B$25:$AW$25)))))</f>
        <v/>
      </c>
      <c r="S22" s="5">
        <f>SUMPRODUCT(('01_Data'!$B22:$AW22&lt;&gt;"")*(1/(1+EXP(-(Q22-'03_Lap_b'!$B$25:$AW$25))))^2)</f>
        <v/>
      </c>
      <c r="T22" s="5">
        <f>MEDIAN(-6,Q22+(C22-R22)/MAX(R22-S22,0.000000001),6)</f>
        <v/>
      </c>
      <c r="U22" s="5">
        <f>SUMPRODUCT(('01_Data'!$B22:$AW22&lt;&gt;"")*(1/(1+EXP(-(T22-'03_Lap_b'!$B$30:$AW$30)))))</f>
        <v/>
      </c>
      <c r="V22" s="5">
        <f>SUMPRODUCT(('01_Data'!$B22:$AW22&lt;&gt;"")*(1/(1+EXP(-(T22-'03_Lap_b'!$B$30:$AW$30))))^2)</f>
        <v/>
      </c>
      <c r="W22" s="5">
        <f>MEDIAN(-6,T22+(C22-U22)/MAX(U22-V22,0.000000001),6)</f>
        <v/>
      </c>
      <c r="X22" s="5">
        <f>SUMPRODUCT(('01_Data'!$B22:$AW22&lt;&gt;"")*(1/(1+EXP(-(W22-'03_Lap_b'!$B$35:$AW$35)))))</f>
        <v/>
      </c>
      <c r="Y22" s="5">
        <f>SUMPRODUCT(('01_Data'!$B22:$AW22&lt;&gt;"")*(1/(1+EXP(-(W22-'03_Lap_b'!$B$35:$AW$35))))^2)</f>
        <v/>
      </c>
      <c r="Z22" s="5">
        <f>MEDIAN(-6,W22+(C22-X22)/MAX(X22-Y22,0.000000001),6)</f>
        <v/>
      </c>
      <c r="AA22" s="5">
        <f>SUMPRODUCT(('01_Data'!$B22:$AW22&lt;&gt;"")*(1/(1+EXP(-(Z22-'03_Lap_b'!$B$40:$AW$40)))))</f>
        <v/>
      </c>
      <c r="AB22" s="5">
        <f>SUMPRODUCT(('01_Data'!$B22:$AW22&lt;&gt;"")*(1/(1+EXP(-(Z22-'03_Lap_b'!$B$40:$AW$40))))^2)</f>
        <v/>
      </c>
      <c r="AC22" s="5">
        <f>MEDIAN(-6,Z22+(C22-AA22)/MAX(AA22-AB22,0.000000001),6)</f>
        <v/>
      </c>
    </row>
    <row r="23">
      <c r="A23" t="n">
        <v>22</v>
      </c>
      <c r="B23">
        <f>'01_Data'!A23</f>
        <v/>
      </c>
      <c r="C23">
        <f>SUM('01_Data'!$B23:$AW23)</f>
        <v/>
      </c>
      <c r="D23">
        <f>COUNT('01_Data'!$B23:$AW23)</f>
        <v/>
      </c>
      <c r="E23" s="5">
        <f>MEDIAN(-6,LN((C23+0.3)/(D23-C23+0.3)),6)</f>
        <v/>
      </c>
      <c r="F23" s="5">
        <f>SUMPRODUCT(('01_Data'!$B23:$AW23&lt;&gt;"")*(1/(1+EXP(-(E23-'03_Lap_b'!$B$5:$AW$5)))))</f>
        <v/>
      </c>
      <c r="G23" s="5">
        <f>SUMPRODUCT(('01_Data'!$B23:$AW23&lt;&gt;"")*(1/(1+EXP(-(E23-'03_Lap_b'!$B$5:$AW$5))))^2)</f>
        <v/>
      </c>
      <c r="H23" s="5">
        <f>MEDIAN(-6,E23+(C23-F23)/MAX(F23-G23,0.000000001),6)</f>
        <v/>
      </c>
      <c r="I23" s="5">
        <f>SUMPRODUCT(('01_Data'!$B23:$AW23&lt;&gt;"")*(1/(1+EXP(-(H23-'03_Lap_b'!$B$10:$AW$10)))))</f>
        <v/>
      </c>
      <c r="J23" s="5">
        <f>SUMPRODUCT(('01_Data'!$B23:$AW23&lt;&gt;"")*(1/(1+EXP(-(H23-'03_Lap_b'!$B$10:$AW$10))))^2)</f>
        <v/>
      </c>
      <c r="K23" s="5">
        <f>MEDIAN(-6,H23+(C23-I23)/MAX(I23-J23,0.000000001),6)</f>
        <v/>
      </c>
      <c r="L23" s="5">
        <f>SUMPRODUCT(('01_Data'!$B23:$AW23&lt;&gt;"")*(1/(1+EXP(-(K23-'03_Lap_b'!$B$15:$AW$15)))))</f>
        <v/>
      </c>
      <c r="M23" s="5">
        <f>SUMPRODUCT(('01_Data'!$B23:$AW23&lt;&gt;"")*(1/(1+EXP(-(K23-'03_Lap_b'!$B$15:$AW$15))))^2)</f>
        <v/>
      </c>
      <c r="N23" s="5">
        <f>MEDIAN(-6,K23+(C23-L23)/MAX(L23-M23,0.000000001),6)</f>
        <v/>
      </c>
      <c r="O23" s="5">
        <f>SUMPRODUCT(('01_Data'!$B23:$AW23&lt;&gt;"")*(1/(1+EXP(-(N23-'03_Lap_b'!$B$20:$AW$20)))))</f>
        <v/>
      </c>
      <c r="P23" s="5">
        <f>SUMPRODUCT(('01_Data'!$B23:$AW23&lt;&gt;"")*(1/(1+EXP(-(N23-'03_Lap_b'!$B$20:$AW$20))))^2)</f>
        <v/>
      </c>
      <c r="Q23" s="5">
        <f>MEDIAN(-6,N23+(C23-O23)/MAX(O23-P23,0.000000001),6)</f>
        <v/>
      </c>
      <c r="R23" s="5">
        <f>SUMPRODUCT(('01_Data'!$B23:$AW23&lt;&gt;"")*(1/(1+EXP(-(Q23-'03_Lap_b'!$B$25:$AW$25)))))</f>
        <v/>
      </c>
      <c r="S23" s="5">
        <f>SUMPRODUCT(('01_Data'!$B23:$AW23&lt;&gt;"")*(1/(1+EXP(-(Q23-'03_Lap_b'!$B$25:$AW$25))))^2)</f>
        <v/>
      </c>
      <c r="T23" s="5">
        <f>MEDIAN(-6,Q23+(C23-R23)/MAX(R23-S23,0.000000001),6)</f>
        <v/>
      </c>
      <c r="U23" s="5">
        <f>SUMPRODUCT(('01_Data'!$B23:$AW23&lt;&gt;"")*(1/(1+EXP(-(T23-'03_Lap_b'!$B$30:$AW$30)))))</f>
        <v/>
      </c>
      <c r="V23" s="5">
        <f>SUMPRODUCT(('01_Data'!$B23:$AW23&lt;&gt;"")*(1/(1+EXP(-(T23-'03_Lap_b'!$B$30:$AW$30))))^2)</f>
        <v/>
      </c>
      <c r="W23" s="5">
        <f>MEDIAN(-6,T23+(C23-U23)/MAX(U23-V23,0.000000001),6)</f>
        <v/>
      </c>
      <c r="X23" s="5">
        <f>SUMPRODUCT(('01_Data'!$B23:$AW23&lt;&gt;"")*(1/(1+EXP(-(W23-'03_Lap_b'!$B$35:$AW$35)))))</f>
        <v/>
      </c>
      <c r="Y23" s="5">
        <f>SUMPRODUCT(('01_Data'!$B23:$AW23&lt;&gt;"")*(1/(1+EXP(-(W23-'03_Lap_b'!$B$35:$AW$35))))^2)</f>
        <v/>
      </c>
      <c r="Z23" s="5">
        <f>MEDIAN(-6,W23+(C23-X23)/MAX(X23-Y23,0.000000001),6)</f>
        <v/>
      </c>
      <c r="AA23" s="5">
        <f>SUMPRODUCT(('01_Data'!$B23:$AW23&lt;&gt;"")*(1/(1+EXP(-(Z23-'03_Lap_b'!$B$40:$AW$40)))))</f>
        <v/>
      </c>
      <c r="AB23" s="5">
        <f>SUMPRODUCT(('01_Data'!$B23:$AW23&lt;&gt;"")*(1/(1+EXP(-(Z23-'03_Lap_b'!$B$40:$AW$40))))^2)</f>
        <v/>
      </c>
      <c r="AC23" s="5">
        <f>MEDIAN(-6,Z23+(C23-AA23)/MAX(AA23-AB23,0.000000001),6)</f>
        <v/>
      </c>
    </row>
    <row r="24">
      <c r="A24" t="n">
        <v>23</v>
      </c>
      <c r="B24">
        <f>'01_Data'!A24</f>
        <v/>
      </c>
      <c r="C24">
        <f>SUM('01_Data'!$B24:$AW24)</f>
        <v/>
      </c>
      <c r="D24">
        <f>COUNT('01_Data'!$B24:$AW24)</f>
        <v/>
      </c>
      <c r="E24" s="5">
        <f>MEDIAN(-6,LN((C24+0.3)/(D24-C24+0.3)),6)</f>
        <v/>
      </c>
      <c r="F24" s="5">
        <f>SUMPRODUCT(('01_Data'!$B24:$AW24&lt;&gt;"")*(1/(1+EXP(-(E24-'03_Lap_b'!$B$5:$AW$5)))))</f>
        <v/>
      </c>
      <c r="G24" s="5">
        <f>SUMPRODUCT(('01_Data'!$B24:$AW24&lt;&gt;"")*(1/(1+EXP(-(E24-'03_Lap_b'!$B$5:$AW$5))))^2)</f>
        <v/>
      </c>
      <c r="H24" s="5">
        <f>MEDIAN(-6,E24+(C24-F24)/MAX(F24-G24,0.000000001),6)</f>
        <v/>
      </c>
      <c r="I24" s="5">
        <f>SUMPRODUCT(('01_Data'!$B24:$AW24&lt;&gt;"")*(1/(1+EXP(-(H24-'03_Lap_b'!$B$10:$AW$10)))))</f>
        <v/>
      </c>
      <c r="J24" s="5">
        <f>SUMPRODUCT(('01_Data'!$B24:$AW24&lt;&gt;"")*(1/(1+EXP(-(H24-'03_Lap_b'!$B$10:$AW$10))))^2)</f>
        <v/>
      </c>
      <c r="K24" s="5">
        <f>MEDIAN(-6,H24+(C24-I24)/MAX(I24-J24,0.000000001),6)</f>
        <v/>
      </c>
      <c r="L24" s="5">
        <f>SUMPRODUCT(('01_Data'!$B24:$AW24&lt;&gt;"")*(1/(1+EXP(-(K24-'03_Lap_b'!$B$15:$AW$15)))))</f>
        <v/>
      </c>
      <c r="M24" s="5">
        <f>SUMPRODUCT(('01_Data'!$B24:$AW24&lt;&gt;"")*(1/(1+EXP(-(K24-'03_Lap_b'!$B$15:$AW$15))))^2)</f>
        <v/>
      </c>
      <c r="N24" s="5">
        <f>MEDIAN(-6,K24+(C24-L24)/MAX(L24-M24,0.000000001),6)</f>
        <v/>
      </c>
      <c r="O24" s="5">
        <f>SUMPRODUCT(('01_Data'!$B24:$AW24&lt;&gt;"")*(1/(1+EXP(-(N24-'03_Lap_b'!$B$20:$AW$20)))))</f>
        <v/>
      </c>
      <c r="P24" s="5">
        <f>SUMPRODUCT(('01_Data'!$B24:$AW24&lt;&gt;"")*(1/(1+EXP(-(N24-'03_Lap_b'!$B$20:$AW$20))))^2)</f>
        <v/>
      </c>
      <c r="Q24" s="5">
        <f>MEDIAN(-6,N24+(C24-O24)/MAX(O24-P24,0.000000001),6)</f>
        <v/>
      </c>
      <c r="R24" s="5">
        <f>SUMPRODUCT(('01_Data'!$B24:$AW24&lt;&gt;"")*(1/(1+EXP(-(Q24-'03_Lap_b'!$B$25:$AW$25)))))</f>
        <v/>
      </c>
      <c r="S24" s="5">
        <f>SUMPRODUCT(('01_Data'!$B24:$AW24&lt;&gt;"")*(1/(1+EXP(-(Q24-'03_Lap_b'!$B$25:$AW$25))))^2)</f>
        <v/>
      </c>
      <c r="T24" s="5">
        <f>MEDIAN(-6,Q24+(C24-R24)/MAX(R24-S24,0.000000001),6)</f>
        <v/>
      </c>
      <c r="U24" s="5">
        <f>SUMPRODUCT(('01_Data'!$B24:$AW24&lt;&gt;"")*(1/(1+EXP(-(T24-'03_Lap_b'!$B$30:$AW$30)))))</f>
        <v/>
      </c>
      <c r="V24" s="5">
        <f>SUMPRODUCT(('01_Data'!$B24:$AW24&lt;&gt;"")*(1/(1+EXP(-(T24-'03_Lap_b'!$B$30:$AW$30))))^2)</f>
        <v/>
      </c>
      <c r="W24" s="5">
        <f>MEDIAN(-6,T24+(C24-U24)/MAX(U24-V24,0.000000001),6)</f>
        <v/>
      </c>
      <c r="X24" s="5">
        <f>SUMPRODUCT(('01_Data'!$B24:$AW24&lt;&gt;"")*(1/(1+EXP(-(W24-'03_Lap_b'!$B$35:$AW$35)))))</f>
        <v/>
      </c>
      <c r="Y24" s="5">
        <f>SUMPRODUCT(('01_Data'!$B24:$AW24&lt;&gt;"")*(1/(1+EXP(-(W24-'03_Lap_b'!$B$35:$AW$35))))^2)</f>
        <v/>
      </c>
      <c r="Z24" s="5">
        <f>MEDIAN(-6,W24+(C24-X24)/MAX(X24-Y24,0.000000001),6)</f>
        <v/>
      </c>
      <c r="AA24" s="5">
        <f>SUMPRODUCT(('01_Data'!$B24:$AW24&lt;&gt;"")*(1/(1+EXP(-(Z24-'03_Lap_b'!$B$40:$AW$40)))))</f>
        <v/>
      </c>
      <c r="AB24" s="5">
        <f>SUMPRODUCT(('01_Data'!$B24:$AW24&lt;&gt;"")*(1/(1+EXP(-(Z24-'03_Lap_b'!$B$40:$AW$40))))^2)</f>
        <v/>
      </c>
      <c r="AC24" s="5">
        <f>MEDIAN(-6,Z24+(C24-AA24)/MAX(AA24-AB24,0.000000001),6)</f>
        <v/>
      </c>
    </row>
    <row r="25">
      <c r="A25" t="n">
        <v>24</v>
      </c>
      <c r="B25">
        <f>'01_Data'!A25</f>
        <v/>
      </c>
      <c r="C25">
        <f>SUM('01_Data'!$B25:$AW25)</f>
        <v/>
      </c>
      <c r="D25">
        <f>COUNT('01_Data'!$B25:$AW25)</f>
        <v/>
      </c>
      <c r="E25" s="5">
        <f>MEDIAN(-6,LN((C25+0.3)/(D25-C25+0.3)),6)</f>
        <v/>
      </c>
      <c r="F25" s="5">
        <f>SUMPRODUCT(('01_Data'!$B25:$AW25&lt;&gt;"")*(1/(1+EXP(-(E25-'03_Lap_b'!$B$5:$AW$5)))))</f>
        <v/>
      </c>
      <c r="G25" s="5">
        <f>SUMPRODUCT(('01_Data'!$B25:$AW25&lt;&gt;"")*(1/(1+EXP(-(E25-'03_Lap_b'!$B$5:$AW$5))))^2)</f>
        <v/>
      </c>
      <c r="H25" s="5">
        <f>MEDIAN(-6,E25+(C25-F25)/MAX(F25-G25,0.000000001),6)</f>
        <v/>
      </c>
      <c r="I25" s="5">
        <f>SUMPRODUCT(('01_Data'!$B25:$AW25&lt;&gt;"")*(1/(1+EXP(-(H25-'03_Lap_b'!$B$10:$AW$10)))))</f>
        <v/>
      </c>
      <c r="J25" s="5">
        <f>SUMPRODUCT(('01_Data'!$B25:$AW25&lt;&gt;"")*(1/(1+EXP(-(H25-'03_Lap_b'!$B$10:$AW$10))))^2)</f>
        <v/>
      </c>
      <c r="K25" s="5">
        <f>MEDIAN(-6,H25+(C25-I25)/MAX(I25-J25,0.000000001),6)</f>
        <v/>
      </c>
      <c r="L25" s="5">
        <f>SUMPRODUCT(('01_Data'!$B25:$AW25&lt;&gt;"")*(1/(1+EXP(-(K25-'03_Lap_b'!$B$15:$AW$15)))))</f>
        <v/>
      </c>
      <c r="M25" s="5">
        <f>SUMPRODUCT(('01_Data'!$B25:$AW25&lt;&gt;"")*(1/(1+EXP(-(K25-'03_Lap_b'!$B$15:$AW$15))))^2)</f>
        <v/>
      </c>
      <c r="N25" s="5">
        <f>MEDIAN(-6,K25+(C25-L25)/MAX(L25-M25,0.000000001),6)</f>
        <v/>
      </c>
      <c r="O25" s="5">
        <f>SUMPRODUCT(('01_Data'!$B25:$AW25&lt;&gt;"")*(1/(1+EXP(-(N25-'03_Lap_b'!$B$20:$AW$20)))))</f>
        <v/>
      </c>
      <c r="P25" s="5">
        <f>SUMPRODUCT(('01_Data'!$B25:$AW25&lt;&gt;"")*(1/(1+EXP(-(N25-'03_Lap_b'!$B$20:$AW$20))))^2)</f>
        <v/>
      </c>
      <c r="Q25" s="5">
        <f>MEDIAN(-6,N25+(C25-O25)/MAX(O25-P25,0.000000001),6)</f>
        <v/>
      </c>
      <c r="R25" s="5">
        <f>SUMPRODUCT(('01_Data'!$B25:$AW25&lt;&gt;"")*(1/(1+EXP(-(Q25-'03_Lap_b'!$B$25:$AW$25)))))</f>
        <v/>
      </c>
      <c r="S25" s="5">
        <f>SUMPRODUCT(('01_Data'!$B25:$AW25&lt;&gt;"")*(1/(1+EXP(-(Q25-'03_Lap_b'!$B$25:$AW$25))))^2)</f>
        <v/>
      </c>
      <c r="T25" s="5">
        <f>MEDIAN(-6,Q25+(C25-R25)/MAX(R25-S25,0.000000001),6)</f>
        <v/>
      </c>
      <c r="U25" s="5">
        <f>SUMPRODUCT(('01_Data'!$B25:$AW25&lt;&gt;"")*(1/(1+EXP(-(T25-'03_Lap_b'!$B$30:$AW$30)))))</f>
        <v/>
      </c>
      <c r="V25" s="5">
        <f>SUMPRODUCT(('01_Data'!$B25:$AW25&lt;&gt;"")*(1/(1+EXP(-(T25-'03_Lap_b'!$B$30:$AW$30))))^2)</f>
        <v/>
      </c>
      <c r="W25" s="5">
        <f>MEDIAN(-6,T25+(C25-U25)/MAX(U25-V25,0.000000001),6)</f>
        <v/>
      </c>
      <c r="X25" s="5">
        <f>SUMPRODUCT(('01_Data'!$B25:$AW25&lt;&gt;"")*(1/(1+EXP(-(W25-'03_Lap_b'!$B$35:$AW$35)))))</f>
        <v/>
      </c>
      <c r="Y25" s="5">
        <f>SUMPRODUCT(('01_Data'!$B25:$AW25&lt;&gt;"")*(1/(1+EXP(-(W25-'03_Lap_b'!$B$35:$AW$35))))^2)</f>
        <v/>
      </c>
      <c r="Z25" s="5">
        <f>MEDIAN(-6,W25+(C25-X25)/MAX(X25-Y25,0.000000001),6)</f>
        <v/>
      </c>
      <c r="AA25" s="5">
        <f>SUMPRODUCT(('01_Data'!$B25:$AW25&lt;&gt;"")*(1/(1+EXP(-(Z25-'03_Lap_b'!$B$40:$AW$40)))))</f>
        <v/>
      </c>
      <c r="AB25" s="5">
        <f>SUMPRODUCT(('01_Data'!$B25:$AW25&lt;&gt;"")*(1/(1+EXP(-(Z25-'03_Lap_b'!$B$40:$AW$40))))^2)</f>
        <v/>
      </c>
      <c r="AC25" s="5">
        <f>MEDIAN(-6,Z25+(C25-AA25)/MAX(AA25-AB25,0.000000001),6)</f>
        <v/>
      </c>
    </row>
    <row r="26">
      <c r="A26" t="n">
        <v>25</v>
      </c>
      <c r="B26">
        <f>'01_Data'!A26</f>
        <v/>
      </c>
      <c r="C26">
        <f>SUM('01_Data'!$B26:$AW26)</f>
        <v/>
      </c>
      <c r="D26">
        <f>COUNT('01_Data'!$B26:$AW26)</f>
        <v/>
      </c>
      <c r="E26" s="5">
        <f>MEDIAN(-6,LN((C26+0.3)/(D26-C26+0.3)),6)</f>
        <v/>
      </c>
      <c r="F26" s="5">
        <f>SUMPRODUCT(('01_Data'!$B26:$AW26&lt;&gt;"")*(1/(1+EXP(-(E26-'03_Lap_b'!$B$5:$AW$5)))))</f>
        <v/>
      </c>
      <c r="G26" s="5">
        <f>SUMPRODUCT(('01_Data'!$B26:$AW26&lt;&gt;"")*(1/(1+EXP(-(E26-'03_Lap_b'!$B$5:$AW$5))))^2)</f>
        <v/>
      </c>
      <c r="H26" s="5">
        <f>MEDIAN(-6,E26+(C26-F26)/MAX(F26-G26,0.000000001),6)</f>
        <v/>
      </c>
      <c r="I26" s="5">
        <f>SUMPRODUCT(('01_Data'!$B26:$AW26&lt;&gt;"")*(1/(1+EXP(-(H26-'03_Lap_b'!$B$10:$AW$10)))))</f>
        <v/>
      </c>
      <c r="J26" s="5">
        <f>SUMPRODUCT(('01_Data'!$B26:$AW26&lt;&gt;"")*(1/(1+EXP(-(H26-'03_Lap_b'!$B$10:$AW$10))))^2)</f>
        <v/>
      </c>
      <c r="K26" s="5">
        <f>MEDIAN(-6,H26+(C26-I26)/MAX(I26-J26,0.000000001),6)</f>
        <v/>
      </c>
      <c r="L26" s="5">
        <f>SUMPRODUCT(('01_Data'!$B26:$AW26&lt;&gt;"")*(1/(1+EXP(-(K26-'03_Lap_b'!$B$15:$AW$15)))))</f>
        <v/>
      </c>
      <c r="M26" s="5">
        <f>SUMPRODUCT(('01_Data'!$B26:$AW26&lt;&gt;"")*(1/(1+EXP(-(K26-'03_Lap_b'!$B$15:$AW$15))))^2)</f>
        <v/>
      </c>
      <c r="N26" s="5">
        <f>MEDIAN(-6,K26+(C26-L26)/MAX(L26-M26,0.000000001),6)</f>
        <v/>
      </c>
      <c r="O26" s="5">
        <f>SUMPRODUCT(('01_Data'!$B26:$AW26&lt;&gt;"")*(1/(1+EXP(-(N26-'03_Lap_b'!$B$20:$AW$20)))))</f>
        <v/>
      </c>
      <c r="P26" s="5">
        <f>SUMPRODUCT(('01_Data'!$B26:$AW26&lt;&gt;"")*(1/(1+EXP(-(N26-'03_Lap_b'!$B$20:$AW$20))))^2)</f>
        <v/>
      </c>
      <c r="Q26" s="5">
        <f>MEDIAN(-6,N26+(C26-O26)/MAX(O26-P26,0.000000001),6)</f>
        <v/>
      </c>
      <c r="R26" s="5">
        <f>SUMPRODUCT(('01_Data'!$B26:$AW26&lt;&gt;"")*(1/(1+EXP(-(Q26-'03_Lap_b'!$B$25:$AW$25)))))</f>
        <v/>
      </c>
      <c r="S26" s="5">
        <f>SUMPRODUCT(('01_Data'!$B26:$AW26&lt;&gt;"")*(1/(1+EXP(-(Q26-'03_Lap_b'!$B$25:$AW$25))))^2)</f>
        <v/>
      </c>
      <c r="T26" s="5">
        <f>MEDIAN(-6,Q26+(C26-R26)/MAX(R26-S26,0.000000001),6)</f>
        <v/>
      </c>
      <c r="U26" s="5">
        <f>SUMPRODUCT(('01_Data'!$B26:$AW26&lt;&gt;"")*(1/(1+EXP(-(T26-'03_Lap_b'!$B$30:$AW$30)))))</f>
        <v/>
      </c>
      <c r="V26" s="5">
        <f>SUMPRODUCT(('01_Data'!$B26:$AW26&lt;&gt;"")*(1/(1+EXP(-(T26-'03_Lap_b'!$B$30:$AW$30))))^2)</f>
        <v/>
      </c>
      <c r="W26" s="5">
        <f>MEDIAN(-6,T26+(C26-U26)/MAX(U26-V26,0.000000001),6)</f>
        <v/>
      </c>
      <c r="X26" s="5">
        <f>SUMPRODUCT(('01_Data'!$B26:$AW26&lt;&gt;"")*(1/(1+EXP(-(W26-'03_Lap_b'!$B$35:$AW$35)))))</f>
        <v/>
      </c>
      <c r="Y26" s="5">
        <f>SUMPRODUCT(('01_Data'!$B26:$AW26&lt;&gt;"")*(1/(1+EXP(-(W26-'03_Lap_b'!$B$35:$AW$35))))^2)</f>
        <v/>
      </c>
      <c r="Z26" s="5">
        <f>MEDIAN(-6,W26+(C26-X26)/MAX(X26-Y26,0.000000001),6)</f>
        <v/>
      </c>
      <c r="AA26" s="5">
        <f>SUMPRODUCT(('01_Data'!$B26:$AW26&lt;&gt;"")*(1/(1+EXP(-(Z26-'03_Lap_b'!$B$40:$AW$40)))))</f>
        <v/>
      </c>
      <c r="AB26" s="5">
        <f>SUMPRODUCT(('01_Data'!$B26:$AW26&lt;&gt;"")*(1/(1+EXP(-(Z26-'03_Lap_b'!$B$40:$AW$40))))^2)</f>
        <v/>
      </c>
      <c r="AC26" s="5">
        <f>MEDIAN(-6,Z26+(C26-AA26)/MAX(AA26-AB26,0.000000001),6)</f>
        <v/>
      </c>
    </row>
    <row r="27">
      <c r="A27" t="n">
        <v>26</v>
      </c>
      <c r="B27">
        <f>'01_Data'!A27</f>
        <v/>
      </c>
      <c r="C27">
        <f>SUM('01_Data'!$B27:$AW27)</f>
        <v/>
      </c>
      <c r="D27">
        <f>COUNT('01_Data'!$B27:$AW27)</f>
        <v/>
      </c>
      <c r="E27" s="5">
        <f>MEDIAN(-6,LN((C27+0.3)/(D27-C27+0.3)),6)</f>
        <v/>
      </c>
      <c r="F27" s="5">
        <f>SUMPRODUCT(('01_Data'!$B27:$AW27&lt;&gt;"")*(1/(1+EXP(-(E27-'03_Lap_b'!$B$5:$AW$5)))))</f>
        <v/>
      </c>
      <c r="G27" s="5">
        <f>SUMPRODUCT(('01_Data'!$B27:$AW27&lt;&gt;"")*(1/(1+EXP(-(E27-'03_Lap_b'!$B$5:$AW$5))))^2)</f>
        <v/>
      </c>
      <c r="H27" s="5">
        <f>MEDIAN(-6,E27+(C27-F27)/MAX(F27-G27,0.000000001),6)</f>
        <v/>
      </c>
      <c r="I27" s="5">
        <f>SUMPRODUCT(('01_Data'!$B27:$AW27&lt;&gt;"")*(1/(1+EXP(-(H27-'03_Lap_b'!$B$10:$AW$10)))))</f>
        <v/>
      </c>
      <c r="J27" s="5">
        <f>SUMPRODUCT(('01_Data'!$B27:$AW27&lt;&gt;"")*(1/(1+EXP(-(H27-'03_Lap_b'!$B$10:$AW$10))))^2)</f>
        <v/>
      </c>
      <c r="K27" s="5">
        <f>MEDIAN(-6,H27+(C27-I27)/MAX(I27-J27,0.000000001),6)</f>
        <v/>
      </c>
      <c r="L27" s="5">
        <f>SUMPRODUCT(('01_Data'!$B27:$AW27&lt;&gt;"")*(1/(1+EXP(-(K27-'03_Lap_b'!$B$15:$AW$15)))))</f>
        <v/>
      </c>
      <c r="M27" s="5">
        <f>SUMPRODUCT(('01_Data'!$B27:$AW27&lt;&gt;"")*(1/(1+EXP(-(K27-'03_Lap_b'!$B$15:$AW$15))))^2)</f>
        <v/>
      </c>
      <c r="N27" s="5">
        <f>MEDIAN(-6,K27+(C27-L27)/MAX(L27-M27,0.000000001),6)</f>
        <v/>
      </c>
      <c r="O27" s="5">
        <f>SUMPRODUCT(('01_Data'!$B27:$AW27&lt;&gt;"")*(1/(1+EXP(-(N27-'03_Lap_b'!$B$20:$AW$20)))))</f>
        <v/>
      </c>
      <c r="P27" s="5">
        <f>SUMPRODUCT(('01_Data'!$B27:$AW27&lt;&gt;"")*(1/(1+EXP(-(N27-'03_Lap_b'!$B$20:$AW$20))))^2)</f>
        <v/>
      </c>
      <c r="Q27" s="5">
        <f>MEDIAN(-6,N27+(C27-O27)/MAX(O27-P27,0.000000001),6)</f>
        <v/>
      </c>
      <c r="R27" s="5">
        <f>SUMPRODUCT(('01_Data'!$B27:$AW27&lt;&gt;"")*(1/(1+EXP(-(Q27-'03_Lap_b'!$B$25:$AW$25)))))</f>
        <v/>
      </c>
      <c r="S27" s="5">
        <f>SUMPRODUCT(('01_Data'!$B27:$AW27&lt;&gt;"")*(1/(1+EXP(-(Q27-'03_Lap_b'!$B$25:$AW$25))))^2)</f>
        <v/>
      </c>
      <c r="T27" s="5">
        <f>MEDIAN(-6,Q27+(C27-R27)/MAX(R27-S27,0.000000001),6)</f>
        <v/>
      </c>
      <c r="U27" s="5">
        <f>SUMPRODUCT(('01_Data'!$B27:$AW27&lt;&gt;"")*(1/(1+EXP(-(T27-'03_Lap_b'!$B$30:$AW$30)))))</f>
        <v/>
      </c>
      <c r="V27" s="5">
        <f>SUMPRODUCT(('01_Data'!$B27:$AW27&lt;&gt;"")*(1/(1+EXP(-(T27-'03_Lap_b'!$B$30:$AW$30))))^2)</f>
        <v/>
      </c>
      <c r="W27" s="5">
        <f>MEDIAN(-6,T27+(C27-U27)/MAX(U27-V27,0.000000001),6)</f>
        <v/>
      </c>
      <c r="X27" s="5">
        <f>SUMPRODUCT(('01_Data'!$B27:$AW27&lt;&gt;"")*(1/(1+EXP(-(W27-'03_Lap_b'!$B$35:$AW$35)))))</f>
        <v/>
      </c>
      <c r="Y27" s="5">
        <f>SUMPRODUCT(('01_Data'!$B27:$AW27&lt;&gt;"")*(1/(1+EXP(-(W27-'03_Lap_b'!$B$35:$AW$35))))^2)</f>
        <v/>
      </c>
      <c r="Z27" s="5">
        <f>MEDIAN(-6,W27+(C27-X27)/MAX(X27-Y27,0.000000001),6)</f>
        <v/>
      </c>
      <c r="AA27" s="5">
        <f>SUMPRODUCT(('01_Data'!$B27:$AW27&lt;&gt;"")*(1/(1+EXP(-(Z27-'03_Lap_b'!$B$40:$AW$40)))))</f>
        <v/>
      </c>
      <c r="AB27" s="5">
        <f>SUMPRODUCT(('01_Data'!$B27:$AW27&lt;&gt;"")*(1/(1+EXP(-(Z27-'03_Lap_b'!$B$40:$AW$40))))^2)</f>
        <v/>
      </c>
      <c r="AC27" s="5">
        <f>MEDIAN(-6,Z27+(C27-AA27)/MAX(AA27-AB27,0.000000001),6)</f>
        <v/>
      </c>
    </row>
    <row r="28">
      <c r="A28" t="n">
        <v>27</v>
      </c>
      <c r="B28">
        <f>'01_Data'!A28</f>
        <v/>
      </c>
      <c r="C28">
        <f>SUM('01_Data'!$B28:$AW28)</f>
        <v/>
      </c>
      <c r="D28">
        <f>COUNT('01_Data'!$B28:$AW28)</f>
        <v/>
      </c>
      <c r="E28" s="5">
        <f>MEDIAN(-6,LN((C28+0.3)/(D28-C28+0.3)),6)</f>
        <v/>
      </c>
      <c r="F28" s="5">
        <f>SUMPRODUCT(('01_Data'!$B28:$AW28&lt;&gt;"")*(1/(1+EXP(-(E28-'03_Lap_b'!$B$5:$AW$5)))))</f>
        <v/>
      </c>
      <c r="G28" s="5">
        <f>SUMPRODUCT(('01_Data'!$B28:$AW28&lt;&gt;"")*(1/(1+EXP(-(E28-'03_Lap_b'!$B$5:$AW$5))))^2)</f>
        <v/>
      </c>
      <c r="H28" s="5">
        <f>MEDIAN(-6,E28+(C28-F28)/MAX(F28-G28,0.000000001),6)</f>
        <v/>
      </c>
      <c r="I28" s="5">
        <f>SUMPRODUCT(('01_Data'!$B28:$AW28&lt;&gt;"")*(1/(1+EXP(-(H28-'03_Lap_b'!$B$10:$AW$10)))))</f>
        <v/>
      </c>
      <c r="J28" s="5">
        <f>SUMPRODUCT(('01_Data'!$B28:$AW28&lt;&gt;"")*(1/(1+EXP(-(H28-'03_Lap_b'!$B$10:$AW$10))))^2)</f>
        <v/>
      </c>
      <c r="K28" s="5">
        <f>MEDIAN(-6,H28+(C28-I28)/MAX(I28-J28,0.000000001),6)</f>
        <v/>
      </c>
      <c r="L28" s="5">
        <f>SUMPRODUCT(('01_Data'!$B28:$AW28&lt;&gt;"")*(1/(1+EXP(-(K28-'03_Lap_b'!$B$15:$AW$15)))))</f>
        <v/>
      </c>
      <c r="M28" s="5">
        <f>SUMPRODUCT(('01_Data'!$B28:$AW28&lt;&gt;"")*(1/(1+EXP(-(K28-'03_Lap_b'!$B$15:$AW$15))))^2)</f>
        <v/>
      </c>
      <c r="N28" s="5">
        <f>MEDIAN(-6,K28+(C28-L28)/MAX(L28-M28,0.000000001),6)</f>
        <v/>
      </c>
      <c r="O28" s="5">
        <f>SUMPRODUCT(('01_Data'!$B28:$AW28&lt;&gt;"")*(1/(1+EXP(-(N28-'03_Lap_b'!$B$20:$AW$20)))))</f>
        <v/>
      </c>
      <c r="P28" s="5">
        <f>SUMPRODUCT(('01_Data'!$B28:$AW28&lt;&gt;"")*(1/(1+EXP(-(N28-'03_Lap_b'!$B$20:$AW$20))))^2)</f>
        <v/>
      </c>
      <c r="Q28" s="5">
        <f>MEDIAN(-6,N28+(C28-O28)/MAX(O28-P28,0.000000001),6)</f>
        <v/>
      </c>
      <c r="R28" s="5">
        <f>SUMPRODUCT(('01_Data'!$B28:$AW28&lt;&gt;"")*(1/(1+EXP(-(Q28-'03_Lap_b'!$B$25:$AW$25)))))</f>
        <v/>
      </c>
      <c r="S28" s="5">
        <f>SUMPRODUCT(('01_Data'!$B28:$AW28&lt;&gt;"")*(1/(1+EXP(-(Q28-'03_Lap_b'!$B$25:$AW$25))))^2)</f>
        <v/>
      </c>
      <c r="T28" s="5">
        <f>MEDIAN(-6,Q28+(C28-R28)/MAX(R28-S28,0.000000001),6)</f>
        <v/>
      </c>
      <c r="U28" s="5">
        <f>SUMPRODUCT(('01_Data'!$B28:$AW28&lt;&gt;"")*(1/(1+EXP(-(T28-'03_Lap_b'!$B$30:$AW$30)))))</f>
        <v/>
      </c>
      <c r="V28" s="5">
        <f>SUMPRODUCT(('01_Data'!$B28:$AW28&lt;&gt;"")*(1/(1+EXP(-(T28-'03_Lap_b'!$B$30:$AW$30))))^2)</f>
        <v/>
      </c>
      <c r="W28" s="5">
        <f>MEDIAN(-6,T28+(C28-U28)/MAX(U28-V28,0.000000001),6)</f>
        <v/>
      </c>
      <c r="X28" s="5">
        <f>SUMPRODUCT(('01_Data'!$B28:$AW28&lt;&gt;"")*(1/(1+EXP(-(W28-'03_Lap_b'!$B$35:$AW$35)))))</f>
        <v/>
      </c>
      <c r="Y28" s="5">
        <f>SUMPRODUCT(('01_Data'!$B28:$AW28&lt;&gt;"")*(1/(1+EXP(-(W28-'03_Lap_b'!$B$35:$AW$35))))^2)</f>
        <v/>
      </c>
      <c r="Z28" s="5">
        <f>MEDIAN(-6,W28+(C28-X28)/MAX(X28-Y28,0.000000001),6)</f>
        <v/>
      </c>
      <c r="AA28" s="5">
        <f>SUMPRODUCT(('01_Data'!$B28:$AW28&lt;&gt;"")*(1/(1+EXP(-(Z28-'03_Lap_b'!$B$40:$AW$40)))))</f>
        <v/>
      </c>
      <c r="AB28" s="5">
        <f>SUMPRODUCT(('01_Data'!$B28:$AW28&lt;&gt;"")*(1/(1+EXP(-(Z28-'03_Lap_b'!$B$40:$AW$40))))^2)</f>
        <v/>
      </c>
      <c r="AC28" s="5">
        <f>MEDIAN(-6,Z28+(C28-AA28)/MAX(AA28-AB28,0.000000001),6)</f>
        <v/>
      </c>
    </row>
    <row r="29">
      <c r="A29" t="n">
        <v>28</v>
      </c>
      <c r="B29">
        <f>'01_Data'!A29</f>
        <v/>
      </c>
      <c r="C29">
        <f>SUM('01_Data'!$B29:$AW29)</f>
        <v/>
      </c>
      <c r="D29">
        <f>COUNT('01_Data'!$B29:$AW29)</f>
        <v/>
      </c>
      <c r="E29" s="5">
        <f>MEDIAN(-6,LN((C29+0.3)/(D29-C29+0.3)),6)</f>
        <v/>
      </c>
      <c r="F29" s="5">
        <f>SUMPRODUCT(('01_Data'!$B29:$AW29&lt;&gt;"")*(1/(1+EXP(-(E29-'03_Lap_b'!$B$5:$AW$5)))))</f>
        <v/>
      </c>
      <c r="G29" s="5">
        <f>SUMPRODUCT(('01_Data'!$B29:$AW29&lt;&gt;"")*(1/(1+EXP(-(E29-'03_Lap_b'!$B$5:$AW$5))))^2)</f>
        <v/>
      </c>
      <c r="H29" s="5">
        <f>MEDIAN(-6,E29+(C29-F29)/MAX(F29-G29,0.000000001),6)</f>
        <v/>
      </c>
      <c r="I29" s="5">
        <f>SUMPRODUCT(('01_Data'!$B29:$AW29&lt;&gt;"")*(1/(1+EXP(-(H29-'03_Lap_b'!$B$10:$AW$10)))))</f>
        <v/>
      </c>
      <c r="J29" s="5">
        <f>SUMPRODUCT(('01_Data'!$B29:$AW29&lt;&gt;"")*(1/(1+EXP(-(H29-'03_Lap_b'!$B$10:$AW$10))))^2)</f>
        <v/>
      </c>
      <c r="K29" s="5">
        <f>MEDIAN(-6,H29+(C29-I29)/MAX(I29-J29,0.000000001),6)</f>
        <v/>
      </c>
      <c r="L29" s="5">
        <f>SUMPRODUCT(('01_Data'!$B29:$AW29&lt;&gt;"")*(1/(1+EXP(-(K29-'03_Lap_b'!$B$15:$AW$15)))))</f>
        <v/>
      </c>
      <c r="M29" s="5">
        <f>SUMPRODUCT(('01_Data'!$B29:$AW29&lt;&gt;"")*(1/(1+EXP(-(K29-'03_Lap_b'!$B$15:$AW$15))))^2)</f>
        <v/>
      </c>
      <c r="N29" s="5">
        <f>MEDIAN(-6,K29+(C29-L29)/MAX(L29-M29,0.000000001),6)</f>
        <v/>
      </c>
      <c r="O29" s="5">
        <f>SUMPRODUCT(('01_Data'!$B29:$AW29&lt;&gt;"")*(1/(1+EXP(-(N29-'03_Lap_b'!$B$20:$AW$20)))))</f>
        <v/>
      </c>
      <c r="P29" s="5">
        <f>SUMPRODUCT(('01_Data'!$B29:$AW29&lt;&gt;"")*(1/(1+EXP(-(N29-'03_Lap_b'!$B$20:$AW$20))))^2)</f>
        <v/>
      </c>
      <c r="Q29" s="5">
        <f>MEDIAN(-6,N29+(C29-O29)/MAX(O29-P29,0.000000001),6)</f>
        <v/>
      </c>
      <c r="R29" s="5">
        <f>SUMPRODUCT(('01_Data'!$B29:$AW29&lt;&gt;"")*(1/(1+EXP(-(Q29-'03_Lap_b'!$B$25:$AW$25)))))</f>
        <v/>
      </c>
      <c r="S29" s="5">
        <f>SUMPRODUCT(('01_Data'!$B29:$AW29&lt;&gt;"")*(1/(1+EXP(-(Q29-'03_Lap_b'!$B$25:$AW$25))))^2)</f>
        <v/>
      </c>
      <c r="T29" s="5">
        <f>MEDIAN(-6,Q29+(C29-R29)/MAX(R29-S29,0.000000001),6)</f>
        <v/>
      </c>
      <c r="U29" s="5">
        <f>SUMPRODUCT(('01_Data'!$B29:$AW29&lt;&gt;"")*(1/(1+EXP(-(T29-'03_Lap_b'!$B$30:$AW$30)))))</f>
        <v/>
      </c>
      <c r="V29" s="5">
        <f>SUMPRODUCT(('01_Data'!$B29:$AW29&lt;&gt;"")*(1/(1+EXP(-(T29-'03_Lap_b'!$B$30:$AW$30))))^2)</f>
        <v/>
      </c>
      <c r="W29" s="5">
        <f>MEDIAN(-6,T29+(C29-U29)/MAX(U29-V29,0.000000001),6)</f>
        <v/>
      </c>
      <c r="X29" s="5">
        <f>SUMPRODUCT(('01_Data'!$B29:$AW29&lt;&gt;"")*(1/(1+EXP(-(W29-'03_Lap_b'!$B$35:$AW$35)))))</f>
        <v/>
      </c>
      <c r="Y29" s="5">
        <f>SUMPRODUCT(('01_Data'!$B29:$AW29&lt;&gt;"")*(1/(1+EXP(-(W29-'03_Lap_b'!$B$35:$AW$35))))^2)</f>
        <v/>
      </c>
      <c r="Z29" s="5">
        <f>MEDIAN(-6,W29+(C29-X29)/MAX(X29-Y29,0.000000001),6)</f>
        <v/>
      </c>
      <c r="AA29" s="5">
        <f>SUMPRODUCT(('01_Data'!$B29:$AW29&lt;&gt;"")*(1/(1+EXP(-(Z29-'03_Lap_b'!$B$40:$AW$40)))))</f>
        <v/>
      </c>
      <c r="AB29" s="5">
        <f>SUMPRODUCT(('01_Data'!$B29:$AW29&lt;&gt;"")*(1/(1+EXP(-(Z29-'03_Lap_b'!$B$40:$AW$40))))^2)</f>
        <v/>
      </c>
      <c r="AC29" s="5">
        <f>MEDIAN(-6,Z29+(C29-AA29)/MAX(AA29-AB29,0.000000001),6)</f>
        <v/>
      </c>
    </row>
    <row r="30">
      <c r="A30" t="n">
        <v>29</v>
      </c>
      <c r="B30">
        <f>'01_Data'!A30</f>
        <v/>
      </c>
      <c r="C30">
        <f>SUM('01_Data'!$B30:$AW30)</f>
        <v/>
      </c>
      <c r="D30">
        <f>COUNT('01_Data'!$B30:$AW30)</f>
        <v/>
      </c>
      <c r="E30" s="5">
        <f>MEDIAN(-6,LN((C30+0.3)/(D30-C30+0.3)),6)</f>
        <v/>
      </c>
      <c r="F30" s="5">
        <f>SUMPRODUCT(('01_Data'!$B30:$AW30&lt;&gt;"")*(1/(1+EXP(-(E30-'03_Lap_b'!$B$5:$AW$5)))))</f>
        <v/>
      </c>
      <c r="G30" s="5">
        <f>SUMPRODUCT(('01_Data'!$B30:$AW30&lt;&gt;"")*(1/(1+EXP(-(E30-'03_Lap_b'!$B$5:$AW$5))))^2)</f>
        <v/>
      </c>
      <c r="H30" s="5">
        <f>MEDIAN(-6,E30+(C30-F30)/MAX(F30-G30,0.000000001),6)</f>
        <v/>
      </c>
      <c r="I30" s="5">
        <f>SUMPRODUCT(('01_Data'!$B30:$AW30&lt;&gt;"")*(1/(1+EXP(-(H30-'03_Lap_b'!$B$10:$AW$10)))))</f>
        <v/>
      </c>
      <c r="J30" s="5">
        <f>SUMPRODUCT(('01_Data'!$B30:$AW30&lt;&gt;"")*(1/(1+EXP(-(H30-'03_Lap_b'!$B$10:$AW$10))))^2)</f>
        <v/>
      </c>
      <c r="K30" s="5">
        <f>MEDIAN(-6,H30+(C30-I30)/MAX(I30-J30,0.000000001),6)</f>
        <v/>
      </c>
      <c r="L30" s="5">
        <f>SUMPRODUCT(('01_Data'!$B30:$AW30&lt;&gt;"")*(1/(1+EXP(-(K30-'03_Lap_b'!$B$15:$AW$15)))))</f>
        <v/>
      </c>
      <c r="M30" s="5">
        <f>SUMPRODUCT(('01_Data'!$B30:$AW30&lt;&gt;"")*(1/(1+EXP(-(K30-'03_Lap_b'!$B$15:$AW$15))))^2)</f>
        <v/>
      </c>
      <c r="N30" s="5">
        <f>MEDIAN(-6,K30+(C30-L30)/MAX(L30-M30,0.000000001),6)</f>
        <v/>
      </c>
      <c r="O30" s="5">
        <f>SUMPRODUCT(('01_Data'!$B30:$AW30&lt;&gt;"")*(1/(1+EXP(-(N30-'03_Lap_b'!$B$20:$AW$20)))))</f>
        <v/>
      </c>
      <c r="P30" s="5">
        <f>SUMPRODUCT(('01_Data'!$B30:$AW30&lt;&gt;"")*(1/(1+EXP(-(N30-'03_Lap_b'!$B$20:$AW$20))))^2)</f>
        <v/>
      </c>
      <c r="Q30" s="5">
        <f>MEDIAN(-6,N30+(C30-O30)/MAX(O30-P30,0.000000001),6)</f>
        <v/>
      </c>
      <c r="R30" s="5">
        <f>SUMPRODUCT(('01_Data'!$B30:$AW30&lt;&gt;"")*(1/(1+EXP(-(Q30-'03_Lap_b'!$B$25:$AW$25)))))</f>
        <v/>
      </c>
      <c r="S30" s="5">
        <f>SUMPRODUCT(('01_Data'!$B30:$AW30&lt;&gt;"")*(1/(1+EXP(-(Q30-'03_Lap_b'!$B$25:$AW$25))))^2)</f>
        <v/>
      </c>
      <c r="T30" s="5">
        <f>MEDIAN(-6,Q30+(C30-R30)/MAX(R30-S30,0.000000001),6)</f>
        <v/>
      </c>
      <c r="U30" s="5">
        <f>SUMPRODUCT(('01_Data'!$B30:$AW30&lt;&gt;"")*(1/(1+EXP(-(T30-'03_Lap_b'!$B$30:$AW$30)))))</f>
        <v/>
      </c>
      <c r="V30" s="5">
        <f>SUMPRODUCT(('01_Data'!$B30:$AW30&lt;&gt;"")*(1/(1+EXP(-(T30-'03_Lap_b'!$B$30:$AW$30))))^2)</f>
        <v/>
      </c>
      <c r="W30" s="5">
        <f>MEDIAN(-6,T30+(C30-U30)/MAX(U30-V30,0.000000001),6)</f>
        <v/>
      </c>
      <c r="X30" s="5">
        <f>SUMPRODUCT(('01_Data'!$B30:$AW30&lt;&gt;"")*(1/(1+EXP(-(W30-'03_Lap_b'!$B$35:$AW$35)))))</f>
        <v/>
      </c>
      <c r="Y30" s="5">
        <f>SUMPRODUCT(('01_Data'!$B30:$AW30&lt;&gt;"")*(1/(1+EXP(-(W30-'03_Lap_b'!$B$35:$AW$35))))^2)</f>
        <v/>
      </c>
      <c r="Z30" s="5">
        <f>MEDIAN(-6,W30+(C30-X30)/MAX(X30-Y30,0.000000001),6)</f>
        <v/>
      </c>
      <c r="AA30" s="5">
        <f>SUMPRODUCT(('01_Data'!$B30:$AW30&lt;&gt;"")*(1/(1+EXP(-(Z30-'03_Lap_b'!$B$40:$AW$40)))))</f>
        <v/>
      </c>
      <c r="AB30" s="5">
        <f>SUMPRODUCT(('01_Data'!$B30:$AW30&lt;&gt;"")*(1/(1+EXP(-(Z30-'03_Lap_b'!$B$40:$AW$40))))^2)</f>
        <v/>
      </c>
      <c r="AC30" s="5">
        <f>MEDIAN(-6,Z30+(C30-AA30)/MAX(AA30-AB30,0.000000001),6)</f>
        <v/>
      </c>
    </row>
    <row r="31">
      <c r="A31" t="n">
        <v>30</v>
      </c>
      <c r="B31">
        <f>'01_Data'!A31</f>
        <v/>
      </c>
      <c r="C31">
        <f>SUM('01_Data'!$B31:$AW31)</f>
        <v/>
      </c>
      <c r="D31">
        <f>COUNT('01_Data'!$B31:$AW31)</f>
        <v/>
      </c>
      <c r="E31" s="5">
        <f>MEDIAN(-6,LN((C31+0.3)/(D31-C31+0.3)),6)</f>
        <v/>
      </c>
      <c r="F31" s="5">
        <f>SUMPRODUCT(('01_Data'!$B31:$AW31&lt;&gt;"")*(1/(1+EXP(-(E31-'03_Lap_b'!$B$5:$AW$5)))))</f>
        <v/>
      </c>
      <c r="G31" s="5">
        <f>SUMPRODUCT(('01_Data'!$B31:$AW31&lt;&gt;"")*(1/(1+EXP(-(E31-'03_Lap_b'!$B$5:$AW$5))))^2)</f>
        <v/>
      </c>
      <c r="H31" s="5">
        <f>MEDIAN(-6,E31+(C31-F31)/MAX(F31-G31,0.000000001),6)</f>
        <v/>
      </c>
      <c r="I31" s="5">
        <f>SUMPRODUCT(('01_Data'!$B31:$AW31&lt;&gt;"")*(1/(1+EXP(-(H31-'03_Lap_b'!$B$10:$AW$10)))))</f>
        <v/>
      </c>
      <c r="J31" s="5">
        <f>SUMPRODUCT(('01_Data'!$B31:$AW31&lt;&gt;"")*(1/(1+EXP(-(H31-'03_Lap_b'!$B$10:$AW$10))))^2)</f>
        <v/>
      </c>
      <c r="K31" s="5">
        <f>MEDIAN(-6,H31+(C31-I31)/MAX(I31-J31,0.000000001),6)</f>
        <v/>
      </c>
      <c r="L31" s="5">
        <f>SUMPRODUCT(('01_Data'!$B31:$AW31&lt;&gt;"")*(1/(1+EXP(-(K31-'03_Lap_b'!$B$15:$AW$15)))))</f>
        <v/>
      </c>
      <c r="M31" s="5">
        <f>SUMPRODUCT(('01_Data'!$B31:$AW31&lt;&gt;"")*(1/(1+EXP(-(K31-'03_Lap_b'!$B$15:$AW$15))))^2)</f>
        <v/>
      </c>
      <c r="N31" s="5">
        <f>MEDIAN(-6,K31+(C31-L31)/MAX(L31-M31,0.000000001),6)</f>
        <v/>
      </c>
      <c r="O31" s="5">
        <f>SUMPRODUCT(('01_Data'!$B31:$AW31&lt;&gt;"")*(1/(1+EXP(-(N31-'03_Lap_b'!$B$20:$AW$20)))))</f>
        <v/>
      </c>
      <c r="P31" s="5">
        <f>SUMPRODUCT(('01_Data'!$B31:$AW31&lt;&gt;"")*(1/(1+EXP(-(N31-'03_Lap_b'!$B$20:$AW$20))))^2)</f>
        <v/>
      </c>
      <c r="Q31" s="5">
        <f>MEDIAN(-6,N31+(C31-O31)/MAX(O31-P31,0.000000001),6)</f>
        <v/>
      </c>
      <c r="R31" s="5">
        <f>SUMPRODUCT(('01_Data'!$B31:$AW31&lt;&gt;"")*(1/(1+EXP(-(Q31-'03_Lap_b'!$B$25:$AW$25)))))</f>
        <v/>
      </c>
      <c r="S31" s="5">
        <f>SUMPRODUCT(('01_Data'!$B31:$AW31&lt;&gt;"")*(1/(1+EXP(-(Q31-'03_Lap_b'!$B$25:$AW$25))))^2)</f>
        <v/>
      </c>
      <c r="T31" s="5">
        <f>MEDIAN(-6,Q31+(C31-R31)/MAX(R31-S31,0.000000001),6)</f>
        <v/>
      </c>
      <c r="U31" s="5">
        <f>SUMPRODUCT(('01_Data'!$B31:$AW31&lt;&gt;"")*(1/(1+EXP(-(T31-'03_Lap_b'!$B$30:$AW$30)))))</f>
        <v/>
      </c>
      <c r="V31" s="5">
        <f>SUMPRODUCT(('01_Data'!$B31:$AW31&lt;&gt;"")*(1/(1+EXP(-(T31-'03_Lap_b'!$B$30:$AW$30))))^2)</f>
        <v/>
      </c>
      <c r="W31" s="5">
        <f>MEDIAN(-6,T31+(C31-U31)/MAX(U31-V31,0.000000001),6)</f>
        <v/>
      </c>
      <c r="X31" s="5">
        <f>SUMPRODUCT(('01_Data'!$B31:$AW31&lt;&gt;"")*(1/(1+EXP(-(W31-'03_Lap_b'!$B$35:$AW$35)))))</f>
        <v/>
      </c>
      <c r="Y31" s="5">
        <f>SUMPRODUCT(('01_Data'!$B31:$AW31&lt;&gt;"")*(1/(1+EXP(-(W31-'03_Lap_b'!$B$35:$AW$35))))^2)</f>
        <v/>
      </c>
      <c r="Z31" s="5">
        <f>MEDIAN(-6,W31+(C31-X31)/MAX(X31-Y31,0.000000001),6)</f>
        <v/>
      </c>
      <c r="AA31" s="5">
        <f>SUMPRODUCT(('01_Data'!$B31:$AW31&lt;&gt;"")*(1/(1+EXP(-(Z31-'03_Lap_b'!$B$40:$AW$40)))))</f>
        <v/>
      </c>
      <c r="AB31" s="5">
        <f>SUMPRODUCT(('01_Data'!$B31:$AW31&lt;&gt;"")*(1/(1+EXP(-(Z31-'03_Lap_b'!$B$40:$AW$40))))^2)</f>
        <v/>
      </c>
      <c r="AC31" s="5">
        <f>MEDIAN(-6,Z31+(C31-AA31)/MAX(AA31-AB31,0.000000001),6)</f>
        <v/>
      </c>
    </row>
    <row r="32">
      <c r="A32" t="n">
        <v>31</v>
      </c>
      <c r="B32">
        <f>'01_Data'!A32</f>
        <v/>
      </c>
      <c r="C32">
        <f>SUM('01_Data'!$B32:$AW32)</f>
        <v/>
      </c>
      <c r="D32">
        <f>COUNT('01_Data'!$B32:$AW32)</f>
        <v/>
      </c>
      <c r="E32" s="5">
        <f>MEDIAN(-6,LN((C32+0.3)/(D32-C32+0.3)),6)</f>
        <v/>
      </c>
      <c r="F32" s="5">
        <f>SUMPRODUCT(('01_Data'!$B32:$AW32&lt;&gt;"")*(1/(1+EXP(-(E32-'03_Lap_b'!$B$5:$AW$5)))))</f>
        <v/>
      </c>
      <c r="G32" s="5">
        <f>SUMPRODUCT(('01_Data'!$B32:$AW32&lt;&gt;"")*(1/(1+EXP(-(E32-'03_Lap_b'!$B$5:$AW$5))))^2)</f>
        <v/>
      </c>
      <c r="H32" s="5">
        <f>MEDIAN(-6,E32+(C32-F32)/MAX(F32-G32,0.000000001),6)</f>
        <v/>
      </c>
      <c r="I32" s="5">
        <f>SUMPRODUCT(('01_Data'!$B32:$AW32&lt;&gt;"")*(1/(1+EXP(-(H32-'03_Lap_b'!$B$10:$AW$10)))))</f>
        <v/>
      </c>
      <c r="J32" s="5">
        <f>SUMPRODUCT(('01_Data'!$B32:$AW32&lt;&gt;"")*(1/(1+EXP(-(H32-'03_Lap_b'!$B$10:$AW$10))))^2)</f>
        <v/>
      </c>
      <c r="K32" s="5">
        <f>MEDIAN(-6,H32+(C32-I32)/MAX(I32-J32,0.000000001),6)</f>
        <v/>
      </c>
      <c r="L32" s="5">
        <f>SUMPRODUCT(('01_Data'!$B32:$AW32&lt;&gt;"")*(1/(1+EXP(-(K32-'03_Lap_b'!$B$15:$AW$15)))))</f>
        <v/>
      </c>
      <c r="M32" s="5">
        <f>SUMPRODUCT(('01_Data'!$B32:$AW32&lt;&gt;"")*(1/(1+EXP(-(K32-'03_Lap_b'!$B$15:$AW$15))))^2)</f>
        <v/>
      </c>
      <c r="N32" s="5">
        <f>MEDIAN(-6,K32+(C32-L32)/MAX(L32-M32,0.000000001),6)</f>
        <v/>
      </c>
      <c r="O32" s="5">
        <f>SUMPRODUCT(('01_Data'!$B32:$AW32&lt;&gt;"")*(1/(1+EXP(-(N32-'03_Lap_b'!$B$20:$AW$20)))))</f>
        <v/>
      </c>
      <c r="P32" s="5">
        <f>SUMPRODUCT(('01_Data'!$B32:$AW32&lt;&gt;"")*(1/(1+EXP(-(N32-'03_Lap_b'!$B$20:$AW$20))))^2)</f>
        <v/>
      </c>
      <c r="Q32" s="5">
        <f>MEDIAN(-6,N32+(C32-O32)/MAX(O32-P32,0.000000001),6)</f>
        <v/>
      </c>
      <c r="R32" s="5">
        <f>SUMPRODUCT(('01_Data'!$B32:$AW32&lt;&gt;"")*(1/(1+EXP(-(Q32-'03_Lap_b'!$B$25:$AW$25)))))</f>
        <v/>
      </c>
      <c r="S32" s="5">
        <f>SUMPRODUCT(('01_Data'!$B32:$AW32&lt;&gt;"")*(1/(1+EXP(-(Q32-'03_Lap_b'!$B$25:$AW$25))))^2)</f>
        <v/>
      </c>
      <c r="T32" s="5">
        <f>MEDIAN(-6,Q32+(C32-R32)/MAX(R32-S32,0.000000001),6)</f>
        <v/>
      </c>
      <c r="U32" s="5">
        <f>SUMPRODUCT(('01_Data'!$B32:$AW32&lt;&gt;"")*(1/(1+EXP(-(T32-'03_Lap_b'!$B$30:$AW$30)))))</f>
        <v/>
      </c>
      <c r="V32" s="5">
        <f>SUMPRODUCT(('01_Data'!$B32:$AW32&lt;&gt;"")*(1/(1+EXP(-(T32-'03_Lap_b'!$B$30:$AW$30))))^2)</f>
        <v/>
      </c>
      <c r="W32" s="5">
        <f>MEDIAN(-6,T32+(C32-U32)/MAX(U32-V32,0.000000001),6)</f>
        <v/>
      </c>
      <c r="X32" s="5">
        <f>SUMPRODUCT(('01_Data'!$B32:$AW32&lt;&gt;"")*(1/(1+EXP(-(W32-'03_Lap_b'!$B$35:$AW$35)))))</f>
        <v/>
      </c>
      <c r="Y32" s="5">
        <f>SUMPRODUCT(('01_Data'!$B32:$AW32&lt;&gt;"")*(1/(1+EXP(-(W32-'03_Lap_b'!$B$35:$AW$35))))^2)</f>
        <v/>
      </c>
      <c r="Z32" s="5">
        <f>MEDIAN(-6,W32+(C32-X32)/MAX(X32-Y32,0.000000001),6)</f>
        <v/>
      </c>
      <c r="AA32" s="5">
        <f>SUMPRODUCT(('01_Data'!$B32:$AW32&lt;&gt;"")*(1/(1+EXP(-(Z32-'03_Lap_b'!$B$40:$AW$40)))))</f>
        <v/>
      </c>
      <c r="AB32" s="5">
        <f>SUMPRODUCT(('01_Data'!$B32:$AW32&lt;&gt;"")*(1/(1+EXP(-(Z32-'03_Lap_b'!$B$40:$AW$40))))^2)</f>
        <v/>
      </c>
      <c r="AC32" s="5">
        <f>MEDIAN(-6,Z32+(C32-AA32)/MAX(AA32-AB32,0.000000001),6)</f>
        <v/>
      </c>
    </row>
    <row r="33">
      <c r="A33" t="n">
        <v>32</v>
      </c>
      <c r="B33">
        <f>'01_Data'!A33</f>
        <v/>
      </c>
      <c r="C33">
        <f>SUM('01_Data'!$B33:$AW33)</f>
        <v/>
      </c>
      <c r="D33">
        <f>COUNT('01_Data'!$B33:$AW33)</f>
        <v/>
      </c>
      <c r="E33" s="5">
        <f>MEDIAN(-6,LN((C33+0.3)/(D33-C33+0.3)),6)</f>
        <v/>
      </c>
      <c r="F33" s="5">
        <f>SUMPRODUCT(('01_Data'!$B33:$AW33&lt;&gt;"")*(1/(1+EXP(-(E33-'03_Lap_b'!$B$5:$AW$5)))))</f>
        <v/>
      </c>
      <c r="G33" s="5">
        <f>SUMPRODUCT(('01_Data'!$B33:$AW33&lt;&gt;"")*(1/(1+EXP(-(E33-'03_Lap_b'!$B$5:$AW$5))))^2)</f>
        <v/>
      </c>
      <c r="H33" s="5">
        <f>MEDIAN(-6,E33+(C33-F33)/MAX(F33-G33,0.000000001),6)</f>
        <v/>
      </c>
      <c r="I33" s="5">
        <f>SUMPRODUCT(('01_Data'!$B33:$AW33&lt;&gt;"")*(1/(1+EXP(-(H33-'03_Lap_b'!$B$10:$AW$10)))))</f>
        <v/>
      </c>
      <c r="J33" s="5">
        <f>SUMPRODUCT(('01_Data'!$B33:$AW33&lt;&gt;"")*(1/(1+EXP(-(H33-'03_Lap_b'!$B$10:$AW$10))))^2)</f>
        <v/>
      </c>
      <c r="K33" s="5">
        <f>MEDIAN(-6,H33+(C33-I33)/MAX(I33-J33,0.000000001),6)</f>
        <v/>
      </c>
      <c r="L33" s="5">
        <f>SUMPRODUCT(('01_Data'!$B33:$AW33&lt;&gt;"")*(1/(1+EXP(-(K33-'03_Lap_b'!$B$15:$AW$15)))))</f>
        <v/>
      </c>
      <c r="M33" s="5">
        <f>SUMPRODUCT(('01_Data'!$B33:$AW33&lt;&gt;"")*(1/(1+EXP(-(K33-'03_Lap_b'!$B$15:$AW$15))))^2)</f>
        <v/>
      </c>
      <c r="N33" s="5">
        <f>MEDIAN(-6,K33+(C33-L33)/MAX(L33-M33,0.000000001),6)</f>
        <v/>
      </c>
      <c r="O33" s="5">
        <f>SUMPRODUCT(('01_Data'!$B33:$AW33&lt;&gt;"")*(1/(1+EXP(-(N33-'03_Lap_b'!$B$20:$AW$20)))))</f>
        <v/>
      </c>
      <c r="P33" s="5">
        <f>SUMPRODUCT(('01_Data'!$B33:$AW33&lt;&gt;"")*(1/(1+EXP(-(N33-'03_Lap_b'!$B$20:$AW$20))))^2)</f>
        <v/>
      </c>
      <c r="Q33" s="5">
        <f>MEDIAN(-6,N33+(C33-O33)/MAX(O33-P33,0.000000001),6)</f>
        <v/>
      </c>
      <c r="R33" s="5">
        <f>SUMPRODUCT(('01_Data'!$B33:$AW33&lt;&gt;"")*(1/(1+EXP(-(Q33-'03_Lap_b'!$B$25:$AW$25)))))</f>
        <v/>
      </c>
      <c r="S33" s="5">
        <f>SUMPRODUCT(('01_Data'!$B33:$AW33&lt;&gt;"")*(1/(1+EXP(-(Q33-'03_Lap_b'!$B$25:$AW$25))))^2)</f>
        <v/>
      </c>
      <c r="T33" s="5">
        <f>MEDIAN(-6,Q33+(C33-R33)/MAX(R33-S33,0.000000001),6)</f>
        <v/>
      </c>
      <c r="U33" s="5">
        <f>SUMPRODUCT(('01_Data'!$B33:$AW33&lt;&gt;"")*(1/(1+EXP(-(T33-'03_Lap_b'!$B$30:$AW$30)))))</f>
        <v/>
      </c>
      <c r="V33" s="5">
        <f>SUMPRODUCT(('01_Data'!$B33:$AW33&lt;&gt;"")*(1/(1+EXP(-(T33-'03_Lap_b'!$B$30:$AW$30))))^2)</f>
        <v/>
      </c>
      <c r="W33" s="5">
        <f>MEDIAN(-6,T33+(C33-U33)/MAX(U33-V33,0.000000001),6)</f>
        <v/>
      </c>
      <c r="X33" s="5">
        <f>SUMPRODUCT(('01_Data'!$B33:$AW33&lt;&gt;"")*(1/(1+EXP(-(W33-'03_Lap_b'!$B$35:$AW$35)))))</f>
        <v/>
      </c>
      <c r="Y33" s="5">
        <f>SUMPRODUCT(('01_Data'!$B33:$AW33&lt;&gt;"")*(1/(1+EXP(-(W33-'03_Lap_b'!$B$35:$AW$35))))^2)</f>
        <v/>
      </c>
      <c r="Z33" s="5">
        <f>MEDIAN(-6,W33+(C33-X33)/MAX(X33-Y33,0.000000001),6)</f>
        <v/>
      </c>
      <c r="AA33" s="5">
        <f>SUMPRODUCT(('01_Data'!$B33:$AW33&lt;&gt;"")*(1/(1+EXP(-(Z33-'03_Lap_b'!$B$40:$AW$40)))))</f>
        <v/>
      </c>
      <c r="AB33" s="5">
        <f>SUMPRODUCT(('01_Data'!$B33:$AW33&lt;&gt;"")*(1/(1+EXP(-(Z33-'03_Lap_b'!$B$40:$AW$40))))^2)</f>
        <v/>
      </c>
      <c r="AC33" s="5">
        <f>MEDIAN(-6,Z33+(C33-AA33)/MAX(AA33-AB33,0.000000001),6)</f>
        <v/>
      </c>
    </row>
    <row r="34">
      <c r="A34" t="n">
        <v>33</v>
      </c>
      <c r="B34">
        <f>'01_Data'!A34</f>
        <v/>
      </c>
      <c r="C34">
        <f>SUM('01_Data'!$B34:$AW34)</f>
        <v/>
      </c>
      <c r="D34">
        <f>COUNT('01_Data'!$B34:$AW34)</f>
        <v/>
      </c>
      <c r="E34" s="5">
        <f>MEDIAN(-6,LN((C34+0.3)/(D34-C34+0.3)),6)</f>
        <v/>
      </c>
      <c r="F34" s="5">
        <f>SUMPRODUCT(('01_Data'!$B34:$AW34&lt;&gt;"")*(1/(1+EXP(-(E34-'03_Lap_b'!$B$5:$AW$5)))))</f>
        <v/>
      </c>
      <c r="G34" s="5">
        <f>SUMPRODUCT(('01_Data'!$B34:$AW34&lt;&gt;"")*(1/(1+EXP(-(E34-'03_Lap_b'!$B$5:$AW$5))))^2)</f>
        <v/>
      </c>
      <c r="H34" s="5">
        <f>MEDIAN(-6,E34+(C34-F34)/MAX(F34-G34,0.000000001),6)</f>
        <v/>
      </c>
      <c r="I34" s="5">
        <f>SUMPRODUCT(('01_Data'!$B34:$AW34&lt;&gt;"")*(1/(1+EXP(-(H34-'03_Lap_b'!$B$10:$AW$10)))))</f>
        <v/>
      </c>
      <c r="J34" s="5">
        <f>SUMPRODUCT(('01_Data'!$B34:$AW34&lt;&gt;"")*(1/(1+EXP(-(H34-'03_Lap_b'!$B$10:$AW$10))))^2)</f>
        <v/>
      </c>
      <c r="K34" s="5">
        <f>MEDIAN(-6,H34+(C34-I34)/MAX(I34-J34,0.000000001),6)</f>
        <v/>
      </c>
      <c r="L34" s="5">
        <f>SUMPRODUCT(('01_Data'!$B34:$AW34&lt;&gt;"")*(1/(1+EXP(-(K34-'03_Lap_b'!$B$15:$AW$15)))))</f>
        <v/>
      </c>
      <c r="M34" s="5">
        <f>SUMPRODUCT(('01_Data'!$B34:$AW34&lt;&gt;"")*(1/(1+EXP(-(K34-'03_Lap_b'!$B$15:$AW$15))))^2)</f>
        <v/>
      </c>
      <c r="N34" s="5">
        <f>MEDIAN(-6,K34+(C34-L34)/MAX(L34-M34,0.000000001),6)</f>
        <v/>
      </c>
      <c r="O34" s="5">
        <f>SUMPRODUCT(('01_Data'!$B34:$AW34&lt;&gt;"")*(1/(1+EXP(-(N34-'03_Lap_b'!$B$20:$AW$20)))))</f>
        <v/>
      </c>
      <c r="P34" s="5">
        <f>SUMPRODUCT(('01_Data'!$B34:$AW34&lt;&gt;"")*(1/(1+EXP(-(N34-'03_Lap_b'!$B$20:$AW$20))))^2)</f>
        <v/>
      </c>
      <c r="Q34" s="5">
        <f>MEDIAN(-6,N34+(C34-O34)/MAX(O34-P34,0.000000001),6)</f>
        <v/>
      </c>
      <c r="R34" s="5">
        <f>SUMPRODUCT(('01_Data'!$B34:$AW34&lt;&gt;"")*(1/(1+EXP(-(Q34-'03_Lap_b'!$B$25:$AW$25)))))</f>
        <v/>
      </c>
      <c r="S34" s="5">
        <f>SUMPRODUCT(('01_Data'!$B34:$AW34&lt;&gt;"")*(1/(1+EXP(-(Q34-'03_Lap_b'!$B$25:$AW$25))))^2)</f>
        <v/>
      </c>
      <c r="T34" s="5">
        <f>MEDIAN(-6,Q34+(C34-R34)/MAX(R34-S34,0.000000001),6)</f>
        <v/>
      </c>
      <c r="U34" s="5">
        <f>SUMPRODUCT(('01_Data'!$B34:$AW34&lt;&gt;"")*(1/(1+EXP(-(T34-'03_Lap_b'!$B$30:$AW$30)))))</f>
        <v/>
      </c>
      <c r="V34" s="5">
        <f>SUMPRODUCT(('01_Data'!$B34:$AW34&lt;&gt;"")*(1/(1+EXP(-(T34-'03_Lap_b'!$B$30:$AW$30))))^2)</f>
        <v/>
      </c>
      <c r="W34" s="5">
        <f>MEDIAN(-6,T34+(C34-U34)/MAX(U34-V34,0.000000001),6)</f>
        <v/>
      </c>
      <c r="X34" s="5">
        <f>SUMPRODUCT(('01_Data'!$B34:$AW34&lt;&gt;"")*(1/(1+EXP(-(W34-'03_Lap_b'!$B$35:$AW$35)))))</f>
        <v/>
      </c>
      <c r="Y34" s="5">
        <f>SUMPRODUCT(('01_Data'!$B34:$AW34&lt;&gt;"")*(1/(1+EXP(-(W34-'03_Lap_b'!$B$35:$AW$35))))^2)</f>
        <v/>
      </c>
      <c r="Z34" s="5">
        <f>MEDIAN(-6,W34+(C34-X34)/MAX(X34-Y34,0.000000001),6)</f>
        <v/>
      </c>
      <c r="AA34" s="5">
        <f>SUMPRODUCT(('01_Data'!$B34:$AW34&lt;&gt;"")*(1/(1+EXP(-(Z34-'03_Lap_b'!$B$40:$AW$40)))))</f>
        <v/>
      </c>
      <c r="AB34" s="5">
        <f>SUMPRODUCT(('01_Data'!$B34:$AW34&lt;&gt;"")*(1/(1+EXP(-(Z34-'03_Lap_b'!$B$40:$AW$40))))^2)</f>
        <v/>
      </c>
      <c r="AC34" s="5">
        <f>MEDIAN(-6,Z34+(C34-AA34)/MAX(AA34-AB34,0.000000001),6)</f>
        <v/>
      </c>
    </row>
    <row r="35">
      <c r="A35" t="n">
        <v>34</v>
      </c>
      <c r="B35">
        <f>'01_Data'!A35</f>
        <v/>
      </c>
      <c r="C35">
        <f>SUM('01_Data'!$B35:$AW35)</f>
        <v/>
      </c>
      <c r="D35">
        <f>COUNT('01_Data'!$B35:$AW35)</f>
        <v/>
      </c>
      <c r="E35" s="5">
        <f>MEDIAN(-6,LN((C35+0.3)/(D35-C35+0.3)),6)</f>
        <v/>
      </c>
      <c r="F35" s="5">
        <f>SUMPRODUCT(('01_Data'!$B35:$AW35&lt;&gt;"")*(1/(1+EXP(-(E35-'03_Lap_b'!$B$5:$AW$5)))))</f>
        <v/>
      </c>
      <c r="G35" s="5">
        <f>SUMPRODUCT(('01_Data'!$B35:$AW35&lt;&gt;"")*(1/(1+EXP(-(E35-'03_Lap_b'!$B$5:$AW$5))))^2)</f>
        <v/>
      </c>
      <c r="H35" s="5">
        <f>MEDIAN(-6,E35+(C35-F35)/MAX(F35-G35,0.000000001),6)</f>
        <v/>
      </c>
      <c r="I35" s="5">
        <f>SUMPRODUCT(('01_Data'!$B35:$AW35&lt;&gt;"")*(1/(1+EXP(-(H35-'03_Lap_b'!$B$10:$AW$10)))))</f>
        <v/>
      </c>
      <c r="J35" s="5">
        <f>SUMPRODUCT(('01_Data'!$B35:$AW35&lt;&gt;"")*(1/(1+EXP(-(H35-'03_Lap_b'!$B$10:$AW$10))))^2)</f>
        <v/>
      </c>
      <c r="K35" s="5">
        <f>MEDIAN(-6,H35+(C35-I35)/MAX(I35-J35,0.000000001),6)</f>
        <v/>
      </c>
      <c r="L35" s="5">
        <f>SUMPRODUCT(('01_Data'!$B35:$AW35&lt;&gt;"")*(1/(1+EXP(-(K35-'03_Lap_b'!$B$15:$AW$15)))))</f>
        <v/>
      </c>
      <c r="M35" s="5">
        <f>SUMPRODUCT(('01_Data'!$B35:$AW35&lt;&gt;"")*(1/(1+EXP(-(K35-'03_Lap_b'!$B$15:$AW$15))))^2)</f>
        <v/>
      </c>
      <c r="N35" s="5">
        <f>MEDIAN(-6,K35+(C35-L35)/MAX(L35-M35,0.000000001),6)</f>
        <v/>
      </c>
      <c r="O35" s="5">
        <f>SUMPRODUCT(('01_Data'!$B35:$AW35&lt;&gt;"")*(1/(1+EXP(-(N35-'03_Lap_b'!$B$20:$AW$20)))))</f>
        <v/>
      </c>
      <c r="P35" s="5">
        <f>SUMPRODUCT(('01_Data'!$B35:$AW35&lt;&gt;"")*(1/(1+EXP(-(N35-'03_Lap_b'!$B$20:$AW$20))))^2)</f>
        <v/>
      </c>
      <c r="Q35" s="5">
        <f>MEDIAN(-6,N35+(C35-O35)/MAX(O35-P35,0.000000001),6)</f>
        <v/>
      </c>
      <c r="R35" s="5">
        <f>SUMPRODUCT(('01_Data'!$B35:$AW35&lt;&gt;"")*(1/(1+EXP(-(Q35-'03_Lap_b'!$B$25:$AW$25)))))</f>
        <v/>
      </c>
      <c r="S35" s="5">
        <f>SUMPRODUCT(('01_Data'!$B35:$AW35&lt;&gt;"")*(1/(1+EXP(-(Q35-'03_Lap_b'!$B$25:$AW$25))))^2)</f>
        <v/>
      </c>
      <c r="T35" s="5">
        <f>MEDIAN(-6,Q35+(C35-R35)/MAX(R35-S35,0.000000001),6)</f>
        <v/>
      </c>
      <c r="U35" s="5">
        <f>SUMPRODUCT(('01_Data'!$B35:$AW35&lt;&gt;"")*(1/(1+EXP(-(T35-'03_Lap_b'!$B$30:$AW$30)))))</f>
        <v/>
      </c>
      <c r="V35" s="5">
        <f>SUMPRODUCT(('01_Data'!$B35:$AW35&lt;&gt;"")*(1/(1+EXP(-(T35-'03_Lap_b'!$B$30:$AW$30))))^2)</f>
        <v/>
      </c>
      <c r="W35" s="5">
        <f>MEDIAN(-6,T35+(C35-U35)/MAX(U35-V35,0.000000001),6)</f>
        <v/>
      </c>
      <c r="X35" s="5">
        <f>SUMPRODUCT(('01_Data'!$B35:$AW35&lt;&gt;"")*(1/(1+EXP(-(W35-'03_Lap_b'!$B$35:$AW$35)))))</f>
        <v/>
      </c>
      <c r="Y35" s="5">
        <f>SUMPRODUCT(('01_Data'!$B35:$AW35&lt;&gt;"")*(1/(1+EXP(-(W35-'03_Lap_b'!$B$35:$AW$35))))^2)</f>
        <v/>
      </c>
      <c r="Z35" s="5">
        <f>MEDIAN(-6,W35+(C35-X35)/MAX(X35-Y35,0.000000001),6)</f>
        <v/>
      </c>
      <c r="AA35" s="5">
        <f>SUMPRODUCT(('01_Data'!$B35:$AW35&lt;&gt;"")*(1/(1+EXP(-(Z35-'03_Lap_b'!$B$40:$AW$40)))))</f>
        <v/>
      </c>
      <c r="AB35" s="5">
        <f>SUMPRODUCT(('01_Data'!$B35:$AW35&lt;&gt;"")*(1/(1+EXP(-(Z35-'03_Lap_b'!$B$40:$AW$40))))^2)</f>
        <v/>
      </c>
      <c r="AC35" s="5">
        <f>MEDIAN(-6,Z35+(C35-AA35)/MAX(AA35-AB35,0.000000001),6)</f>
        <v/>
      </c>
    </row>
    <row r="36">
      <c r="A36" t="n">
        <v>35</v>
      </c>
      <c r="B36">
        <f>'01_Data'!A36</f>
        <v/>
      </c>
      <c r="C36">
        <f>SUM('01_Data'!$B36:$AW36)</f>
        <v/>
      </c>
      <c r="D36">
        <f>COUNT('01_Data'!$B36:$AW36)</f>
        <v/>
      </c>
      <c r="E36" s="5">
        <f>MEDIAN(-6,LN((C36+0.3)/(D36-C36+0.3)),6)</f>
        <v/>
      </c>
      <c r="F36" s="5">
        <f>SUMPRODUCT(('01_Data'!$B36:$AW36&lt;&gt;"")*(1/(1+EXP(-(E36-'03_Lap_b'!$B$5:$AW$5)))))</f>
        <v/>
      </c>
      <c r="G36" s="5">
        <f>SUMPRODUCT(('01_Data'!$B36:$AW36&lt;&gt;"")*(1/(1+EXP(-(E36-'03_Lap_b'!$B$5:$AW$5))))^2)</f>
        <v/>
      </c>
      <c r="H36" s="5">
        <f>MEDIAN(-6,E36+(C36-F36)/MAX(F36-G36,0.000000001),6)</f>
        <v/>
      </c>
      <c r="I36" s="5">
        <f>SUMPRODUCT(('01_Data'!$B36:$AW36&lt;&gt;"")*(1/(1+EXP(-(H36-'03_Lap_b'!$B$10:$AW$10)))))</f>
        <v/>
      </c>
      <c r="J36" s="5">
        <f>SUMPRODUCT(('01_Data'!$B36:$AW36&lt;&gt;"")*(1/(1+EXP(-(H36-'03_Lap_b'!$B$10:$AW$10))))^2)</f>
        <v/>
      </c>
      <c r="K36" s="5">
        <f>MEDIAN(-6,H36+(C36-I36)/MAX(I36-J36,0.000000001),6)</f>
        <v/>
      </c>
      <c r="L36" s="5">
        <f>SUMPRODUCT(('01_Data'!$B36:$AW36&lt;&gt;"")*(1/(1+EXP(-(K36-'03_Lap_b'!$B$15:$AW$15)))))</f>
        <v/>
      </c>
      <c r="M36" s="5">
        <f>SUMPRODUCT(('01_Data'!$B36:$AW36&lt;&gt;"")*(1/(1+EXP(-(K36-'03_Lap_b'!$B$15:$AW$15))))^2)</f>
        <v/>
      </c>
      <c r="N36" s="5">
        <f>MEDIAN(-6,K36+(C36-L36)/MAX(L36-M36,0.000000001),6)</f>
        <v/>
      </c>
      <c r="O36" s="5">
        <f>SUMPRODUCT(('01_Data'!$B36:$AW36&lt;&gt;"")*(1/(1+EXP(-(N36-'03_Lap_b'!$B$20:$AW$20)))))</f>
        <v/>
      </c>
      <c r="P36" s="5">
        <f>SUMPRODUCT(('01_Data'!$B36:$AW36&lt;&gt;"")*(1/(1+EXP(-(N36-'03_Lap_b'!$B$20:$AW$20))))^2)</f>
        <v/>
      </c>
      <c r="Q36" s="5">
        <f>MEDIAN(-6,N36+(C36-O36)/MAX(O36-P36,0.000000001),6)</f>
        <v/>
      </c>
      <c r="R36" s="5">
        <f>SUMPRODUCT(('01_Data'!$B36:$AW36&lt;&gt;"")*(1/(1+EXP(-(Q36-'03_Lap_b'!$B$25:$AW$25)))))</f>
        <v/>
      </c>
      <c r="S36" s="5">
        <f>SUMPRODUCT(('01_Data'!$B36:$AW36&lt;&gt;"")*(1/(1+EXP(-(Q36-'03_Lap_b'!$B$25:$AW$25))))^2)</f>
        <v/>
      </c>
      <c r="T36" s="5">
        <f>MEDIAN(-6,Q36+(C36-R36)/MAX(R36-S36,0.000000001),6)</f>
        <v/>
      </c>
      <c r="U36" s="5">
        <f>SUMPRODUCT(('01_Data'!$B36:$AW36&lt;&gt;"")*(1/(1+EXP(-(T36-'03_Lap_b'!$B$30:$AW$30)))))</f>
        <v/>
      </c>
      <c r="V36" s="5">
        <f>SUMPRODUCT(('01_Data'!$B36:$AW36&lt;&gt;"")*(1/(1+EXP(-(T36-'03_Lap_b'!$B$30:$AW$30))))^2)</f>
        <v/>
      </c>
      <c r="W36" s="5">
        <f>MEDIAN(-6,T36+(C36-U36)/MAX(U36-V36,0.000000001),6)</f>
        <v/>
      </c>
      <c r="X36" s="5">
        <f>SUMPRODUCT(('01_Data'!$B36:$AW36&lt;&gt;"")*(1/(1+EXP(-(W36-'03_Lap_b'!$B$35:$AW$35)))))</f>
        <v/>
      </c>
      <c r="Y36" s="5">
        <f>SUMPRODUCT(('01_Data'!$B36:$AW36&lt;&gt;"")*(1/(1+EXP(-(W36-'03_Lap_b'!$B$35:$AW$35))))^2)</f>
        <v/>
      </c>
      <c r="Z36" s="5">
        <f>MEDIAN(-6,W36+(C36-X36)/MAX(X36-Y36,0.000000001),6)</f>
        <v/>
      </c>
      <c r="AA36" s="5">
        <f>SUMPRODUCT(('01_Data'!$B36:$AW36&lt;&gt;"")*(1/(1+EXP(-(Z36-'03_Lap_b'!$B$40:$AW$40)))))</f>
        <v/>
      </c>
      <c r="AB36" s="5">
        <f>SUMPRODUCT(('01_Data'!$B36:$AW36&lt;&gt;"")*(1/(1+EXP(-(Z36-'03_Lap_b'!$B$40:$AW$40))))^2)</f>
        <v/>
      </c>
      <c r="AC36" s="5">
        <f>MEDIAN(-6,Z36+(C36-AA36)/MAX(AA36-AB36,0.000000001),6)</f>
        <v/>
      </c>
    </row>
    <row r="37">
      <c r="A37" t="n">
        <v>36</v>
      </c>
      <c r="B37">
        <f>'01_Data'!A37</f>
        <v/>
      </c>
      <c r="C37">
        <f>SUM('01_Data'!$B37:$AW37)</f>
        <v/>
      </c>
      <c r="D37">
        <f>COUNT('01_Data'!$B37:$AW37)</f>
        <v/>
      </c>
      <c r="E37" s="5">
        <f>MEDIAN(-6,LN((C37+0.3)/(D37-C37+0.3)),6)</f>
        <v/>
      </c>
      <c r="F37" s="5">
        <f>SUMPRODUCT(('01_Data'!$B37:$AW37&lt;&gt;"")*(1/(1+EXP(-(E37-'03_Lap_b'!$B$5:$AW$5)))))</f>
        <v/>
      </c>
      <c r="G37" s="5">
        <f>SUMPRODUCT(('01_Data'!$B37:$AW37&lt;&gt;"")*(1/(1+EXP(-(E37-'03_Lap_b'!$B$5:$AW$5))))^2)</f>
        <v/>
      </c>
      <c r="H37" s="5">
        <f>MEDIAN(-6,E37+(C37-F37)/MAX(F37-G37,0.000000001),6)</f>
        <v/>
      </c>
      <c r="I37" s="5">
        <f>SUMPRODUCT(('01_Data'!$B37:$AW37&lt;&gt;"")*(1/(1+EXP(-(H37-'03_Lap_b'!$B$10:$AW$10)))))</f>
        <v/>
      </c>
      <c r="J37" s="5">
        <f>SUMPRODUCT(('01_Data'!$B37:$AW37&lt;&gt;"")*(1/(1+EXP(-(H37-'03_Lap_b'!$B$10:$AW$10))))^2)</f>
        <v/>
      </c>
      <c r="K37" s="5">
        <f>MEDIAN(-6,H37+(C37-I37)/MAX(I37-J37,0.000000001),6)</f>
        <v/>
      </c>
      <c r="L37" s="5">
        <f>SUMPRODUCT(('01_Data'!$B37:$AW37&lt;&gt;"")*(1/(1+EXP(-(K37-'03_Lap_b'!$B$15:$AW$15)))))</f>
        <v/>
      </c>
      <c r="M37" s="5">
        <f>SUMPRODUCT(('01_Data'!$B37:$AW37&lt;&gt;"")*(1/(1+EXP(-(K37-'03_Lap_b'!$B$15:$AW$15))))^2)</f>
        <v/>
      </c>
      <c r="N37" s="5">
        <f>MEDIAN(-6,K37+(C37-L37)/MAX(L37-M37,0.000000001),6)</f>
        <v/>
      </c>
      <c r="O37" s="5">
        <f>SUMPRODUCT(('01_Data'!$B37:$AW37&lt;&gt;"")*(1/(1+EXP(-(N37-'03_Lap_b'!$B$20:$AW$20)))))</f>
        <v/>
      </c>
      <c r="P37" s="5">
        <f>SUMPRODUCT(('01_Data'!$B37:$AW37&lt;&gt;"")*(1/(1+EXP(-(N37-'03_Lap_b'!$B$20:$AW$20))))^2)</f>
        <v/>
      </c>
      <c r="Q37" s="5">
        <f>MEDIAN(-6,N37+(C37-O37)/MAX(O37-P37,0.000000001),6)</f>
        <v/>
      </c>
      <c r="R37" s="5">
        <f>SUMPRODUCT(('01_Data'!$B37:$AW37&lt;&gt;"")*(1/(1+EXP(-(Q37-'03_Lap_b'!$B$25:$AW$25)))))</f>
        <v/>
      </c>
      <c r="S37" s="5">
        <f>SUMPRODUCT(('01_Data'!$B37:$AW37&lt;&gt;"")*(1/(1+EXP(-(Q37-'03_Lap_b'!$B$25:$AW$25))))^2)</f>
        <v/>
      </c>
      <c r="T37" s="5">
        <f>MEDIAN(-6,Q37+(C37-R37)/MAX(R37-S37,0.000000001),6)</f>
        <v/>
      </c>
      <c r="U37" s="5">
        <f>SUMPRODUCT(('01_Data'!$B37:$AW37&lt;&gt;"")*(1/(1+EXP(-(T37-'03_Lap_b'!$B$30:$AW$30)))))</f>
        <v/>
      </c>
      <c r="V37" s="5">
        <f>SUMPRODUCT(('01_Data'!$B37:$AW37&lt;&gt;"")*(1/(1+EXP(-(T37-'03_Lap_b'!$B$30:$AW$30))))^2)</f>
        <v/>
      </c>
      <c r="W37" s="5">
        <f>MEDIAN(-6,T37+(C37-U37)/MAX(U37-V37,0.000000001),6)</f>
        <v/>
      </c>
      <c r="X37" s="5">
        <f>SUMPRODUCT(('01_Data'!$B37:$AW37&lt;&gt;"")*(1/(1+EXP(-(W37-'03_Lap_b'!$B$35:$AW$35)))))</f>
        <v/>
      </c>
      <c r="Y37" s="5">
        <f>SUMPRODUCT(('01_Data'!$B37:$AW37&lt;&gt;"")*(1/(1+EXP(-(W37-'03_Lap_b'!$B$35:$AW$35))))^2)</f>
        <v/>
      </c>
      <c r="Z37" s="5">
        <f>MEDIAN(-6,W37+(C37-X37)/MAX(X37-Y37,0.000000001),6)</f>
        <v/>
      </c>
      <c r="AA37" s="5">
        <f>SUMPRODUCT(('01_Data'!$B37:$AW37&lt;&gt;"")*(1/(1+EXP(-(Z37-'03_Lap_b'!$B$40:$AW$40)))))</f>
        <v/>
      </c>
      <c r="AB37" s="5">
        <f>SUMPRODUCT(('01_Data'!$B37:$AW37&lt;&gt;"")*(1/(1+EXP(-(Z37-'03_Lap_b'!$B$40:$AW$40))))^2)</f>
        <v/>
      </c>
      <c r="AC37" s="5">
        <f>MEDIAN(-6,Z37+(C37-AA37)/MAX(AA37-AB37,0.000000001),6)</f>
        <v/>
      </c>
    </row>
    <row r="38">
      <c r="A38" t="n">
        <v>37</v>
      </c>
      <c r="B38">
        <f>'01_Data'!A38</f>
        <v/>
      </c>
      <c r="C38">
        <f>SUM('01_Data'!$B38:$AW38)</f>
        <v/>
      </c>
      <c r="D38">
        <f>COUNT('01_Data'!$B38:$AW38)</f>
        <v/>
      </c>
      <c r="E38" s="5">
        <f>MEDIAN(-6,LN((C38+0.3)/(D38-C38+0.3)),6)</f>
        <v/>
      </c>
      <c r="F38" s="5">
        <f>SUMPRODUCT(('01_Data'!$B38:$AW38&lt;&gt;"")*(1/(1+EXP(-(E38-'03_Lap_b'!$B$5:$AW$5)))))</f>
        <v/>
      </c>
      <c r="G38" s="5">
        <f>SUMPRODUCT(('01_Data'!$B38:$AW38&lt;&gt;"")*(1/(1+EXP(-(E38-'03_Lap_b'!$B$5:$AW$5))))^2)</f>
        <v/>
      </c>
      <c r="H38" s="5">
        <f>MEDIAN(-6,E38+(C38-F38)/MAX(F38-G38,0.000000001),6)</f>
        <v/>
      </c>
      <c r="I38" s="5">
        <f>SUMPRODUCT(('01_Data'!$B38:$AW38&lt;&gt;"")*(1/(1+EXP(-(H38-'03_Lap_b'!$B$10:$AW$10)))))</f>
        <v/>
      </c>
      <c r="J38" s="5">
        <f>SUMPRODUCT(('01_Data'!$B38:$AW38&lt;&gt;"")*(1/(1+EXP(-(H38-'03_Lap_b'!$B$10:$AW$10))))^2)</f>
        <v/>
      </c>
      <c r="K38" s="5">
        <f>MEDIAN(-6,H38+(C38-I38)/MAX(I38-J38,0.000000001),6)</f>
        <v/>
      </c>
      <c r="L38" s="5">
        <f>SUMPRODUCT(('01_Data'!$B38:$AW38&lt;&gt;"")*(1/(1+EXP(-(K38-'03_Lap_b'!$B$15:$AW$15)))))</f>
        <v/>
      </c>
      <c r="M38" s="5">
        <f>SUMPRODUCT(('01_Data'!$B38:$AW38&lt;&gt;"")*(1/(1+EXP(-(K38-'03_Lap_b'!$B$15:$AW$15))))^2)</f>
        <v/>
      </c>
      <c r="N38" s="5">
        <f>MEDIAN(-6,K38+(C38-L38)/MAX(L38-M38,0.000000001),6)</f>
        <v/>
      </c>
      <c r="O38" s="5">
        <f>SUMPRODUCT(('01_Data'!$B38:$AW38&lt;&gt;"")*(1/(1+EXP(-(N38-'03_Lap_b'!$B$20:$AW$20)))))</f>
        <v/>
      </c>
      <c r="P38" s="5">
        <f>SUMPRODUCT(('01_Data'!$B38:$AW38&lt;&gt;"")*(1/(1+EXP(-(N38-'03_Lap_b'!$B$20:$AW$20))))^2)</f>
        <v/>
      </c>
      <c r="Q38" s="5">
        <f>MEDIAN(-6,N38+(C38-O38)/MAX(O38-P38,0.000000001),6)</f>
        <v/>
      </c>
      <c r="R38" s="5">
        <f>SUMPRODUCT(('01_Data'!$B38:$AW38&lt;&gt;"")*(1/(1+EXP(-(Q38-'03_Lap_b'!$B$25:$AW$25)))))</f>
        <v/>
      </c>
      <c r="S38" s="5">
        <f>SUMPRODUCT(('01_Data'!$B38:$AW38&lt;&gt;"")*(1/(1+EXP(-(Q38-'03_Lap_b'!$B$25:$AW$25))))^2)</f>
        <v/>
      </c>
      <c r="T38" s="5">
        <f>MEDIAN(-6,Q38+(C38-R38)/MAX(R38-S38,0.000000001),6)</f>
        <v/>
      </c>
      <c r="U38" s="5">
        <f>SUMPRODUCT(('01_Data'!$B38:$AW38&lt;&gt;"")*(1/(1+EXP(-(T38-'03_Lap_b'!$B$30:$AW$30)))))</f>
        <v/>
      </c>
      <c r="V38" s="5">
        <f>SUMPRODUCT(('01_Data'!$B38:$AW38&lt;&gt;"")*(1/(1+EXP(-(T38-'03_Lap_b'!$B$30:$AW$30))))^2)</f>
        <v/>
      </c>
      <c r="W38" s="5">
        <f>MEDIAN(-6,T38+(C38-U38)/MAX(U38-V38,0.000000001),6)</f>
        <v/>
      </c>
      <c r="X38" s="5">
        <f>SUMPRODUCT(('01_Data'!$B38:$AW38&lt;&gt;"")*(1/(1+EXP(-(W38-'03_Lap_b'!$B$35:$AW$35)))))</f>
        <v/>
      </c>
      <c r="Y38" s="5">
        <f>SUMPRODUCT(('01_Data'!$B38:$AW38&lt;&gt;"")*(1/(1+EXP(-(W38-'03_Lap_b'!$B$35:$AW$35))))^2)</f>
        <v/>
      </c>
      <c r="Z38" s="5">
        <f>MEDIAN(-6,W38+(C38-X38)/MAX(X38-Y38,0.000000001),6)</f>
        <v/>
      </c>
      <c r="AA38" s="5">
        <f>SUMPRODUCT(('01_Data'!$B38:$AW38&lt;&gt;"")*(1/(1+EXP(-(Z38-'03_Lap_b'!$B$40:$AW$40)))))</f>
        <v/>
      </c>
      <c r="AB38" s="5">
        <f>SUMPRODUCT(('01_Data'!$B38:$AW38&lt;&gt;"")*(1/(1+EXP(-(Z38-'03_Lap_b'!$B$40:$AW$40))))^2)</f>
        <v/>
      </c>
      <c r="AC38" s="5">
        <f>MEDIAN(-6,Z38+(C38-AA38)/MAX(AA38-AB38,0.000000001),6)</f>
        <v/>
      </c>
    </row>
    <row r="39">
      <c r="A39" t="n">
        <v>38</v>
      </c>
      <c r="B39">
        <f>'01_Data'!A39</f>
        <v/>
      </c>
      <c r="C39">
        <f>SUM('01_Data'!$B39:$AW39)</f>
        <v/>
      </c>
      <c r="D39">
        <f>COUNT('01_Data'!$B39:$AW39)</f>
        <v/>
      </c>
      <c r="E39" s="5">
        <f>MEDIAN(-6,LN((C39+0.3)/(D39-C39+0.3)),6)</f>
        <v/>
      </c>
      <c r="F39" s="5">
        <f>SUMPRODUCT(('01_Data'!$B39:$AW39&lt;&gt;"")*(1/(1+EXP(-(E39-'03_Lap_b'!$B$5:$AW$5)))))</f>
        <v/>
      </c>
      <c r="G39" s="5">
        <f>SUMPRODUCT(('01_Data'!$B39:$AW39&lt;&gt;"")*(1/(1+EXP(-(E39-'03_Lap_b'!$B$5:$AW$5))))^2)</f>
        <v/>
      </c>
      <c r="H39" s="5">
        <f>MEDIAN(-6,E39+(C39-F39)/MAX(F39-G39,0.000000001),6)</f>
        <v/>
      </c>
      <c r="I39" s="5">
        <f>SUMPRODUCT(('01_Data'!$B39:$AW39&lt;&gt;"")*(1/(1+EXP(-(H39-'03_Lap_b'!$B$10:$AW$10)))))</f>
        <v/>
      </c>
      <c r="J39" s="5">
        <f>SUMPRODUCT(('01_Data'!$B39:$AW39&lt;&gt;"")*(1/(1+EXP(-(H39-'03_Lap_b'!$B$10:$AW$10))))^2)</f>
        <v/>
      </c>
      <c r="K39" s="5">
        <f>MEDIAN(-6,H39+(C39-I39)/MAX(I39-J39,0.000000001),6)</f>
        <v/>
      </c>
      <c r="L39" s="5">
        <f>SUMPRODUCT(('01_Data'!$B39:$AW39&lt;&gt;"")*(1/(1+EXP(-(K39-'03_Lap_b'!$B$15:$AW$15)))))</f>
        <v/>
      </c>
      <c r="M39" s="5">
        <f>SUMPRODUCT(('01_Data'!$B39:$AW39&lt;&gt;"")*(1/(1+EXP(-(K39-'03_Lap_b'!$B$15:$AW$15))))^2)</f>
        <v/>
      </c>
      <c r="N39" s="5">
        <f>MEDIAN(-6,K39+(C39-L39)/MAX(L39-M39,0.000000001),6)</f>
        <v/>
      </c>
      <c r="O39" s="5">
        <f>SUMPRODUCT(('01_Data'!$B39:$AW39&lt;&gt;"")*(1/(1+EXP(-(N39-'03_Lap_b'!$B$20:$AW$20)))))</f>
        <v/>
      </c>
      <c r="P39" s="5">
        <f>SUMPRODUCT(('01_Data'!$B39:$AW39&lt;&gt;"")*(1/(1+EXP(-(N39-'03_Lap_b'!$B$20:$AW$20))))^2)</f>
        <v/>
      </c>
      <c r="Q39" s="5">
        <f>MEDIAN(-6,N39+(C39-O39)/MAX(O39-P39,0.000000001),6)</f>
        <v/>
      </c>
      <c r="R39" s="5">
        <f>SUMPRODUCT(('01_Data'!$B39:$AW39&lt;&gt;"")*(1/(1+EXP(-(Q39-'03_Lap_b'!$B$25:$AW$25)))))</f>
        <v/>
      </c>
      <c r="S39" s="5">
        <f>SUMPRODUCT(('01_Data'!$B39:$AW39&lt;&gt;"")*(1/(1+EXP(-(Q39-'03_Lap_b'!$B$25:$AW$25))))^2)</f>
        <v/>
      </c>
      <c r="T39" s="5">
        <f>MEDIAN(-6,Q39+(C39-R39)/MAX(R39-S39,0.000000001),6)</f>
        <v/>
      </c>
      <c r="U39" s="5">
        <f>SUMPRODUCT(('01_Data'!$B39:$AW39&lt;&gt;"")*(1/(1+EXP(-(T39-'03_Lap_b'!$B$30:$AW$30)))))</f>
        <v/>
      </c>
      <c r="V39" s="5">
        <f>SUMPRODUCT(('01_Data'!$B39:$AW39&lt;&gt;"")*(1/(1+EXP(-(T39-'03_Lap_b'!$B$30:$AW$30))))^2)</f>
        <v/>
      </c>
      <c r="W39" s="5">
        <f>MEDIAN(-6,T39+(C39-U39)/MAX(U39-V39,0.000000001),6)</f>
        <v/>
      </c>
      <c r="X39" s="5">
        <f>SUMPRODUCT(('01_Data'!$B39:$AW39&lt;&gt;"")*(1/(1+EXP(-(W39-'03_Lap_b'!$B$35:$AW$35)))))</f>
        <v/>
      </c>
      <c r="Y39" s="5">
        <f>SUMPRODUCT(('01_Data'!$B39:$AW39&lt;&gt;"")*(1/(1+EXP(-(W39-'03_Lap_b'!$B$35:$AW$35))))^2)</f>
        <v/>
      </c>
      <c r="Z39" s="5">
        <f>MEDIAN(-6,W39+(C39-X39)/MAX(X39-Y39,0.000000001),6)</f>
        <v/>
      </c>
      <c r="AA39" s="5">
        <f>SUMPRODUCT(('01_Data'!$B39:$AW39&lt;&gt;"")*(1/(1+EXP(-(Z39-'03_Lap_b'!$B$40:$AW$40)))))</f>
        <v/>
      </c>
      <c r="AB39" s="5">
        <f>SUMPRODUCT(('01_Data'!$B39:$AW39&lt;&gt;"")*(1/(1+EXP(-(Z39-'03_Lap_b'!$B$40:$AW$40))))^2)</f>
        <v/>
      </c>
      <c r="AC39" s="5">
        <f>MEDIAN(-6,Z39+(C39-AA39)/MAX(AA39-AB39,0.000000001),6)</f>
        <v/>
      </c>
    </row>
    <row r="40">
      <c r="A40" t="n">
        <v>39</v>
      </c>
      <c r="B40">
        <f>'01_Data'!A40</f>
        <v/>
      </c>
      <c r="C40">
        <f>SUM('01_Data'!$B40:$AW40)</f>
        <v/>
      </c>
      <c r="D40">
        <f>COUNT('01_Data'!$B40:$AW40)</f>
        <v/>
      </c>
      <c r="E40" s="5">
        <f>MEDIAN(-6,LN((C40+0.3)/(D40-C40+0.3)),6)</f>
        <v/>
      </c>
      <c r="F40" s="5">
        <f>SUMPRODUCT(('01_Data'!$B40:$AW40&lt;&gt;"")*(1/(1+EXP(-(E40-'03_Lap_b'!$B$5:$AW$5)))))</f>
        <v/>
      </c>
      <c r="G40" s="5">
        <f>SUMPRODUCT(('01_Data'!$B40:$AW40&lt;&gt;"")*(1/(1+EXP(-(E40-'03_Lap_b'!$B$5:$AW$5))))^2)</f>
        <v/>
      </c>
      <c r="H40" s="5">
        <f>MEDIAN(-6,E40+(C40-F40)/MAX(F40-G40,0.000000001),6)</f>
        <v/>
      </c>
      <c r="I40" s="5">
        <f>SUMPRODUCT(('01_Data'!$B40:$AW40&lt;&gt;"")*(1/(1+EXP(-(H40-'03_Lap_b'!$B$10:$AW$10)))))</f>
        <v/>
      </c>
      <c r="J40" s="5">
        <f>SUMPRODUCT(('01_Data'!$B40:$AW40&lt;&gt;"")*(1/(1+EXP(-(H40-'03_Lap_b'!$B$10:$AW$10))))^2)</f>
        <v/>
      </c>
      <c r="K40" s="5">
        <f>MEDIAN(-6,H40+(C40-I40)/MAX(I40-J40,0.000000001),6)</f>
        <v/>
      </c>
      <c r="L40" s="5">
        <f>SUMPRODUCT(('01_Data'!$B40:$AW40&lt;&gt;"")*(1/(1+EXP(-(K40-'03_Lap_b'!$B$15:$AW$15)))))</f>
        <v/>
      </c>
      <c r="M40" s="5">
        <f>SUMPRODUCT(('01_Data'!$B40:$AW40&lt;&gt;"")*(1/(1+EXP(-(K40-'03_Lap_b'!$B$15:$AW$15))))^2)</f>
        <v/>
      </c>
      <c r="N40" s="5">
        <f>MEDIAN(-6,K40+(C40-L40)/MAX(L40-M40,0.000000001),6)</f>
        <v/>
      </c>
      <c r="O40" s="5">
        <f>SUMPRODUCT(('01_Data'!$B40:$AW40&lt;&gt;"")*(1/(1+EXP(-(N40-'03_Lap_b'!$B$20:$AW$20)))))</f>
        <v/>
      </c>
      <c r="P40" s="5">
        <f>SUMPRODUCT(('01_Data'!$B40:$AW40&lt;&gt;"")*(1/(1+EXP(-(N40-'03_Lap_b'!$B$20:$AW$20))))^2)</f>
        <v/>
      </c>
      <c r="Q40" s="5">
        <f>MEDIAN(-6,N40+(C40-O40)/MAX(O40-P40,0.000000001),6)</f>
        <v/>
      </c>
      <c r="R40" s="5">
        <f>SUMPRODUCT(('01_Data'!$B40:$AW40&lt;&gt;"")*(1/(1+EXP(-(Q40-'03_Lap_b'!$B$25:$AW$25)))))</f>
        <v/>
      </c>
      <c r="S40" s="5">
        <f>SUMPRODUCT(('01_Data'!$B40:$AW40&lt;&gt;"")*(1/(1+EXP(-(Q40-'03_Lap_b'!$B$25:$AW$25))))^2)</f>
        <v/>
      </c>
      <c r="T40" s="5">
        <f>MEDIAN(-6,Q40+(C40-R40)/MAX(R40-S40,0.000000001),6)</f>
        <v/>
      </c>
      <c r="U40" s="5">
        <f>SUMPRODUCT(('01_Data'!$B40:$AW40&lt;&gt;"")*(1/(1+EXP(-(T40-'03_Lap_b'!$B$30:$AW$30)))))</f>
        <v/>
      </c>
      <c r="V40" s="5">
        <f>SUMPRODUCT(('01_Data'!$B40:$AW40&lt;&gt;"")*(1/(1+EXP(-(T40-'03_Lap_b'!$B$30:$AW$30))))^2)</f>
        <v/>
      </c>
      <c r="W40" s="5">
        <f>MEDIAN(-6,T40+(C40-U40)/MAX(U40-V40,0.000000001),6)</f>
        <v/>
      </c>
      <c r="X40" s="5">
        <f>SUMPRODUCT(('01_Data'!$B40:$AW40&lt;&gt;"")*(1/(1+EXP(-(W40-'03_Lap_b'!$B$35:$AW$35)))))</f>
        <v/>
      </c>
      <c r="Y40" s="5">
        <f>SUMPRODUCT(('01_Data'!$B40:$AW40&lt;&gt;"")*(1/(1+EXP(-(W40-'03_Lap_b'!$B$35:$AW$35))))^2)</f>
        <v/>
      </c>
      <c r="Z40" s="5">
        <f>MEDIAN(-6,W40+(C40-X40)/MAX(X40-Y40,0.000000001),6)</f>
        <v/>
      </c>
      <c r="AA40" s="5">
        <f>SUMPRODUCT(('01_Data'!$B40:$AW40&lt;&gt;"")*(1/(1+EXP(-(Z40-'03_Lap_b'!$B$40:$AW$40)))))</f>
        <v/>
      </c>
      <c r="AB40" s="5">
        <f>SUMPRODUCT(('01_Data'!$B40:$AW40&lt;&gt;"")*(1/(1+EXP(-(Z40-'03_Lap_b'!$B$40:$AW$40))))^2)</f>
        <v/>
      </c>
      <c r="AC40" s="5">
        <f>MEDIAN(-6,Z40+(C40-AA40)/MAX(AA40-AB40,0.000000001),6)</f>
        <v/>
      </c>
    </row>
    <row r="41">
      <c r="A41" t="n">
        <v>40</v>
      </c>
      <c r="B41">
        <f>'01_Data'!A41</f>
        <v/>
      </c>
      <c r="C41">
        <f>SUM('01_Data'!$B41:$AW41)</f>
        <v/>
      </c>
      <c r="D41">
        <f>COUNT('01_Data'!$B41:$AW41)</f>
        <v/>
      </c>
      <c r="E41" s="5">
        <f>MEDIAN(-6,LN((C41+0.3)/(D41-C41+0.3)),6)</f>
        <v/>
      </c>
      <c r="F41" s="5">
        <f>SUMPRODUCT(('01_Data'!$B41:$AW41&lt;&gt;"")*(1/(1+EXP(-(E41-'03_Lap_b'!$B$5:$AW$5)))))</f>
        <v/>
      </c>
      <c r="G41" s="5">
        <f>SUMPRODUCT(('01_Data'!$B41:$AW41&lt;&gt;"")*(1/(1+EXP(-(E41-'03_Lap_b'!$B$5:$AW$5))))^2)</f>
        <v/>
      </c>
      <c r="H41" s="5">
        <f>MEDIAN(-6,E41+(C41-F41)/MAX(F41-G41,0.000000001),6)</f>
        <v/>
      </c>
      <c r="I41" s="5">
        <f>SUMPRODUCT(('01_Data'!$B41:$AW41&lt;&gt;"")*(1/(1+EXP(-(H41-'03_Lap_b'!$B$10:$AW$10)))))</f>
        <v/>
      </c>
      <c r="J41" s="5">
        <f>SUMPRODUCT(('01_Data'!$B41:$AW41&lt;&gt;"")*(1/(1+EXP(-(H41-'03_Lap_b'!$B$10:$AW$10))))^2)</f>
        <v/>
      </c>
      <c r="K41" s="5">
        <f>MEDIAN(-6,H41+(C41-I41)/MAX(I41-J41,0.000000001),6)</f>
        <v/>
      </c>
      <c r="L41" s="5">
        <f>SUMPRODUCT(('01_Data'!$B41:$AW41&lt;&gt;"")*(1/(1+EXP(-(K41-'03_Lap_b'!$B$15:$AW$15)))))</f>
        <v/>
      </c>
      <c r="M41" s="5">
        <f>SUMPRODUCT(('01_Data'!$B41:$AW41&lt;&gt;"")*(1/(1+EXP(-(K41-'03_Lap_b'!$B$15:$AW$15))))^2)</f>
        <v/>
      </c>
      <c r="N41" s="5">
        <f>MEDIAN(-6,K41+(C41-L41)/MAX(L41-M41,0.000000001),6)</f>
        <v/>
      </c>
      <c r="O41" s="5">
        <f>SUMPRODUCT(('01_Data'!$B41:$AW41&lt;&gt;"")*(1/(1+EXP(-(N41-'03_Lap_b'!$B$20:$AW$20)))))</f>
        <v/>
      </c>
      <c r="P41" s="5">
        <f>SUMPRODUCT(('01_Data'!$B41:$AW41&lt;&gt;"")*(1/(1+EXP(-(N41-'03_Lap_b'!$B$20:$AW$20))))^2)</f>
        <v/>
      </c>
      <c r="Q41" s="5">
        <f>MEDIAN(-6,N41+(C41-O41)/MAX(O41-P41,0.000000001),6)</f>
        <v/>
      </c>
      <c r="R41" s="5">
        <f>SUMPRODUCT(('01_Data'!$B41:$AW41&lt;&gt;"")*(1/(1+EXP(-(Q41-'03_Lap_b'!$B$25:$AW$25)))))</f>
        <v/>
      </c>
      <c r="S41" s="5">
        <f>SUMPRODUCT(('01_Data'!$B41:$AW41&lt;&gt;"")*(1/(1+EXP(-(Q41-'03_Lap_b'!$B$25:$AW$25))))^2)</f>
        <v/>
      </c>
      <c r="T41" s="5">
        <f>MEDIAN(-6,Q41+(C41-R41)/MAX(R41-S41,0.000000001),6)</f>
        <v/>
      </c>
      <c r="U41" s="5">
        <f>SUMPRODUCT(('01_Data'!$B41:$AW41&lt;&gt;"")*(1/(1+EXP(-(T41-'03_Lap_b'!$B$30:$AW$30)))))</f>
        <v/>
      </c>
      <c r="V41" s="5">
        <f>SUMPRODUCT(('01_Data'!$B41:$AW41&lt;&gt;"")*(1/(1+EXP(-(T41-'03_Lap_b'!$B$30:$AW$30))))^2)</f>
        <v/>
      </c>
      <c r="W41" s="5">
        <f>MEDIAN(-6,T41+(C41-U41)/MAX(U41-V41,0.000000001),6)</f>
        <v/>
      </c>
      <c r="X41" s="5">
        <f>SUMPRODUCT(('01_Data'!$B41:$AW41&lt;&gt;"")*(1/(1+EXP(-(W41-'03_Lap_b'!$B$35:$AW$35)))))</f>
        <v/>
      </c>
      <c r="Y41" s="5">
        <f>SUMPRODUCT(('01_Data'!$B41:$AW41&lt;&gt;"")*(1/(1+EXP(-(W41-'03_Lap_b'!$B$35:$AW$35))))^2)</f>
        <v/>
      </c>
      <c r="Z41" s="5">
        <f>MEDIAN(-6,W41+(C41-X41)/MAX(X41-Y41,0.000000001),6)</f>
        <v/>
      </c>
      <c r="AA41" s="5">
        <f>SUMPRODUCT(('01_Data'!$B41:$AW41&lt;&gt;"")*(1/(1+EXP(-(Z41-'03_Lap_b'!$B$40:$AW$40)))))</f>
        <v/>
      </c>
      <c r="AB41" s="5">
        <f>SUMPRODUCT(('01_Data'!$B41:$AW41&lt;&gt;"")*(1/(1+EXP(-(Z41-'03_Lap_b'!$B$40:$AW$40))))^2)</f>
        <v/>
      </c>
      <c r="AC41" s="5">
        <f>MEDIAN(-6,Z41+(C41-AA41)/MAX(AA41-AB41,0.000000001),6)</f>
        <v/>
      </c>
    </row>
    <row r="42">
      <c r="A42" t="n">
        <v>41</v>
      </c>
      <c r="B42">
        <f>'01_Data'!A42</f>
        <v/>
      </c>
      <c r="C42">
        <f>SUM('01_Data'!$B42:$AW42)</f>
        <v/>
      </c>
      <c r="D42">
        <f>COUNT('01_Data'!$B42:$AW42)</f>
        <v/>
      </c>
      <c r="E42" s="5">
        <f>MEDIAN(-6,LN((C42+0.3)/(D42-C42+0.3)),6)</f>
        <v/>
      </c>
      <c r="F42" s="5">
        <f>SUMPRODUCT(('01_Data'!$B42:$AW42&lt;&gt;"")*(1/(1+EXP(-(E42-'03_Lap_b'!$B$5:$AW$5)))))</f>
        <v/>
      </c>
      <c r="G42" s="5">
        <f>SUMPRODUCT(('01_Data'!$B42:$AW42&lt;&gt;"")*(1/(1+EXP(-(E42-'03_Lap_b'!$B$5:$AW$5))))^2)</f>
        <v/>
      </c>
      <c r="H42" s="5">
        <f>MEDIAN(-6,E42+(C42-F42)/MAX(F42-G42,0.000000001),6)</f>
        <v/>
      </c>
      <c r="I42" s="5">
        <f>SUMPRODUCT(('01_Data'!$B42:$AW42&lt;&gt;"")*(1/(1+EXP(-(H42-'03_Lap_b'!$B$10:$AW$10)))))</f>
        <v/>
      </c>
      <c r="J42" s="5">
        <f>SUMPRODUCT(('01_Data'!$B42:$AW42&lt;&gt;"")*(1/(1+EXP(-(H42-'03_Lap_b'!$B$10:$AW$10))))^2)</f>
        <v/>
      </c>
      <c r="K42" s="5">
        <f>MEDIAN(-6,H42+(C42-I42)/MAX(I42-J42,0.000000001),6)</f>
        <v/>
      </c>
      <c r="L42" s="5">
        <f>SUMPRODUCT(('01_Data'!$B42:$AW42&lt;&gt;"")*(1/(1+EXP(-(K42-'03_Lap_b'!$B$15:$AW$15)))))</f>
        <v/>
      </c>
      <c r="M42" s="5">
        <f>SUMPRODUCT(('01_Data'!$B42:$AW42&lt;&gt;"")*(1/(1+EXP(-(K42-'03_Lap_b'!$B$15:$AW$15))))^2)</f>
        <v/>
      </c>
      <c r="N42" s="5">
        <f>MEDIAN(-6,K42+(C42-L42)/MAX(L42-M42,0.000000001),6)</f>
        <v/>
      </c>
      <c r="O42" s="5">
        <f>SUMPRODUCT(('01_Data'!$B42:$AW42&lt;&gt;"")*(1/(1+EXP(-(N42-'03_Lap_b'!$B$20:$AW$20)))))</f>
        <v/>
      </c>
      <c r="P42" s="5">
        <f>SUMPRODUCT(('01_Data'!$B42:$AW42&lt;&gt;"")*(1/(1+EXP(-(N42-'03_Lap_b'!$B$20:$AW$20))))^2)</f>
        <v/>
      </c>
      <c r="Q42" s="5">
        <f>MEDIAN(-6,N42+(C42-O42)/MAX(O42-P42,0.000000001),6)</f>
        <v/>
      </c>
      <c r="R42" s="5">
        <f>SUMPRODUCT(('01_Data'!$B42:$AW42&lt;&gt;"")*(1/(1+EXP(-(Q42-'03_Lap_b'!$B$25:$AW$25)))))</f>
        <v/>
      </c>
      <c r="S42" s="5">
        <f>SUMPRODUCT(('01_Data'!$B42:$AW42&lt;&gt;"")*(1/(1+EXP(-(Q42-'03_Lap_b'!$B$25:$AW$25))))^2)</f>
        <v/>
      </c>
      <c r="T42" s="5">
        <f>MEDIAN(-6,Q42+(C42-R42)/MAX(R42-S42,0.000000001),6)</f>
        <v/>
      </c>
      <c r="U42" s="5">
        <f>SUMPRODUCT(('01_Data'!$B42:$AW42&lt;&gt;"")*(1/(1+EXP(-(T42-'03_Lap_b'!$B$30:$AW$30)))))</f>
        <v/>
      </c>
      <c r="V42" s="5">
        <f>SUMPRODUCT(('01_Data'!$B42:$AW42&lt;&gt;"")*(1/(1+EXP(-(T42-'03_Lap_b'!$B$30:$AW$30))))^2)</f>
        <v/>
      </c>
      <c r="W42" s="5">
        <f>MEDIAN(-6,T42+(C42-U42)/MAX(U42-V42,0.000000001),6)</f>
        <v/>
      </c>
      <c r="X42" s="5">
        <f>SUMPRODUCT(('01_Data'!$B42:$AW42&lt;&gt;"")*(1/(1+EXP(-(W42-'03_Lap_b'!$B$35:$AW$35)))))</f>
        <v/>
      </c>
      <c r="Y42" s="5">
        <f>SUMPRODUCT(('01_Data'!$B42:$AW42&lt;&gt;"")*(1/(1+EXP(-(W42-'03_Lap_b'!$B$35:$AW$35))))^2)</f>
        <v/>
      </c>
      <c r="Z42" s="5">
        <f>MEDIAN(-6,W42+(C42-X42)/MAX(X42-Y42,0.000000001),6)</f>
        <v/>
      </c>
      <c r="AA42" s="5">
        <f>SUMPRODUCT(('01_Data'!$B42:$AW42&lt;&gt;"")*(1/(1+EXP(-(Z42-'03_Lap_b'!$B$40:$AW$40)))))</f>
        <v/>
      </c>
      <c r="AB42" s="5">
        <f>SUMPRODUCT(('01_Data'!$B42:$AW42&lt;&gt;"")*(1/(1+EXP(-(Z42-'03_Lap_b'!$B$40:$AW$40))))^2)</f>
        <v/>
      </c>
      <c r="AC42" s="5">
        <f>MEDIAN(-6,Z42+(C42-AA42)/MAX(AA42-AB42,0.000000001),6)</f>
        <v/>
      </c>
    </row>
    <row r="43">
      <c r="A43" t="n">
        <v>42</v>
      </c>
      <c r="B43">
        <f>'01_Data'!A43</f>
        <v/>
      </c>
      <c r="C43">
        <f>SUM('01_Data'!$B43:$AW43)</f>
        <v/>
      </c>
      <c r="D43">
        <f>COUNT('01_Data'!$B43:$AW43)</f>
        <v/>
      </c>
      <c r="E43" s="5">
        <f>MEDIAN(-6,LN((C43+0.3)/(D43-C43+0.3)),6)</f>
        <v/>
      </c>
      <c r="F43" s="5">
        <f>SUMPRODUCT(('01_Data'!$B43:$AW43&lt;&gt;"")*(1/(1+EXP(-(E43-'03_Lap_b'!$B$5:$AW$5)))))</f>
        <v/>
      </c>
      <c r="G43" s="5">
        <f>SUMPRODUCT(('01_Data'!$B43:$AW43&lt;&gt;"")*(1/(1+EXP(-(E43-'03_Lap_b'!$B$5:$AW$5))))^2)</f>
        <v/>
      </c>
      <c r="H43" s="5">
        <f>MEDIAN(-6,E43+(C43-F43)/MAX(F43-G43,0.000000001),6)</f>
        <v/>
      </c>
      <c r="I43" s="5">
        <f>SUMPRODUCT(('01_Data'!$B43:$AW43&lt;&gt;"")*(1/(1+EXP(-(H43-'03_Lap_b'!$B$10:$AW$10)))))</f>
        <v/>
      </c>
      <c r="J43" s="5">
        <f>SUMPRODUCT(('01_Data'!$B43:$AW43&lt;&gt;"")*(1/(1+EXP(-(H43-'03_Lap_b'!$B$10:$AW$10))))^2)</f>
        <v/>
      </c>
      <c r="K43" s="5">
        <f>MEDIAN(-6,H43+(C43-I43)/MAX(I43-J43,0.000000001),6)</f>
        <v/>
      </c>
      <c r="L43" s="5">
        <f>SUMPRODUCT(('01_Data'!$B43:$AW43&lt;&gt;"")*(1/(1+EXP(-(K43-'03_Lap_b'!$B$15:$AW$15)))))</f>
        <v/>
      </c>
      <c r="M43" s="5">
        <f>SUMPRODUCT(('01_Data'!$B43:$AW43&lt;&gt;"")*(1/(1+EXP(-(K43-'03_Lap_b'!$B$15:$AW$15))))^2)</f>
        <v/>
      </c>
      <c r="N43" s="5">
        <f>MEDIAN(-6,K43+(C43-L43)/MAX(L43-M43,0.000000001),6)</f>
        <v/>
      </c>
      <c r="O43" s="5">
        <f>SUMPRODUCT(('01_Data'!$B43:$AW43&lt;&gt;"")*(1/(1+EXP(-(N43-'03_Lap_b'!$B$20:$AW$20)))))</f>
        <v/>
      </c>
      <c r="P43" s="5">
        <f>SUMPRODUCT(('01_Data'!$B43:$AW43&lt;&gt;"")*(1/(1+EXP(-(N43-'03_Lap_b'!$B$20:$AW$20))))^2)</f>
        <v/>
      </c>
      <c r="Q43" s="5">
        <f>MEDIAN(-6,N43+(C43-O43)/MAX(O43-P43,0.000000001),6)</f>
        <v/>
      </c>
      <c r="R43" s="5">
        <f>SUMPRODUCT(('01_Data'!$B43:$AW43&lt;&gt;"")*(1/(1+EXP(-(Q43-'03_Lap_b'!$B$25:$AW$25)))))</f>
        <v/>
      </c>
      <c r="S43" s="5">
        <f>SUMPRODUCT(('01_Data'!$B43:$AW43&lt;&gt;"")*(1/(1+EXP(-(Q43-'03_Lap_b'!$B$25:$AW$25))))^2)</f>
        <v/>
      </c>
      <c r="T43" s="5">
        <f>MEDIAN(-6,Q43+(C43-R43)/MAX(R43-S43,0.000000001),6)</f>
        <v/>
      </c>
      <c r="U43" s="5">
        <f>SUMPRODUCT(('01_Data'!$B43:$AW43&lt;&gt;"")*(1/(1+EXP(-(T43-'03_Lap_b'!$B$30:$AW$30)))))</f>
        <v/>
      </c>
      <c r="V43" s="5">
        <f>SUMPRODUCT(('01_Data'!$B43:$AW43&lt;&gt;"")*(1/(1+EXP(-(T43-'03_Lap_b'!$B$30:$AW$30))))^2)</f>
        <v/>
      </c>
      <c r="W43" s="5">
        <f>MEDIAN(-6,T43+(C43-U43)/MAX(U43-V43,0.000000001),6)</f>
        <v/>
      </c>
      <c r="X43" s="5">
        <f>SUMPRODUCT(('01_Data'!$B43:$AW43&lt;&gt;"")*(1/(1+EXP(-(W43-'03_Lap_b'!$B$35:$AW$35)))))</f>
        <v/>
      </c>
      <c r="Y43" s="5">
        <f>SUMPRODUCT(('01_Data'!$B43:$AW43&lt;&gt;"")*(1/(1+EXP(-(W43-'03_Lap_b'!$B$35:$AW$35))))^2)</f>
        <v/>
      </c>
      <c r="Z43" s="5">
        <f>MEDIAN(-6,W43+(C43-X43)/MAX(X43-Y43,0.000000001),6)</f>
        <v/>
      </c>
      <c r="AA43" s="5">
        <f>SUMPRODUCT(('01_Data'!$B43:$AW43&lt;&gt;"")*(1/(1+EXP(-(Z43-'03_Lap_b'!$B$40:$AW$40)))))</f>
        <v/>
      </c>
      <c r="AB43" s="5">
        <f>SUMPRODUCT(('01_Data'!$B43:$AW43&lt;&gt;"")*(1/(1+EXP(-(Z43-'03_Lap_b'!$B$40:$AW$40))))^2)</f>
        <v/>
      </c>
      <c r="AC43" s="5">
        <f>MEDIAN(-6,Z43+(C43-AA43)/MAX(AA43-AB43,0.000000001),6)</f>
        <v/>
      </c>
    </row>
    <row r="44">
      <c r="A44" t="n">
        <v>43</v>
      </c>
      <c r="B44">
        <f>'01_Data'!A44</f>
        <v/>
      </c>
      <c r="C44">
        <f>SUM('01_Data'!$B44:$AW44)</f>
        <v/>
      </c>
      <c r="D44">
        <f>COUNT('01_Data'!$B44:$AW44)</f>
        <v/>
      </c>
      <c r="E44" s="5">
        <f>MEDIAN(-6,LN((C44+0.3)/(D44-C44+0.3)),6)</f>
        <v/>
      </c>
      <c r="F44" s="5">
        <f>SUMPRODUCT(('01_Data'!$B44:$AW44&lt;&gt;"")*(1/(1+EXP(-(E44-'03_Lap_b'!$B$5:$AW$5)))))</f>
        <v/>
      </c>
      <c r="G44" s="5">
        <f>SUMPRODUCT(('01_Data'!$B44:$AW44&lt;&gt;"")*(1/(1+EXP(-(E44-'03_Lap_b'!$B$5:$AW$5))))^2)</f>
        <v/>
      </c>
      <c r="H44" s="5">
        <f>MEDIAN(-6,E44+(C44-F44)/MAX(F44-G44,0.000000001),6)</f>
        <v/>
      </c>
      <c r="I44" s="5">
        <f>SUMPRODUCT(('01_Data'!$B44:$AW44&lt;&gt;"")*(1/(1+EXP(-(H44-'03_Lap_b'!$B$10:$AW$10)))))</f>
        <v/>
      </c>
      <c r="J44" s="5">
        <f>SUMPRODUCT(('01_Data'!$B44:$AW44&lt;&gt;"")*(1/(1+EXP(-(H44-'03_Lap_b'!$B$10:$AW$10))))^2)</f>
        <v/>
      </c>
      <c r="K44" s="5">
        <f>MEDIAN(-6,H44+(C44-I44)/MAX(I44-J44,0.000000001),6)</f>
        <v/>
      </c>
      <c r="L44" s="5">
        <f>SUMPRODUCT(('01_Data'!$B44:$AW44&lt;&gt;"")*(1/(1+EXP(-(K44-'03_Lap_b'!$B$15:$AW$15)))))</f>
        <v/>
      </c>
      <c r="M44" s="5">
        <f>SUMPRODUCT(('01_Data'!$B44:$AW44&lt;&gt;"")*(1/(1+EXP(-(K44-'03_Lap_b'!$B$15:$AW$15))))^2)</f>
        <v/>
      </c>
      <c r="N44" s="5">
        <f>MEDIAN(-6,K44+(C44-L44)/MAX(L44-M44,0.000000001),6)</f>
        <v/>
      </c>
      <c r="O44" s="5">
        <f>SUMPRODUCT(('01_Data'!$B44:$AW44&lt;&gt;"")*(1/(1+EXP(-(N44-'03_Lap_b'!$B$20:$AW$20)))))</f>
        <v/>
      </c>
      <c r="P44" s="5">
        <f>SUMPRODUCT(('01_Data'!$B44:$AW44&lt;&gt;"")*(1/(1+EXP(-(N44-'03_Lap_b'!$B$20:$AW$20))))^2)</f>
        <v/>
      </c>
      <c r="Q44" s="5">
        <f>MEDIAN(-6,N44+(C44-O44)/MAX(O44-P44,0.000000001),6)</f>
        <v/>
      </c>
      <c r="R44" s="5">
        <f>SUMPRODUCT(('01_Data'!$B44:$AW44&lt;&gt;"")*(1/(1+EXP(-(Q44-'03_Lap_b'!$B$25:$AW$25)))))</f>
        <v/>
      </c>
      <c r="S44" s="5">
        <f>SUMPRODUCT(('01_Data'!$B44:$AW44&lt;&gt;"")*(1/(1+EXP(-(Q44-'03_Lap_b'!$B$25:$AW$25))))^2)</f>
        <v/>
      </c>
      <c r="T44" s="5">
        <f>MEDIAN(-6,Q44+(C44-R44)/MAX(R44-S44,0.000000001),6)</f>
        <v/>
      </c>
      <c r="U44" s="5">
        <f>SUMPRODUCT(('01_Data'!$B44:$AW44&lt;&gt;"")*(1/(1+EXP(-(T44-'03_Lap_b'!$B$30:$AW$30)))))</f>
        <v/>
      </c>
      <c r="V44" s="5">
        <f>SUMPRODUCT(('01_Data'!$B44:$AW44&lt;&gt;"")*(1/(1+EXP(-(T44-'03_Lap_b'!$B$30:$AW$30))))^2)</f>
        <v/>
      </c>
      <c r="W44" s="5">
        <f>MEDIAN(-6,T44+(C44-U44)/MAX(U44-V44,0.000000001),6)</f>
        <v/>
      </c>
      <c r="X44" s="5">
        <f>SUMPRODUCT(('01_Data'!$B44:$AW44&lt;&gt;"")*(1/(1+EXP(-(W44-'03_Lap_b'!$B$35:$AW$35)))))</f>
        <v/>
      </c>
      <c r="Y44" s="5">
        <f>SUMPRODUCT(('01_Data'!$B44:$AW44&lt;&gt;"")*(1/(1+EXP(-(W44-'03_Lap_b'!$B$35:$AW$35))))^2)</f>
        <v/>
      </c>
      <c r="Z44" s="5">
        <f>MEDIAN(-6,W44+(C44-X44)/MAX(X44-Y44,0.000000001),6)</f>
        <v/>
      </c>
      <c r="AA44" s="5">
        <f>SUMPRODUCT(('01_Data'!$B44:$AW44&lt;&gt;"")*(1/(1+EXP(-(Z44-'03_Lap_b'!$B$40:$AW$40)))))</f>
        <v/>
      </c>
      <c r="AB44" s="5">
        <f>SUMPRODUCT(('01_Data'!$B44:$AW44&lt;&gt;"")*(1/(1+EXP(-(Z44-'03_Lap_b'!$B$40:$AW$40))))^2)</f>
        <v/>
      </c>
      <c r="AC44" s="5">
        <f>MEDIAN(-6,Z44+(C44-AA44)/MAX(AA44-AB44,0.000000001),6)</f>
        <v/>
      </c>
    </row>
    <row r="45">
      <c r="A45" t="n">
        <v>44</v>
      </c>
      <c r="B45">
        <f>'01_Data'!A45</f>
        <v/>
      </c>
      <c r="C45">
        <f>SUM('01_Data'!$B45:$AW45)</f>
        <v/>
      </c>
      <c r="D45">
        <f>COUNT('01_Data'!$B45:$AW45)</f>
        <v/>
      </c>
      <c r="E45" s="5">
        <f>MEDIAN(-6,LN((C45+0.3)/(D45-C45+0.3)),6)</f>
        <v/>
      </c>
      <c r="F45" s="5">
        <f>SUMPRODUCT(('01_Data'!$B45:$AW45&lt;&gt;"")*(1/(1+EXP(-(E45-'03_Lap_b'!$B$5:$AW$5)))))</f>
        <v/>
      </c>
      <c r="G45" s="5">
        <f>SUMPRODUCT(('01_Data'!$B45:$AW45&lt;&gt;"")*(1/(1+EXP(-(E45-'03_Lap_b'!$B$5:$AW$5))))^2)</f>
        <v/>
      </c>
      <c r="H45" s="5">
        <f>MEDIAN(-6,E45+(C45-F45)/MAX(F45-G45,0.000000001),6)</f>
        <v/>
      </c>
      <c r="I45" s="5">
        <f>SUMPRODUCT(('01_Data'!$B45:$AW45&lt;&gt;"")*(1/(1+EXP(-(H45-'03_Lap_b'!$B$10:$AW$10)))))</f>
        <v/>
      </c>
      <c r="J45" s="5">
        <f>SUMPRODUCT(('01_Data'!$B45:$AW45&lt;&gt;"")*(1/(1+EXP(-(H45-'03_Lap_b'!$B$10:$AW$10))))^2)</f>
        <v/>
      </c>
      <c r="K45" s="5">
        <f>MEDIAN(-6,H45+(C45-I45)/MAX(I45-J45,0.000000001),6)</f>
        <v/>
      </c>
      <c r="L45" s="5">
        <f>SUMPRODUCT(('01_Data'!$B45:$AW45&lt;&gt;"")*(1/(1+EXP(-(K45-'03_Lap_b'!$B$15:$AW$15)))))</f>
        <v/>
      </c>
      <c r="M45" s="5">
        <f>SUMPRODUCT(('01_Data'!$B45:$AW45&lt;&gt;"")*(1/(1+EXP(-(K45-'03_Lap_b'!$B$15:$AW$15))))^2)</f>
        <v/>
      </c>
      <c r="N45" s="5">
        <f>MEDIAN(-6,K45+(C45-L45)/MAX(L45-M45,0.000000001),6)</f>
        <v/>
      </c>
      <c r="O45" s="5">
        <f>SUMPRODUCT(('01_Data'!$B45:$AW45&lt;&gt;"")*(1/(1+EXP(-(N45-'03_Lap_b'!$B$20:$AW$20)))))</f>
        <v/>
      </c>
      <c r="P45" s="5">
        <f>SUMPRODUCT(('01_Data'!$B45:$AW45&lt;&gt;"")*(1/(1+EXP(-(N45-'03_Lap_b'!$B$20:$AW$20))))^2)</f>
        <v/>
      </c>
      <c r="Q45" s="5">
        <f>MEDIAN(-6,N45+(C45-O45)/MAX(O45-P45,0.000000001),6)</f>
        <v/>
      </c>
      <c r="R45" s="5">
        <f>SUMPRODUCT(('01_Data'!$B45:$AW45&lt;&gt;"")*(1/(1+EXP(-(Q45-'03_Lap_b'!$B$25:$AW$25)))))</f>
        <v/>
      </c>
      <c r="S45" s="5">
        <f>SUMPRODUCT(('01_Data'!$B45:$AW45&lt;&gt;"")*(1/(1+EXP(-(Q45-'03_Lap_b'!$B$25:$AW$25))))^2)</f>
        <v/>
      </c>
      <c r="T45" s="5">
        <f>MEDIAN(-6,Q45+(C45-R45)/MAX(R45-S45,0.000000001),6)</f>
        <v/>
      </c>
      <c r="U45" s="5">
        <f>SUMPRODUCT(('01_Data'!$B45:$AW45&lt;&gt;"")*(1/(1+EXP(-(T45-'03_Lap_b'!$B$30:$AW$30)))))</f>
        <v/>
      </c>
      <c r="V45" s="5">
        <f>SUMPRODUCT(('01_Data'!$B45:$AW45&lt;&gt;"")*(1/(1+EXP(-(T45-'03_Lap_b'!$B$30:$AW$30))))^2)</f>
        <v/>
      </c>
      <c r="W45" s="5">
        <f>MEDIAN(-6,T45+(C45-U45)/MAX(U45-V45,0.000000001),6)</f>
        <v/>
      </c>
      <c r="X45" s="5">
        <f>SUMPRODUCT(('01_Data'!$B45:$AW45&lt;&gt;"")*(1/(1+EXP(-(W45-'03_Lap_b'!$B$35:$AW$35)))))</f>
        <v/>
      </c>
      <c r="Y45" s="5">
        <f>SUMPRODUCT(('01_Data'!$B45:$AW45&lt;&gt;"")*(1/(1+EXP(-(W45-'03_Lap_b'!$B$35:$AW$35))))^2)</f>
        <v/>
      </c>
      <c r="Z45" s="5">
        <f>MEDIAN(-6,W45+(C45-X45)/MAX(X45-Y45,0.000000001),6)</f>
        <v/>
      </c>
      <c r="AA45" s="5">
        <f>SUMPRODUCT(('01_Data'!$B45:$AW45&lt;&gt;"")*(1/(1+EXP(-(Z45-'03_Lap_b'!$B$40:$AW$40)))))</f>
        <v/>
      </c>
      <c r="AB45" s="5">
        <f>SUMPRODUCT(('01_Data'!$B45:$AW45&lt;&gt;"")*(1/(1+EXP(-(Z45-'03_Lap_b'!$B$40:$AW$40))))^2)</f>
        <v/>
      </c>
      <c r="AC45" s="5">
        <f>MEDIAN(-6,Z45+(C45-AA45)/MAX(AA45-AB45,0.000000001),6)</f>
        <v/>
      </c>
    </row>
    <row r="46">
      <c r="A46" t="n">
        <v>45</v>
      </c>
      <c r="B46">
        <f>'01_Data'!A46</f>
        <v/>
      </c>
      <c r="C46">
        <f>SUM('01_Data'!$B46:$AW46)</f>
        <v/>
      </c>
      <c r="D46">
        <f>COUNT('01_Data'!$B46:$AW46)</f>
        <v/>
      </c>
      <c r="E46" s="5">
        <f>MEDIAN(-6,LN((C46+0.3)/(D46-C46+0.3)),6)</f>
        <v/>
      </c>
      <c r="F46" s="5">
        <f>SUMPRODUCT(('01_Data'!$B46:$AW46&lt;&gt;"")*(1/(1+EXP(-(E46-'03_Lap_b'!$B$5:$AW$5)))))</f>
        <v/>
      </c>
      <c r="G46" s="5">
        <f>SUMPRODUCT(('01_Data'!$B46:$AW46&lt;&gt;"")*(1/(1+EXP(-(E46-'03_Lap_b'!$B$5:$AW$5))))^2)</f>
        <v/>
      </c>
      <c r="H46" s="5">
        <f>MEDIAN(-6,E46+(C46-F46)/MAX(F46-G46,0.000000001),6)</f>
        <v/>
      </c>
      <c r="I46" s="5">
        <f>SUMPRODUCT(('01_Data'!$B46:$AW46&lt;&gt;"")*(1/(1+EXP(-(H46-'03_Lap_b'!$B$10:$AW$10)))))</f>
        <v/>
      </c>
      <c r="J46" s="5">
        <f>SUMPRODUCT(('01_Data'!$B46:$AW46&lt;&gt;"")*(1/(1+EXP(-(H46-'03_Lap_b'!$B$10:$AW$10))))^2)</f>
        <v/>
      </c>
      <c r="K46" s="5">
        <f>MEDIAN(-6,H46+(C46-I46)/MAX(I46-J46,0.000000001),6)</f>
        <v/>
      </c>
      <c r="L46" s="5">
        <f>SUMPRODUCT(('01_Data'!$B46:$AW46&lt;&gt;"")*(1/(1+EXP(-(K46-'03_Lap_b'!$B$15:$AW$15)))))</f>
        <v/>
      </c>
      <c r="M46" s="5">
        <f>SUMPRODUCT(('01_Data'!$B46:$AW46&lt;&gt;"")*(1/(1+EXP(-(K46-'03_Lap_b'!$B$15:$AW$15))))^2)</f>
        <v/>
      </c>
      <c r="N46" s="5">
        <f>MEDIAN(-6,K46+(C46-L46)/MAX(L46-M46,0.000000001),6)</f>
        <v/>
      </c>
      <c r="O46" s="5">
        <f>SUMPRODUCT(('01_Data'!$B46:$AW46&lt;&gt;"")*(1/(1+EXP(-(N46-'03_Lap_b'!$B$20:$AW$20)))))</f>
        <v/>
      </c>
      <c r="P46" s="5">
        <f>SUMPRODUCT(('01_Data'!$B46:$AW46&lt;&gt;"")*(1/(1+EXP(-(N46-'03_Lap_b'!$B$20:$AW$20))))^2)</f>
        <v/>
      </c>
      <c r="Q46" s="5">
        <f>MEDIAN(-6,N46+(C46-O46)/MAX(O46-P46,0.000000001),6)</f>
        <v/>
      </c>
      <c r="R46" s="5">
        <f>SUMPRODUCT(('01_Data'!$B46:$AW46&lt;&gt;"")*(1/(1+EXP(-(Q46-'03_Lap_b'!$B$25:$AW$25)))))</f>
        <v/>
      </c>
      <c r="S46" s="5">
        <f>SUMPRODUCT(('01_Data'!$B46:$AW46&lt;&gt;"")*(1/(1+EXP(-(Q46-'03_Lap_b'!$B$25:$AW$25))))^2)</f>
        <v/>
      </c>
      <c r="T46" s="5">
        <f>MEDIAN(-6,Q46+(C46-R46)/MAX(R46-S46,0.000000001),6)</f>
        <v/>
      </c>
      <c r="U46" s="5">
        <f>SUMPRODUCT(('01_Data'!$B46:$AW46&lt;&gt;"")*(1/(1+EXP(-(T46-'03_Lap_b'!$B$30:$AW$30)))))</f>
        <v/>
      </c>
      <c r="V46" s="5">
        <f>SUMPRODUCT(('01_Data'!$B46:$AW46&lt;&gt;"")*(1/(1+EXP(-(T46-'03_Lap_b'!$B$30:$AW$30))))^2)</f>
        <v/>
      </c>
      <c r="W46" s="5">
        <f>MEDIAN(-6,T46+(C46-U46)/MAX(U46-V46,0.000000001),6)</f>
        <v/>
      </c>
      <c r="X46" s="5">
        <f>SUMPRODUCT(('01_Data'!$B46:$AW46&lt;&gt;"")*(1/(1+EXP(-(W46-'03_Lap_b'!$B$35:$AW$35)))))</f>
        <v/>
      </c>
      <c r="Y46" s="5">
        <f>SUMPRODUCT(('01_Data'!$B46:$AW46&lt;&gt;"")*(1/(1+EXP(-(W46-'03_Lap_b'!$B$35:$AW$35))))^2)</f>
        <v/>
      </c>
      <c r="Z46" s="5">
        <f>MEDIAN(-6,W46+(C46-X46)/MAX(X46-Y46,0.000000001),6)</f>
        <v/>
      </c>
      <c r="AA46" s="5">
        <f>SUMPRODUCT(('01_Data'!$B46:$AW46&lt;&gt;"")*(1/(1+EXP(-(Z46-'03_Lap_b'!$B$40:$AW$40)))))</f>
        <v/>
      </c>
      <c r="AB46" s="5">
        <f>SUMPRODUCT(('01_Data'!$B46:$AW46&lt;&gt;"")*(1/(1+EXP(-(Z46-'03_Lap_b'!$B$40:$AW$40))))^2)</f>
        <v/>
      </c>
      <c r="AC46" s="5">
        <f>MEDIAN(-6,Z46+(C46-AA46)/MAX(AA46-AB46,0.000000001),6)</f>
        <v/>
      </c>
    </row>
    <row r="47">
      <c r="A47" t="n">
        <v>46</v>
      </c>
      <c r="B47">
        <f>'01_Data'!A47</f>
        <v/>
      </c>
      <c r="C47">
        <f>SUM('01_Data'!$B47:$AW47)</f>
        <v/>
      </c>
      <c r="D47">
        <f>COUNT('01_Data'!$B47:$AW47)</f>
        <v/>
      </c>
      <c r="E47" s="5">
        <f>MEDIAN(-6,LN((C47+0.3)/(D47-C47+0.3)),6)</f>
        <v/>
      </c>
      <c r="F47" s="5">
        <f>SUMPRODUCT(('01_Data'!$B47:$AW47&lt;&gt;"")*(1/(1+EXP(-(E47-'03_Lap_b'!$B$5:$AW$5)))))</f>
        <v/>
      </c>
      <c r="G47" s="5">
        <f>SUMPRODUCT(('01_Data'!$B47:$AW47&lt;&gt;"")*(1/(1+EXP(-(E47-'03_Lap_b'!$B$5:$AW$5))))^2)</f>
        <v/>
      </c>
      <c r="H47" s="5">
        <f>MEDIAN(-6,E47+(C47-F47)/MAX(F47-G47,0.000000001),6)</f>
        <v/>
      </c>
      <c r="I47" s="5">
        <f>SUMPRODUCT(('01_Data'!$B47:$AW47&lt;&gt;"")*(1/(1+EXP(-(H47-'03_Lap_b'!$B$10:$AW$10)))))</f>
        <v/>
      </c>
      <c r="J47" s="5">
        <f>SUMPRODUCT(('01_Data'!$B47:$AW47&lt;&gt;"")*(1/(1+EXP(-(H47-'03_Lap_b'!$B$10:$AW$10))))^2)</f>
        <v/>
      </c>
      <c r="K47" s="5">
        <f>MEDIAN(-6,H47+(C47-I47)/MAX(I47-J47,0.000000001),6)</f>
        <v/>
      </c>
      <c r="L47" s="5">
        <f>SUMPRODUCT(('01_Data'!$B47:$AW47&lt;&gt;"")*(1/(1+EXP(-(K47-'03_Lap_b'!$B$15:$AW$15)))))</f>
        <v/>
      </c>
      <c r="M47" s="5">
        <f>SUMPRODUCT(('01_Data'!$B47:$AW47&lt;&gt;"")*(1/(1+EXP(-(K47-'03_Lap_b'!$B$15:$AW$15))))^2)</f>
        <v/>
      </c>
      <c r="N47" s="5">
        <f>MEDIAN(-6,K47+(C47-L47)/MAX(L47-M47,0.000000001),6)</f>
        <v/>
      </c>
      <c r="O47" s="5">
        <f>SUMPRODUCT(('01_Data'!$B47:$AW47&lt;&gt;"")*(1/(1+EXP(-(N47-'03_Lap_b'!$B$20:$AW$20)))))</f>
        <v/>
      </c>
      <c r="P47" s="5">
        <f>SUMPRODUCT(('01_Data'!$B47:$AW47&lt;&gt;"")*(1/(1+EXP(-(N47-'03_Lap_b'!$B$20:$AW$20))))^2)</f>
        <v/>
      </c>
      <c r="Q47" s="5">
        <f>MEDIAN(-6,N47+(C47-O47)/MAX(O47-P47,0.000000001),6)</f>
        <v/>
      </c>
      <c r="R47" s="5">
        <f>SUMPRODUCT(('01_Data'!$B47:$AW47&lt;&gt;"")*(1/(1+EXP(-(Q47-'03_Lap_b'!$B$25:$AW$25)))))</f>
        <v/>
      </c>
      <c r="S47" s="5">
        <f>SUMPRODUCT(('01_Data'!$B47:$AW47&lt;&gt;"")*(1/(1+EXP(-(Q47-'03_Lap_b'!$B$25:$AW$25))))^2)</f>
        <v/>
      </c>
      <c r="T47" s="5">
        <f>MEDIAN(-6,Q47+(C47-R47)/MAX(R47-S47,0.000000001),6)</f>
        <v/>
      </c>
      <c r="U47" s="5">
        <f>SUMPRODUCT(('01_Data'!$B47:$AW47&lt;&gt;"")*(1/(1+EXP(-(T47-'03_Lap_b'!$B$30:$AW$30)))))</f>
        <v/>
      </c>
      <c r="V47" s="5">
        <f>SUMPRODUCT(('01_Data'!$B47:$AW47&lt;&gt;"")*(1/(1+EXP(-(T47-'03_Lap_b'!$B$30:$AW$30))))^2)</f>
        <v/>
      </c>
      <c r="W47" s="5">
        <f>MEDIAN(-6,T47+(C47-U47)/MAX(U47-V47,0.000000001),6)</f>
        <v/>
      </c>
      <c r="X47" s="5">
        <f>SUMPRODUCT(('01_Data'!$B47:$AW47&lt;&gt;"")*(1/(1+EXP(-(W47-'03_Lap_b'!$B$35:$AW$35)))))</f>
        <v/>
      </c>
      <c r="Y47" s="5">
        <f>SUMPRODUCT(('01_Data'!$B47:$AW47&lt;&gt;"")*(1/(1+EXP(-(W47-'03_Lap_b'!$B$35:$AW$35))))^2)</f>
        <v/>
      </c>
      <c r="Z47" s="5">
        <f>MEDIAN(-6,W47+(C47-X47)/MAX(X47-Y47,0.000000001),6)</f>
        <v/>
      </c>
      <c r="AA47" s="5">
        <f>SUMPRODUCT(('01_Data'!$B47:$AW47&lt;&gt;"")*(1/(1+EXP(-(Z47-'03_Lap_b'!$B$40:$AW$40)))))</f>
        <v/>
      </c>
      <c r="AB47" s="5">
        <f>SUMPRODUCT(('01_Data'!$B47:$AW47&lt;&gt;"")*(1/(1+EXP(-(Z47-'03_Lap_b'!$B$40:$AW$40))))^2)</f>
        <v/>
      </c>
      <c r="AC47" s="5">
        <f>MEDIAN(-6,Z47+(C47-AA47)/MAX(AA47-AB47,0.000000001),6)</f>
        <v/>
      </c>
    </row>
    <row r="48">
      <c r="A48" t="n">
        <v>47</v>
      </c>
      <c r="B48">
        <f>'01_Data'!A48</f>
        <v/>
      </c>
      <c r="C48">
        <f>SUM('01_Data'!$B48:$AW48)</f>
        <v/>
      </c>
      <c r="D48">
        <f>COUNT('01_Data'!$B48:$AW48)</f>
        <v/>
      </c>
      <c r="E48" s="5">
        <f>MEDIAN(-6,LN((C48+0.3)/(D48-C48+0.3)),6)</f>
        <v/>
      </c>
      <c r="F48" s="5">
        <f>SUMPRODUCT(('01_Data'!$B48:$AW48&lt;&gt;"")*(1/(1+EXP(-(E48-'03_Lap_b'!$B$5:$AW$5)))))</f>
        <v/>
      </c>
      <c r="G48" s="5">
        <f>SUMPRODUCT(('01_Data'!$B48:$AW48&lt;&gt;"")*(1/(1+EXP(-(E48-'03_Lap_b'!$B$5:$AW$5))))^2)</f>
        <v/>
      </c>
      <c r="H48" s="5">
        <f>MEDIAN(-6,E48+(C48-F48)/MAX(F48-G48,0.000000001),6)</f>
        <v/>
      </c>
      <c r="I48" s="5">
        <f>SUMPRODUCT(('01_Data'!$B48:$AW48&lt;&gt;"")*(1/(1+EXP(-(H48-'03_Lap_b'!$B$10:$AW$10)))))</f>
        <v/>
      </c>
      <c r="J48" s="5">
        <f>SUMPRODUCT(('01_Data'!$B48:$AW48&lt;&gt;"")*(1/(1+EXP(-(H48-'03_Lap_b'!$B$10:$AW$10))))^2)</f>
        <v/>
      </c>
      <c r="K48" s="5">
        <f>MEDIAN(-6,H48+(C48-I48)/MAX(I48-J48,0.000000001),6)</f>
        <v/>
      </c>
      <c r="L48" s="5">
        <f>SUMPRODUCT(('01_Data'!$B48:$AW48&lt;&gt;"")*(1/(1+EXP(-(K48-'03_Lap_b'!$B$15:$AW$15)))))</f>
        <v/>
      </c>
      <c r="M48" s="5">
        <f>SUMPRODUCT(('01_Data'!$B48:$AW48&lt;&gt;"")*(1/(1+EXP(-(K48-'03_Lap_b'!$B$15:$AW$15))))^2)</f>
        <v/>
      </c>
      <c r="N48" s="5">
        <f>MEDIAN(-6,K48+(C48-L48)/MAX(L48-M48,0.000000001),6)</f>
        <v/>
      </c>
      <c r="O48" s="5">
        <f>SUMPRODUCT(('01_Data'!$B48:$AW48&lt;&gt;"")*(1/(1+EXP(-(N48-'03_Lap_b'!$B$20:$AW$20)))))</f>
        <v/>
      </c>
      <c r="P48" s="5">
        <f>SUMPRODUCT(('01_Data'!$B48:$AW48&lt;&gt;"")*(1/(1+EXP(-(N48-'03_Lap_b'!$B$20:$AW$20))))^2)</f>
        <v/>
      </c>
      <c r="Q48" s="5">
        <f>MEDIAN(-6,N48+(C48-O48)/MAX(O48-P48,0.000000001),6)</f>
        <v/>
      </c>
      <c r="R48" s="5">
        <f>SUMPRODUCT(('01_Data'!$B48:$AW48&lt;&gt;"")*(1/(1+EXP(-(Q48-'03_Lap_b'!$B$25:$AW$25)))))</f>
        <v/>
      </c>
      <c r="S48" s="5">
        <f>SUMPRODUCT(('01_Data'!$B48:$AW48&lt;&gt;"")*(1/(1+EXP(-(Q48-'03_Lap_b'!$B$25:$AW$25))))^2)</f>
        <v/>
      </c>
      <c r="T48" s="5">
        <f>MEDIAN(-6,Q48+(C48-R48)/MAX(R48-S48,0.000000001),6)</f>
        <v/>
      </c>
      <c r="U48" s="5">
        <f>SUMPRODUCT(('01_Data'!$B48:$AW48&lt;&gt;"")*(1/(1+EXP(-(T48-'03_Lap_b'!$B$30:$AW$30)))))</f>
        <v/>
      </c>
      <c r="V48" s="5">
        <f>SUMPRODUCT(('01_Data'!$B48:$AW48&lt;&gt;"")*(1/(1+EXP(-(T48-'03_Lap_b'!$B$30:$AW$30))))^2)</f>
        <v/>
      </c>
      <c r="W48" s="5">
        <f>MEDIAN(-6,T48+(C48-U48)/MAX(U48-V48,0.000000001),6)</f>
        <v/>
      </c>
      <c r="X48" s="5">
        <f>SUMPRODUCT(('01_Data'!$B48:$AW48&lt;&gt;"")*(1/(1+EXP(-(W48-'03_Lap_b'!$B$35:$AW$35)))))</f>
        <v/>
      </c>
      <c r="Y48" s="5">
        <f>SUMPRODUCT(('01_Data'!$B48:$AW48&lt;&gt;"")*(1/(1+EXP(-(W48-'03_Lap_b'!$B$35:$AW$35))))^2)</f>
        <v/>
      </c>
      <c r="Z48" s="5">
        <f>MEDIAN(-6,W48+(C48-X48)/MAX(X48-Y48,0.000000001),6)</f>
        <v/>
      </c>
      <c r="AA48" s="5">
        <f>SUMPRODUCT(('01_Data'!$B48:$AW48&lt;&gt;"")*(1/(1+EXP(-(Z48-'03_Lap_b'!$B$40:$AW$40)))))</f>
        <v/>
      </c>
      <c r="AB48" s="5">
        <f>SUMPRODUCT(('01_Data'!$B48:$AW48&lt;&gt;"")*(1/(1+EXP(-(Z48-'03_Lap_b'!$B$40:$AW$40))))^2)</f>
        <v/>
      </c>
      <c r="AC48" s="5">
        <f>MEDIAN(-6,Z48+(C48-AA48)/MAX(AA48-AB48,0.000000001),6)</f>
        <v/>
      </c>
    </row>
    <row r="49">
      <c r="A49" t="n">
        <v>48</v>
      </c>
      <c r="B49">
        <f>'01_Data'!A49</f>
        <v/>
      </c>
      <c r="C49">
        <f>SUM('01_Data'!$B49:$AW49)</f>
        <v/>
      </c>
      <c r="D49">
        <f>COUNT('01_Data'!$B49:$AW49)</f>
        <v/>
      </c>
      <c r="E49" s="5">
        <f>MEDIAN(-6,LN((C49+0.3)/(D49-C49+0.3)),6)</f>
        <v/>
      </c>
      <c r="F49" s="5">
        <f>SUMPRODUCT(('01_Data'!$B49:$AW49&lt;&gt;"")*(1/(1+EXP(-(E49-'03_Lap_b'!$B$5:$AW$5)))))</f>
        <v/>
      </c>
      <c r="G49" s="5">
        <f>SUMPRODUCT(('01_Data'!$B49:$AW49&lt;&gt;"")*(1/(1+EXP(-(E49-'03_Lap_b'!$B$5:$AW$5))))^2)</f>
        <v/>
      </c>
      <c r="H49" s="5">
        <f>MEDIAN(-6,E49+(C49-F49)/MAX(F49-G49,0.000000001),6)</f>
        <v/>
      </c>
      <c r="I49" s="5">
        <f>SUMPRODUCT(('01_Data'!$B49:$AW49&lt;&gt;"")*(1/(1+EXP(-(H49-'03_Lap_b'!$B$10:$AW$10)))))</f>
        <v/>
      </c>
      <c r="J49" s="5">
        <f>SUMPRODUCT(('01_Data'!$B49:$AW49&lt;&gt;"")*(1/(1+EXP(-(H49-'03_Lap_b'!$B$10:$AW$10))))^2)</f>
        <v/>
      </c>
      <c r="K49" s="5">
        <f>MEDIAN(-6,H49+(C49-I49)/MAX(I49-J49,0.000000001),6)</f>
        <v/>
      </c>
      <c r="L49" s="5">
        <f>SUMPRODUCT(('01_Data'!$B49:$AW49&lt;&gt;"")*(1/(1+EXP(-(K49-'03_Lap_b'!$B$15:$AW$15)))))</f>
        <v/>
      </c>
      <c r="M49" s="5">
        <f>SUMPRODUCT(('01_Data'!$B49:$AW49&lt;&gt;"")*(1/(1+EXP(-(K49-'03_Lap_b'!$B$15:$AW$15))))^2)</f>
        <v/>
      </c>
      <c r="N49" s="5">
        <f>MEDIAN(-6,K49+(C49-L49)/MAX(L49-M49,0.000000001),6)</f>
        <v/>
      </c>
      <c r="O49" s="5">
        <f>SUMPRODUCT(('01_Data'!$B49:$AW49&lt;&gt;"")*(1/(1+EXP(-(N49-'03_Lap_b'!$B$20:$AW$20)))))</f>
        <v/>
      </c>
      <c r="P49" s="5">
        <f>SUMPRODUCT(('01_Data'!$B49:$AW49&lt;&gt;"")*(1/(1+EXP(-(N49-'03_Lap_b'!$B$20:$AW$20))))^2)</f>
        <v/>
      </c>
      <c r="Q49" s="5">
        <f>MEDIAN(-6,N49+(C49-O49)/MAX(O49-P49,0.000000001),6)</f>
        <v/>
      </c>
      <c r="R49" s="5">
        <f>SUMPRODUCT(('01_Data'!$B49:$AW49&lt;&gt;"")*(1/(1+EXP(-(Q49-'03_Lap_b'!$B$25:$AW$25)))))</f>
        <v/>
      </c>
      <c r="S49" s="5">
        <f>SUMPRODUCT(('01_Data'!$B49:$AW49&lt;&gt;"")*(1/(1+EXP(-(Q49-'03_Lap_b'!$B$25:$AW$25))))^2)</f>
        <v/>
      </c>
      <c r="T49" s="5">
        <f>MEDIAN(-6,Q49+(C49-R49)/MAX(R49-S49,0.000000001),6)</f>
        <v/>
      </c>
      <c r="U49" s="5">
        <f>SUMPRODUCT(('01_Data'!$B49:$AW49&lt;&gt;"")*(1/(1+EXP(-(T49-'03_Lap_b'!$B$30:$AW$30)))))</f>
        <v/>
      </c>
      <c r="V49" s="5">
        <f>SUMPRODUCT(('01_Data'!$B49:$AW49&lt;&gt;"")*(1/(1+EXP(-(T49-'03_Lap_b'!$B$30:$AW$30))))^2)</f>
        <v/>
      </c>
      <c r="W49" s="5">
        <f>MEDIAN(-6,T49+(C49-U49)/MAX(U49-V49,0.000000001),6)</f>
        <v/>
      </c>
      <c r="X49" s="5">
        <f>SUMPRODUCT(('01_Data'!$B49:$AW49&lt;&gt;"")*(1/(1+EXP(-(W49-'03_Lap_b'!$B$35:$AW$35)))))</f>
        <v/>
      </c>
      <c r="Y49" s="5">
        <f>SUMPRODUCT(('01_Data'!$B49:$AW49&lt;&gt;"")*(1/(1+EXP(-(W49-'03_Lap_b'!$B$35:$AW$35))))^2)</f>
        <v/>
      </c>
      <c r="Z49" s="5">
        <f>MEDIAN(-6,W49+(C49-X49)/MAX(X49-Y49,0.000000001),6)</f>
        <v/>
      </c>
      <c r="AA49" s="5">
        <f>SUMPRODUCT(('01_Data'!$B49:$AW49&lt;&gt;"")*(1/(1+EXP(-(Z49-'03_Lap_b'!$B$40:$AW$40)))))</f>
        <v/>
      </c>
      <c r="AB49" s="5">
        <f>SUMPRODUCT(('01_Data'!$B49:$AW49&lt;&gt;"")*(1/(1+EXP(-(Z49-'03_Lap_b'!$B$40:$AW$40))))^2)</f>
        <v/>
      </c>
      <c r="AC49" s="5">
        <f>MEDIAN(-6,Z49+(C49-AA49)/MAX(AA49-AB49,0.000000001),6)</f>
        <v/>
      </c>
    </row>
    <row r="50">
      <c r="A50" t="n">
        <v>49</v>
      </c>
      <c r="B50">
        <f>'01_Data'!A50</f>
        <v/>
      </c>
      <c r="C50">
        <f>SUM('01_Data'!$B50:$AW50)</f>
        <v/>
      </c>
      <c r="D50">
        <f>COUNT('01_Data'!$B50:$AW50)</f>
        <v/>
      </c>
      <c r="E50" s="5">
        <f>MEDIAN(-6,LN((C50+0.3)/(D50-C50+0.3)),6)</f>
        <v/>
      </c>
      <c r="F50" s="5">
        <f>SUMPRODUCT(('01_Data'!$B50:$AW50&lt;&gt;"")*(1/(1+EXP(-(E50-'03_Lap_b'!$B$5:$AW$5)))))</f>
        <v/>
      </c>
      <c r="G50" s="5">
        <f>SUMPRODUCT(('01_Data'!$B50:$AW50&lt;&gt;"")*(1/(1+EXP(-(E50-'03_Lap_b'!$B$5:$AW$5))))^2)</f>
        <v/>
      </c>
      <c r="H50" s="5">
        <f>MEDIAN(-6,E50+(C50-F50)/MAX(F50-G50,0.000000001),6)</f>
        <v/>
      </c>
      <c r="I50" s="5">
        <f>SUMPRODUCT(('01_Data'!$B50:$AW50&lt;&gt;"")*(1/(1+EXP(-(H50-'03_Lap_b'!$B$10:$AW$10)))))</f>
        <v/>
      </c>
      <c r="J50" s="5">
        <f>SUMPRODUCT(('01_Data'!$B50:$AW50&lt;&gt;"")*(1/(1+EXP(-(H50-'03_Lap_b'!$B$10:$AW$10))))^2)</f>
        <v/>
      </c>
      <c r="K50" s="5">
        <f>MEDIAN(-6,H50+(C50-I50)/MAX(I50-J50,0.000000001),6)</f>
        <v/>
      </c>
      <c r="L50" s="5">
        <f>SUMPRODUCT(('01_Data'!$B50:$AW50&lt;&gt;"")*(1/(1+EXP(-(K50-'03_Lap_b'!$B$15:$AW$15)))))</f>
        <v/>
      </c>
      <c r="M50" s="5">
        <f>SUMPRODUCT(('01_Data'!$B50:$AW50&lt;&gt;"")*(1/(1+EXP(-(K50-'03_Lap_b'!$B$15:$AW$15))))^2)</f>
        <v/>
      </c>
      <c r="N50" s="5">
        <f>MEDIAN(-6,K50+(C50-L50)/MAX(L50-M50,0.000000001),6)</f>
        <v/>
      </c>
      <c r="O50" s="5">
        <f>SUMPRODUCT(('01_Data'!$B50:$AW50&lt;&gt;"")*(1/(1+EXP(-(N50-'03_Lap_b'!$B$20:$AW$20)))))</f>
        <v/>
      </c>
      <c r="P50" s="5">
        <f>SUMPRODUCT(('01_Data'!$B50:$AW50&lt;&gt;"")*(1/(1+EXP(-(N50-'03_Lap_b'!$B$20:$AW$20))))^2)</f>
        <v/>
      </c>
      <c r="Q50" s="5">
        <f>MEDIAN(-6,N50+(C50-O50)/MAX(O50-P50,0.000000001),6)</f>
        <v/>
      </c>
      <c r="R50" s="5">
        <f>SUMPRODUCT(('01_Data'!$B50:$AW50&lt;&gt;"")*(1/(1+EXP(-(Q50-'03_Lap_b'!$B$25:$AW$25)))))</f>
        <v/>
      </c>
      <c r="S50" s="5">
        <f>SUMPRODUCT(('01_Data'!$B50:$AW50&lt;&gt;"")*(1/(1+EXP(-(Q50-'03_Lap_b'!$B$25:$AW$25))))^2)</f>
        <v/>
      </c>
      <c r="T50" s="5">
        <f>MEDIAN(-6,Q50+(C50-R50)/MAX(R50-S50,0.000000001),6)</f>
        <v/>
      </c>
      <c r="U50" s="5">
        <f>SUMPRODUCT(('01_Data'!$B50:$AW50&lt;&gt;"")*(1/(1+EXP(-(T50-'03_Lap_b'!$B$30:$AW$30)))))</f>
        <v/>
      </c>
      <c r="V50" s="5">
        <f>SUMPRODUCT(('01_Data'!$B50:$AW50&lt;&gt;"")*(1/(1+EXP(-(T50-'03_Lap_b'!$B$30:$AW$30))))^2)</f>
        <v/>
      </c>
      <c r="W50" s="5">
        <f>MEDIAN(-6,T50+(C50-U50)/MAX(U50-V50,0.000000001),6)</f>
        <v/>
      </c>
      <c r="X50" s="5">
        <f>SUMPRODUCT(('01_Data'!$B50:$AW50&lt;&gt;"")*(1/(1+EXP(-(W50-'03_Lap_b'!$B$35:$AW$35)))))</f>
        <v/>
      </c>
      <c r="Y50" s="5">
        <f>SUMPRODUCT(('01_Data'!$B50:$AW50&lt;&gt;"")*(1/(1+EXP(-(W50-'03_Lap_b'!$B$35:$AW$35))))^2)</f>
        <v/>
      </c>
      <c r="Z50" s="5">
        <f>MEDIAN(-6,W50+(C50-X50)/MAX(X50-Y50,0.000000001),6)</f>
        <v/>
      </c>
      <c r="AA50" s="5">
        <f>SUMPRODUCT(('01_Data'!$B50:$AW50&lt;&gt;"")*(1/(1+EXP(-(Z50-'03_Lap_b'!$B$40:$AW$40)))))</f>
        <v/>
      </c>
      <c r="AB50" s="5">
        <f>SUMPRODUCT(('01_Data'!$B50:$AW50&lt;&gt;"")*(1/(1+EXP(-(Z50-'03_Lap_b'!$B$40:$AW$40))))^2)</f>
        <v/>
      </c>
      <c r="AC50" s="5">
        <f>MEDIAN(-6,Z50+(C50-AA50)/MAX(AA50-AB50,0.000000001),6)</f>
        <v/>
      </c>
    </row>
    <row r="51">
      <c r="A51" t="n">
        <v>50</v>
      </c>
      <c r="B51">
        <f>'01_Data'!A51</f>
        <v/>
      </c>
      <c r="C51">
        <f>SUM('01_Data'!$B51:$AW51)</f>
        <v/>
      </c>
      <c r="D51">
        <f>COUNT('01_Data'!$B51:$AW51)</f>
        <v/>
      </c>
      <c r="E51" s="5">
        <f>MEDIAN(-6,LN((C51+0.3)/(D51-C51+0.3)),6)</f>
        <v/>
      </c>
      <c r="F51" s="5">
        <f>SUMPRODUCT(('01_Data'!$B51:$AW51&lt;&gt;"")*(1/(1+EXP(-(E51-'03_Lap_b'!$B$5:$AW$5)))))</f>
        <v/>
      </c>
      <c r="G51" s="5">
        <f>SUMPRODUCT(('01_Data'!$B51:$AW51&lt;&gt;"")*(1/(1+EXP(-(E51-'03_Lap_b'!$B$5:$AW$5))))^2)</f>
        <v/>
      </c>
      <c r="H51" s="5">
        <f>MEDIAN(-6,E51+(C51-F51)/MAX(F51-G51,0.000000001),6)</f>
        <v/>
      </c>
      <c r="I51" s="5">
        <f>SUMPRODUCT(('01_Data'!$B51:$AW51&lt;&gt;"")*(1/(1+EXP(-(H51-'03_Lap_b'!$B$10:$AW$10)))))</f>
        <v/>
      </c>
      <c r="J51" s="5">
        <f>SUMPRODUCT(('01_Data'!$B51:$AW51&lt;&gt;"")*(1/(1+EXP(-(H51-'03_Lap_b'!$B$10:$AW$10))))^2)</f>
        <v/>
      </c>
      <c r="K51" s="5">
        <f>MEDIAN(-6,H51+(C51-I51)/MAX(I51-J51,0.000000001),6)</f>
        <v/>
      </c>
      <c r="L51" s="5">
        <f>SUMPRODUCT(('01_Data'!$B51:$AW51&lt;&gt;"")*(1/(1+EXP(-(K51-'03_Lap_b'!$B$15:$AW$15)))))</f>
        <v/>
      </c>
      <c r="M51" s="5">
        <f>SUMPRODUCT(('01_Data'!$B51:$AW51&lt;&gt;"")*(1/(1+EXP(-(K51-'03_Lap_b'!$B$15:$AW$15))))^2)</f>
        <v/>
      </c>
      <c r="N51" s="5">
        <f>MEDIAN(-6,K51+(C51-L51)/MAX(L51-M51,0.000000001),6)</f>
        <v/>
      </c>
      <c r="O51" s="5">
        <f>SUMPRODUCT(('01_Data'!$B51:$AW51&lt;&gt;"")*(1/(1+EXP(-(N51-'03_Lap_b'!$B$20:$AW$20)))))</f>
        <v/>
      </c>
      <c r="P51" s="5">
        <f>SUMPRODUCT(('01_Data'!$B51:$AW51&lt;&gt;"")*(1/(1+EXP(-(N51-'03_Lap_b'!$B$20:$AW$20))))^2)</f>
        <v/>
      </c>
      <c r="Q51" s="5">
        <f>MEDIAN(-6,N51+(C51-O51)/MAX(O51-P51,0.000000001),6)</f>
        <v/>
      </c>
      <c r="R51" s="5">
        <f>SUMPRODUCT(('01_Data'!$B51:$AW51&lt;&gt;"")*(1/(1+EXP(-(Q51-'03_Lap_b'!$B$25:$AW$25)))))</f>
        <v/>
      </c>
      <c r="S51" s="5">
        <f>SUMPRODUCT(('01_Data'!$B51:$AW51&lt;&gt;"")*(1/(1+EXP(-(Q51-'03_Lap_b'!$B$25:$AW$25))))^2)</f>
        <v/>
      </c>
      <c r="T51" s="5">
        <f>MEDIAN(-6,Q51+(C51-R51)/MAX(R51-S51,0.000000001),6)</f>
        <v/>
      </c>
      <c r="U51" s="5">
        <f>SUMPRODUCT(('01_Data'!$B51:$AW51&lt;&gt;"")*(1/(1+EXP(-(T51-'03_Lap_b'!$B$30:$AW$30)))))</f>
        <v/>
      </c>
      <c r="V51" s="5">
        <f>SUMPRODUCT(('01_Data'!$B51:$AW51&lt;&gt;"")*(1/(1+EXP(-(T51-'03_Lap_b'!$B$30:$AW$30))))^2)</f>
        <v/>
      </c>
      <c r="W51" s="5">
        <f>MEDIAN(-6,T51+(C51-U51)/MAX(U51-V51,0.000000001),6)</f>
        <v/>
      </c>
      <c r="X51" s="5">
        <f>SUMPRODUCT(('01_Data'!$B51:$AW51&lt;&gt;"")*(1/(1+EXP(-(W51-'03_Lap_b'!$B$35:$AW$35)))))</f>
        <v/>
      </c>
      <c r="Y51" s="5">
        <f>SUMPRODUCT(('01_Data'!$B51:$AW51&lt;&gt;"")*(1/(1+EXP(-(W51-'03_Lap_b'!$B$35:$AW$35))))^2)</f>
        <v/>
      </c>
      <c r="Z51" s="5">
        <f>MEDIAN(-6,W51+(C51-X51)/MAX(X51-Y51,0.000000001),6)</f>
        <v/>
      </c>
      <c r="AA51" s="5">
        <f>SUMPRODUCT(('01_Data'!$B51:$AW51&lt;&gt;"")*(1/(1+EXP(-(Z51-'03_Lap_b'!$B$40:$AW$40)))))</f>
        <v/>
      </c>
      <c r="AB51" s="5">
        <f>SUMPRODUCT(('01_Data'!$B51:$AW51&lt;&gt;"")*(1/(1+EXP(-(Z51-'03_Lap_b'!$B$40:$AW$40))))^2)</f>
        <v/>
      </c>
      <c r="AC51" s="5">
        <f>MEDIAN(-6,Z51+(C51-AA51)/MAX(AA51-AB51,0.000000001),6)</f>
        <v/>
      </c>
    </row>
    <row r="52">
      <c r="A52" t="n">
        <v>51</v>
      </c>
      <c r="B52">
        <f>'01_Data'!A52</f>
        <v/>
      </c>
      <c r="C52">
        <f>SUM('01_Data'!$B52:$AW52)</f>
        <v/>
      </c>
      <c r="D52">
        <f>COUNT('01_Data'!$B52:$AW52)</f>
        <v/>
      </c>
      <c r="E52" s="5">
        <f>MEDIAN(-6,LN((C52+0.3)/(D52-C52+0.3)),6)</f>
        <v/>
      </c>
      <c r="F52" s="5">
        <f>SUMPRODUCT(('01_Data'!$B52:$AW52&lt;&gt;"")*(1/(1+EXP(-(E52-'03_Lap_b'!$B$5:$AW$5)))))</f>
        <v/>
      </c>
      <c r="G52" s="5">
        <f>SUMPRODUCT(('01_Data'!$B52:$AW52&lt;&gt;"")*(1/(1+EXP(-(E52-'03_Lap_b'!$B$5:$AW$5))))^2)</f>
        <v/>
      </c>
      <c r="H52" s="5">
        <f>MEDIAN(-6,E52+(C52-F52)/MAX(F52-G52,0.000000001),6)</f>
        <v/>
      </c>
      <c r="I52" s="5">
        <f>SUMPRODUCT(('01_Data'!$B52:$AW52&lt;&gt;"")*(1/(1+EXP(-(H52-'03_Lap_b'!$B$10:$AW$10)))))</f>
        <v/>
      </c>
      <c r="J52" s="5">
        <f>SUMPRODUCT(('01_Data'!$B52:$AW52&lt;&gt;"")*(1/(1+EXP(-(H52-'03_Lap_b'!$B$10:$AW$10))))^2)</f>
        <v/>
      </c>
      <c r="K52" s="5">
        <f>MEDIAN(-6,H52+(C52-I52)/MAX(I52-J52,0.000000001),6)</f>
        <v/>
      </c>
      <c r="L52" s="5">
        <f>SUMPRODUCT(('01_Data'!$B52:$AW52&lt;&gt;"")*(1/(1+EXP(-(K52-'03_Lap_b'!$B$15:$AW$15)))))</f>
        <v/>
      </c>
      <c r="M52" s="5">
        <f>SUMPRODUCT(('01_Data'!$B52:$AW52&lt;&gt;"")*(1/(1+EXP(-(K52-'03_Lap_b'!$B$15:$AW$15))))^2)</f>
        <v/>
      </c>
      <c r="N52" s="5">
        <f>MEDIAN(-6,K52+(C52-L52)/MAX(L52-M52,0.000000001),6)</f>
        <v/>
      </c>
      <c r="O52" s="5">
        <f>SUMPRODUCT(('01_Data'!$B52:$AW52&lt;&gt;"")*(1/(1+EXP(-(N52-'03_Lap_b'!$B$20:$AW$20)))))</f>
        <v/>
      </c>
      <c r="P52" s="5">
        <f>SUMPRODUCT(('01_Data'!$B52:$AW52&lt;&gt;"")*(1/(1+EXP(-(N52-'03_Lap_b'!$B$20:$AW$20))))^2)</f>
        <v/>
      </c>
      <c r="Q52" s="5">
        <f>MEDIAN(-6,N52+(C52-O52)/MAX(O52-P52,0.000000001),6)</f>
        <v/>
      </c>
      <c r="R52" s="5">
        <f>SUMPRODUCT(('01_Data'!$B52:$AW52&lt;&gt;"")*(1/(1+EXP(-(Q52-'03_Lap_b'!$B$25:$AW$25)))))</f>
        <v/>
      </c>
      <c r="S52" s="5">
        <f>SUMPRODUCT(('01_Data'!$B52:$AW52&lt;&gt;"")*(1/(1+EXP(-(Q52-'03_Lap_b'!$B$25:$AW$25))))^2)</f>
        <v/>
      </c>
      <c r="T52" s="5">
        <f>MEDIAN(-6,Q52+(C52-R52)/MAX(R52-S52,0.000000001),6)</f>
        <v/>
      </c>
      <c r="U52" s="5">
        <f>SUMPRODUCT(('01_Data'!$B52:$AW52&lt;&gt;"")*(1/(1+EXP(-(T52-'03_Lap_b'!$B$30:$AW$30)))))</f>
        <v/>
      </c>
      <c r="V52" s="5">
        <f>SUMPRODUCT(('01_Data'!$B52:$AW52&lt;&gt;"")*(1/(1+EXP(-(T52-'03_Lap_b'!$B$30:$AW$30))))^2)</f>
        <v/>
      </c>
      <c r="W52" s="5">
        <f>MEDIAN(-6,T52+(C52-U52)/MAX(U52-V52,0.000000001),6)</f>
        <v/>
      </c>
      <c r="X52" s="5">
        <f>SUMPRODUCT(('01_Data'!$B52:$AW52&lt;&gt;"")*(1/(1+EXP(-(W52-'03_Lap_b'!$B$35:$AW$35)))))</f>
        <v/>
      </c>
      <c r="Y52" s="5">
        <f>SUMPRODUCT(('01_Data'!$B52:$AW52&lt;&gt;"")*(1/(1+EXP(-(W52-'03_Lap_b'!$B$35:$AW$35))))^2)</f>
        <v/>
      </c>
      <c r="Z52" s="5">
        <f>MEDIAN(-6,W52+(C52-X52)/MAX(X52-Y52,0.000000001),6)</f>
        <v/>
      </c>
      <c r="AA52" s="5">
        <f>SUMPRODUCT(('01_Data'!$B52:$AW52&lt;&gt;"")*(1/(1+EXP(-(Z52-'03_Lap_b'!$B$40:$AW$40)))))</f>
        <v/>
      </c>
      <c r="AB52" s="5">
        <f>SUMPRODUCT(('01_Data'!$B52:$AW52&lt;&gt;"")*(1/(1+EXP(-(Z52-'03_Lap_b'!$B$40:$AW$40))))^2)</f>
        <v/>
      </c>
      <c r="AC52" s="5">
        <f>MEDIAN(-6,Z52+(C52-AA52)/MAX(AA52-AB52,0.000000001),6)</f>
        <v/>
      </c>
    </row>
    <row r="53">
      <c r="A53" t="n">
        <v>52</v>
      </c>
      <c r="B53">
        <f>'01_Data'!A53</f>
        <v/>
      </c>
      <c r="C53">
        <f>SUM('01_Data'!$B53:$AW53)</f>
        <v/>
      </c>
      <c r="D53">
        <f>COUNT('01_Data'!$B53:$AW53)</f>
        <v/>
      </c>
      <c r="E53" s="5">
        <f>MEDIAN(-6,LN((C53+0.3)/(D53-C53+0.3)),6)</f>
        <v/>
      </c>
      <c r="F53" s="5">
        <f>SUMPRODUCT(('01_Data'!$B53:$AW53&lt;&gt;"")*(1/(1+EXP(-(E53-'03_Lap_b'!$B$5:$AW$5)))))</f>
        <v/>
      </c>
      <c r="G53" s="5">
        <f>SUMPRODUCT(('01_Data'!$B53:$AW53&lt;&gt;"")*(1/(1+EXP(-(E53-'03_Lap_b'!$B$5:$AW$5))))^2)</f>
        <v/>
      </c>
      <c r="H53" s="5">
        <f>MEDIAN(-6,E53+(C53-F53)/MAX(F53-G53,0.000000001),6)</f>
        <v/>
      </c>
      <c r="I53" s="5">
        <f>SUMPRODUCT(('01_Data'!$B53:$AW53&lt;&gt;"")*(1/(1+EXP(-(H53-'03_Lap_b'!$B$10:$AW$10)))))</f>
        <v/>
      </c>
      <c r="J53" s="5">
        <f>SUMPRODUCT(('01_Data'!$B53:$AW53&lt;&gt;"")*(1/(1+EXP(-(H53-'03_Lap_b'!$B$10:$AW$10))))^2)</f>
        <v/>
      </c>
      <c r="K53" s="5">
        <f>MEDIAN(-6,H53+(C53-I53)/MAX(I53-J53,0.000000001),6)</f>
        <v/>
      </c>
      <c r="L53" s="5">
        <f>SUMPRODUCT(('01_Data'!$B53:$AW53&lt;&gt;"")*(1/(1+EXP(-(K53-'03_Lap_b'!$B$15:$AW$15)))))</f>
        <v/>
      </c>
      <c r="M53" s="5">
        <f>SUMPRODUCT(('01_Data'!$B53:$AW53&lt;&gt;"")*(1/(1+EXP(-(K53-'03_Lap_b'!$B$15:$AW$15))))^2)</f>
        <v/>
      </c>
      <c r="N53" s="5">
        <f>MEDIAN(-6,K53+(C53-L53)/MAX(L53-M53,0.000000001),6)</f>
        <v/>
      </c>
      <c r="O53" s="5">
        <f>SUMPRODUCT(('01_Data'!$B53:$AW53&lt;&gt;"")*(1/(1+EXP(-(N53-'03_Lap_b'!$B$20:$AW$20)))))</f>
        <v/>
      </c>
      <c r="P53" s="5">
        <f>SUMPRODUCT(('01_Data'!$B53:$AW53&lt;&gt;"")*(1/(1+EXP(-(N53-'03_Lap_b'!$B$20:$AW$20))))^2)</f>
        <v/>
      </c>
      <c r="Q53" s="5">
        <f>MEDIAN(-6,N53+(C53-O53)/MAX(O53-P53,0.000000001),6)</f>
        <v/>
      </c>
      <c r="R53" s="5">
        <f>SUMPRODUCT(('01_Data'!$B53:$AW53&lt;&gt;"")*(1/(1+EXP(-(Q53-'03_Lap_b'!$B$25:$AW$25)))))</f>
        <v/>
      </c>
      <c r="S53" s="5">
        <f>SUMPRODUCT(('01_Data'!$B53:$AW53&lt;&gt;"")*(1/(1+EXP(-(Q53-'03_Lap_b'!$B$25:$AW$25))))^2)</f>
        <v/>
      </c>
      <c r="T53" s="5">
        <f>MEDIAN(-6,Q53+(C53-R53)/MAX(R53-S53,0.000000001),6)</f>
        <v/>
      </c>
      <c r="U53" s="5">
        <f>SUMPRODUCT(('01_Data'!$B53:$AW53&lt;&gt;"")*(1/(1+EXP(-(T53-'03_Lap_b'!$B$30:$AW$30)))))</f>
        <v/>
      </c>
      <c r="V53" s="5">
        <f>SUMPRODUCT(('01_Data'!$B53:$AW53&lt;&gt;"")*(1/(1+EXP(-(T53-'03_Lap_b'!$B$30:$AW$30))))^2)</f>
        <v/>
      </c>
      <c r="W53" s="5">
        <f>MEDIAN(-6,T53+(C53-U53)/MAX(U53-V53,0.000000001),6)</f>
        <v/>
      </c>
      <c r="X53" s="5">
        <f>SUMPRODUCT(('01_Data'!$B53:$AW53&lt;&gt;"")*(1/(1+EXP(-(W53-'03_Lap_b'!$B$35:$AW$35)))))</f>
        <v/>
      </c>
      <c r="Y53" s="5">
        <f>SUMPRODUCT(('01_Data'!$B53:$AW53&lt;&gt;"")*(1/(1+EXP(-(W53-'03_Lap_b'!$B$35:$AW$35))))^2)</f>
        <v/>
      </c>
      <c r="Z53" s="5">
        <f>MEDIAN(-6,W53+(C53-X53)/MAX(X53-Y53,0.000000001),6)</f>
        <v/>
      </c>
      <c r="AA53" s="5">
        <f>SUMPRODUCT(('01_Data'!$B53:$AW53&lt;&gt;"")*(1/(1+EXP(-(Z53-'03_Lap_b'!$B$40:$AW$40)))))</f>
        <v/>
      </c>
      <c r="AB53" s="5">
        <f>SUMPRODUCT(('01_Data'!$B53:$AW53&lt;&gt;"")*(1/(1+EXP(-(Z53-'03_Lap_b'!$B$40:$AW$40))))^2)</f>
        <v/>
      </c>
      <c r="AC53" s="5">
        <f>MEDIAN(-6,Z53+(C53-AA53)/MAX(AA53-AB53,0.000000001),6)</f>
        <v/>
      </c>
    </row>
    <row r="54">
      <c r="A54" t="n">
        <v>53</v>
      </c>
      <c r="B54">
        <f>'01_Data'!A54</f>
        <v/>
      </c>
      <c r="C54">
        <f>SUM('01_Data'!$B54:$AW54)</f>
        <v/>
      </c>
      <c r="D54">
        <f>COUNT('01_Data'!$B54:$AW54)</f>
        <v/>
      </c>
      <c r="E54" s="5">
        <f>MEDIAN(-6,LN((C54+0.3)/(D54-C54+0.3)),6)</f>
        <v/>
      </c>
      <c r="F54" s="5">
        <f>SUMPRODUCT(('01_Data'!$B54:$AW54&lt;&gt;"")*(1/(1+EXP(-(E54-'03_Lap_b'!$B$5:$AW$5)))))</f>
        <v/>
      </c>
      <c r="G54" s="5">
        <f>SUMPRODUCT(('01_Data'!$B54:$AW54&lt;&gt;"")*(1/(1+EXP(-(E54-'03_Lap_b'!$B$5:$AW$5))))^2)</f>
        <v/>
      </c>
      <c r="H54" s="5">
        <f>MEDIAN(-6,E54+(C54-F54)/MAX(F54-G54,0.000000001),6)</f>
        <v/>
      </c>
      <c r="I54" s="5">
        <f>SUMPRODUCT(('01_Data'!$B54:$AW54&lt;&gt;"")*(1/(1+EXP(-(H54-'03_Lap_b'!$B$10:$AW$10)))))</f>
        <v/>
      </c>
      <c r="J54" s="5">
        <f>SUMPRODUCT(('01_Data'!$B54:$AW54&lt;&gt;"")*(1/(1+EXP(-(H54-'03_Lap_b'!$B$10:$AW$10))))^2)</f>
        <v/>
      </c>
      <c r="K54" s="5">
        <f>MEDIAN(-6,H54+(C54-I54)/MAX(I54-J54,0.000000001),6)</f>
        <v/>
      </c>
      <c r="L54" s="5">
        <f>SUMPRODUCT(('01_Data'!$B54:$AW54&lt;&gt;"")*(1/(1+EXP(-(K54-'03_Lap_b'!$B$15:$AW$15)))))</f>
        <v/>
      </c>
      <c r="M54" s="5">
        <f>SUMPRODUCT(('01_Data'!$B54:$AW54&lt;&gt;"")*(1/(1+EXP(-(K54-'03_Lap_b'!$B$15:$AW$15))))^2)</f>
        <v/>
      </c>
      <c r="N54" s="5">
        <f>MEDIAN(-6,K54+(C54-L54)/MAX(L54-M54,0.000000001),6)</f>
        <v/>
      </c>
      <c r="O54" s="5">
        <f>SUMPRODUCT(('01_Data'!$B54:$AW54&lt;&gt;"")*(1/(1+EXP(-(N54-'03_Lap_b'!$B$20:$AW$20)))))</f>
        <v/>
      </c>
      <c r="P54" s="5">
        <f>SUMPRODUCT(('01_Data'!$B54:$AW54&lt;&gt;"")*(1/(1+EXP(-(N54-'03_Lap_b'!$B$20:$AW$20))))^2)</f>
        <v/>
      </c>
      <c r="Q54" s="5">
        <f>MEDIAN(-6,N54+(C54-O54)/MAX(O54-P54,0.000000001),6)</f>
        <v/>
      </c>
      <c r="R54" s="5">
        <f>SUMPRODUCT(('01_Data'!$B54:$AW54&lt;&gt;"")*(1/(1+EXP(-(Q54-'03_Lap_b'!$B$25:$AW$25)))))</f>
        <v/>
      </c>
      <c r="S54" s="5">
        <f>SUMPRODUCT(('01_Data'!$B54:$AW54&lt;&gt;"")*(1/(1+EXP(-(Q54-'03_Lap_b'!$B$25:$AW$25))))^2)</f>
        <v/>
      </c>
      <c r="T54" s="5">
        <f>MEDIAN(-6,Q54+(C54-R54)/MAX(R54-S54,0.000000001),6)</f>
        <v/>
      </c>
      <c r="U54" s="5">
        <f>SUMPRODUCT(('01_Data'!$B54:$AW54&lt;&gt;"")*(1/(1+EXP(-(T54-'03_Lap_b'!$B$30:$AW$30)))))</f>
        <v/>
      </c>
      <c r="V54" s="5">
        <f>SUMPRODUCT(('01_Data'!$B54:$AW54&lt;&gt;"")*(1/(1+EXP(-(T54-'03_Lap_b'!$B$30:$AW$30))))^2)</f>
        <v/>
      </c>
      <c r="W54" s="5">
        <f>MEDIAN(-6,T54+(C54-U54)/MAX(U54-V54,0.000000001),6)</f>
        <v/>
      </c>
      <c r="X54" s="5">
        <f>SUMPRODUCT(('01_Data'!$B54:$AW54&lt;&gt;"")*(1/(1+EXP(-(W54-'03_Lap_b'!$B$35:$AW$35)))))</f>
        <v/>
      </c>
      <c r="Y54" s="5">
        <f>SUMPRODUCT(('01_Data'!$B54:$AW54&lt;&gt;"")*(1/(1+EXP(-(W54-'03_Lap_b'!$B$35:$AW$35))))^2)</f>
        <v/>
      </c>
      <c r="Z54" s="5">
        <f>MEDIAN(-6,W54+(C54-X54)/MAX(X54-Y54,0.000000001),6)</f>
        <v/>
      </c>
      <c r="AA54" s="5">
        <f>SUMPRODUCT(('01_Data'!$B54:$AW54&lt;&gt;"")*(1/(1+EXP(-(Z54-'03_Lap_b'!$B$40:$AW$40)))))</f>
        <v/>
      </c>
      <c r="AB54" s="5">
        <f>SUMPRODUCT(('01_Data'!$B54:$AW54&lt;&gt;"")*(1/(1+EXP(-(Z54-'03_Lap_b'!$B$40:$AW$40))))^2)</f>
        <v/>
      </c>
      <c r="AC54" s="5">
        <f>MEDIAN(-6,Z54+(C54-AA54)/MAX(AA54-AB54,0.000000001),6)</f>
        <v/>
      </c>
    </row>
    <row r="55">
      <c r="A55" t="n">
        <v>54</v>
      </c>
      <c r="B55">
        <f>'01_Data'!A55</f>
        <v/>
      </c>
      <c r="C55">
        <f>SUM('01_Data'!$B55:$AW55)</f>
        <v/>
      </c>
      <c r="D55">
        <f>COUNT('01_Data'!$B55:$AW55)</f>
        <v/>
      </c>
      <c r="E55" s="5">
        <f>MEDIAN(-6,LN((C55+0.3)/(D55-C55+0.3)),6)</f>
        <v/>
      </c>
      <c r="F55" s="5">
        <f>SUMPRODUCT(('01_Data'!$B55:$AW55&lt;&gt;"")*(1/(1+EXP(-(E55-'03_Lap_b'!$B$5:$AW$5)))))</f>
        <v/>
      </c>
      <c r="G55" s="5">
        <f>SUMPRODUCT(('01_Data'!$B55:$AW55&lt;&gt;"")*(1/(1+EXP(-(E55-'03_Lap_b'!$B$5:$AW$5))))^2)</f>
        <v/>
      </c>
      <c r="H55" s="5">
        <f>MEDIAN(-6,E55+(C55-F55)/MAX(F55-G55,0.000000001),6)</f>
        <v/>
      </c>
      <c r="I55" s="5">
        <f>SUMPRODUCT(('01_Data'!$B55:$AW55&lt;&gt;"")*(1/(1+EXP(-(H55-'03_Lap_b'!$B$10:$AW$10)))))</f>
        <v/>
      </c>
      <c r="J55" s="5">
        <f>SUMPRODUCT(('01_Data'!$B55:$AW55&lt;&gt;"")*(1/(1+EXP(-(H55-'03_Lap_b'!$B$10:$AW$10))))^2)</f>
        <v/>
      </c>
      <c r="K55" s="5">
        <f>MEDIAN(-6,H55+(C55-I55)/MAX(I55-J55,0.000000001),6)</f>
        <v/>
      </c>
      <c r="L55" s="5">
        <f>SUMPRODUCT(('01_Data'!$B55:$AW55&lt;&gt;"")*(1/(1+EXP(-(K55-'03_Lap_b'!$B$15:$AW$15)))))</f>
        <v/>
      </c>
      <c r="M55" s="5">
        <f>SUMPRODUCT(('01_Data'!$B55:$AW55&lt;&gt;"")*(1/(1+EXP(-(K55-'03_Lap_b'!$B$15:$AW$15))))^2)</f>
        <v/>
      </c>
      <c r="N55" s="5">
        <f>MEDIAN(-6,K55+(C55-L55)/MAX(L55-M55,0.000000001),6)</f>
        <v/>
      </c>
      <c r="O55" s="5">
        <f>SUMPRODUCT(('01_Data'!$B55:$AW55&lt;&gt;"")*(1/(1+EXP(-(N55-'03_Lap_b'!$B$20:$AW$20)))))</f>
        <v/>
      </c>
      <c r="P55" s="5">
        <f>SUMPRODUCT(('01_Data'!$B55:$AW55&lt;&gt;"")*(1/(1+EXP(-(N55-'03_Lap_b'!$B$20:$AW$20))))^2)</f>
        <v/>
      </c>
      <c r="Q55" s="5">
        <f>MEDIAN(-6,N55+(C55-O55)/MAX(O55-P55,0.000000001),6)</f>
        <v/>
      </c>
      <c r="R55" s="5">
        <f>SUMPRODUCT(('01_Data'!$B55:$AW55&lt;&gt;"")*(1/(1+EXP(-(Q55-'03_Lap_b'!$B$25:$AW$25)))))</f>
        <v/>
      </c>
      <c r="S55" s="5">
        <f>SUMPRODUCT(('01_Data'!$B55:$AW55&lt;&gt;"")*(1/(1+EXP(-(Q55-'03_Lap_b'!$B$25:$AW$25))))^2)</f>
        <v/>
      </c>
      <c r="T55" s="5">
        <f>MEDIAN(-6,Q55+(C55-R55)/MAX(R55-S55,0.000000001),6)</f>
        <v/>
      </c>
      <c r="U55" s="5">
        <f>SUMPRODUCT(('01_Data'!$B55:$AW55&lt;&gt;"")*(1/(1+EXP(-(T55-'03_Lap_b'!$B$30:$AW$30)))))</f>
        <v/>
      </c>
      <c r="V55" s="5">
        <f>SUMPRODUCT(('01_Data'!$B55:$AW55&lt;&gt;"")*(1/(1+EXP(-(T55-'03_Lap_b'!$B$30:$AW$30))))^2)</f>
        <v/>
      </c>
      <c r="W55" s="5">
        <f>MEDIAN(-6,T55+(C55-U55)/MAX(U55-V55,0.000000001),6)</f>
        <v/>
      </c>
      <c r="X55" s="5">
        <f>SUMPRODUCT(('01_Data'!$B55:$AW55&lt;&gt;"")*(1/(1+EXP(-(W55-'03_Lap_b'!$B$35:$AW$35)))))</f>
        <v/>
      </c>
      <c r="Y55" s="5">
        <f>SUMPRODUCT(('01_Data'!$B55:$AW55&lt;&gt;"")*(1/(1+EXP(-(W55-'03_Lap_b'!$B$35:$AW$35))))^2)</f>
        <v/>
      </c>
      <c r="Z55" s="5">
        <f>MEDIAN(-6,W55+(C55-X55)/MAX(X55-Y55,0.000000001),6)</f>
        <v/>
      </c>
      <c r="AA55" s="5">
        <f>SUMPRODUCT(('01_Data'!$B55:$AW55&lt;&gt;"")*(1/(1+EXP(-(Z55-'03_Lap_b'!$B$40:$AW$40)))))</f>
        <v/>
      </c>
      <c r="AB55" s="5">
        <f>SUMPRODUCT(('01_Data'!$B55:$AW55&lt;&gt;"")*(1/(1+EXP(-(Z55-'03_Lap_b'!$B$40:$AW$40))))^2)</f>
        <v/>
      </c>
      <c r="AC55" s="5">
        <f>MEDIAN(-6,Z55+(C55-AA55)/MAX(AA55-AB55,0.000000001),6)</f>
        <v/>
      </c>
    </row>
    <row r="56">
      <c r="A56" t="n">
        <v>55</v>
      </c>
      <c r="B56">
        <f>'01_Data'!A56</f>
        <v/>
      </c>
      <c r="C56">
        <f>SUM('01_Data'!$B56:$AW56)</f>
        <v/>
      </c>
      <c r="D56">
        <f>COUNT('01_Data'!$B56:$AW56)</f>
        <v/>
      </c>
      <c r="E56" s="5">
        <f>MEDIAN(-6,LN((C56+0.3)/(D56-C56+0.3)),6)</f>
        <v/>
      </c>
      <c r="F56" s="5">
        <f>SUMPRODUCT(('01_Data'!$B56:$AW56&lt;&gt;"")*(1/(1+EXP(-(E56-'03_Lap_b'!$B$5:$AW$5)))))</f>
        <v/>
      </c>
      <c r="G56" s="5">
        <f>SUMPRODUCT(('01_Data'!$B56:$AW56&lt;&gt;"")*(1/(1+EXP(-(E56-'03_Lap_b'!$B$5:$AW$5))))^2)</f>
        <v/>
      </c>
      <c r="H56" s="5">
        <f>MEDIAN(-6,E56+(C56-F56)/MAX(F56-G56,0.000000001),6)</f>
        <v/>
      </c>
      <c r="I56" s="5">
        <f>SUMPRODUCT(('01_Data'!$B56:$AW56&lt;&gt;"")*(1/(1+EXP(-(H56-'03_Lap_b'!$B$10:$AW$10)))))</f>
        <v/>
      </c>
      <c r="J56" s="5">
        <f>SUMPRODUCT(('01_Data'!$B56:$AW56&lt;&gt;"")*(1/(1+EXP(-(H56-'03_Lap_b'!$B$10:$AW$10))))^2)</f>
        <v/>
      </c>
      <c r="K56" s="5">
        <f>MEDIAN(-6,H56+(C56-I56)/MAX(I56-J56,0.000000001),6)</f>
        <v/>
      </c>
      <c r="L56" s="5">
        <f>SUMPRODUCT(('01_Data'!$B56:$AW56&lt;&gt;"")*(1/(1+EXP(-(K56-'03_Lap_b'!$B$15:$AW$15)))))</f>
        <v/>
      </c>
      <c r="M56" s="5">
        <f>SUMPRODUCT(('01_Data'!$B56:$AW56&lt;&gt;"")*(1/(1+EXP(-(K56-'03_Lap_b'!$B$15:$AW$15))))^2)</f>
        <v/>
      </c>
      <c r="N56" s="5">
        <f>MEDIAN(-6,K56+(C56-L56)/MAX(L56-M56,0.000000001),6)</f>
        <v/>
      </c>
      <c r="O56" s="5">
        <f>SUMPRODUCT(('01_Data'!$B56:$AW56&lt;&gt;"")*(1/(1+EXP(-(N56-'03_Lap_b'!$B$20:$AW$20)))))</f>
        <v/>
      </c>
      <c r="P56" s="5">
        <f>SUMPRODUCT(('01_Data'!$B56:$AW56&lt;&gt;"")*(1/(1+EXP(-(N56-'03_Lap_b'!$B$20:$AW$20))))^2)</f>
        <v/>
      </c>
      <c r="Q56" s="5">
        <f>MEDIAN(-6,N56+(C56-O56)/MAX(O56-P56,0.000000001),6)</f>
        <v/>
      </c>
      <c r="R56" s="5">
        <f>SUMPRODUCT(('01_Data'!$B56:$AW56&lt;&gt;"")*(1/(1+EXP(-(Q56-'03_Lap_b'!$B$25:$AW$25)))))</f>
        <v/>
      </c>
      <c r="S56" s="5">
        <f>SUMPRODUCT(('01_Data'!$B56:$AW56&lt;&gt;"")*(1/(1+EXP(-(Q56-'03_Lap_b'!$B$25:$AW$25))))^2)</f>
        <v/>
      </c>
      <c r="T56" s="5">
        <f>MEDIAN(-6,Q56+(C56-R56)/MAX(R56-S56,0.000000001),6)</f>
        <v/>
      </c>
      <c r="U56" s="5">
        <f>SUMPRODUCT(('01_Data'!$B56:$AW56&lt;&gt;"")*(1/(1+EXP(-(T56-'03_Lap_b'!$B$30:$AW$30)))))</f>
        <v/>
      </c>
      <c r="V56" s="5">
        <f>SUMPRODUCT(('01_Data'!$B56:$AW56&lt;&gt;"")*(1/(1+EXP(-(T56-'03_Lap_b'!$B$30:$AW$30))))^2)</f>
        <v/>
      </c>
      <c r="W56" s="5">
        <f>MEDIAN(-6,T56+(C56-U56)/MAX(U56-V56,0.000000001),6)</f>
        <v/>
      </c>
      <c r="X56" s="5">
        <f>SUMPRODUCT(('01_Data'!$B56:$AW56&lt;&gt;"")*(1/(1+EXP(-(W56-'03_Lap_b'!$B$35:$AW$35)))))</f>
        <v/>
      </c>
      <c r="Y56" s="5">
        <f>SUMPRODUCT(('01_Data'!$B56:$AW56&lt;&gt;"")*(1/(1+EXP(-(W56-'03_Lap_b'!$B$35:$AW$35))))^2)</f>
        <v/>
      </c>
      <c r="Z56" s="5">
        <f>MEDIAN(-6,W56+(C56-X56)/MAX(X56-Y56,0.000000001),6)</f>
        <v/>
      </c>
      <c r="AA56" s="5">
        <f>SUMPRODUCT(('01_Data'!$B56:$AW56&lt;&gt;"")*(1/(1+EXP(-(Z56-'03_Lap_b'!$B$40:$AW$40)))))</f>
        <v/>
      </c>
      <c r="AB56" s="5">
        <f>SUMPRODUCT(('01_Data'!$B56:$AW56&lt;&gt;"")*(1/(1+EXP(-(Z56-'03_Lap_b'!$B$40:$AW$40))))^2)</f>
        <v/>
      </c>
      <c r="AC56" s="5">
        <f>MEDIAN(-6,Z56+(C56-AA56)/MAX(AA56-AB56,0.000000001),6)</f>
        <v/>
      </c>
    </row>
    <row r="57">
      <c r="A57" t="n">
        <v>56</v>
      </c>
      <c r="B57">
        <f>'01_Data'!A57</f>
        <v/>
      </c>
      <c r="C57">
        <f>SUM('01_Data'!$B57:$AW57)</f>
        <v/>
      </c>
      <c r="D57">
        <f>COUNT('01_Data'!$B57:$AW57)</f>
        <v/>
      </c>
      <c r="E57" s="5">
        <f>MEDIAN(-6,LN((C57+0.3)/(D57-C57+0.3)),6)</f>
        <v/>
      </c>
      <c r="F57" s="5">
        <f>SUMPRODUCT(('01_Data'!$B57:$AW57&lt;&gt;"")*(1/(1+EXP(-(E57-'03_Lap_b'!$B$5:$AW$5)))))</f>
        <v/>
      </c>
      <c r="G57" s="5">
        <f>SUMPRODUCT(('01_Data'!$B57:$AW57&lt;&gt;"")*(1/(1+EXP(-(E57-'03_Lap_b'!$B$5:$AW$5))))^2)</f>
        <v/>
      </c>
      <c r="H57" s="5">
        <f>MEDIAN(-6,E57+(C57-F57)/MAX(F57-G57,0.000000001),6)</f>
        <v/>
      </c>
      <c r="I57" s="5">
        <f>SUMPRODUCT(('01_Data'!$B57:$AW57&lt;&gt;"")*(1/(1+EXP(-(H57-'03_Lap_b'!$B$10:$AW$10)))))</f>
        <v/>
      </c>
      <c r="J57" s="5">
        <f>SUMPRODUCT(('01_Data'!$B57:$AW57&lt;&gt;"")*(1/(1+EXP(-(H57-'03_Lap_b'!$B$10:$AW$10))))^2)</f>
        <v/>
      </c>
      <c r="K57" s="5">
        <f>MEDIAN(-6,H57+(C57-I57)/MAX(I57-J57,0.000000001),6)</f>
        <v/>
      </c>
      <c r="L57" s="5">
        <f>SUMPRODUCT(('01_Data'!$B57:$AW57&lt;&gt;"")*(1/(1+EXP(-(K57-'03_Lap_b'!$B$15:$AW$15)))))</f>
        <v/>
      </c>
      <c r="M57" s="5">
        <f>SUMPRODUCT(('01_Data'!$B57:$AW57&lt;&gt;"")*(1/(1+EXP(-(K57-'03_Lap_b'!$B$15:$AW$15))))^2)</f>
        <v/>
      </c>
      <c r="N57" s="5">
        <f>MEDIAN(-6,K57+(C57-L57)/MAX(L57-M57,0.000000001),6)</f>
        <v/>
      </c>
      <c r="O57" s="5">
        <f>SUMPRODUCT(('01_Data'!$B57:$AW57&lt;&gt;"")*(1/(1+EXP(-(N57-'03_Lap_b'!$B$20:$AW$20)))))</f>
        <v/>
      </c>
      <c r="P57" s="5">
        <f>SUMPRODUCT(('01_Data'!$B57:$AW57&lt;&gt;"")*(1/(1+EXP(-(N57-'03_Lap_b'!$B$20:$AW$20))))^2)</f>
        <v/>
      </c>
      <c r="Q57" s="5">
        <f>MEDIAN(-6,N57+(C57-O57)/MAX(O57-P57,0.000000001),6)</f>
        <v/>
      </c>
      <c r="R57" s="5">
        <f>SUMPRODUCT(('01_Data'!$B57:$AW57&lt;&gt;"")*(1/(1+EXP(-(Q57-'03_Lap_b'!$B$25:$AW$25)))))</f>
        <v/>
      </c>
      <c r="S57" s="5">
        <f>SUMPRODUCT(('01_Data'!$B57:$AW57&lt;&gt;"")*(1/(1+EXP(-(Q57-'03_Lap_b'!$B$25:$AW$25))))^2)</f>
        <v/>
      </c>
      <c r="T57" s="5">
        <f>MEDIAN(-6,Q57+(C57-R57)/MAX(R57-S57,0.000000001),6)</f>
        <v/>
      </c>
      <c r="U57" s="5">
        <f>SUMPRODUCT(('01_Data'!$B57:$AW57&lt;&gt;"")*(1/(1+EXP(-(T57-'03_Lap_b'!$B$30:$AW$30)))))</f>
        <v/>
      </c>
      <c r="V57" s="5">
        <f>SUMPRODUCT(('01_Data'!$B57:$AW57&lt;&gt;"")*(1/(1+EXP(-(T57-'03_Lap_b'!$B$30:$AW$30))))^2)</f>
        <v/>
      </c>
      <c r="W57" s="5">
        <f>MEDIAN(-6,T57+(C57-U57)/MAX(U57-V57,0.000000001),6)</f>
        <v/>
      </c>
      <c r="X57" s="5">
        <f>SUMPRODUCT(('01_Data'!$B57:$AW57&lt;&gt;"")*(1/(1+EXP(-(W57-'03_Lap_b'!$B$35:$AW$35)))))</f>
        <v/>
      </c>
      <c r="Y57" s="5">
        <f>SUMPRODUCT(('01_Data'!$B57:$AW57&lt;&gt;"")*(1/(1+EXP(-(W57-'03_Lap_b'!$B$35:$AW$35))))^2)</f>
        <v/>
      </c>
      <c r="Z57" s="5">
        <f>MEDIAN(-6,W57+(C57-X57)/MAX(X57-Y57,0.000000001),6)</f>
        <v/>
      </c>
      <c r="AA57" s="5">
        <f>SUMPRODUCT(('01_Data'!$B57:$AW57&lt;&gt;"")*(1/(1+EXP(-(Z57-'03_Lap_b'!$B$40:$AW$40)))))</f>
        <v/>
      </c>
      <c r="AB57" s="5">
        <f>SUMPRODUCT(('01_Data'!$B57:$AW57&lt;&gt;"")*(1/(1+EXP(-(Z57-'03_Lap_b'!$B$40:$AW$40))))^2)</f>
        <v/>
      </c>
      <c r="AC57" s="5">
        <f>MEDIAN(-6,Z57+(C57-AA57)/MAX(AA57-AB57,0.000000001),6)</f>
        <v/>
      </c>
    </row>
    <row r="58">
      <c r="A58" t="n">
        <v>57</v>
      </c>
      <c r="B58">
        <f>'01_Data'!A58</f>
        <v/>
      </c>
      <c r="C58">
        <f>SUM('01_Data'!$B58:$AW58)</f>
        <v/>
      </c>
      <c r="D58">
        <f>COUNT('01_Data'!$B58:$AW58)</f>
        <v/>
      </c>
      <c r="E58" s="5">
        <f>MEDIAN(-6,LN((C58+0.3)/(D58-C58+0.3)),6)</f>
        <v/>
      </c>
      <c r="F58" s="5">
        <f>SUMPRODUCT(('01_Data'!$B58:$AW58&lt;&gt;"")*(1/(1+EXP(-(E58-'03_Lap_b'!$B$5:$AW$5)))))</f>
        <v/>
      </c>
      <c r="G58" s="5">
        <f>SUMPRODUCT(('01_Data'!$B58:$AW58&lt;&gt;"")*(1/(1+EXP(-(E58-'03_Lap_b'!$B$5:$AW$5))))^2)</f>
        <v/>
      </c>
      <c r="H58" s="5">
        <f>MEDIAN(-6,E58+(C58-F58)/MAX(F58-G58,0.000000001),6)</f>
        <v/>
      </c>
      <c r="I58" s="5">
        <f>SUMPRODUCT(('01_Data'!$B58:$AW58&lt;&gt;"")*(1/(1+EXP(-(H58-'03_Lap_b'!$B$10:$AW$10)))))</f>
        <v/>
      </c>
      <c r="J58" s="5">
        <f>SUMPRODUCT(('01_Data'!$B58:$AW58&lt;&gt;"")*(1/(1+EXP(-(H58-'03_Lap_b'!$B$10:$AW$10))))^2)</f>
        <v/>
      </c>
      <c r="K58" s="5">
        <f>MEDIAN(-6,H58+(C58-I58)/MAX(I58-J58,0.000000001),6)</f>
        <v/>
      </c>
      <c r="L58" s="5">
        <f>SUMPRODUCT(('01_Data'!$B58:$AW58&lt;&gt;"")*(1/(1+EXP(-(K58-'03_Lap_b'!$B$15:$AW$15)))))</f>
        <v/>
      </c>
      <c r="M58" s="5">
        <f>SUMPRODUCT(('01_Data'!$B58:$AW58&lt;&gt;"")*(1/(1+EXP(-(K58-'03_Lap_b'!$B$15:$AW$15))))^2)</f>
        <v/>
      </c>
      <c r="N58" s="5">
        <f>MEDIAN(-6,K58+(C58-L58)/MAX(L58-M58,0.000000001),6)</f>
        <v/>
      </c>
      <c r="O58" s="5">
        <f>SUMPRODUCT(('01_Data'!$B58:$AW58&lt;&gt;"")*(1/(1+EXP(-(N58-'03_Lap_b'!$B$20:$AW$20)))))</f>
        <v/>
      </c>
      <c r="P58" s="5">
        <f>SUMPRODUCT(('01_Data'!$B58:$AW58&lt;&gt;"")*(1/(1+EXP(-(N58-'03_Lap_b'!$B$20:$AW$20))))^2)</f>
        <v/>
      </c>
      <c r="Q58" s="5">
        <f>MEDIAN(-6,N58+(C58-O58)/MAX(O58-P58,0.000000001),6)</f>
        <v/>
      </c>
      <c r="R58" s="5">
        <f>SUMPRODUCT(('01_Data'!$B58:$AW58&lt;&gt;"")*(1/(1+EXP(-(Q58-'03_Lap_b'!$B$25:$AW$25)))))</f>
        <v/>
      </c>
      <c r="S58" s="5">
        <f>SUMPRODUCT(('01_Data'!$B58:$AW58&lt;&gt;"")*(1/(1+EXP(-(Q58-'03_Lap_b'!$B$25:$AW$25))))^2)</f>
        <v/>
      </c>
      <c r="T58" s="5">
        <f>MEDIAN(-6,Q58+(C58-R58)/MAX(R58-S58,0.000000001),6)</f>
        <v/>
      </c>
      <c r="U58" s="5">
        <f>SUMPRODUCT(('01_Data'!$B58:$AW58&lt;&gt;"")*(1/(1+EXP(-(T58-'03_Lap_b'!$B$30:$AW$30)))))</f>
        <v/>
      </c>
      <c r="V58" s="5">
        <f>SUMPRODUCT(('01_Data'!$B58:$AW58&lt;&gt;"")*(1/(1+EXP(-(T58-'03_Lap_b'!$B$30:$AW$30))))^2)</f>
        <v/>
      </c>
      <c r="W58" s="5">
        <f>MEDIAN(-6,T58+(C58-U58)/MAX(U58-V58,0.000000001),6)</f>
        <v/>
      </c>
      <c r="X58" s="5">
        <f>SUMPRODUCT(('01_Data'!$B58:$AW58&lt;&gt;"")*(1/(1+EXP(-(W58-'03_Lap_b'!$B$35:$AW$35)))))</f>
        <v/>
      </c>
      <c r="Y58" s="5">
        <f>SUMPRODUCT(('01_Data'!$B58:$AW58&lt;&gt;"")*(1/(1+EXP(-(W58-'03_Lap_b'!$B$35:$AW$35))))^2)</f>
        <v/>
      </c>
      <c r="Z58" s="5">
        <f>MEDIAN(-6,W58+(C58-X58)/MAX(X58-Y58,0.000000001),6)</f>
        <v/>
      </c>
      <c r="AA58" s="5">
        <f>SUMPRODUCT(('01_Data'!$B58:$AW58&lt;&gt;"")*(1/(1+EXP(-(Z58-'03_Lap_b'!$B$40:$AW$40)))))</f>
        <v/>
      </c>
      <c r="AB58" s="5">
        <f>SUMPRODUCT(('01_Data'!$B58:$AW58&lt;&gt;"")*(1/(1+EXP(-(Z58-'03_Lap_b'!$B$40:$AW$40))))^2)</f>
        <v/>
      </c>
      <c r="AC58" s="5">
        <f>MEDIAN(-6,Z58+(C58-AA58)/MAX(AA58-AB58,0.000000001),6)</f>
        <v/>
      </c>
    </row>
    <row r="59">
      <c r="A59" t="n">
        <v>58</v>
      </c>
      <c r="B59">
        <f>'01_Data'!A59</f>
        <v/>
      </c>
      <c r="C59">
        <f>SUM('01_Data'!$B59:$AW59)</f>
        <v/>
      </c>
      <c r="D59">
        <f>COUNT('01_Data'!$B59:$AW59)</f>
        <v/>
      </c>
      <c r="E59" s="5">
        <f>MEDIAN(-6,LN((C59+0.3)/(D59-C59+0.3)),6)</f>
        <v/>
      </c>
      <c r="F59" s="5">
        <f>SUMPRODUCT(('01_Data'!$B59:$AW59&lt;&gt;"")*(1/(1+EXP(-(E59-'03_Lap_b'!$B$5:$AW$5)))))</f>
        <v/>
      </c>
      <c r="G59" s="5">
        <f>SUMPRODUCT(('01_Data'!$B59:$AW59&lt;&gt;"")*(1/(1+EXP(-(E59-'03_Lap_b'!$B$5:$AW$5))))^2)</f>
        <v/>
      </c>
      <c r="H59" s="5">
        <f>MEDIAN(-6,E59+(C59-F59)/MAX(F59-G59,0.000000001),6)</f>
        <v/>
      </c>
      <c r="I59" s="5">
        <f>SUMPRODUCT(('01_Data'!$B59:$AW59&lt;&gt;"")*(1/(1+EXP(-(H59-'03_Lap_b'!$B$10:$AW$10)))))</f>
        <v/>
      </c>
      <c r="J59" s="5">
        <f>SUMPRODUCT(('01_Data'!$B59:$AW59&lt;&gt;"")*(1/(1+EXP(-(H59-'03_Lap_b'!$B$10:$AW$10))))^2)</f>
        <v/>
      </c>
      <c r="K59" s="5">
        <f>MEDIAN(-6,H59+(C59-I59)/MAX(I59-J59,0.000000001),6)</f>
        <v/>
      </c>
      <c r="L59" s="5">
        <f>SUMPRODUCT(('01_Data'!$B59:$AW59&lt;&gt;"")*(1/(1+EXP(-(K59-'03_Lap_b'!$B$15:$AW$15)))))</f>
        <v/>
      </c>
      <c r="M59" s="5">
        <f>SUMPRODUCT(('01_Data'!$B59:$AW59&lt;&gt;"")*(1/(1+EXP(-(K59-'03_Lap_b'!$B$15:$AW$15))))^2)</f>
        <v/>
      </c>
      <c r="N59" s="5">
        <f>MEDIAN(-6,K59+(C59-L59)/MAX(L59-M59,0.000000001),6)</f>
        <v/>
      </c>
      <c r="O59" s="5">
        <f>SUMPRODUCT(('01_Data'!$B59:$AW59&lt;&gt;"")*(1/(1+EXP(-(N59-'03_Lap_b'!$B$20:$AW$20)))))</f>
        <v/>
      </c>
      <c r="P59" s="5">
        <f>SUMPRODUCT(('01_Data'!$B59:$AW59&lt;&gt;"")*(1/(1+EXP(-(N59-'03_Lap_b'!$B$20:$AW$20))))^2)</f>
        <v/>
      </c>
      <c r="Q59" s="5">
        <f>MEDIAN(-6,N59+(C59-O59)/MAX(O59-P59,0.000000001),6)</f>
        <v/>
      </c>
      <c r="R59" s="5">
        <f>SUMPRODUCT(('01_Data'!$B59:$AW59&lt;&gt;"")*(1/(1+EXP(-(Q59-'03_Lap_b'!$B$25:$AW$25)))))</f>
        <v/>
      </c>
      <c r="S59" s="5">
        <f>SUMPRODUCT(('01_Data'!$B59:$AW59&lt;&gt;"")*(1/(1+EXP(-(Q59-'03_Lap_b'!$B$25:$AW$25))))^2)</f>
        <v/>
      </c>
      <c r="T59" s="5">
        <f>MEDIAN(-6,Q59+(C59-R59)/MAX(R59-S59,0.000000001),6)</f>
        <v/>
      </c>
      <c r="U59" s="5">
        <f>SUMPRODUCT(('01_Data'!$B59:$AW59&lt;&gt;"")*(1/(1+EXP(-(T59-'03_Lap_b'!$B$30:$AW$30)))))</f>
        <v/>
      </c>
      <c r="V59" s="5">
        <f>SUMPRODUCT(('01_Data'!$B59:$AW59&lt;&gt;"")*(1/(1+EXP(-(T59-'03_Lap_b'!$B$30:$AW$30))))^2)</f>
        <v/>
      </c>
      <c r="W59" s="5">
        <f>MEDIAN(-6,T59+(C59-U59)/MAX(U59-V59,0.000000001),6)</f>
        <v/>
      </c>
      <c r="X59" s="5">
        <f>SUMPRODUCT(('01_Data'!$B59:$AW59&lt;&gt;"")*(1/(1+EXP(-(W59-'03_Lap_b'!$B$35:$AW$35)))))</f>
        <v/>
      </c>
      <c r="Y59" s="5">
        <f>SUMPRODUCT(('01_Data'!$B59:$AW59&lt;&gt;"")*(1/(1+EXP(-(W59-'03_Lap_b'!$B$35:$AW$35))))^2)</f>
        <v/>
      </c>
      <c r="Z59" s="5">
        <f>MEDIAN(-6,W59+(C59-X59)/MAX(X59-Y59,0.000000001),6)</f>
        <v/>
      </c>
      <c r="AA59" s="5">
        <f>SUMPRODUCT(('01_Data'!$B59:$AW59&lt;&gt;"")*(1/(1+EXP(-(Z59-'03_Lap_b'!$B$40:$AW$40)))))</f>
        <v/>
      </c>
      <c r="AB59" s="5">
        <f>SUMPRODUCT(('01_Data'!$B59:$AW59&lt;&gt;"")*(1/(1+EXP(-(Z59-'03_Lap_b'!$B$40:$AW$40))))^2)</f>
        <v/>
      </c>
      <c r="AC59" s="5">
        <f>MEDIAN(-6,Z59+(C59-AA59)/MAX(AA59-AB59,0.000000001),6)</f>
        <v/>
      </c>
    </row>
    <row r="60">
      <c r="A60" t="n">
        <v>59</v>
      </c>
      <c r="B60">
        <f>'01_Data'!A60</f>
        <v/>
      </c>
      <c r="C60">
        <f>SUM('01_Data'!$B60:$AW60)</f>
        <v/>
      </c>
      <c r="D60">
        <f>COUNT('01_Data'!$B60:$AW60)</f>
        <v/>
      </c>
      <c r="E60" s="5">
        <f>MEDIAN(-6,LN((C60+0.3)/(D60-C60+0.3)),6)</f>
        <v/>
      </c>
      <c r="F60" s="5">
        <f>SUMPRODUCT(('01_Data'!$B60:$AW60&lt;&gt;"")*(1/(1+EXP(-(E60-'03_Lap_b'!$B$5:$AW$5)))))</f>
        <v/>
      </c>
      <c r="G60" s="5">
        <f>SUMPRODUCT(('01_Data'!$B60:$AW60&lt;&gt;"")*(1/(1+EXP(-(E60-'03_Lap_b'!$B$5:$AW$5))))^2)</f>
        <v/>
      </c>
      <c r="H60" s="5">
        <f>MEDIAN(-6,E60+(C60-F60)/MAX(F60-G60,0.000000001),6)</f>
        <v/>
      </c>
      <c r="I60" s="5">
        <f>SUMPRODUCT(('01_Data'!$B60:$AW60&lt;&gt;"")*(1/(1+EXP(-(H60-'03_Lap_b'!$B$10:$AW$10)))))</f>
        <v/>
      </c>
      <c r="J60" s="5">
        <f>SUMPRODUCT(('01_Data'!$B60:$AW60&lt;&gt;"")*(1/(1+EXP(-(H60-'03_Lap_b'!$B$10:$AW$10))))^2)</f>
        <v/>
      </c>
      <c r="K60" s="5">
        <f>MEDIAN(-6,H60+(C60-I60)/MAX(I60-J60,0.000000001),6)</f>
        <v/>
      </c>
      <c r="L60" s="5">
        <f>SUMPRODUCT(('01_Data'!$B60:$AW60&lt;&gt;"")*(1/(1+EXP(-(K60-'03_Lap_b'!$B$15:$AW$15)))))</f>
        <v/>
      </c>
      <c r="M60" s="5">
        <f>SUMPRODUCT(('01_Data'!$B60:$AW60&lt;&gt;"")*(1/(1+EXP(-(K60-'03_Lap_b'!$B$15:$AW$15))))^2)</f>
        <v/>
      </c>
      <c r="N60" s="5">
        <f>MEDIAN(-6,K60+(C60-L60)/MAX(L60-M60,0.000000001),6)</f>
        <v/>
      </c>
      <c r="O60" s="5">
        <f>SUMPRODUCT(('01_Data'!$B60:$AW60&lt;&gt;"")*(1/(1+EXP(-(N60-'03_Lap_b'!$B$20:$AW$20)))))</f>
        <v/>
      </c>
      <c r="P60" s="5">
        <f>SUMPRODUCT(('01_Data'!$B60:$AW60&lt;&gt;"")*(1/(1+EXP(-(N60-'03_Lap_b'!$B$20:$AW$20))))^2)</f>
        <v/>
      </c>
      <c r="Q60" s="5">
        <f>MEDIAN(-6,N60+(C60-O60)/MAX(O60-P60,0.000000001),6)</f>
        <v/>
      </c>
      <c r="R60" s="5">
        <f>SUMPRODUCT(('01_Data'!$B60:$AW60&lt;&gt;"")*(1/(1+EXP(-(Q60-'03_Lap_b'!$B$25:$AW$25)))))</f>
        <v/>
      </c>
      <c r="S60" s="5">
        <f>SUMPRODUCT(('01_Data'!$B60:$AW60&lt;&gt;"")*(1/(1+EXP(-(Q60-'03_Lap_b'!$B$25:$AW$25))))^2)</f>
        <v/>
      </c>
      <c r="T60" s="5">
        <f>MEDIAN(-6,Q60+(C60-R60)/MAX(R60-S60,0.000000001),6)</f>
        <v/>
      </c>
      <c r="U60" s="5">
        <f>SUMPRODUCT(('01_Data'!$B60:$AW60&lt;&gt;"")*(1/(1+EXP(-(T60-'03_Lap_b'!$B$30:$AW$30)))))</f>
        <v/>
      </c>
      <c r="V60" s="5">
        <f>SUMPRODUCT(('01_Data'!$B60:$AW60&lt;&gt;"")*(1/(1+EXP(-(T60-'03_Lap_b'!$B$30:$AW$30))))^2)</f>
        <v/>
      </c>
      <c r="W60" s="5">
        <f>MEDIAN(-6,T60+(C60-U60)/MAX(U60-V60,0.000000001),6)</f>
        <v/>
      </c>
      <c r="X60" s="5">
        <f>SUMPRODUCT(('01_Data'!$B60:$AW60&lt;&gt;"")*(1/(1+EXP(-(W60-'03_Lap_b'!$B$35:$AW$35)))))</f>
        <v/>
      </c>
      <c r="Y60" s="5">
        <f>SUMPRODUCT(('01_Data'!$B60:$AW60&lt;&gt;"")*(1/(1+EXP(-(W60-'03_Lap_b'!$B$35:$AW$35))))^2)</f>
        <v/>
      </c>
      <c r="Z60" s="5">
        <f>MEDIAN(-6,W60+(C60-X60)/MAX(X60-Y60,0.000000001),6)</f>
        <v/>
      </c>
      <c r="AA60" s="5">
        <f>SUMPRODUCT(('01_Data'!$B60:$AW60&lt;&gt;"")*(1/(1+EXP(-(Z60-'03_Lap_b'!$B$40:$AW$40)))))</f>
        <v/>
      </c>
      <c r="AB60" s="5">
        <f>SUMPRODUCT(('01_Data'!$B60:$AW60&lt;&gt;"")*(1/(1+EXP(-(Z60-'03_Lap_b'!$B$40:$AW$40))))^2)</f>
        <v/>
      </c>
      <c r="AC60" s="5">
        <f>MEDIAN(-6,Z60+(C60-AA60)/MAX(AA60-AB60,0.000000001),6)</f>
        <v/>
      </c>
    </row>
    <row r="61">
      <c r="A61" t="n">
        <v>60</v>
      </c>
      <c r="B61">
        <f>'01_Data'!A61</f>
        <v/>
      </c>
      <c r="C61">
        <f>SUM('01_Data'!$B61:$AW61)</f>
        <v/>
      </c>
      <c r="D61">
        <f>COUNT('01_Data'!$B61:$AW61)</f>
        <v/>
      </c>
      <c r="E61" s="5">
        <f>MEDIAN(-6,LN((C61+0.3)/(D61-C61+0.3)),6)</f>
        <v/>
      </c>
      <c r="F61" s="5">
        <f>SUMPRODUCT(('01_Data'!$B61:$AW61&lt;&gt;"")*(1/(1+EXP(-(E61-'03_Lap_b'!$B$5:$AW$5)))))</f>
        <v/>
      </c>
      <c r="G61" s="5">
        <f>SUMPRODUCT(('01_Data'!$B61:$AW61&lt;&gt;"")*(1/(1+EXP(-(E61-'03_Lap_b'!$B$5:$AW$5))))^2)</f>
        <v/>
      </c>
      <c r="H61" s="5">
        <f>MEDIAN(-6,E61+(C61-F61)/MAX(F61-G61,0.000000001),6)</f>
        <v/>
      </c>
      <c r="I61" s="5">
        <f>SUMPRODUCT(('01_Data'!$B61:$AW61&lt;&gt;"")*(1/(1+EXP(-(H61-'03_Lap_b'!$B$10:$AW$10)))))</f>
        <v/>
      </c>
      <c r="J61" s="5">
        <f>SUMPRODUCT(('01_Data'!$B61:$AW61&lt;&gt;"")*(1/(1+EXP(-(H61-'03_Lap_b'!$B$10:$AW$10))))^2)</f>
        <v/>
      </c>
      <c r="K61" s="5">
        <f>MEDIAN(-6,H61+(C61-I61)/MAX(I61-J61,0.000000001),6)</f>
        <v/>
      </c>
      <c r="L61" s="5">
        <f>SUMPRODUCT(('01_Data'!$B61:$AW61&lt;&gt;"")*(1/(1+EXP(-(K61-'03_Lap_b'!$B$15:$AW$15)))))</f>
        <v/>
      </c>
      <c r="M61" s="5">
        <f>SUMPRODUCT(('01_Data'!$B61:$AW61&lt;&gt;"")*(1/(1+EXP(-(K61-'03_Lap_b'!$B$15:$AW$15))))^2)</f>
        <v/>
      </c>
      <c r="N61" s="5">
        <f>MEDIAN(-6,K61+(C61-L61)/MAX(L61-M61,0.000000001),6)</f>
        <v/>
      </c>
      <c r="O61" s="5">
        <f>SUMPRODUCT(('01_Data'!$B61:$AW61&lt;&gt;"")*(1/(1+EXP(-(N61-'03_Lap_b'!$B$20:$AW$20)))))</f>
        <v/>
      </c>
      <c r="P61" s="5">
        <f>SUMPRODUCT(('01_Data'!$B61:$AW61&lt;&gt;"")*(1/(1+EXP(-(N61-'03_Lap_b'!$B$20:$AW$20))))^2)</f>
        <v/>
      </c>
      <c r="Q61" s="5">
        <f>MEDIAN(-6,N61+(C61-O61)/MAX(O61-P61,0.000000001),6)</f>
        <v/>
      </c>
      <c r="R61" s="5">
        <f>SUMPRODUCT(('01_Data'!$B61:$AW61&lt;&gt;"")*(1/(1+EXP(-(Q61-'03_Lap_b'!$B$25:$AW$25)))))</f>
        <v/>
      </c>
      <c r="S61" s="5">
        <f>SUMPRODUCT(('01_Data'!$B61:$AW61&lt;&gt;"")*(1/(1+EXP(-(Q61-'03_Lap_b'!$B$25:$AW$25))))^2)</f>
        <v/>
      </c>
      <c r="T61" s="5">
        <f>MEDIAN(-6,Q61+(C61-R61)/MAX(R61-S61,0.000000001),6)</f>
        <v/>
      </c>
      <c r="U61" s="5">
        <f>SUMPRODUCT(('01_Data'!$B61:$AW61&lt;&gt;"")*(1/(1+EXP(-(T61-'03_Lap_b'!$B$30:$AW$30)))))</f>
        <v/>
      </c>
      <c r="V61" s="5">
        <f>SUMPRODUCT(('01_Data'!$B61:$AW61&lt;&gt;"")*(1/(1+EXP(-(T61-'03_Lap_b'!$B$30:$AW$30))))^2)</f>
        <v/>
      </c>
      <c r="W61" s="5">
        <f>MEDIAN(-6,T61+(C61-U61)/MAX(U61-V61,0.000000001),6)</f>
        <v/>
      </c>
      <c r="X61" s="5">
        <f>SUMPRODUCT(('01_Data'!$B61:$AW61&lt;&gt;"")*(1/(1+EXP(-(W61-'03_Lap_b'!$B$35:$AW$35)))))</f>
        <v/>
      </c>
      <c r="Y61" s="5">
        <f>SUMPRODUCT(('01_Data'!$B61:$AW61&lt;&gt;"")*(1/(1+EXP(-(W61-'03_Lap_b'!$B$35:$AW$35))))^2)</f>
        <v/>
      </c>
      <c r="Z61" s="5">
        <f>MEDIAN(-6,W61+(C61-X61)/MAX(X61-Y61,0.000000001),6)</f>
        <v/>
      </c>
      <c r="AA61" s="5">
        <f>SUMPRODUCT(('01_Data'!$B61:$AW61&lt;&gt;"")*(1/(1+EXP(-(Z61-'03_Lap_b'!$B$40:$AW$40)))))</f>
        <v/>
      </c>
      <c r="AB61" s="5">
        <f>SUMPRODUCT(('01_Data'!$B61:$AW61&lt;&gt;"")*(1/(1+EXP(-(Z61-'03_Lap_b'!$B$40:$AW$40))))^2)</f>
        <v/>
      </c>
      <c r="AC61" s="5">
        <f>MEDIAN(-6,Z61+(C61-AA61)/MAX(AA61-AB61,0.000000001),6)</f>
        <v/>
      </c>
    </row>
    <row r="62">
      <c r="A62" t="n">
        <v>61</v>
      </c>
      <c r="B62">
        <f>'01_Data'!A62</f>
        <v/>
      </c>
      <c r="C62">
        <f>SUM('01_Data'!$B62:$AW62)</f>
        <v/>
      </c>
      <c r="D62">
        <f>COUNT('01_Data'!$B62:$AW62)</f>
        <v/>
      </c>
      <c r="E62" s="5">
        <f>MEDIAN(-6,LN((C62+0.3)/(D62-C62+0.3)),6)</f>
        <v/>
      </c>
      <c r="F62" s="5">
        <f>SUMPRODUCT(('01_Data'!$B62:$AW62&lt;&gt;"")*(1/(1+EXP(-(E62-'03_Lap_b'!$B$5:$AW$5)))))</f>
        <v/>
      </c>
      <c r="G62" s="5">
        <f>SUMPRODUCT(('01_Data'!$B62:$AW62&lt;&gt;"")*(1/(1+EXP(-(E62-'03_Lap_b'!$B$5:$AW$5))))^2)</f>
        <v/>
      </c>
      <c r="H62" s="5">
        <f>MEDIAN(-6,E62+(C62-F62)/MAX(F62-G62,0.000000001),6)</f>
        <v/>
      </c>
      <c r="I62" s="5">
        <f>SUMPRODUCT(('01_Data'!$B62:$AW62&lt;&gt;"")*(1/(1+EXP(-(H62-'03_Lap_b'!$B$10:$AW$10)))))</f>
        <v/>
      </c>
      <c r="J62" s="5">
        <f>SUMPRODUCT(('01_Data'!$B62:$AW62&lt;&gt;"")*(1/(1+EXP(-(H62-'03_Lap_b'!$B$10:$AW$10))))^2)</f>
        <v/>
      </c>
      <c r="K62" s="5">
        <f>MEDIAN(-6,H62+(C62-I62)/MAX(I62-J62,0.000000001),6)</f>
        <v/>
      </c>
      <c r="L62" s="5">
        <f>SUMPRODUCT(('01_Data'!$B62:$AW62&lt;&gt;"")*(1/(1+EXP(-(K62-'03_Lap_b'!$B$15:$AW$15)))))</f>
        <v/>
      </c>
      <c r="M62" s="5">
        <f>SUMPRODUCT(('01_Data'!$B62:$AW62&lt;&gt;"")*(1/(1+EXP(-(K62-'03_Lap_b'!$B$15:$AW$15))))^2)</f>
        <v/>
      </c>
      <c r="N62" s="5">
        <f>MEDIAN(-6,K62+(C62-L62)/MAX(L62-M62,0.000000001),6)</f>
        <v/>
      </c>
      <c r="O62" s="5">
        <f>SUMPRODUCT(('01_Data'!$B62:$AW62&lt;&gt;"")*(1/(1+EXP(-(N62-'03_Lap_b'!$B$20:$AW$20)))))</f>
        <v/>
      </c>
      <c r="P62" s="5">
        <f>SUMPRODUCT(('01_Data'!$B62:$AW62&lt;&gt;"")*(1/(1+EXP(-(N62-'03_Lap_b'!$B$20:$AW$20))))^2)</f>
        <v/>
      </c>
      <c r="Q62" s="5">
        <f>MEDIAN(-6,N62+(C62-O62)/MAX(O62-P62,0.000000001),6)</f>
        <v/>
      </c>
      <c r="R62" s="5">
        <f>SUMPRODUCT(('01_Data'!$B62:$AW62&lt;&gt;"")*(1/(1+EXP(-(Q62-'03_Lap_b'!$B$25:$AW$25)))))</f>
        <v/>
      </c>
      <c r="S62" s="5">
        <f>SUMPRODUCT(('01_Data'!$B62:$AW62&lt;&gt;"")*(1/(1+EXP(-(Q62-'03_Lap_b'!$B$25:$AW$25))))^2)</f>
        <v/>
      </c>
      <c r="T62" s="5">
        <f>MEDIAN(-6,Q62+(C62-R62)/MAX(R62-S62,0.000000001),6)</f>
        <v/>
      </c>
      <c r="U62" s="5">
        <f>SUMPRODUCT(('01_Data'!$B62:$AW62&lt;&gt;"")*(1/(1+EXP(-(T62-'03_Lap_b'!$B$30:$AW$30)))))</f>
        <v/>
      </c>
      <c r="V62" s="5">
        <f>SUMPRODUCT(('01_Data'!$B62:$AW62&lt;&gt;"")*(1/(1+EXP(-(T62-'03_Lap_b'!$B$30:$AW$30))))^2)</f>
        <v/>
      </c>
      <c r="W62" s="5">
        <f>MEDIAN(-6,T62+(C62-U62)/MAX(U62-V62,0.000000001),6)</f>
        <v/>
      </c>
      <c r="X62" s="5">
        <f>SUMPRODUCT(('01_Data'!$B62:$AW62&lt;&gt;"")*(1/(1+EXP(-(W62-'03_Lap_b'!$B$35:$AW$35)))))</f>
        <v/>
      </c>
      <c r="Y62" s="5">
        <f>SUMPRODUCT(('01_Data'!$B62:$AW62&lt;&gt;"")*(1/(1+EXP(-(W62-'03_Lap_b'!$B$35:$AW$35))))^2)</f>
        <v/>
      </c>
      <c r="Z62" s="5">
        <f>MEDIAN(-6,W62+(C62-X62)/MAX(X62-Y62,0.000000001),6)</f>
        <v/>
      </c>
      <c r="AA62" s="5">
        <f>SUMPRODUCT(('01_Data'!$B62:$AW62&lt;&gt;"")*(1/(1+EXP(-(Z62-'03_Lap_b'!$B$40:$AW$40)))))</f>
        <v/>
      </c>
      <c r="AB62" s="5">
        <f>SUMPRODUCT(('01_Data'!$B62:$AW62&lt;&gt;"")*(1/(1+EXP(-(Z62-'03_Lap_b'!$B$40:$AW$40))))^2)</f>
        <v/>
      </c>
      <c r="AC62" s="5">
        <f>MEDIAN(-6,Z62+(C62-AA62)/MAX(AA62-AB62,0.000000001),6)</f>
        <v/>
      </c>
    </row>
    <row r="63">
      <c r="A63" t="n">
        <v>62</v>
      </c>
      <c r="B63">
        <f>'01_Data'!A63</f>
        <v/>
      </c>
      <c r="C63">
        <f>SUM('01_Data'!$B63:$AW63)</f>
        <v/>
      </c>
      <c r="D63">
        <f>COUNT('01_Data'!$B63:$AW63)</f>
        <v/>
      </c>
      <c r="E63" s="5">
        <f>MEDIAN(-6,LN((C63+0.3)/(D63-C63+0.3)),6)</f>
        <v/>
      </c>
      <c r="F63" s="5">
        <f>SUMPRODUCT(('01_Data'!$B63:$AW63&lt;&gt;"")*(1/(1+EXP(-(E63-'03_Lap_b'!$B$5:$AW$5)))))</f>
        <v/>
      </c>
      <c r="G63" s="5">
        <f>SUMPRODUCT(('01_Data'!$B63:$AW63&lt;&gt;"")*(1/(1+EXP(-(E63-'03_Lap_b'!$B$5:$AW$5))))^2)</f>
        <v/>
      </c>
      <c r="H63" s="5">
        <f>MEDIAN(-6,E63+(C63-F63)/MAX(F63-G63,0.000000001),6)</f>
        <v/>
      </c>
      <c r="I63" s="5">
        <f>SUMPRODUCT(('01_Data'!$B63:$AW63&lt;&gt;"")*(1/(1+EXP(-(H63-'03_Lap_b'!$B$10:$AW$10)))))</f>
        <v/>
      </c>
      <c r="J63" s="5">
        <f>SUMPRODUCT(('01_Data'!$B63:$AW63&lt;&gt;"")*(1/(1+EXP(-(H63-'03_Lap_b'!$B$10:$AW$10))))^2)</f>
        <v/>
      </c>
      <c r="K63" s="5">
        <f>MEDIAN(-6,H63+(C63-I63)/MAX(I63-J63,0.000000001),6)</f>
        <v/>
      </c>
      <c r="L63" s="5">
        <f>SUMPRODUCT(('01_Data'!$B63:$AW63&lt;&gt;"")*(1/(1+EXP(-(K63-'03_Lap_b'!$B$15:$AW$15)))))</f>
        <v/>
      </c>
      <c r="M63" s="5">
        <f>SUMPRODUCT(('01_Data'!$B63:$AW63&lt;&gt;"")*(1/(1+EXP(-(K63-'03_Lap_b'!$B$15:$AW$15))))^2)</f>
        <v/>
      </c>
      <c r="N63" s="5">
        <f>MEDIAN(-6,K63+(C63-L63)/MAX(L63-M63,0.000000001),6)</f>
        <v/>
      </c>
      <c r="O63" s="5">
        <f>SUMPRODUCT(('01_Data'!$B63:$AW63&lt;&gt;"")*(1/(1+EXP(-(N63-'03_Lap_b'!$B$20:$AW$20)))))</f>
        <v/>
      </c>
      <c r="P63" s="5">
        <f>SUMPRODUCT(('01_Data'!$B63:$AW63&lt;&gt;"")*(1/(1+EXP(-(N63-'03_Lap_b'!$B$20:$AW$20))))^2)</f>
        <v/>
      </c>
      <c r="Q63" s="5">
        <f>MEDIAN(-6,N63+(C63-O63)/MAX(O63-P63,0.000000001),6)</f>
        <v/>
      </c>
      <c r="R63" s="5">
        <f>SUMPRODUCT(('01_Data'!$B63:$AW63&lt;&gt;"")*(1/(1+EXP(-(Q63-'03_Lap_b'!$B$25:$AW$25)))))</f>
        <v/>
      </c>
      <c r="S63" s="5">
        <f>SUMPRODUCT(('01_Data'!$B63:$AW63&lt;&gt;"")*(1/(1+EXP(-(Q63-'03_Lap_b'!$B$25:$AW$25))))^2)</f>
        <v/>
      </c>
      <c r="T63" s="5">
        <f>MEDIAN(-6,Q63+(C63-R63)/MAX(R63-S63,0.000000001),6)</f>
        <v/>
      </c>
      <c r="U63" s="5">
        <f>SUMPRODUCT(('01_Data'!$B63:$AW63&lt;&gt;"")*(1/(1+EXP(-(T63-'03_Lap_b'!$B$30:$AW$30)))))</f>
        <v/>
      </c>
      <c r="V63" s="5">
        <f>SUMPRODUCT(('01_Data'!$B63:$AW63&lt;&gt;"")*(1/(1+EXP(-(T63-'03_Lap_b'!$B$30:$AW$30))))^2)</f>
        <v/>
      </c>
      <c r="W63" s="5">
        <f>MEDIAN(-6,T63+(C63-U63)/MAX(U63-V63,0.000000001),6)</f>
        <v/>
      </c>
      <c r="X63" s="5">
        <f>SUMPRODUCT(('01_Data'!$B63:$AW63&lt;&gt;"")*(1/(1+EXP(-(W63-'03_Lap_b'!$B$35:$AW$35)))))</f>
        <v/>
      </c>
      <c r="Y63" s="5">
        <f>SUMPRODUCT(('01_Data'!$B63:$AW63&lt;&gt;"")*(1/(1+EXP(-(W63-'03_Lap_b'!$B$35:$AW$35))))^2)</f>
        <v/>
      </c>
      <c r="Z63" s="5">
        <f>MEDIAN(-6,W63+(C63-X63)/MAX(X63-Y63,0.000000001),6)</f>
        <v/>
      </c>
      <c r="AA63" s="5">
        <f>SUMPRODUCT(('01_Data'!$B63:$AW63&lt;&gt;"")*(1/(1+EXP(-(Z63-'03_Lap_b'!$B$40:$AW$40)))))</f>
        <v/>
      </c>
      <c r="AB63" s="5">
        <f>SUMPRODUCT(('01_Data'!$B63:$AW63&lt;&gt;"")*(1/(1+EXP(-(Z63-'03_Lap_b'!$B$40:$AW$40))))^2)</f>
        <v/>
      </c>
      <c r="AC63" s="5">
        <f>MEDIAN(-6,Z63+(C63-AA63)/MAX(AA63-AB63,0.000000001),6)</f>
        <v/>
      </c>
    </row>
    <row r="64">
      <c r="A64" t="n">
        <v>63</v>
      </c>
      <c r="B64">
        <f>'01_Data'!A64</f>
        <v/>
      </c>
      <c r="C64">
        <f>SUM('01_Data'!$B64:$AW64)</f>
        <v/>
      </c>
      <c r="D64">
        <f>COUNT('01_Data'!$B64:$AW64)</f>
        <v/>
      </c>
      <c r="E64" s="5">
        <f>MEDIAN(-6,LN((C64+0.3)/(D64-C64+0.3)),6)</f>
        <v/>
      </c>
      <c r="F64" s="5">
        <f>SUMPRODUCT(('01_Data'!$B64:$AW64&lt;&gt;"")*(1/(1+EXP(-(E64-'03_Lap_b'!$B$5:$AW$5)))))</f>
        <v/>
      </c>
      <c r="G64" s="5">
        <f>SUMPRODUCT(('01_Data'!$B64:$AW64&lt;&gt;"")*(1/(1+EXP(-(E64-'03_Lap_b'!$B$5:$AW$5))))^2)</f>
        <v/>
      </c>
      <c r="H64" s="5">
        <f>MEDIAN(-6,E64+(C64-F64)/MAX(F64-G64,0.000000001),6)</f>
        <v/>
      </c>
      <c r="I64" s="5">
        <f>SUMPRODUCT(('01_Data'!$B64:$AW64&lt;&gt;"")*(1/(1+EXP(-(H64-'03_Lap_b'!$B$10:$AW$10)))))</f>
        <v/>
      </c>
      <c r="J64" s="5">
        <f>SUMPRODUCT(('01_Data'!$B64:$AW64&lt;&gt;"")*(1/(1+EXP(-(H64-'03_Lap_b'!$B$10:$AW$10))))^2)</f>
        <v/>
      </c>
      <c r="K64" s="5">
        <f>MEDIAN(-6,H64+(C64-I64)/MAX(I64-J64,0.000000001),6)</f>
        <v/>
      </c>
      <c r="L64" s="5">
        <f>SUMPRODUCT(('01_Data'!$B64:$AW64&lt;&gt;"")*(1/(1+EXP(-(K64-'03_Lap_b'!$B$15:$AW$15)))))</f>
        <v/>
      </c>
      <c r="M64" s="5">
        <f>SUMPRODUCT(('01_Data'!$B64:$AW64&lt;&gt;"")*(1/(1+EXP(-(K64-'03_Lap_b'!$B$15:$AW$15))))^2)</f>
        <v/>
      </c>
      <c r="N64" s="5">
        <f>MEDIAN(-6,K64+(C64-L64)/MAX(L64-M64,0.000000001),6)</f>
        <v/>
      </c>
      <c r="O64" s="5">
        <f>SUMPRODUCT(('01_Data'!$B64:$AW64&lt;&gt;"")*(1/(1+EXP(-(N64-'03_Lap_b'!$B$20:$AW$20)))))</f>
        <v/>
      </c>
      <c r="P64" s="5">
        <f>SUMPRODUCT(('01_Data'!$B64:$AW64&lt;&gt;"")*(1/(1+EXP(-(N64-'03_Lap_b'!$B$20:$AW$20))))^2)</f>
        <v/>
      </c>
      <c r="Q64" s="5">
        <f>MEDIAN(-6,N64+(C64-O64)/MAX(O64-P64,0.000000001),6)</f>
        <v/>
      </c>
      <c r="R64" s="5">
        <f>SUMPRODUCT(('01_Data'!$B64:$AW64&lt;&gt;"")*(1/(1+EXP(-(Q64-'03_Lap_b'!$B$25:$AW$25)))))</f>
        <v/>
      </c>
      <c r="S64" s="5">
        <f>SUMPRODUCT(('01_Data'!$B64:$AW64&lt;&gt;"")*(1/(1+EXP(-(Q64-'03_Lap_b'!$B$25:$AW$25))))^2)</f>
        <v/>
      </c>
      <c r="T64" s="5">
        <f>MEDIAN(-6,Q64+(C64-R64)/MAX(R64-S64,0.000000001),6)</f>
        <v/>
      </c>
      <c r="U64" s="5">
        <f>SUMPRODUCT(('01_Data'!$B64:$AW64&lt;&gt;"")*(1/(1+EXP(-(T64-'03_Lap_b'!$B$30:$AW$30)))))</f>
        <v/>
      </c>
      <c r="V64" s="5">
        <f>SUMPRODUCT(('01_Data'!$B64:$AW64&lt;&gt;"")*(1/(1+EXP(-(T64-'03_Lap_b'!$B$30:$AW$30))))^2)</f>
        <v/>
      </c>
      <c r="W64" s="5">
        <f>MEDIAN(-6,T64+(C64-U64)/MAX(U64-V64,0.000000001),6)</f>
        <v/>
      </c>
      <c r="X64" s="5">
        <f>SUMPRODUCT(('01_Data'!$B64:$AW64&lt;&gt;"")*(1/(1+EXP(-(W64-'03_Lap_b'!$B$35:$AW$35)))))</f>
        <v/>
      </c>
      <c r="Y64" s="5">
        <f>SUMPRODUCT(('01_Data'!$B64:$AW64&lt;&gt;"")*(1/(1+EXP(-(W64-'03_Lap_b'!$B$35:$AW$35))))^2)</f>
        <v/>
      </c>
      <c r="Z64" s="5">
        <f>MEDIAN(-6,W64+(C64-X64)/MAX(X64-Y64,0.000000001),6)</f>
        <v/>
      </c>
      <c r="AA64" s="5">
        <f>SUMPRODUCT(('01_Data'!$B64:$AW64&lt;&gt;"")*(1/(1+EXP(-(Z64-'03_Lap_b'!$B$40:$AW$40)))))</f>
        <v/>
      </c>
      <c r="AB64" s="5">
        <f>SUMPRODUCT(('01_Data'!$B64:$AW64&lt;&gt;"")*(1/(1+EXP(-(Z64-'03_Lap_b'!$B$40:$AW$40))))^2)</f>
        <v/>
      </c>
      <c r="AC64" s="5">
        <f>MEDIAN(-6,Z64+(C64-AA64)/MAX(AA64-AB64,0.000000001),6)</f>
        <v/>
      </c>
    </row>
    <row r="65">
      <c r="A65" t="n">
        <v>64</v>
      </c>
      <c r="B65">
        <f>'01_Data'!A65</f>
        <v/>
      </c>
      <c r="C65">
        <f>SUM('01_Data'!$B65:$AW65)</f>
        <v/>
      </c>
      <c r="D65">
        <f>COUNT('01_Data'!$B65:$AW65)</f>
        <v/>
      </c>
      <c r="E65" s="5">
        <f>MEDIAN(-6,LN((C65+0.3)/(D65-C65+0.3)),6)</f>
        <v/>
      </c>
      <c r="F65" s="5">
        <f>SUMPRODUCT(('01_Data'!$B65:$AW65&lt;&gt;"")*(1/(1+EXP(-(E65-'03_Lap_b'!$B$5:$AW$5)))))</f>
        <v/>
      </c>
      <c r="G65" s="5">
        <f>SUMPRODUCT(('01_Data'!$B65:$AW65&lt;&gt;"")*(1/(1+EXP(-(E65-'03_Lap_b'!$B$5:$AW$5))))^2)</f>
        <v/>
      </c>
      <c r="H65" s="5">
        <f>MEDIAN(-6,E65+(C65-F65)/MAX(F65-G65,0.000000001),6)</f>
        <v/>
      </c>
      <c r="I65" s="5">
        <f>SUMPRODUCT(('01_Data'!$B65:$AW65&lt;&gt;"")*(1/(1+EXP(-(H65-'03_Lap_b'!$B$10:$AW$10)))))</f>
        <v/>
      </c>
      <c r="J65" s="5">
        <f>SUMPRODUCT(('01_Data'!$B65:$AW65&lt;&gt;"")*(1/(1+EXP(-(H65-'03_Lap_b'!$B$10:$AW$10))))^2)</f>
        <v/>
      </c>
      <c r="K65" s="5">
        <f>MEDIAN(-6,H65+(C65-I65)/MAX(I65-J65,0.000000001),6)</f>
        <v/>
      </c>
      <c r="L65" s="5">
        <f>SUMPRODUCT(('01_Data'!$B65:$AW65&lt;&gt;"")*(1/(1+EXP(-(K65-'03_Lap_b'!$B$15:$AW$15)))))</f>
        <v/>
      </c>
      <c r="M65" s="5">
        <f>SUMPRODUCT(('01_Data'!$B65:$AW65&lt;&gt;"")*(1/(1+EXP(-(K65-'03_Lap_b'!$B$15:$AW$15))))^2)</f>
        <v/>
      </c>
      <c r="N65" s="5">
        <f>MEDIAN(-6,K65+(C65-L65)/MAX(L65-M65,0.000000001),6)</f>
        <v/>
      </c>
      <c r="O65" s="5">
        <f>SUMPRODUCT(('01_Data'!$B65:$AW65&lt;&gt;"")*(1/(1+EXP(-(N65-'03_Lap_b'!$B$20:$AW$20)))))</f>
        <v/>
      </c>
      <c r="P65" s="5">
        <f>SUMPRODUCT(('01_Data'!$B65:$AW65&lt;&gt;"")*(1/(1+EXP(-(N65-'03_Lap_b'!$B$20:$AW$20))))^2)</f>
        <v/>
      </c>
      <c r="Q65" s="5">
        <f>MEDIAN(-6,N65+(C65-O65)/MAX(O65-P65,0.000000001),6)</f>
        <v/>
      </c>
      <c r="R65" s="5">
        <f>SUMPRODUCT(('01_Data'!$B65:$AW65&lt;&gt;"")*(1/(1+EXP(-(Q65-'03_Lap_b'!$B$25:$AW$25)))))</f>
        <v/>
      </c>
      <c r="S65" s="5">
        <f>SUMPRODUCT(('01_Data'!$B65:$AW65&lt;&gt;"")*(1/(1+EXP(-(Q65-'03_Lap_b'!$B$25:$AW$25))))^2)</f>
        <v/>
      </c>
      <c r="T65" s="5">
        <f>MEDIAN(-6,Q65+(C65-R65)/MAX(R65-S65,0.000000001),6)</f>
        <v/>
      </c>
      <c r="U65" s="5">
        <f>SUMPRODUCT(('01_Data'!$B65:$AW65&lt;&gt;"")*(1/(1+EXP(-(T65-'03_Lap_b'!$B$30:$AW$30)))))</f>
        <v/>
      </c>
      <c r="V65" s="5">
        <f>SUMPRODUCT(('01_Data'!$B65:$AW65&lt;&gt;"")*(1/(1+EXP(-(T65-'03_Lap_b'!$B$30:$AW$30))))^2)</f>
        <v/>
      </c>
      <c r="W65" s="5">
        <f>MEDIAN(-6,T65+(C65-U65)/MAX(U65-V65,0.000000001),6)</f>
        <v/>
      </c>
      <c r="X65" s="5">
        <f>SUMPRODUCT(('01_Data'!$B65:$AW65&lt;&gt;"")*(1/(1+EXP(-(W65-'03_Lap_b'!$B$35:$AW$35)))))</f>
        <v/>
      </c>
      <c r="Y65" s="5">
        <f>SUMPRODUCT(('01_Data'!$B65:$AW65&lt;&gt;"")*(1/(1+EXP(-(W65-'03_Lap_b'!$B$35:$AW$35))))^2)</f>
        <v/>
      </c>
      <c r="Z65" s="5">
        <f>MEDIAN(-6,W65+(C65-X65)/MAX(X65-Y65,0.000000001),6)</f>
        <v/>
      </c>
      <c r="AA65" s="5">
        <f>SUMPRODUCT(('01_Data'!$B65:$AW65&lt;&gt;"")*(1/(1+EXP(-(Z65-'03_Lap_b'!$B$40:$AW$40)))))</f>
        <v/>
      </c>
      <c r="AB65" s="5">
        <f>SUMPRODUCT(('01_Data'!$B65:$AW65&lt;&gt;"")*(1/(1+EXP(-(Z65-'03_Lap_b'!$B$40:$AW$40))))^2)</f>
        <v/>
      </c>
      <c r="AC65" s="5">
        <f>MEDIAN(-6,Z65+(C65-AA65)/MAX(AA65-AB65,0.000000001),6)</f>
        <v/>
      </c>
    </row>
    <row r="66">
      <c r="A66" t="n">
        <v>65</v>
      </c>
      <c r="B66">
        <f>'01_Data'!A66</f>
        <v/>
      </c>
      <c r="C66">
        <f>SUM('01_Data'!$B66:$AW66)</f>
        <v/>
      </c>
      <c r="D66">
        <f>COUNT('01_Data'!$B66:$AW66)</f>
        <v/>
      </c>
      <c r="E66" s="5">
        <f>MEDIAN(-6,LN((C66+0.3)/(D66-C66+0.3)),6)</f>
        <v/>
      </c>
      <c r="F66" s="5">
        <f>SUMPRODUCT(('01_Data'!$B66:$AW66&lt;&gt;"")*(1/(1+EXP(-(E66-'03_Lap_b'!$B$5:$AW$5)))))</f>
        <v/>
      </c>
      <c r="G66" s="5">
        <f>SUMPRODUCT(('01_Data'!$B66:$AW66&lt;&gt;"")*(1/(1+EXP(-(E66-'03_Lap_b'!$B$5:$AW$5))))^2)</f>
        <v/>
      </c>
      <c r="H66" s="5">
        <f>MEDIAN(-6,E66+(C66-F66)/MAX(F66-G66,0.000000001),6)</f>
        <v/>
      </c>
      <c r="I66" s="5">
        <f>SUMPRODUCT(('01_Data'!$B66:$AW66&lt;&gt;"")*(1/(1+EXP(-(H66-'03_Lap_b'!$B$10:$AW$10)))))</f>
        <v/>
      </c>
      <c r="J66" s="5">
        <f>SUMPRODUCT(('01_Data'!$B66:$AW66&lt;&gt;"")*(1/(1+EXP(-(H66-'03_Lap_b'!$B$10:$AW$10))))^2)</f>
        <v/>
      </c>
      <c r="K66" s="5">
        <f>MEDIAN(-6,H66+(C66-I66)/MAX(I66-J66,0.000000001),6)</f>
        <v/>
      </c>
      <c r="L66" s="5">
        <f>SUMPRODUCT(('01_Data'!$B66:$AW66&lt;&gt;"")*(1/(1+EXP(-(K66-'03_Lap_b'!$B$15:$AW$15)))))</f>
        <v/>
      </c>
      <c r="M66" s="5">
        <f>SUMPRODUCT(('01_Data'!$B66:$AW66&lt;&gt;"")*(1/(1+EXP(-(K66-'03_Lap_b'!$B$15:$AW$15))))^2)</f>
        <v/>
      </c>
      <c r="N66" s="5">
        <f>MEDIAN(-6,K66+(C66-L66)/MAX(L66-M66,0.000000001),6)</f>
        <v/>
      </c>
      <c r="O66" s="5">
        <f>SUMPRODUCT(('01_Data'!$B66:$AW66&lt;&gt;"")*(1/(1+EXP(-(N66-'03_Lap_b'!$B$20:$AW$20)))))</f>
        <v/>
      </c>
      <c r="P66" s="5">
        <f>SUMPRODUCT(('01_Data'!$B66:$AW66&lt;&gt;"")*(1/(1+EXP(-(N66-'03_Lap_b'!$B$20:$AW$20))))^2)</f>
        <v/>
      </c>
      <c r="Q66" s="5">
        <f>MEDIAN(-6,N66+(C66-O66)/MAX(O66-P66,0.000000001),6)</f>
        <v/>
      </c>
      <c r="R66" s="5">
        <f>SUMPRODUCT(('01_Data'!$B66:$AW66&lt;&gt;"")*(1/(1+EXP(-(Q66-'03_Lap_b'!$B$25:$AW$25)))))</f>
        <v/>
      </c>
      <c r="S66" s="5">
        <f>SUMPRODUCT(('01_Data'!$B66:$AW66&lt;&gt;"")*(1/(1+EXP(-(Q66-'03_Lap_b'!$B$25:$AW$25))))^2)</f>
        <v/>
      </c>
      <c r="T66" s="5">
        <f>MEDIAN(-6,Q66+(C66-R66)/MAX(R66-S66,0.000000001),6)</f>
        <v/>
      </c>
      <c r="U66" s="5">
        <f>SUMPRODUCT(('01_Data'!$B66:$AW66&lt;&gt;"")*(1/(1+EXP(-(T66-'03_Lap_b'!$B$30:$AW$30)))))</f>
        <v/>
      </c>
      <c r="V66" s="5">
        <f>SUMPRODUCT(('01_Data'!$B66:$AW66&lt;&gt;"")*(1/(1+EXP(-(T66-'03_Lap_b'!$B$30:$AW$30))))^2)</f>
        <v/>
      </c>
      <c r="W66" s="5">
        <f>MEDIAN(-6,T66+(C66-U66)/MAX(U66-V66,0.000000001),6)</f>
        <v/>
      </c>
      <c r="X66" s="5">
        <f>SUMPRODUCT(('01_Data'!$B66:$AW66&lt;&gt;"")*(1/(1+EXP(-(W66-'03_Lap_b'!$B$35:$AW$35)))))</f>
        <v/>
      </c>
      <c r="Y66" s="5">
        <f>SUMPRODUCT(('01_Data'!$B66:$AW66&lt;&gt;"")*(1/(1+EXP(-(W66-'03_Lap_b'!$B$35:$AW$35))))^2)</f>
        <v/>
      </c>
      <c r="Z66" s="5">
        <f>MEDIAN(-6,W66+(C66-X66)/MAX(X66-Y66,0.000000001),6)</f>
        <v/>
      </c>
      <c r="AA66" s="5">
        <f>SUMPRODUCT(('01_Data'!$B66:$AW66&lt;&gt;"")*(1/(1+EXP(-(Z66-'03_Lap_b'!$B$40:$AW$40)))))</f>
        <v/>
      </c>
      <c r="AB66" s="5">
        <f>SUMPRODUCT(('01_Data'!$B66:$AW66&lt;&gt;"")*(1/(1+EXP(-(Z66-'03_Lap_b'!$B$40:$AW$40))))^2)</f>
        <v/>
      </c>
      <c r="AC66" s="5">
        <f>MEDIAN(-6,Z66+(C66-AA66)/MAX(AA66-AB66,0.000000001),6)</f>
        <v/>
      </c>
    </row>
    <row r="67">
      <c r="A67" t="n">
        <v>66</v>
      </c>
      <c r="B67">
        <f>'01_Data'!A67</f>
        <v/>
      </c>
      <c r="C67">
        <f>SUM('01_Data'!$B67:$AW67)</f>
        <v/>
      </c>
      <c r="D67">
        <f>COUNT('01_Data'!$B67:$AW67)</f>
        <v/>
      </c>
      <c r="E67" s="5">
        <f>MEDIAN(-6,LN((C67+0.3)/(D67-C67+0.3)),6)</f>
        <v/>
      </c>
      <c r="F67" s="5">
        <f>SUMPRODUCT(('01_Data'!$B67:$AW67&lt;&gt;"")*(1/(1+EXP(-(E67-'03_Lap_b'!$B$5:$AW$5)))))</f>
        <v/>
      </c>
      <c r="G67" s="5">
        <f>SUMPRODUCT(('01_Data'!$B67:$AW67&lt;&gt;"")*(1/(1+EXP(-(E67-'03_Lap_b'!$B$5:$AW$5))))^2)</f>
        <v/>
      </c>
      <c r="H67" s="5">
        <f>MEDIAN(-6,E67+(C67-F67)/MAX(F67-G67,0.000000001),6)</f>
        <v/>
      </c>
      <c r="I67" s="5">
        <f>SUMPRODUCT(('01_Data'!$B67:$AW67&lt;&gt;"")*(1/(1+EXP(-(H67-'03_Lap_b'!$B$10:$AW$10)))))</f>
        <v/>
      </c>
      <c r="J67" s="5">
        <f>SUMPRODUCT(('01_Data'!$B67:$AW67&lt;&gt;"")*(1/(1+EXP(-(H67-'03_Lap_b'!$B$10:$AW$10))))^2)</f>
        <v/>
      </c>
      <c r="K67" s="5">
        <f>MEDIAN(-6,H67+(C67-I67)/MAX(I67-J67,0.000000001),6)</f>
        <v/>
      </c>
      <c r="L67" s="5">
        <f>SUMPRODUCT(('01_Data'!$B67:$AW67&lt;&gt;"")*(1/(1+EXP(-(K67-'03_Lap_b'!$B$15:$AW$15)))))</f>
        <v/>
      </c>
      <c r="M67" s="5">
        <f>SUMPRODUCT(('01_Data'!$B67:$AW67&lt;&gt;"")*(1/(1+EXP(-(K67-'03_Lap_b'!$B$15:$AW$15))))^2)</f>
        <v/>
      </c>
      <c r="N67" s="5">
        <f>MEDIAN(-6,K67+(C67-L67)/MAX(L67-M67,0.000000001),6)</f>
        <v/>
      </c>
      <c r="O67" s="5">
        <f>SUMPRODUCT(('01_Data'!$B67:$AW67&lt;&gt;"")*(1/(1+EXP(-(N67-'03_Lap_b'!$B$20:$AW$20)))))</f>
        <v/>
      </c>
      <c r="P67" s="5">
        <f>SUMPRODUCT(('01_Data'!$B67:$AW67&lt;&gt;"")*(1/(1+EXP(-(N67-'03_Lap_b'!$B$20:$AW$20))))^2)</f>
        <v/>
      </c>
      <c r="Q67" s="5">
        <f>MEDIAN(-6,N67+(C67-O67)/MAX(O67-P67,0.000000001),6)</f>
        <v/>
      </c>
      <c r="R67" s="5">
        <f>SUMPRODUCT(('01_Data'!$B67:$AW67&lt;&gt;"")*(1/(1+EXP(-(Q67-'03_Lap_b'!$B$25:$AW$25)))))</f>
        <v/>
      </c>
      <c r="S67" s="5">
        <f>SUMPRODUCT(('01_Data'!$B67:$AW67&lt;&gt;"")*(1/(1+EXP(-(Q67-'03_Lap_b'!$B$25:$AW$25))))^2)</f>
        <v/>
      </c>
      <c r="T67" s="5">
        <f>MEDIAN(-6,Q67+(C67-R67)/MAX(R67-S67,0.000000001),6)</f>
        <v/>
      </c>
      <c r="U67" s="5">
        <f>SUMPRODUCT(('01_Data'!$B67:$AW67&lt;&gt;"")*(1/(1+EXP(-(T67-'03_Lap_b'!$B$30:$AW$30)))))</f>
        <v/>
      </c>
      <c r="V67" s="5">
        <f>SUMPRODUCT(('01_Data'!$B67:$AW67&lt;&gt;"")*(1/(1+EXP(-(T67-'03_Lap_b'!$B$30:$AW$30))))^2)</f>
        <v/>
      </c>
      <c r="W67" s="5">
        <f>MEDIAN(-6,T67+(C67-U67)/MAX(U67-V67,0.000000001),6)</f>
        <v/>
      </c>
      <c r="X67" s="5">
        <f>SUMPRODUCT(('01_Data'!$B67:$AW67&lt;&gt;"")*(1/(1+EXP(-(W67-'03_Lap_b'!$B$35:$AW$35)))))</f>
        <v/>
      </c>
      <c r="Y67" s="5">
        <f>SUMPRODUCT(('01_Data'!$B67:$AW67&lt;&gt;"")*(1/(1+EXP(-(W67-'03_Lap_b'!$B$35:$AW$35))))^2)</f>
        <v/>
      </c>
      <c r="Z67" s="5">
        <f>MEDIAN(-6,W67+(C67-X67)/MAX(X67-Y67,0.000000001),6)</f>
        <v/>
      </c>
      <c r="AA67" s="5">
        <f>SUMPRODUCT(('01_Data'!$B67:$AW67&lt;&gt;"")*(1/(1+EXP(-(Z67-'03_Lap_b'!$B$40:$AW$40)))))</f>
        <v/>
      </c>
      <c r="AB67" s="5">
        <f>SUMPRODUCT(('01_Data'!$B67:$AW67&lt;&gt;"")*(1/(1+EXP(-(Z67-'03_Lap_b'!$B$40:$AW$40))))^2)</f>
        <v/>
      </c>
      <c r="AC67" s="5">
        <f>MEDIAN(-6,Z67+(C67-AA67)/MAX(AA67-AB67,0.000000001),6)</f>
        <v/>
      </c>
    </row>
    <row r="68">
      <c r="A68" t="n">
        <v>67</v>
      </c>
      <c r="B68">
        <f>'01_Data'!A68</f>
        <v/>
      </c>
      <c r="C68">
        <f>SUM('01_Data'!$B68:$AW68)</f>
        <v/>
      </c>
      <c r="D68">
        <f>COUNT('01_Data'!$B68:$AW68)</f>
        <v/>
      </c>
      <c r="E68" s="5">
        <f>MEDIAN(-6,LN((C68+0.3)/(D68-C68+0.3)),6)</f>
        <v/>
      </c>
      <c r="F68" s="5">
        <f>SUMPRODUCT(('01_Data'!$B68:$AW68&lt;&gt;"")*(1/(1+EXP(-(E68-'03_Lap_b'!$B$5:$AW$5)))))</f>
        <v/>
      </c>
      <c r="G68" s="5">
        <f>SUMPRODUCT(('01_Data'!$B68:$AW68&lt;&gt;"")*(1/(1+EXP(-(E68-'03_Lap_b'!$B$5:$AW$5))))^2)</f>
        <v/>
      </c>
      <c r="H68" s="5">
        <f>MEDIAN(-6,E68+(C68-F68)/MAX(F68-G68,0.000000001),6)</f>
        <v/>
      </c>
      <c r="I68" s="5">
        <f>SUMPRODUCT(('01_Data'!$B68:$AW68&lt;&gt;"")*(1/(1+EXP(-(H68-'03_Lap_b'!$B$10:$AW$10)))))</f>
        <v/>
      </c>
      <c r="J68" s="5">
        <f>SUMPRODUCT(('01_Data'!$B68:$AW68&lt;&gt;"")*(1/(1+EXP(-(H68-'03_Lap_b'!$B$10:$AW$10))))^2)</f>
        <v/>
      </c>
      <c r="K68" s="5">
        <f>MEDIAN(-6,H68+(C68-I68)/MAX(I68-J68,0.000000001),6)</f>
        <v/>
      </c>
      <c r="L68" s="5">
        <f>SUMPRODUCT(('01_Data'!$B68:$AW68&lt;&gt;"")*(1/(1+EXP(-(K68-'03_Lap_b'!$B$15:$AW$15)))))</f>
        <v/>
      </c>
      <c r="M68" s="5">
        <f>SUMPRODUCT(('01_Data'!$B68:$AW68&lt;&gt;"")*(1/(1+EXP(-(K68-'03_Lap_b'!$B$15:$AW$15))))^2)</f>
        <v/>
      </c>
      <c r="N68" s="5">
        <f>MEDIAN(-6,K68+(C68-L68)/MAX(L68-M68,0.000000001),6)</f>
        <v/>
      </c>
      <c r="O68" s="5">
        <f>SUMPRODUCT(('01_Data'!$B68:$AW68&lt;&gt;"")*(1/(1+EXP(-(N68-'03_Lap_b'!$B$20:$AW$20)))))</f>
        <v/>
      </c>
      <c r="P68" s="5">
        <f>SUMPRODUCT(('01_Data'!$B68:$AW68&lt;&gt;"")*(1/(1+EXP(-(N68-'03_Lap_b'!$B$20:$AW$20))))^2)</f>
        <v/>
      </c>
      <c r="Q68" s="5">
        <f>MEDIAN(-6,N68+(C68-O68)/MAX(O68-P68,0.000000001),6)</f>
        <v/>
      </c>
      <c r="R68" s="5">
        <f>SUMPRODUCT(('01_Data'!$B68:$AW68&lt;&gt;"")*(1/(1+EXP(-(Q68-'03_Lap_b'!$B$25:$AW$25)))))</f>
        <v/>
      </c>
      <c r="S68" s="5">
        <f>SUMPRODUCT(('01_Data'!$B68:$AW68&lt;&gt;"")*(1/(1+EXP(-(Q68-'03_Lap_b'!$B$25:$AW$25))))^2)</f>
        <v/>
      </c>
      <c r="T68" s="5">
        <f>MEDIAN(-6,Q68+(C68-R68)/MAX(R68-S68,0.000000001),6)</f>
        <v/>
      </c>
      <c r="U68" s="5">
        <f>SUMPRODUCT(('01_Data'!$B68:$AW68&lt;&gt;"")*(1/(1+EXP(-(T68-'03_Lap_b'!$B$30:$AW$30)))))</f>
        <v/>
      </c>
      <c r="V68" s="5">
        <f>SUMPRODUCT(('01_Data'!$B68:$AW68&lt;&gt;"")*(1/(1+EXP(-(T68-'03_Lap_b'!$B$30:$AW$30))))^2)</f>
        <v/>
      </c>
      <c r="W68" s="5">
        <f>MEDIAN(-6,T68+(C68-U68)/MAX(U68-V68,0.000000001),6)</f>
        <v/>
      </c>
      <c r="X68" s="5">
        <f>SUMPRODUCT(('01_Data'!$B68:$AW68&lt;&gt;"")*(1/(1+EXP(-(W68-'03_Lap_b'!$B$35:$AW$35)))))</f>
        <v/>
      </c>
      <c r="Y68" s="5">
        <f>SUMPRODUCT(('01_Data'!$B68:$AW68&lt;&gt;"")*(1/(1+EXP(-(W68-'03_Lap_b'!$B$35:$AW$35))))^2)</f>
        <v/>
      </c>
      <c r="Z68" s="5">
        <f>MEDIAN(-6,W68+(C68-X68)/MAX(X68-Y68,0.000000001),6)</f>
        <v/>
      </c>
      <c r="AA68" s="5">
        <f>SUMPRODUCT(('01_Data'!$B68:$AW68&lt;&gt;"")*(1/(1+EXP(-(Z68-'03_Lap_b'!$B$40:$AW$40)))))</f>
        <v/>
      </c>
      <c r="AB68" s="5">
        <f>SUMPRODUCT(('01_Data'!$B68:$AW68&lt;&gt;"")*(1/(1+EXP(-(Z68-'03_Lap_b'!$B$40:$AW$40))))^2)</f>
        <v/>
      </c>
      <c r="AC68" s="5">
        <f>MEDIAN(-6,Z68+(C68-AA68)/MAX(AA68-AB68,0.000000001),6)</f>
        <v/>
      </c>
    </row>
    <row r="69">
      <c r="A69" t="n">
        <v>68</v>
      </c>
      <c r="B69">
        <f>'01_Data'!A69</f>
        <v/>
      </c>
      <c r="C69">
        <f>SUM('01_Data'!$B69:$AW69)</f>
        <v/>
      </c>
      <c r="D69">
        <f>COUNT('01_Data'!$B69:$AW69)</f>
        <v/>
      </c>
      <c r="E69" s="5">
        <f>MEDIAN(-6,LN((C69+0.3)/(D69-C69+0.3)),6)</f>
        <v/>
      </c>
      <c r="F69" s="5">
        <f>SUMPRODUCT(('01_Data'!$B69:$AW69&lt;&gt;"")*(1/(1+EXP(-(E69-'03_Lap_b'!$B$5:$AW$5)))))</f>
        <v/>
      </c>
      <c r="G69" s="5">
        <f>SUMPRODUCT(('01_Data'!$B69:$AW69&lt;&gt;"")*(1/(1+EXP(-(E69-'03_Lap_b'!$B$5:$AW$5))))^2)</f>
        <v/>
      </c>
      <c r="H69" s="5">
        <f>MEDIAN(-6,E69+(C69-F69)/MAX(F69-G69,0.000000001),6)</f>
        <v/>
      </c>
      <c r="I69" s="5">
        <f>SUMPRODUCT(('01_Data'!$B69:$AW69&lt;&gt;"")*(1/(1+EXP(-(H69-'03_Lap_b'!$B$10:$AW$10)))))</f>
        <v/>
      </c>
      <c r="J69" s="5">
        <f>SUMPRODUCT(('01_Data'!$B69:$AW69&lt;&gt;"")*(1/(1+EXP(-(H69-'03_Lap_b'!$B$10:$AW$10))))^2)</f>
        <v/>
      </c>
      <c r="K69" s="5">
        <f>MEDIAN(-6,H69+(C69-I69)/MAX(I69-J69,0.000000001),6)</f>
        <v/>
      </c>
      <c r="L69" s="5">
        <f>SUMPRODUCT(('01_Data'!$B69:$AW69&lt;&gt;"")*(1/(1+EXP(-(K69-'03_Lap_b'!$B$15:$AW$15)))))</f>
        <v/>
      </c>
      <c r="M69" s="5">
        <f>SUMPRODUCT(('01_Data'!$B69:$AW69&lt;&gt;"")*(1/(1+EXP(-(K69-'03_Lap_b'!$B$15:$AW$15))))^2)</f>
        <v/>
      </c>
      <c r="N69" s="5">
        <f>MEDIAN(-6,K69+(C69-L69)/MAX(L69-M69,0.000000001),6)</f>
        <v/>
      </c>
      <c r="O69" s="5">
        <f>SUMPRODUCT(('01_Data'!$B69:$AW69&lt;&gt;"")*(1/(1+EXP(-(N69-'03_Lap_b'!$B$20:$AW$20)))))</f>
        <v/>
      </c>
      <c r="P69" s="5">
        <f>SUMPRODUCT(('01_Data'!$B69:$AW69&lt;&gt;"")*(1/(1+EXP(-(N69-'03_Lap_b'!$B$20:$AW$20))))^2)</f>
        <v/>
      </c>
      <c r="Q69" s="5">
        <f>MEDIAN(-6,N69+(C69-O69)/MAX(O69-P69,0.000000001),6)</f>
        <v/>
      </c>
      <c r="R69" s="5">
        <f>SUMPRODUCT(('01_Data'!$B69:$AW69&lt;&gt;"")*(1/(1+EXP(-(Q69-'03_Lap_b'!$B$25:$AW$25)))))</f>
        <v/>
      </c>
      <c r="S69" s="5">
        <f>SUMPRODUCT(('01_Data'!$B69:$AW69&lt;&gt;"")*(1/(1+EXP(-(Q69-'03_Lap_b'!$B$25:$AW$25))))^2)</f>
        <v/>
      </c>
      <c r="T69" s="5">
        <f>MEDIAN(-6,Q69+(C69-R69)/MAX(R69-S69,0.000000001),6)</f>
        <v/>
      </c>
      <c r="U69" s="5">
        <f>SUMPRODUCT(('01_Data'!$B69:$AW69&lt;&gt;"")*(1/(1+EXP(-(T69-'03_Lap_b'!$B$30:$AW$30)))))</f>
        <v/>
      </c>
      <c r="V69" s="5">
        <f>SUMPRODUCT(('01_Data'!$B69:$AW69&lt;&gt;"")*(1/(1+EXP(-(T69-'03_Lap_b'!$B$30:$AW$30))))^2)</f>
        <v/>
      </c>
      <c r="W69" s="5">
        <f>MEDIAN(-6,T69+(C69-U69)/MAX(U69-V69,0.000000001),6)</f>
        <v/>
      </c>
      <c r="X69" s="5">
        <f>SUMPRODUCT(('01_Data'!$B69:$AW69&lt;&gt;"")*(1/(1+EXP(-(W69-'03_Lap_b'!$B$35:$AW$35)))))</f>
        <v/>
      </c>
      <c r="Y69" s="5">
        <f>SUMPRODUCT(('01_Data'!$B69:$AW69&lt;&gt;"")*(1/(1+EXP(-(W69-'03_Lap_b'!$B$35:$AW$35))))^2)</f>
        <v/>
      </c>
      <c r="Z69" s="5">
        <f>MEDIAN(-6,W69+(C69-X69)/MAX(X69-Y69,0.000000001),6)</f>
        <v/>
      </c>
      <c r="AA69" s="5">
        <f>SUMPRODUCT(('01_Data'!$B69:$AW69&lt;&gt;"")*(1/(1+EXP(-(Z69-'03_Lap_b'!$B$40:$AW$40)))))</f>
        <v/>
      </c>
      <c r="AB69" s="5">
        <f>SUMPRODUCT(('01_Data'!$B69:$AW69&lt;&gt;"")*(1/(1+EXP(-(Z69-'03_Lap_b'!$B$40:$AW$40))))^2)</f>
        <v/>
      </c>
      <c r="AC69" s="5">
        <f>MEDIAN(-6,Z69+(C69-AA69)/MAX(AA69-AB69,0.000000001),6)</f>
        <v/>
      </c>
    </row>
    <row r="70">
      <c r="A70" t="n">
        <v>69</v>
      </c>
      <c r="B70">
        <f>'01_Data'!A70</f>
        <v/>
      </c>
      <c r="C70">
        <f>SUM('01_Data'!$B70:$AW70)</f>
        <v/>
      </c>
      <c r="D70">
        <f>COUNT('01_Data'!$B70:$AW70)</f>
        <v/>
      </c>
      <c r="E70" s="5">
        <f>MEDIAN(-6,LN((C70+0.3)/(D70-C70+0.3)),6)</f>
        <v/>
      </c>
      <c r="F70" s="5">
        <f>SUMPRODUCT(('01_Data'!$B70:$AW70&lt;&gt;"")*(1/(1+EXP(-(E70-'03_Lap_b'!$B$5:$AW$5)))))</f>
        <v/>
      </c>
      <c r="G70" s="5">
        <f>SUMPRODUCT(('01_Data'!$B70:$AW70&lt;&gt;"")*(1/(1+EXP(-(E70-'03_Lap_b'!$B$5:$AW$5))))^2)</f>
        <v/>
      </c>
      <c r="H70" s="5">
        <f>MEDIAN(-6,E70+(C70-F70)/MAX(F70-G70,0.000000001),6)</f>
        <v/>
      </c>
      <c r="I70" s="5">
        <f>SUMPRODUCT(('01_Data'!$B70:$AW70&lt;&gt;"")*(1/(1+EXP(-(H70-'03_Lap_b'!$B$10:$AW$10)))))</f>
        <v/>
      </c>
      <c r="J70" s="5">
        <f>SUMPRODUCT(('01_Data'!$B70:$AW70&lt;&gt;"")*(1/(1+EXP(-(H70-'03_Lap_b'!$B$10:$AW$10))))^2)</f>
        <v/>
      </c>
      <c r="K70" s="5">
        <f>MEDIAN(-6,H70+(C70-I70)/MAX(I70-J70,0.000000001),6)</f>
        <v/>
      </c>
      <c r="L70" s="5">
        <f>SUMPRODUCT(('01_Data'!$B70:$AW70&lt;&gt;"")*(1/(1+EXP(-(K70-'03_Lap_b'!$B$15:$AW$15)))))</f>
        <v/>
      </c>
      <c r="M70" s="5">
        <f>SUMPRODUCT(('01_Data'!$B70:$AW70&lt;&gt;"")*(1/(1+EXP(-(K70-'03_Lap_b'!$B$15:$AW$15))))^2)</f>
        <v/>
      </c>
      <c r="N70" s="5">
        <f>MEDIAN(-6,K70+(C70-L70)/MAX(L70-M70,0.000000001),6)</f>
        <v/>
      </c>
      <c r="O70" s="5">
        <f>SUMPRODUCT(('01_Data'!$B70:$AW70&lt;&gt;"")*(1/(1+EXP(-(N70-'03_Lap_b'!$B$20:$AW$20)))))</f>
        <v/>
      </c>
      <c r="P70" s="5">
        <f>SUMPRODUCT(('01_Data'!$B70:$AW70&lt;&gt;"")*(1/(1+EXP(-(N70-'03_Lap_b'!$B$20:$AW$20))))^2)</f>
        <v/>
      </c>
      <c r="Q70" s="5">
        <f>MEDIAN(-6,N70+(C70-O70)/MAX(O70-P70,0.000000001),6)</f>
        <v/>
      </c>
      <c r="R70" s="5">
        <f>SUMPRODUCT(('01_Data'!$B70:$AW70&lt;&gt;"")*(1/(1+EXP(-(Q70-'03_Lap_b'!$B$25:$AW$25)))))</f>
        <v/>
      </c>
      <c r="S70" s="5">
        <f>SUMPRODUCT(('01_Data'!$B70:$AW70&lt;&gt;"")*(1/(1+EXP(-(Q70-'03_Lap_b'!$B$25:$AW$25))))^2)</f>
        <v/>
      </c>
      <c r="T70" s="5">
        <f>MEDIAN(-6,Q70+(C70-R70)/MAX(R70-S70,0.000000001),6)</f>
        <v/>
      </c>
      <c r="U70" s="5">
        <f>SUMPRODUCT(('01_Data'!$B70:$AW70&lt;&gt;"")*(1/(1+EXP(-(T70-'03_Lap_b'!$B$30:$AW$30)))))</f>
        <v/>
      </c>
      <c r="V70" s="5">
        <f>SUMPRODUCT(('01_Data'!$B70:$AW70&lt;&gt;"")*(1/(1+EXP(-(T70-'03_Lap_b'!$B$30:$AW$30))))^2)</f>
        <v/>
      </c>
      <c r="W70" s="5">
        <f>MEDIAN(-6,T70+(C70-U70)/MAX(U70-V70,0.000000001),6)</f>
        <v/>
      </c>
      <c r="X70" s="5">
        <f>SUMPRODUCT(('01_Data'!$B70:$AW70&lt;&gt;"")*(1/(1+EXP(-(W70-'03_Lap_b'!$B$35:$AW$35)))))</f>
        <v/>
      </c>
      <c r="Y70" s="5">
        <f>SUMPRODUCT(('01_Data'!$B70:$AW70&lt;&gt;"")*(1/(1+EXP(-(W70-'03_Lap_b'!$B$35:$AW$35))))^2)</f>
        <v/>
      </c>
      <c r="Z70" s="5">
        <f>MEDIAN(-6,W70+(C70-X70)/MAX(X70-Y70,0.000000001),6)</f>
        <v/>
      </c>
      <c r="AA70" s="5">
        <f>SUMPRODUCT(('01_Data'!$B70:$AW70&lt;&gt;"")*(1/(1+EXP(-(Z70-'03_Lap_b'!$B$40:$AW$40)))))</f>
        <v/>
      </c>
      <c r="AB70" s="5">
        <f>SUMPRODUCT(('01_Data'!$B70:$AW70&lt;&gt;"")*(1/(1+EXP(-(Z70-'03_Lap_b'!$B$40:$AW$40))))^2)</f>
        <v/>
      </c>
      <c r="AC70" s="5">
        <f>MEDIAN(-6,Z70+(C70-AA70)/MAX(AA70-AB70,0.000000001),6)</f>
        <v/>
      </c>
    </row>
    <row r="71">
      <c r="A71" t="n">
        <v>70</v>
      </c>
      <c r="B71">
        <f>'01_Data'!A71</f>
        <v/>
      </c>
      <c r="C71">
        <f>SUM('01_Data'!$B71:$AW71)</f>
        <v/>
      </c>
      <c r="D71">
        <f>COUNT('01_Data'!$B71:$AW71)</f>
        <v/>
      </c>
      <c r="E71" s="5">
        <f>MEDIAN(-6,LN((C71+0.3)/(D71-C71+0.3)),6)</f>
        <v/>
      </c>
      <c r="F71" s="5">
        <f>SUMPRODUCT(('01_Data'!$B71:$AW71&lt;&gt;"")*(1/(1+EXP(-(E71-'03_Lap_b'!$B$5:$AW$5)))))</f>
        <v/>
      </c>
      <c r="G71" s="5">
        <f>SUMPRODUCT(('01_Data'!$B71:$AW71&lt;&gt;"")*(1/(1+EXP(-(E71-'03_Lap_b'!$B$5:$AW$5))))^2)</f>
        <v/>
      </c>
      <c r="H71" s="5">
        <f>MEDIAN(-6,E71+(C71-F71)/MAX(F71-G71,0.000000001),6)</f>
        <v/>
      </c>
      <c r="I71" s="5">
        <f>SUMPRODUCT(('01_Data'!$B71:$AW71&lt;&gt;"")*(1/(1+EXP(-(H71-'03_Lap_b'!$B$10:$AW$10)))))</f>
        <v/>
      </c>
      <c r="J71" s="5">
        <f>SUMPRODUCT(('01_Data'!$B71:$AW71&lt;&gt;"")*(1/(1+EXP(-(H71-'03_Lap_b'!$B$10:$AW$10))))^2)</f>
        <v/>
      </c>
      <c r="K71" s="5">
        <f>MEDIAN(-6,H71+(C71-I71)/MAX(I71-J71,0.000000001),6)</f>
        <v/>
      </c>
      <c r="L71" s="5">
        <f>SUMPRODUCT(('01_Data'!$B71:$AW71&lt;&gt;"")*(1/(1+EXP(-(K71-'03_Lap_b'!$B$15:$AW$15)))))</f>
        <v/>
      </c>
      <c r="M71" s="5">
        <f>SUMPRODUCT(('01_Data'!$B71:$AW71&lt;&gt;"")*(1/(1+EXP(-(K71-'03_Lap_b'!$B$15:$AW$15))))^2)</f>
        <v/>
      </c>
      <c r="N71" s="5">
        <f>MEDIAN(-6,K71+(C71-L71)/MAX(L71-M71,0.000000001),6)</f>
        <v/>
      </c>
      <c r="O71" s="5">
        <f>SUMPRODUCT(('01_Data'!$B71:$AW71&lt;&gt;"")*(1/(1+EXP(-(N71-'03_Lap_b'!$B$20:$AW$20)))))</f>
        <v/>
      </c>
      <c r="P71" s="5">
        <f>SUMPRODUCT(('01_Data'!$B71:$AW71&lt;&gt;"")*(1/(1+EXP(-(N71-'03_Lap_b'!$B$20:$AW$20))))^2)</f>
        <v/>
      </c>
      <c r="Q71" s="5">
        <f>MEDIAN(-6,N71+(C71-O71)/MAX(O71-P71,0.000000001),6)</f>
        <v/>
      </c>
      <c r="R71" s="5">
        <f>SUMPRODUCT(('01_Data'!$B71:$AW71&lt;&gt;"")*(1/(1+EXP(-(Q71-'03_Lap_b'!$B$25:$AW$25)))))</f>
        <v/>
      </c>
      <c r="S71" s="5">
        <f>SUMPRODUCT(('01_Data'!$B71:$AW71&lt;&gt;"")*(1/(1+EXP(-(Q71-'03_Lap_b'!$B$25:$AW$25))))^2)</f>
        <v/>
      </c>
      <c r="T71" s="5">
        <f>MEDIAN(-6,Q71+(C71-R71)/MAX(R71-S71,0.000000001),6)</f>
        <v/>
      </c>
      <c r="U71" s="5">
        <f>SUMPRODUCT(('01_Data'!$B71:$AW71&lt;&gt;"")*(1/(1+EXP(-(T71-'03_Lap_b'!$B$30:$AW$30)))))</f>
        <v/>
      </c>
      <c r="V71" s="5">
        <f>SUMPRODUCT(('01_Data'!$B71:$AW71&lt;&gt;"")*(1/(1+EXP(-(T71-'03_Lap_b'!$B$30:$AW$30))))^2)</f>
        <v/>
      </c>
      <c r="W71" s="5">
        <f>MEDIAN(-6,T71+(C71-U71)/MAX(U71-V71,0.000000001),6)</f>
        <v/>
      </c>
      <c r="X71" s="5">
        <f>SUMPRODUCT(('01_Data'!$B71:$AW71&lt;&gt;"")*(1/(1+EXP(-(W71-'03_Lap_b'!$B$35:$AW$35)))))</f>
        <v/>
      </c>
      <c r="Y71" s="5">
        <f>SUMPRODUCT(('01_Data'!$B71:$AW71&lt;&gt;"")*(1/(1+EXP(-(W71-'03_Lap_b'!$B$35:$AW$35))))^2)</f>
        <v/>
      </c>
      <c r="Z71" s="5">
        <f>MEDIAN(-6,W71+(C71-X71)/MAX(X71-Y71,0.000000001),6)</f>
        <v/>
      </c>
      <c r="AA71" s="5">
        <f>SUMPRODUCT(('01_Data'!$B71:$AW71&lt;&gt;"")*(1/(1+EXP(-(Z71-'03_Lap_b'!$B$40:$AW$40)))))</f>
        <v/>
      </c>
      <c r="AB71" s="5">
        <f>SUMPRODUCT(('01_Data'!$B71:$AW71&lt;&gt;"")*(1/(1+EXP(-(Z71-'03_Lap_b'!$B$40:$AW$40))))^2)</f>
        <v/>
      </c>
      <c r="AC71" s="5">
        <f>MEDIAN(-6,Z71+(C71-AA71)/MAX(AA71-AB71,0.000000001),6)</f>
        <v/>
      </c>
    </row>
    <row r="72">
      <c r="A72" t="n">
        <v>71</v>
      </c>
      <c r="B72">
        <f>'01_Data'!A72</f>
        <v/>
      </c>
      <c r="C72">
        <f>SUM('01_Data'!$B72:$AW72)</f>
        <v/>
      </c>
      <c r="D72">
        <f>COUNT('01_Data'!$B72:$AW72)</f>
        <v/>
      </c>
      <c r="E72" s="5">
        <f>MEDIAN(-6,LN((C72+0.3)/(D72-C72+0.3)),6)</f>
        <v/>
      </c>
      <c r="F72" s="5">
        <f>SUMPRODUCT(('01_Data'!$B72:$AW72&lt;&gt;"")*(1/(1+EXP(-(E72-'03_Lap_b'!$B$5:$AW$5)))))</f>
        <v/>
      </c>
      <c r="G72" s="5">
        <f>SUMPRODUCT(('01_Data'!$B72:$AW72&lt;&gt;"")*(1/(1+EXP(-(E72-'03_Lap_b'!$B$5:$AW$5))))^2)</f>
        <v/>
      </c>
      <c r="H72" s="5">
        <f>MEDIAN(-6,E72+(C72-F72)/MAX(F72-G72,0.000000001),6)</f>
        <v/>
      </c>
      <c r="I72" s="5">
        <f>SUMPRODUCT(('01_Data'!$B72:$AW72&lt;&gt;"")*(1/(1+EXP(-(H72-'03_Lap_b'!$B$10:$AW$10)))))</f>
        <v/>
      </c>
      <c r="J72" s="5">
        <f>SUMPRODUCT(('01_Data'!$B72:$AW72&lt;&gt;"")*(1/(1+EXP(-(H72-'03_Lap_b'!$B$10:$AW$10))))^2)</f>
        <v/>
      </c>
      <c r="K72" s="5">
        <f>MEDIAN(-6,H72+(C72-I72)/MAX(I72-J72,0.000000001),6)</f>
        <v/>
      </c>
      <c r="L72" s="5">
        <f>SUMPRODUCT(('01_Data'!$B72:$AW72&lt;&gt;"")*(1/(1+EXP(-(K72-'03_Lap_b'!$B$15:$AW$15)))))</f>
        <v/>
      </c>
      <c r="M72" s="5">
        <f>SUMPRODUCT(('01_Data'!$B72:$AW72&lt;&gt;"")*(1/(1+EXP(-(K72-'03_Lap_b'!$B$15:$AW$15))))^2)</f>
        <v/>
      </c>
      <c r="N72" s="5">
        <f>MEDIAN(-6,K72+(C72-L72)/MAX(L72-M72,0.000000001),6)</f>
        <v/>
      </c>
      <c r="O72" s="5">
        <f>SUMPRODUCT(('01_Data'!$B72:$AW72&lt;&gt;"")*(1/(1+EXP(-(N72-'03_Lap_b'!$B$20:$AW$20)))))</f>
        <v/>
      </c>
      <c r="P72" s="5">
        <f>SUMPRODUCT(('01_Data'!$B72:$AW72&lt;&gt;"")*(1/(1+EXP(-(N72-'03_Lap_b'!$B$20:$AW$20))))^2)</f>
        <v/>
      </c>
      <c r="Q72" s="5">
        <f>MEDIAN(-6,N72+(C72-O72)/MAX(O72-P72,0.000000001),6)</f>
        <v/>
      </c>
      <c r="R72" s="5">
        <f>SUMPRODUCT(('01_Data'!$B72:$AW72&lt;&gt;"")*(1/(1+EXP(-(Q72-'03_Lap_b'!$B$25:$AW$25)))))</f>
        <v/>
      </c>
      <c r="S72" s="5">
        <f>SUMPRODUCT(('01_Data'!$B72:$AW72&lt;&gt;"")*(1/(1+EXP(-(Q72-'03_Lap_b'!$B$25:$AW$25))))^2)</f>
        <v/>
      </c>
      <c r="T72" s="5">
        <f>MEDIAN(-6,Q72+(C72-R72)/MAX(R72-S72,0.000000001),6)</f>
        <v/>
      </c>
      <c r="U72" s="5">
        <f>SUMPRODUCT(('01_Data'!$B72:$AW72&lt;&gt;"")*(1/(1+EXP(-(T72-'03_Lap_b'!$B$30:$AW$30)))))</f>
        <v/>
      </c>
      <c r="V72" s="5">
        <f>SUMPRODUCT(('01_Data'!$B72:$AW72&lt;&gt;"")*(1/(1+EXP(-(T72-'03_Lap_b'!$B$30:$AW$30))))^2)</f>
        <v/>
      </c>
      <c r="W72" s="5">
        <f>MEDIAN(-6,T72+(C72-U72)/MAX(U72-V72,0.000000001),6)</f>
        <v/>
      </c>
      <c r="X72" s="5">
        <f>SUMPRODUCT(('01_Data'!$B72:$AW72&lt;&gt;"")*(1/(1+EXP(-(W72-'03_Lap_b'!$B$35:$AW$35)))))</f>
        <v/>
      </c>
      <c r="Y72" s="5">
        <f>SUMPRODUCT(('01_Data'!$B72:$AW72&lt;&gt;"")*(1/(1+EXP(-(W72-'03_Lap_b'!$B$35:$AW$35))))^2)</f>
        <v/>
      </c>
      <c r="Z72" s="5">
        <f>MEDIAN(-6,W72+(C72-X72)/MAX(X72-Y72,0.000000001),6)</f>
        <v/>
      </c>
      <c r="AA72" s="5">
        <f>SUMPRODUCT(('01_Data'!$B72:$AW72&lt;&gt;"")*(1/(1+EXP(-(Z72-'03_Lap_b'!$B$40:$AW$40)))))</f>
        <v/>
      </c>
      <c r="AB72" s="5">
        <f>SUMPRODUCT(('01_Data'!$B72:$AW72&lt;&gt;"")*(1/(1+EXP(-(Z72-'03_Lap_b'!$B$40:$AW$40))))^2)</f>
        <v/>
      </c>
      <c r="AC72" s="5">
        <f>MEDIAN(-6,Z72+(C72-AA72)/MAX(AA72-AB72,0.000000001),6)</f>
        <v/>
      </c>
    </row>
    <row r="73">
      <c r="A73" t="n">
        <v>72</v>
      </c>
      <c r="B73">
        <f>'01_Data'!A73</f>
        <v/>
      </c>
      <c r="C73">
        <f>SUM('01_Data'!$B73:$AW73)</f>
        <v/>
      </c>
      <c r="D73">
        <f>COUNT('01_Data'!$B73:$AW73)</f>
        <v/>
      </c>
      <c r="E73" s="5">
        <f>MEDIAN(-6,LN((C73+0.3)/(D73-C73+0.3)),6)</f>
        <v/>
      </c>
      <c r="F73" s="5">
        <f>SUMPRODUCT(('01_Data'!$B73:$AW73&lt;&gt;"")*(1/(1+EXP(-(E73-'03_Lap_b'!$B$5:$AW$5)))))</f>
        <v/>
      </c>
      <c r="G73" s="5">
        <f>SUMPRODUCT(('01_Data'!$B73:$AW73&lt;&gt;"")*(1/(1+EXP(-(E73-'03_Lap_b'!$B$5:$AW$5))))^2)</f>
        <v/>
      </c>
      <c r="H73" s="5">
        <f>MEDIAN(-6,E73+(C73-F73)/MAX(F73-G73,0.000000001),6)</f>
        <v/>
      </c>
      <c r="I73" s="5">
        <f>SUMPRODUCT(('01_Data'!$B73:$AW73&lt;&gt;"")*(1/(1+EXP(-(H73-'03_Lap_b'!$B$10:$AW$10)))))</f>
        <v/>
      </c>
      <c r="J73" s="5">
        <f>SUMPRODUCT(('01_Data'!$B73:$AW73&lt;&gt;"")*(1/(1+EXP(-(H73-'03_Lap_b'!$B$10:$AW$10))))^2)</f>
        <v/>
      </c>
      <c r="K73" s="5">
        <f>MEDIAN(-6,H73+(C73-I73)/MAX(I73-J73,0.000000001),6)</f>
        <v/>
      </c>
      <c r="L73" s="5">
        <f>SUMPRODUCT(('01_Data'!$B73:$AW73&lt;&gt;"")*(1/(1+EXP(-(K73-'03_Lap_b'!$B$15:$AW$15)))))</f>
        <v/>
      </c>
      <c r="M73" s="5">
        <f>SUMPRODUCT(('01_Data'!$B73:$AW73&lt;&gt;"")*(1/(1+EXP(-(K73-'03_Lap_b'!$B$15:$AW$15))))^2)</f>
        <v/>
      </c>
      <c r="N73" s="5">
        <f>MEDIAN(-6,K73+(C73-L73)/MAX(L73-M73,0.000000001),6)</f>
        <v/>
      </c>
      <c r="O73" s="5">
        <f>SUMPRODUCT(('01_Data'!$B73:$AW73&lt;&gt;"")*(1/(1+EXP(-(N73-'03_Lap_b'!$B$20:$AW$20)))))</f>
        <v/>
      </c>
      <c r="P73" s="5">
        <f>SUMPRODUCT(('01_Data'!$B73:$AW73&lt;&gt;"")*(1/(1+EXP(-(N73-'03_Lap_b'!$B$20:$AW$20))))^2)</f>
        <v/>
      </c>
      <c r="Q73" s="5">
        <f>MEDIAN(-6,N73+(C73-O73)/MAX(O73-P73,0.000000001),6)</f>
        <v/>
      </c>
      <c r="R73" s="5">
        <f>SUMPRODUCT(('01_Data'!$B73:$AW73&lt;&gt;"")*(1/(1+EXP(-(Q73-'03_Lap_b'!$B$25:$AW$25)))))</f>
        <v/>
      </c>
      <c r="S73" s="5">
        <f>SUMPRODUCT(('01_Data'!$B73:$AW73&lt;&gt;"")*(1/(1+EXP(-(Q73-'03_Lap_b'!$B$25:$AW$25))))^2)</f>
        <v/>
      </c>
      <c r="T73" s="5">
        <f>MEDIAN(-6,Q73+(C73-R73)/MAX(R73-S73,0.000000001),6)</f>
        <v/>
      </c>
      <c r="U73" s="5">
        <f>SUMPRODUCT(('01_Data'!$B73:$AW73&lt;&gt;"")*(1/(1+EXP(-(T73-'03_Lap_b'!$B$30:$AW$30)))))</f>
        <v/>
      </c>
      <c r="V73" s="5">
        <f>SUMPRODUCT(('01_Data'!$B73:$AW73&lt;&gt;"")*(1/(1+EXP(-(T73-'03_Lap_b'!$B$30:$AW$30))))^2)</f>
        <v/>
      </c>
      <c r="W73" s="5">
        <f>MEDIAN(-6,T73+(C73-U73)/MAX(U73-V73,0.000000001),6)</f>
        <v/>
      </c>
      <c r="X73" s="5">
        <f>SUMPRODUCT(('01_Data'!$B73:$AW73&lt;&gt;"")*(1/(1+EXP(-(W73-'03_Lap_b'!$B$35:$AW$35)))))</f>
        <v/>
      </c>
      <c r="Y73" s="5">
        <f>SUMPRODUCT(('01_Data'!$B73:$AW73&lt;&gt;"")*(1/(1+EXP(-(W73-'03_Lap_b'!$B$35:$AW$35))))^2)</f>
        <v/>
      </c>
      <c r="Z73" s="5">
        <f>MEDIAN(-6,W73+(C73-X73)/MAX(X73-Y73,0.000000001),6)</f>
        <v/>
      </c>
      <c r="AA73" s="5">
        <f>SUMPRODUCT(('01_Data'!$B73:$AW73&lt;&gt;"")*(1/(1+EXP(-(Z73-'03_Lap_b'!$B$40:$AW$40)))))</f>
        <v/>
      </c>
      <c r="AB73" s="5">
        <f>SUMPRODUCT(('01_Data'!$B73:$AW73&lt;&gt;"")*(1/(1+EXP(-(Z73-'03_Lap_b'!$B$40:$AW$40))))^2)</f>
        <v/>
      </c>
      <c r="AC73" s="5">
        <f>MEDIAN(-6,Z73+(C73-AA73)/MAX(AA73-AB73,0.000000001),6)</f>
        <v/>
      </c>
    </row>
    <row r="74">
      <c r="A74" t="n">
        <v>73</v>
      </c>
      <c r="B74">
        <f>'01_Data'!A74</f>
        <v/>
      </c>
      <c r="C74">
        <f>SUM('01_Data'!$B74:$AW74)</f>
        <v/>
      </c>
      <c r="D74">
        <f>COUNT('01_Data'!$B74:$AW74)</f>
        <v/>
      </c>
      <c r="E74" s="5">
        <f>MEDIAN(-6,LN((C74+0.3)/(D74-C74+0.3)),6)</f>
        <v/>
      </c>
      <c r="F74" s="5">
        <f>SUMPRODUCT(('01_Data'!$B74:$AW74&lt;&gt;"")*(1/(1+EXP(-(E74-'03_Lap_b'!$B$5:$AW$5)))))</f>
        <v/>
      </c>
      <c r="G74" s="5">
        <f>SUMPRODUCT(('01_Data'!$B74:$AW74&lt;&gt;"")*(1/(1+EXP(-(E74-'03_Lap_b'!$B$5:$AW$5))))^2)</f>
        <v/>
      </c>
      <c r="H74" s="5">
        <f>MEDIAN(-6,E74+(C74-F74)/MAX(F74-G74,0.000000001),6)</f>
        <v/>
      </c>
      <c r="I74" s="5">
        <f>SUMPRODUCT(('01_Data'!$B74:$AW74&lt;&gt;"")*(1/(1+EXP(-(H74-'03_Lap_b'!$B$10:$AW$10)))))</f>
        <v/>
      </c>
      <c r="J74" s="5">
        <f>SUMPRODUCT(('01_Data'!$B74:$AW74&lt;&gt;"")*(1/(1+EXP(-(H74-'03_Lap_b'!$B$10:$AW$10))))^2)</f>
        <v/>
      </c>
      <c r="K74" s="5">
        <f>MEDIAN(-6,H74+(C74-I74)/MAX(I74-J74,0.000000001),6)</f>
        <v/>
      </c>
      <c r="L74" s="5">
        <f>SUMPRODUCT(('01_Data'!$B74:$AW74&lt;&gt;"")*(1/(1+EXP(-(K74-'03_Lap_b'!$B$15:$AW$15)))))</f>
        <v/>
      </c>
      <c r="M74" s="5">
        <f>SUMPRODUCT(('01_Data'!$B74:$AW74&lt;&gt;"")*(1/(1+EXP(-(K74-'03_Lap_b'!$B$15:$AW$15))))^2)</f>
        <v/>
      </c>
      <c r="N74" s="5">
        <f>MEDIAN(-6,K74+(C74-L74)/MAX(L74-M74,0.000000001),6)</f>
        <v/>
      </c>
      <c r="O74" s="5">
        <f>SUMPRODUCT(('01_Data'!$B74:$AW74&lt;&gt;"")*(1/(1+EXP(-(N74-'03_Lap_b'!$B$20:$AW$20)))))</f>
        <v/>
      </c>
      <c r="P74" s="5">
        <f>SUMPRODUCT(('01_Data'!$B74:$AW74&lt;&gt;"")*(1/(1+EXP(-(N74-'03_Lap_b'!$B$20:$AW$20))))^2)</f>
        <v/>
      </c>
      <c r="Q74" s="5">
        <f>MEDIAN(-6,N74+(C74-O74)/MAX(O74-P74,0.000000001),6)</f>
        <v/>
      </c>
      <c r="R74" s="5">
        <f>SUMPRODUCT(('01_Data'!$B74:$AW74&lt;&gt;"")*(1/(1+EXP(-(Q74-'03_Lap_b'!$B$25:$AW$25)))))</f>
        <v/>
      </c>
      <c r="S74" s="5">
        <f>SUMPRODUCT(('01_Data'!$B74:$AW74&lt;&gt;"")*(1/(1+EXP(-(Q74-'03_Lap_b'!$B$25:$AW$25))))^2)</f>
        <v/>
      </c>
      <c r="T74" s="5">
        <f>MEDIAN(-6,Q74+(C74-R74)/MAX(R74-S74,0.000000001),6)</f>
        <v/>
      </c>
      <c r="U74" s="5">
        <f>SUMPRODUCT(('01_Data'!$B74:$AW74&lt;&gt;"")*(1/(1+EXP(-(T74-'03_Lap_b'!$B$30:$AW$30)))))</f>
        <v/>
      </c>
      <c r="V74" s="5">
        <f>SUMPRODUCT(('01_Data'!$B74:$AW74&lt;&gt;"")*(1/(1+EXP(-(T74-'03_Lap_b'!$B$30:$AW$30))))^2)</f>
        <v/>
      </c>
      <c r="W74" s="5">
        <f>MEDIAN(-6,T74+(C74-U74)/MAX(U74-V74,0.000000001),6)</f>
        <v/>
      </c>
      <c r="X74" s="5">
        <f>SUMPRODUCT(('01_Data'!$B74:$AW74&lt;&gt;"")*(1/(1+EXP(-(W74-'03_Lap_b'!$B$35:$AW$35)))))</f>
        <v/>
      </c>
      <c r="Y74" s="5">
        <f>SUMPRODUCT(('01_Data'!$B74:$AW74&lt;&gt;"")*(1/(1+EXP(-(W74-'03_Lap_b'!$B$35:$AW$35))))^2)</f>
        <v/>
      </c>
      <c r="Z74" s="5">
        <f>MEDIAN(-6,W74+(C74-X74)/MAX(X74-Y74,0.000000001),6)</f>
        <v/>
      </c>
      <c r="AA74" s="5">
        <f>SUMPRODUCT(('01_Data'!$B74:$AW74&lt;&gt;"")*(1/(1+EXP(-(Z74-'03_Lap_b'!$B$40:$AW$40)))))</f>
        <v/>
      </c>
      <c r="AB74" s="5">
        <f>SUMPRODUCT(('01_Data'!$B74:$AW74&lt;&gt;"")*(1/(1+EXP(-(Z74-'03_Lap_b'!$B$40:$AW$40))))^2)</f>
        <v/>
      </c>
      <c r="AC74" s="5">
        <f>MEDIAN(-6,Z74+(C74-AA74)/MAX(AA74-AB74,0.000000001),6)</f>
        <v/>
      </c>
    </row>
    <row r="75">
      <c r="A75" t="n">
        <v>74</v>
      </c>
      <c r="B75">
        <f>'01_Data'!A75</f>
        <v/>
      </c>
      <c r="C75">
        <f>SUM('01_Data'!$B75:$AW75)</f>
        <v/>
      </c>
      <c r="D75">
        <f>COUNT('01_Data'!$B75:$AW75)</f>
        <v/>
      </c>
      <c r="E75" s="5">
        <f>MEDIAN(-6,LN((C75+0.3)/(D75-C75+0.3)),6)</f>
        <v/>
      </c>
      <c r="F75" s="5">
        <f>SUMPRODUCT(('01_Data'!$B75:$AW75&lt;&gt;"")*(1/(1+EXP(-(E75-'03_Lap_b'!$B$5:$AW$5)))))</f>
        <v/>
      </c>
      <c r="G75" s="5">
        <f>SUMPRODUCT(('01_Data'!$B75:$AW75&lt;&gt;"")*(1/(1+EXP(-(E75-'03_Lap_b'!$B$5:$AW$5))))^2)</f>
        <v/>
      </c>
      <c r="H75" s="5">
        <f>MEDIAN(-6,E75+(C75-F75)/MAX(F75-G75,0.000000001),6)</f>
        <v/>
      </c>
      <c r="I75" s="5">
        <f>SUMPRODUCT(('01_Data'!$B75:$AW75&lt;&gt;"")*(1/(1+EXP(-(H75-'03_Lap_b'!$B$10:$AW$10)))))</f>
        <v/>
      </c>
      <c r="J75" s="5">
        <f>SUMPRODUCT(('01_Data'!$B75:$AW75&lt;&gt;"")*(1/(1+EXP(-(H75-'03_Lap_b'!$B$10:$AW$10))))^2)</f>
        <v/>
      </c>
      <c r="K75" s="5">
        <f>MEDIAN(-6,H75+(C75-I75)/MAX(I75-J75,0.000000001),6)</f>
        <v/>
      </c>
      <c r="L75" s="5">
        <f>SUMPRODUCT(('01_Data'!$B75:$AW75&lt;&gt;"")*(1/(1+EXP(-(K75-'03_Lap_b'!$B$15:$AW$15)))))</f>
        <v/>
      </c>
      <c r="M75" s="5">
        <f>SUMPRODUCT(('01_Data'!$B75:$AW75&lt;&gt;"")*(1/(1+EXP(-(K75-'03_Lap_b'!$B$15:$AW$15))))^2)</f>
        <v/>
      </c>
      <c r="N75" s="5">
        <f>MEDIAN(-6,K75+(C75-L75)/MAX(L75-M75,0.000000001),6)</f>
        <v/>
      </c>
      <c r="O75" s="5">
        <f>SUMPRODUCT(('01_Data'!$B75:$AW75&lt;&gt;"")*(1/(1+EXP(-(N75-'03_Lap_b'!$B$20:$AW$20)))))</f>
        <v/>
      </c>
      <c r="P75" s="5">
        <f>SUMPRODUCT(('01_Data'!$B75:$AW75&lt;&gt;"")*(1/(1+EXP(-(N75-'03_Lap_b'!$B$20:$AW$20))))^2)</f>
        <v/>
      </c>
      <c r="Q75" s="5">
        <f>MEDIAN(-6,N75+(C75-O75)/MAX(O75-P75,0.000000001),6)</f>
        <v/>
      </c>
      <c r="R75" s="5">
        <f>SUMPRODUCT(('01_Data'!$B75:$AW75&lt;&gt;"")*(1/(1+EXP(-(Q75-'03_Lap_b'!$B$25:$AW$25)))))</f>
        <v/>
      </c>
      <c r="S75" s="5">
        <f>SUMPRODUCT(('01_Data'!$B75:$AW75&lt;&gt;"")*(1/(1+EXP(-(Q75-'03_Lap_b'!$B$25:$AW$25))))^2)</f>
        <v/>
      </c>
      <c r="T75" s="5">
        <f>MEDIAN(-6,Q75+(C75-R75)/MAX(R75-S75,0.000000001),6)</f>
        <v/>
      </c>
      <c r="U75" s="5">
        <f>SUMPRODUCT(('01_Data'!$B75:$AW75&lt;&gt;"")*(1/(1+EXP(-(T75-'03_Lap_b'!$B$30:$AW$30)))))</f>
        <v/>
      </c>
      <c r="V75" s="5">
        <f>SUMPRODUCT(('01_Data'!$B75:$AW75&lt;&gt;"")*(1/(1+EXP(-(T75-'03_Lap_b'!$B$30:$AW$30))))^2)</f>
        <v/>
      </c>
      <c r="W75" s="5">
        <f>MEDIAN(-6,T75+(C75-U75)/MAX(U75-V75,0.000000001),6)</f>
        <v/>
      </c>
      <c r="X75" s="5">
        <f>SUMPRODUCT(('01_Data'!$B75:$AW75&lt;&gt;"")*(1/(1+EXP(-(W75-'03_Lap_b'!$B$35:$AW$35)))))</f>
        <v/>
      </c>
      <c r="Y75" s="5">
        <f>SUMPRODUCT(('01_Data'!$B75:$AW75&lt;&gt;"")*(1/(1+EXP(-(W75-'03_Lap_b'!$B$35:$AW$35))))^2)</f>
        <v/>
      </c>
      <c r="Z75" s="5">
        <f>MEDIAN(-6,W75+(C75-X75)/MAX(X75-Y75,0.000000001),6)</f>
        <v/>
      </c>
      <c r="AA75" s="5">
        <f>SUMPRODUCT(('01_Data'!$B75:$AW75&lt;&gt;"")*(1/(1+EXP(-(Z75-'03_Lap_b'!$B$40:$AW$40)))))</f>
        <v/>
      </c>
      <c r="AB75" s="5">
        <f>SUMPRODUCT(('01_Data'!$B75:$AW75&lt;&gt;"")*(1/(1+EXP(-(Z75-'03_Lap_b'!$B$40:$AW$40))))^2)</f>
        <v/>
      </c>
      <c r="AC75" s="5">
        <f>MEDIAN(-6,Z75+(C75-AA75)/MAX(AA75-AB75,0.000000001),6)</f>
        <v/>
      </c>
    </row>
    <row r="76">
      <c r="A76" t="n">
        <v>75</v>
      </c>
      <c r="B76">
        <f>'01_Data'!A76</f>
        <v/>
      </c>
      <c r="C76">
        <f>SUM('01_Data'!$B76:$AW76)</f>
        <v/>
      </c>
      <c r="D76">
        <f>COUNT('01_Data'!$B76:$AW76)</f>
        <v/>
      </c>
      <c r="E76" s="5">
        <f>MEDIAN(-6,LN((C76+0.3)/(D76-C76+0.3)),6)</f>
        <v/>
      </c>
      <c r="F76" s="5">
        <f>SUMPRODUCT(('01_Data'!$B76:$AW76&lt;&gt;"")*(1/(1+EXP(-(E76-'03_Lap_b'!$B$5:$AW$5)))))</f>
        <v/>
      </c>
      <c r="G76" s="5">
        <f>SUMPRODUCT(('01_Data'!$B76:$AW76&lt;&gt;"")*(1/(1+EXP(-(E76-'03_Lap_b'!$B$5:$AW$5))))^2)</f>
        <v/>
      </c>
      <c r="H76" s="5">
        <f>MEDIAN(-6,E76+(C76-F76)/MAX(F76-G76,0.000000001),6)</f>
        <v/>
      </c>
      <c r="I76" s="5">
        <f>SUMPRODUCT(('01_Data'!$B76:$AW76&lt;&gt;"")*(1/(1+EXP(-(H76-'03_Lap_b'!$B$10:$AW$10)))))</f>
        <v/>
      </c>
      <c r="J76" s="5">
        <f>SUMPRODUCT(('01_Data'!$B76:$AW76&lt;&gt;"")*(1/(1+EXP(-(H76-'03_Lap_b'!$B$10:$AW$10))))^2)</f>
        <v/>
      </c>
      <c r="K76" s="5">
        <f>MEDIAN(-6,H76+(C76-I76)/MAX(I76-J76,0.000000001),6)</f>
        <v/>
      </c>
      <c r="L76" s="5">
        <f>SUMPRODUCT(('01_Data'!$B76:$AW76&lt;&gt;"")*(1/(1+EXP(-(K76-'03_Lap_b'!$B$15:$AW$15)))))</f>
        <v/>
      </c>
      <c r="M76" s="5">
        <f>SUMPRODUCT(('01_Data'!$B76:$AW76&lt;&gt;"")*(1/(1+EXP(-(K76-'03_Lap_b'!$B$15:$AW$15))))^2)</f>
        <v/>
      </c>
      <c r="N76" s="5">
        <f>MEDIAN(-6,K76+(C76-L76)/MAX(L76-M76,0.000000001),6)</f>
        <v/>
      </c>
      <c r="O76" s="5">
        <f>SUMPRODUCT(('01_Data'!$B76:$AW76&lt;&gt;"")*(1/(1+EXP(-(N76-'03_Lap_b'!$B$20:$AW$20)))))</f>
        <v/>
      </c>
      <c r="P76" s="5">
        <f>SUMPRODUCT(('01_Data'!$B76:$AW76&lt;&gt;"")*(1/(1+EXP(-(N76-'03_Lap_b'!$B$20:$AW$20))))^2)</f>
        <v/>
      </c>
      <c r="Q76" s="5">
        <f>MEDIAN(-6,N76+(C76-O76)/MAX(O76-P76,0.000000001),6)</f>
        <v/>
      </c>
      <c r="R76" s="5">
        <f>SUMPRODUCT(('01_Data'!$B76:$AW76&lt;&gt;"")*(1/(1+EXP(-(Q76-'03_Lap_b'!$B$25:$AW$25)))))</f>
        <v/>
      </c>
      <c r="S76" s="5">
        <f>SUMPRODUCT(('01_Data'!$B76:$AW76&lt;&gt;"")*(1/(1+EXP(-(Q76-'03_Lap_b'!$B$25:$AW$25))))^2)</f>
        <v/>
      </c>
      <c r="T76" s="5">
        <f>MEDIAN(-6,Q76+(C76-R76)/MAX(R76-S76,0.000000001),6)</f>
        <v/>
      </c>
      <c r="U76" s="5">
        <f>SUMPRODUCT(('01_Data'!$B76:$AW76&lt;&gt;"")*(1/(1+EXP(-(T76-'03_Lap_b'!$B$30:$AW$30)))))</f>
        <v/>
      </c>
      <c r="V76" s="5">
        <f>SUMPRODUCT(('01_Data'!$B76:$AW76&lt;&gt;"")*(1/(1+EXP(-(T76-'03_Lap_b'!$B$30:$AW$30))))^2)</f>
        <v/>
      </c>
      <c r="W76" s="5">
        <f>MEDIAN(-6,T76+(C76-U76)/MAX(U76-V76,0.000000001),6)</f>
        <v/>
      </c>
      <c r="X76" s="5">
        <f>SUMPRODUCT(('01_Data'!$B76:$AW76&lt;&gt;"")*(1/(1+EXP(-(W76-'03_Lap_b'!$B$35:$AW$35)))))</f>
        <v/>
      </c>
      <c r="Y76" s="5">
        <f>SUMPRODUCT(('01_Data'!$B76:$AW76&lt;&gt;"")*(1/(1+EXP(-(W76-'03_Lap_b'!$B$35:$AW$35))))^2)</f>
        <v/>
      </c>
      <c r="Z76" s="5">
        <f>MEDIAN(-6,W76+(C76-X76)/MAX(X76-Y76,0.000000001),6)</f>
        <v/>
      </c>
      <c r="AA76" s="5">
        <f>SUMPRODUCT(('01_Data'!$B76:$AW76&lt;&gt;"")*(1/(1+EXP(-(Z76-'03_Lap_b'!$B$40:$AW$40)))))</f>
        <v/>
      </c>
      <c r="AB76" s="5">
        <f>SUMPRODUCT(('01_Data'!$B76:$AW76&lt;&gt;"")*(1/(1+EXP(-(Z76-'03_Lap_b'!$B$40:$AW$40))))^2)</f>
        <v/>
      </c>
      <c r="AC76" s="5">
        <f>MEDIAN(-6,Z76+(C76-AA76)/MAX(AA76-AB76,0.000000001),6)</f>
        <v/>
      </c>
    </row>
    <row r="77">
      <c r="A77" t="n">
        <v>76</v>
      </c>
      <c r="B77">
        <f>'01_Data'!A77</f>
        <v/>
      </c>
      <c r="C77">
        <f>SUM('01_Data'!$B77:$AW77)</f>
        <v/>
      </c>
      <c r="D77">
        <f>COUNT('01_Data'!$B77:$AW77)</f>
        <v/>
      </c>
      <c r="E77" s="5">
        <f>MEDIAN(-6,LN((C77+0.3)/(D77-C77+0.3)),6)</f>
        <v/>
      </c>
      <c r="F77" s="5">
        <f>SUMPRODUCT(('01_Data'!$B77:$AW77&lt;&gt;"")*(1/(1+EXP(-(E77-'03_Lap_b'!$B$5:$AW$5)))))</f>
        <v/>
      </c>
      <c r="G77" s="5">
        <f>SUMPRODUCT(('01_Data'!$B77:$AW77&lt;&gt;"")*(1/(1+EXP(-(E77-'03_Lap_b'!$B$5:$AW$5))))^2)</f>
        <v/>
      </c>
      <c r="H77" s="5">
        <f>MEDIAN(-6,E77+(C77-F77)/MAX(F77-G77,0.000000001),6)</f>
        <v/>
      </c>
      <c r="I77" s="5">
        <f>SUMPRODUCT(('01_Data'!$B77:$AW77&lt;&gt;"")*(1/(1+EXP(-(H77-'03_Lap_b'!$B$10:$AW$10)))))</f>
        <v/>
      </c>
      <c r="J77" s="5">
        <f>SUMPRODUCT(('01_Data'!$B77:$AW77&lt;&gt;"")*(1/(1+EXP(-(H77-'03_Lap_b'!$B$10:$AW$10))))^2)</f>
        <v/>
      </c>
      <c r="K77" s="5">
        <f>MEDIAN(-6,H77+(C77-I77)/MAX(I77-J77,0.000000001),6)</f>
        <v/>
      </c>
      <c r="L77" s="5">
        <f>SUMPRODUCT(('01_Data'!$B77:$AW77&lt;&gt;"")*(1/(1+EXP(-(K77-'03_Lap_b'!$B$15:$AW$15)))))</f>
        <v/>
      </c>
      <c r="M77" s="5">
        <f>SUMPRODUCT(('01_Data'!$B77:$AW77&lt;&gt;"")*(1/(1+EXP(-(K77-'03_Lap_b'!$B$15:$AW$15))))^2)</f>
        <v/>
      </c>
      <c r="N77" s="5">
        <f>MEDIAN(-6,K77+(C77-L77)/MAX(L77-M77,0.000000001),6)</f>
        <v/>
      </c>
      <c r="O77" s="5">
        <f>SUMPRODUCT(('01_Data'!$B77:$AW77&lt;&gt;"")*(1/(1+EXP(-(N77-'03_Lap_b'!$B$20:$AW$20)))))</f>
        <v/>
      </c>
      <c r="P77" s="5">
        <f>SUMPRODUCT(('01_Data'!$B77:$AW77&lt;&gt;"")*(1/(1+EXP(-(N77-'03_Lap_b'!$B$20:$AW$20))))^2)</f>
        <v/>
      </c>
      <c r="Q77" s="5">
        <f>MEDIAN(-6,N77+(C77-O77)/MAX(O77-P77,0.000000001),6)</f>
        <v/>
      </c>
      <c r="R77" s="5">
        <f>SUMPRODUCT(('01_Data'!$B77:$AW77&lt;&gt;"")*(1/(1+EXP(-(Q77-'03_Lap_b'!$B$25:$AW$25)))))</f>
        <v/>
      </c>
      <c r="S77" s="5">
        <f>SUMPRODUCT(('01_Data'!$B77:$AW77&lt;&gt;"")*(1/(1+EXP(-(Q77-'03_Lap_b'!$B$25:$AW$25))))^2)</f>
        <v/>
      </c>
      <c r="T77" s="5">
        <f>MEDIAN(-6,Q77+(C77-R77)/MAX(R77-S77,0.000000001),6)</f>
        <v/>
      </c>
      <c r="U77" s="5">
        <f>SUMPRODUCT(('01_Data'!$B77:$AW77&lt;&gt;"")*(1/(1+EXP(-(T77-'03_Lap_b'!$B$30:$AW$30)))))</f>
        <v/>
      </c>
      <c r="V77" s="5">
        <f>SUMPRODUCT(('01_Data'!$B77:$AW77&lt;&gt;"")*(1/(1+EXP(-(T77-'03_Lap_b'!$B$30:$AW$30))))^2)</f>
        <v/>
      </c>
      <c r="W77" s="5">
        <f>MEDIAN(-6,T77+(C77-U77)/MAX(U77-V77,0.000000001),6)</f>
        <v/>
      </c>
      <c r="X77" s="5">
        <f>SUMPRODUCT(('01_Data'!$B77:$AW77&lt;&gt;"")*(1/(1+EXP(-(W77-'03_Lap_b'!$B$35:$AW$35)))))</f>
        <v/>
      </c>
      <c r="Y77" s="5">
        <f>SUMPRODUCT(('01_Data'!$B77:$AW77&lt;&gt;"")*(1/(1+EXP(-(W77-'03_Lap_b'!$B$35:$AW$35))))^2)</f>
        <v/>
      </c>
      <c r="Z77" s="5">
        <f>MEDIAN(-6,W77+(C77-X77)/MAX(X77-Y77,0.000000001),6)</f>
        <v/>
      </c>
      <c r="AA77" s="5">
        <f>SUMPRODUCT(('01_Data'!$B77:$AW77&lt;&gt;"")*(1/(1+EXP(-(Z77-'03_Lap_b'!$B$40:$AW$40)))))</f>
        <v/>
      </c>
      <c r="AB77" s="5">
        <f>SUMPRODUCT(('01_Data'!$B77:$AW77&lt;&gt;"")*(1/(1+EXP(-(Z77-'03_Lap_b'!$B$40:$AW$40))))^2)</f>
        <v/>
      </c>
      <c r="AC77" s="5">
        <f>MEDIAN(-6,Z77+(C77-AA77)/MAX(AA77-AB77,0.000000001),6)</f>
        <v/>
      </c>
    </row>
    <row r="78">
      <c r="A78" t="n">
        <v>77</v>
      </c>
      <c r="B78">
        <f>'01_Data'!A78</f>
        <v/>
      </c>
      <c r="C78">
        <f>SUM('01_Data'!$B78:$AW78)</f>
        <v/>
      </c>
      <c r="D78">
        <f>COUNT('01_Data'!$B78:$AW78)</f>
        <v/>
      </c>
      <c r="E78" s="5">
        <f>MEDIAN(-6,LN((C78+0.3)/(D78-C78+0.3)),6)</f>
        <v/>
      </c>
      <c r="F78" s="5">
        <f>SUMPRODUCT(('01_Data'!$B78:$AW78&lt;&gt;"")*(1/(1+EXP(-(E78-'03_Lap_b'!$B$5:$AW$5)))))</f>
        <v/>
      </c>
      <c r="G78" s="5">
        <f>SUMPRODUCT(('01_Data'!$B78:$AW78&lt;&gt;"")*(1/(1+EXP(-(E78-'03_Lap_b'!$B$5:$AW$5))))^2)</f>
        <v/>
      </c>
      <c r="H78" s="5">
        <f>MEDIAN(-6,E78+(C78-F78)/MAX(F78-G78,0.000000001),6)</f>
        <v/>
      </c>
      <c r="I78" s="5">
        <f>SUMPRODUCT(('01_Data'!$B78:$AW78&lt;&gt;"")*(1/(1+EXP(-(H78-'03_Lap_b'!$B$10:$AW$10)))))</f>
        <v/>
      </c>
      <c r="J78" s="5">
        <f>SUMPRODUCT(('01_Data'!$B78:$AW78&lt;&gt;"")*(1/(1+EXP(-(H78-'03_Lap_b'!$B$10:$AW$10))))^2)</f>
        <v/>
      </c>
      <c r="K78" s="5">
        <f>MEDIAN(-6,H78+(C78-I78)/MAX(I78-J78,0.000000001),6)</f>
        <v/>
      </c>
      <c r="L78" s="5">
        <f>SUMPRODUCT(('01_Data'!$B78:$AW78&lt;&gt;"")*(1/(1+EXP(-(K78-'03_Lap_b'!$B$15:$AW$15)))))</f>
        <v/>
      </c>
      <c r="M78" s="5">
        <f>SUMPRODUCT(('01_Data'!$B78:$AW78&lt;&gt;"")*(1/(1+EXP(-(K78-'03_Lap_b'!$B$15:$AW$15))))^2)</f>
        <v/>
      </c>
      <c r="N78" s="5">
        <f>MEDIAN(-6,K78+(C78-L78)/MAX(L78-M78,0.000000001),6)</f>
        <v/>
      </c>
      <c r="O78" s="5">
        <f>SUMPRODUCT(('01_Data'!$B78:$AW78&lt;&gt;"")*(1/(1+EXP(-(N78-'03_Lap_b'!$B$20:$AW$20)))))</f>
        <v/>
      </c>
      <c r="P78" s="5">
        <f>SUMPRODUCT(('01_Data'!$B78:$AW78&lt;&gt;"")*(1/(1+EXP(-(N78-'03_Lap_b'!$B$20:$AW$20))))^2)</f>
        <v/>
      </c>
      <c r="Q78" s="5">
        <f>MEDIAN(-6,N78+(C78-O78)/MAX(O78-P78,0.000000001),6)</f>
        <v/>
      </c>
      <c r="R78" s="5">
        <f>SUMPRODUCT(('01_Data'!$B78:$AW78&lt;&gt;"")*(1/(1+EXP(-(Q78-'03_Lap_b'!$B$25:$AW$25)))))</f>
        <v/>
      </c>
      <c r="S78" s="5">
        <f>SUMPRODUCT(('01_Data'!$B78:$AW78&lt;&gt;"")*(1/(1+EXP(-(Q78-'03_Lap_b'!$B$25:$AW$25))))^2)</f>
        <v/>
      </c>
      <c r="T78" s="5">
        <f>MEDIAN(-6,Q78+(C78-R78)/MAX(R78-S78,0.000000001),6)</f>
        <v/>
      </c>
      <c r="U78" s="5">
        <f>SUMPRODUCT(('01_Data'!$B78:$AW78&lt;&gt;"")*(1/(1+EXP(-(T78-'03_Lap_b'!$B$30:$AW$30)))))</f>
        <v/>
      </c>
      <c r="V78" s="5">
        <f>SUMPRODUCT(('01_Data'!$B78:$AW78&lt;&gt;"")*(1/(1+EXP(-(T78-'03_Lap_b'!$B$30:$AW$30))))^2)</f>
        <v/>
      </c>
      <c r="W78" s="5">
        <f>MEDIAN(-6,T78+(C78-U78)/MAX(U78-V78,0.000000001),6)</f>
        <v/>
      </c>
      <c r="X78" s="5">
        <f>SUMPRODUCT(('01_Data'!$B78:$AW78&lt;&gt;"")*(1/(1+EXP(-(W78-'03_Lap_b'!$B$35:$AW$35)))))</f>
        <v/>
      </c>
      <c r="Y78" s="5">
        <f>SUMPRODUCT(('01_Data'!$B78:$AW78&lt;&gt;"")*(1/(1+EXP(-(W78-'03_Lap_b'!$B$35:$AW$35))))^2)</f>
        <v/>
      </c>
      <c r="Z78" s="5">
        <f>MEDIAN(-6,W78+(C78-X78)/MAX(X78-Y78,0.000000001),6)</f>
        <v/>
      </c>
      <c r="AA78" s="5">
        <f>SUMPRODUCT(('01_Data'!$B78:$AW78&lt;&gt;"")*(1/(1+EXP(-(Z78-'03_Lap_b'!$B$40:$AW$40)))))</f>
        <v/>
      </c>
      <c r="AB78" s="5">
        <f>SUMPRODUCT(('01_Data'!$B78:$AW78&lt;&gt;"")*(1/(1+EXP(-(Z78-'03_Lap_b'!$B$40:$AW$40))))^2)</f>
        <v/>
      </c>
      <c r="AC78" s="5">
        <f>MEDIAN(-6,Z78+(C78-AA78)/MAX(AA78-AB78,0.000000001),6)</f>
        <v/>
      </c>
    </row>
    <row r="79">
      <c r="A79" t="n">
        <v>78</v>
      </c>
      <c r="B79">
        <f>'01_Data'!A79</f>
        <v/>
      </c>
      <c r="C79">
        <f>SUM('01_Data'!$B79:$AW79)</f>
        <v/>
      </c>
      <c r="D79">
        <f>COUNT('01_Data'!$B79:$AW79)</f>
        <v/>
      </c>
      <c r="E79" s="5">
        <f>MEDIAN(-6,LN((C79+0.3)/(D79-C79+0.3)),6)</f>
        <v/>
      </c>
      <c r="F79" s="5">
        <f>SUMPRODUCT(('01_Data'!$B79:$AW79&lt;&gt;"")*(1/(1+EXP(-(E79-'03_Lap_b'!$B$5:$AW$5)))))</f>
        <v/>
      </c>
      <c r="G79" s="5">
        <f>SUMPRODUCT(('01_Data'!$B79:$AW79&lt;&gt;"")*(1/(1+EXP(-(E79-'03_Lap_b'!$B$5:$AW$5))))^2)</f>
        <v/>
      </c>
      <c r="H79" s="5">
        <f>MEDIAN(-6,E79+(C79-F79)/MAX(F79-G79,0.000000001),6)</f>
        <v/>
      </c>
      <c r="I79" s="5">
        <f>SUMPRODUCT(('01_Data'!$B79:$AW79&lt;&gt;"")*(1/(1+EXP(-(H79-'03_Lap_b'!$B$10:$AW$10)))))</f>
        <v/>
      </c>
      <c r="J79" s="5">
        <f>SUMPRODUCT(('01_Data'!$B79:$AW79&lt;&gt;"")*(1/(1+EXP(-(H79-'03_Lap_b'!$B$10:$AW$10))))^2)</f>
        <v/>
      </c>
      <c r="K79" s="5">
        <f>MEDIAN(-6,H79+(C79-I79)/MAX(I79-J79,0.000000001),6)</f>
        <v/>
      </c>
      <c r="L79" s="5">
        <f>SUMPRODUCT(('01_Data'!$B79:$AW79&lt;&gt;"")*(1/(1+EXP(-(K79-'03_Lap_b'!$B$15:$AW$15)))))</f>
        <v/>
      </c>
      <c r="M79" s="5">
        <f>SUMPRODUCT(('01_Data'!$B79:$AW79&lt;&gt;"")*(1/(1+EXP(-(K79-'03_Lap_b'!$B$15:$AW$15))))^2)</f>
        <v/>
      </c>
      <c r="N79" s="5">
        <f>MEDIAN(-6,K79+(C79-L79)/MAX(L79-M79,0.000000001),6)</f>
        <v/>
      </c>
      <c r="O79" s="5">
        <f>SUMPRODUCT(('01_Data'!$B79:$AW79&lt;&gt;"")*(1/(1+EXP(-(N79-'03_Lap_b'!$B$20:$AW$20)))))</f>
        <v/>
      </c>
      <c r="P79" s="5">
        <f>SUMPRODUCT(('01_Data'!$B79:$AW79&lt;&gt;"")*(1/(1+EXP(-(N79-'03_Lap_b'!$B$20:$AW$20))))^2)</f>
        <v/>
      </c>
      <c r="Q79" s="5">
        <f>MEDIAN(-6,N79+(C79-O79)/MAX(O79-P79,0.000000001),6)</f>
        <v/>
      </c>
      <c r="R79" s="5">
        <f>SUMPRODUCT(('01_Data'!$B79:$AW79&lt;&gt;"")*(1/(1+EXP(-(Q79-'03_Lap_b'!$B$25:$AW$25)))))</f>
        <v/>
      </c>
      <c r="S79" s="5">
        <f>SUMPRODUCT(('01_Data'!$B79:$AW79&lt;&gt;"")*(1/(1+EXP(-(Q79-'03_Lap_b'!$B$25:$AW$25))))^2)</f>
        <v/>
      </c>
      <c r="T79" s="5">
        <f>MEDIAN(-6,Q79+(C79-R79)/MAX(R79-S79,0.000000001),6)</f>
        <v/>
      </c>
      <c r="U79" s="5">
        <f>SUMPRODUCT(('01_Data'!$B79:$AW79&lt;&gt;"")*(1/(1+EXP(-(T79-'03_Lap_b'!$B$30:$AW$30)))))</f>
        <v/>
      </c>
      <c r="V79" s="5">
        <f>SUMPRODUCT(('01_Data'!$B79:$AW79&lt;&gt;"")*(1/(1+EXP(-(T79-'03_Lap_b'!$B$30:$AW$30))))^2)</f>
        <v/>
      </c>
      <c r="W79" s="5">
        <f>MEDIAN(-6,T79+(C79-U79)/MAX(U79-V79,0.000000001),6)</f>
        <v/>
      </c>
      <c r="X79" s="5">
        <f>SUMPRODUCT(('01_Data'!$B79:$AW79&lt;&gt;"")*(1/(1+EXP(-(W79-'03_Lap_b'!$B$35:$AW$35)))))</f>
        <v/>
      </c>
      <c r="Y79" s="5">
        <f>SUMPRODUCT(('01_Data'!$B79:$AW79&lt;&gt;"")*(1/(1+EXP(-(W79-'03_Lap_b'!$B$35:$AW$35))))^2)</f>
        <v/>
      </c>
      <c r="Z79" s="5">
        <f>MEDIAN(-6,W79+(C79-X79)/MAX(X79-Y79,0.000000001),6)</f>
        <v/>
      </c>
      <c r="AA79" s="5">
        <f>SUMPRODUCT(('01_Data'!$B79:$AW79&lt;&gt;"")*(1/(1+EXP(-(Z79-'03_Lap_b'!$B$40:$AW$40)))))</f>
        <v/>
      </c>
      <c r="AB79" s="5">
        <f>SUMPRODUCT(('01_Data'!$B79:$AW79&lt;&gt;"")*(1/(1+EXP(-(Z79-'03_Lap_b'!$B$40:$AW$40))))^2)</f>
        <v/>
      </c>
      <c r="AC79" s="5">
        <f>MEDIAN(-6,Z79+(C79-AA79)/MAX(AA79-AB79,0.000000001),6)</f>
        <v/>
      </c>
    </row>
    <row r="80">
      <c r="A80" t="n">
        <v>79</v>
      </c>
      <c r="B80">
        <f>'01_Data'!A80</f>
        <v/>
      </c>
      <c r="C80">
        <f>SUM('01_Data'!$B80:$AW80)</f>
        <v/>
      </c>
      <c r="D80">
        <f>COUNT('01_Data'!$B80:$AW80)</f>
        <v/>
      </c>
      <c r="E80" s="5">
        <f>MEDIAN(-6,LN((C80+0.3)/(D80-C80+0.3)),6)</f>
        <v/>
      </c>
      <c r="F80" s="5">
        <f>SUMPRODUCT(('01_Data'!$B80:$AW80&lt;&gt;"")*(1/(1+EXP(-(E80-'03_Lap_b'!$B$5:$AW$5)))))</f>
        <v/>
      </c>
      <c r="G80" s="5">
        <f>SUMPRODUCT(('01_Data'!$B80:$AW80&lt;&gt;"")*(1/(1+EXP(-(E80-'03_Lap_b'!$B$5:$AW$5))))^2)</f>
        <v/>
      </c>
      <c r="H80" s="5">
        <f>MEDIAN(-6,E80+(C80-F80)/MAX(F80-G80,0.000000001),6)</f>
        <v/>
      </c>
      <c r="I80" s="5">
        <f>SUMPRODUCT(('01_Data'!$B80:$AW80&lt;&gt;"")*(1/(1+EXP(-(H80-'03_Lap_b'!$B$10:$AW$10)))))</f>
        <v/>
      </c>
      <c r="J80" s="5">
        <f>SUMPRODUCT(('01_Data'!$B80:$AW80&lt;&gt;"")*(1/(1+EXP(-(H80-'03_Lap_b'!$B$10:$AW$10))))^2)</f>
        <v/>
      </c>
      <c r="K80" s="5">
        <f>MEDIAN(-6,H80+(C80-I80)/MAX(I80-J80,0.000000001),6)</f>
        <v/>
      </c>
      <c r="L80" s="5">
        <f>SUMPRODUCT(('01_Data'!$B80:$AW80&lt;&gt;"")*(1/(1+EXP(-(K80-'03_Lap_b'!$B$15:$AW$15)))))</f>
        <v/>
      </c>
      <c r="M80" s="5">
        <f>SUMPRODUCT(('01_Data'!$B80:$AW80&lt;&gt;"")*(1/(1+EXP(-(K80-'03_Lap_b'!$B$15:$AW$15))))^2)</f>
        <v/>
      </c>
      <c r="N80" s="5">
        <f>MEDIAN(-6,K80+(C80-L80)/MAX(L80-M80,0.000000001),6)</f>
        <v/>
      </c>
      <c r="O80" s="5">
        <f>SUMPRODUCT(('01_Data'!$B80:$AW80&lt;&gt;"")*(1/(1+EXP(-(N80-'03_Lap_b'!$B$20:$AW$20)))))</f>
        <v/>
      </c>
      <c r="P80" s="5">
        <f>SUMPRODUCT(('01_Data'!$B80:$AW80&lt;&gt;"")*(1/(1+EXP(-(N80-'03_Lap_b'!$B$20:$AW$20))))^2)</f>
        <v/>
      </c>
      <c r="Q80" s="5">
        <f>MEDIAN(-6,N80+(C80-O80)/MAX(O80-P80,0.000000001),6)</f>
        <v/>
      </c>
      <c r="R80" s="5">
        <f>SUMPRODUCT(('01_Data'!$B80:$AW80&lt;&gt;"")*(1/(1+EXP(-(Q80-'03_Lap_b'!$B$25:$AW$25)))))</f>
        <v/>
      </c>
      <c r="S80" s="5">
        <f>SUMPRODUCT(('01_Data'!$B80:$AW80&lt;&gt;"")*(1/(1+EXP(-(Q80-'03_Lap_b'!$B$25:$AW$25))))^2)</f>
        <v/>
      </c>
      <c r="T80" s="5">
        <f>MEDIAN(-6,Q80+(C80-R80)/MAX(R80-S80,0.000000001),6)</f>
        <v/>
      </c>
      <c r="U80" s="5">
        <f>SUMPRODUCT(('01_Data'!$B80:$AW80&lt;&gt;"")*(1/(1+EXP(-(T80-'03_Lap_b'!$B$30:$AW$30)))))</f>
        <v/>
      </c>
      <c r="V80" s="5">
        <f>SUMPRODUCT(('01_Data'!$B80:$AW80&lt;&gt;"")*(1/(1+EXP(-(T80-'03_Lap_b'!$B$30:$AW$30))))^2)</f>
        <v/>
      </c>
      <c r="W80" s="5">
        <f>MEDIAN(-6,T80+(C80-U80)/MAX(U80-V80,0.000000001),6)</f>
        <v/>
      </c>
      <c r="X80" s="5">
        <f>SUMPRODUCT(('01_Data'!$B80:$AW80&lt;&gt;"")*(1/(1+EXP(-(W80-'03_Lap_b'!$B$35:$AW$35)))))</f>
        <v/>
      </c>
      <c r="Y80" s="5">
        <f>SUMPRODUCT(('01_Data'!$B80:$AW80&lt;&gt;"")*(1/(1+EXP(-(W80-'03_Lap_b'!$B$35:$AW$35))))^2)</f>
        <v/>
      </c>
      <c r="Z80" s="5">
        <f>MEDIAN(-6,W80+(C80-X80)/MAX(X80-Y80,0.000000001),6)</f>
        <v/>
      </c>
      <c r="AA80" s="5">
        <f>SUMPRODUCT(('01_Data'!$B80:$AW80&lt;&gt;"")*(1/(1+EXP(-(Z80-'03_Lap_b'!$B$40:$AW$40)))))</f>
        <v/>
      </c>
      <c r="AB80" s="5">
        <f>SUMPRODUCT(('01_Data'!$B80:$AW80&lt;&gt;"")*(1/(1+EXP(-(Z80-'03_Lap_b'!$B$40:$AW$40))))^2)</f>
        <v/>
      </c>
      <c r="AC80" s="5">
        <f>MEDIAN(-6,Z80+(C80-AA80)/MAX(AA80-AB80,0.000000001),6)</f>
        <v/>
      </c>
    </row>
    <row r="81">
      <c r="A81" t="n">
        <v>80</v>
      </c>
      <c r="B81">
        <f>'01_Data'!A81</f>
        <v/>
      </c>
      <c r="C81">
        <f>SUM('01_Data'!$B81:$AW81)</f>
        <v/>
      </c>
      <c r="D81">
        <f>COUNT('01_Data'!$B81:$AW81)</f>
        <v/>
      </c>
      <c r="E81" s="5">
        <f>MEDIAN(-6,LN((C81+0.3)/(D81-C81+0.3)),6)</f>
        <v/>
      </c>
      <c r="F81" s="5">
        <f>SUMPRODUCT(('01_Data'!$B81:$AW81&lt;&gt;"")*(1/(1+EXP(-(E81-'03_Lap_b'!$B$5:$AW$5)))))</f>
        <v/>
      </c>
      <c r="G81" s="5">
        <f>SUMPRODUCT(('01_Data'!$B81:$AW81&lt;&gt;"")*(1/(1+EXP(-(E81-'03_Lap_b'!$B$5:$AW$5))))^2)</f>
        <v/>
      </c>
      <c r="H81" s="5">
        <f>MEDIAN(-6,E81+(C81-F81)/MAX(F81-G81,0.000000001),6)</f>
        <v/>
      </c>
      <c r="I81" s="5">
        <f>SUMPRODUCT(('01_Data'!$B81:$AW81&lt;&gt;"")*(1/(1+EXP(-(H81-'03_Lap_b'!$B$10:$AW$10)))))</f>
        <v/>
      </c>
      <c r="J81" s="5">
        <f>SUMPRODUCT(('01_Data'!$B81:$AW81&lt;&gt;"")*(1/(1+EXP(-(H81-'03_Lap_b'!$B$10:$AW$10))))^2)</f>
        <v/>
      </c>
      <c r="K81" s="5">
        <f>MEDIAN(-6,H81+(C81-I81)/MAX(I81-J81,0.000000001),6)</f>
        <v/>
      </c>
      <c r="L81" s="5">
        <f>SUMPRODUCT(('01_Data'!$B81:$AW81&lt;&gt;"")*(1/(1+EXP(-(K81-'03_Lap_b'!$B$15:$AW$15)))))</f>
        <v/>
      </c>
      <c r="M81" s="5">
        <f>SUMPRODUCT(('01_Data'!$B81:$AW81&lt;&gt;"")*(1/(1+EXP(-(K81-'03_Lap_b'!$B$15:$AW$15))))^2)</f>
        <v/>
      </c>
      <c r="N81" s="5">
        <f>MEDIAN(-6,K81+(C81-L81)/MAX(L81-M81,0.000000001),6)</f>
        <v/>
      </c>
      <c r="O81" s="5">
        <f>SUMPRODUCT(('01_Data'!$B81:$AW81&lt;&gt;"")*(1/(1+EXP(-(N81-'03_Lap_b'!$B$20:$AW$20)))))</f>
        <v/>
      </c>
      <c r="P81" s="5">
        <f>SUMPRODUCT(('01_Data'!$B81:$AW81&lt;&gt;"")*(1/(1+EXP(-(N81-'03_Lap_b'!$B$20:$AW$20))))^2)</f>
        <v/>
      </c>
      <c r="Q81" s="5">
        <f>MEDIAN(-6,N81+(C81-O81)/MAX(O81-P81,0.000000001),6)</f>
        <v/>
      </c>
      <c r="R81" s="5">
        <f>SUMPRODUCT(('01_Data'!$B81:$AW81&lt;&gt;"")*(1/(1+EXP(-(Q81-'03_Lap_b'!$B$25:$AW$25)))))</f>
        <v/>
      </c>
      <c r="S81" s="5">
        <f>SUMPRODUCT(('01_Data'!$B81:$AW81&lt;&gt;"")*(1/(1+EXP(-(Q81-'03_Lap_b'!$B$25:$AW$25))))^2)</f>
        <v/>
      </c>
      <c r="T81" s="5">
        <f>MEDIAN(-6,Q81+(C81-R81)/MAX(R81-S81,0.000000001),6)</f>
        <v/>
      </c>
      <c r="U81" s="5">
        <f>SUMPRODUCT(('01_Data'!$B81:$AW81&lt;&gt;"")*(1/(1+EXP(-(T81-'03_Lap_b'!$B$30:$AW$30)))))</f>
        <v/>
      </c>
      <c r="V81" s="5">
        <f>SUMPRODUCT(('01_Data'!$B81:$AW81&lt;&gt;"")*(1/(1+EXP(-(T81-'03_Lap_b'!$B$30:$AW$30))))^2)</f>
        <v/>
      </c>
      <c r="W81" s="5">
        <f>MEDIAN(-6,T81+(C81-U81)/MAX(U81-V81,0.000000001),6)</f>
        <v/>
      </c>
      <c r="X81" s="5">
        <f>SUMPRODUCT(('01_Data'!$B81:$AW81&lt;&gt;"")*(1/(1+EXP(-(W81-'03_Lap_b'!$B$35:$AW$35)))))</f>
        <v/>
      </c>
      <c r="Y81" s="5">
        <f>SUMPRODUCT(('01_Data'!$B81:$AW81&lt;&gt;"")*(1/(1+EXP(-(W81-'03_Lap_b'!$B$35:$AW$35))))^2)</f>
        <v/>
      </c>
      <c r="Z81" s="5">
        <f>MEDIAN(-6,W81+(C81-X81)/MAX(X81-Y81,0.000000001),6)</f>
        <v/>
      </c>
      <c r="AA81" s="5">
        <f>SUMPRODUCT(('01_Data'!$B81:$AW81&lt;&gt;"")*(1/(1+EXP(-(Z81-'03_Lap_b'!$B$40:$AW$40)))))</f>
        <v/>
      </c>
      <c r="AB81" s="5">
        <f>SUMPRODUCT(('01_Data'!$B81:$AW81&lt;&gt;"")*(1/(1+EXP(-(Z81-'03_Lap_b'!$B$40:$AW$40))))^2)</f>
        <v/>
      </c>
      <c r="AC81" s="5">
        <f>MEDIAN(-6,Z81+(C81-AA81)/MAX(AA81-AB81,0.000000001),6)</f>
        <v/>
      </c>
    </row>
    <row r="82">
      <c r="A82" t="n">
        <v>81</v>
      </c>
      <c r="B82">
        <f>'01_Data'!A82</f>
        <v/>
      </c>
      <c r="C82">
        <f>SUM('01_Data'!$B82:$AW82)</f>
        <v/>
      </c>
      <c r="D82">
        <f>COUNT('01_Data'!$B82:$AW82)</f>
        <v/>
      </c>
      <c r="E82" s="5">
        <f>MEDIAN(-6,LN((C82+0.3)/(D82-C82+0.3)),6)</f>
        <v/>
      </c>
      <c r="F82" s="5">
        <f>SUMPRODUCT(('01_Data'!$B82:$AW82&lt;&gt;"")*(1/(1+EXP(-(E82-'03_Lap_b'!$B$5:$AW$5)))))</f>
        <v/>
      </c>
      <c r="G82" s="5">
        <f>SUMPRODUCT(('01_Data'!$B82:$AW82&lt;&gt;"")*(1/(1+EXP(-(E82-'03_Lap_b'!$B$5:$AW$5))))^2)</f>
        <v/>
      </c>
      <c r="H82" s="5">
        <f>MEDIAN(-6,E82+(C82-F82)/MAX(F82-G82,0.000000001),6)</f>
        <v/>
      </c>
      <c r="I82" s="5">
        <f>SUMPRODUCT(('01_Data'!$B82:$AW82&lt;&gt;"")*(1/(1+EXP(-(H82-'03_Lap_b'!$B$10:$AW$10)))))</f>
        <v/>
      </c>
      <c r="J82" s="5">
        <f>SUMPRODUCT(('01_Data'!$B82:$AW82&lt;&gt;"")*(1/(1+EXP(-(H82-'03_Lap_b'!$B$10:$AW$10))))^2)</f>
        <v/>
      </c>
      <c r="K82" s="5">
        <f>MEDIAN(-6,H82+(C82-I82)/MAX(I82-J82,0.000000001),6)</f>
        <v/>
      </c>
      <c r="L82" s="5">
        <f>SUMPRODUCT(('01_Data'!$B82:$AW82&lt;&gt;"")*(1/(1+EXP(-(K82-'03_Lap_b'!$B$15:$AW$15)))))</f>
        <v/>
      </c>
      <c r="M82" s="5">
        <f>SUMPRODUCT(('01_Data'!$B82:$AW82&lt;&gt;"")*(1/(1+EXP(-(K82-'03_Lap_b'!$B$15:$AW$15))))^2)</f>
        <v/>
      </c>
      <c r="N82" s="5">
        <f>MEDIAN(-6,K82+(C82-L82)/MAX(L82-M82,0.000000001),6)</f>
        <v/>
      </c>
      <c r="O82" s="5">
        <f>SUMPRODUCT(('01_Data'!$B82:$AW82&lt;&gt;"")*(1/(1+EXP(-(N82-'03_Lap_b'!$B$20:$AW$20)))))</f>
        <v/>
      </c>
      <c r="P82" s="5">
        <f>SUMPRODUCT(('01_Data'!$B82:$AW82&lt;&gt;"")*(1/(1+EXP(-(N82-'03_Lap_b'!$B$20:$AW$20))))^2)</f>
        <v/>
      </c>
      <c r="Q82" s="5">
        <f>MEDIAN(-6,N82+(C82-O82)/MAX(O82-P82,0.000000001),6)</f>
        <v/>
      </c>
      <c r="R82" s="5">
        <f>SUMPRODUCT(('01_Data'!$B82:$AW82&lt;&gt;"")*(1/(1+EXP(-(Q82-'03_Lap_b'!$B$25:$AW$25)))))</f>
        <v/>
      </c>
      <c r="S82" s="5">
        <f>SUMPRODUCT(('01_Data'!$B82:$AW82&lt;&gt;"")*(1/(1+EXP(-(Q82-'03_Lap_b'!$B$25:$AW$25))))^2)</f>
        <v/>
      </c>
      <c r="T82" s="5">
        <f>MEDIAN(-6,Q82+(C82-R82)/MAX(R82-S82,0.000000001),6)</f>
        <v/>
      </c>
      <c r="U82" s="5">
        <f>SUMPRODUCT(('01_Data'!$B82:$AW82&lt;&gt;"")*(1/(1+EXP(-(T82-'03_Lap_b'!$B$30:$AW$30)))))</f>
        <v/>
      </c>
      <c r="V82" s="5">
        <f>SUMPRODUCT(('01_Data'!$B82:$AW82&lt;&gt;"")*(1/(1+EXP(-(T82-'03_Lap_b'!$B$30:$AW$30))))^2)</f>
        <v/>
      </c>
      <c r="W82" s="5">
        <f>MEDIAN(-6,T82+(C82-U82)/MAX(U82-V82,0.000000001),6)</f>
        <v/>
      </c>
      <c r="X82" s="5">
        <f>SUMPRODUCT(('01_Data'!$B82:$AW82&lt;&gt;"")*(1/(1+EXP(-(W82-'03_Lap_b'!$B$35:$AW$35)))))</f>
        <v/>
      </c>
      <c r="Y82" s="5">
        <f>SUMPRODUCT(('01_Data'!$B82:$AW82&lt;&gt;"")*(1/(1+EXP(-(W82-'03_Lap_b'!$B$35:$AW$35))))^2)</f>
        <v/>
      </c>
      <c r="Z82" s="5">
        <f>MEDIAN(-6,W82+(C82-X82)/MAX(X82-Y82,0.000000001),6)</f>
        <v/>
      </c>
      <c r="AA82" s="5">
        <f>SUMPRODUCT(('01_Data'!$B82:$AW82&lt;&gt;"")*(1/(1+EXP(-(Z82-'03_Lap_b'!$B$40:$AW$40)))))</f>
        <v/>
      </c>
      <c r="AB82" s="5">
        <f>SUMPRODUCT(('01_Data'!$B82:$AW82&lt;&gt;"")*(1/(1+EXP(-(Z82-'03_Lap_b'!$B$40:$AW$40))))^2)</f>
        <v/>
      </c>
      <c r="AC82" s="5">
        <f>MEDIAN(-6,Z82+(C82-AA82)/MAX(AA82-AB82,0.000000001),6)</f>
        <v/>
      </c>
    </row>
    <row r="83">
      <c r="A83" t="n">
        <v>82</v>
      </c>
      <c r="B83">
        <f>'01_Data'!A83</f>
        <v/>
      </c>
      <c r="C83">
        <f>SUM('01_Data'!$B83:$AW83)</f>
        <v/>
      </c>
      <c r="D83">
        <f>COUNT('01_Data'!$B83:$AW83)</f>
        <v/>
      </c>
      <c r="E83" s="5">
        <f>MEDIAN(-6,LN((C83+0.3)/(D83-C83+0.3)),6)</f>
        <v/>
      </c>
      <c r="F83" s="5">
        <f>SUMPRODUCT(('01_Data'!$B83:$AW83&lt;&gt;"")*(1/(1+EXP(-(E83-'03_Lap_b'!$B$5:$AW$5)))))</f>
        <v/>
      </c>
      <c r="G83" s="5">
        <f>SUMPRODUCT(('01_Data'!$B83:$AW83&lt;&gt;"")*(1/(1+EXP(-(E83-'03_Lap_b'!$B$5:$AW$5))))^2)</f>
        <v/>
      </c>
      <c r="H83" s="5">
        <f>MEDIAN(-6,E83+(C83-F83)/MAX(F83-G83,0.000000001),6)</f>
        <v/>
      </c>
      <c r="I83" s="5">
        <f>SUMPRODUCT(('01_Data'!$B83:$AW83&lt;&gt;"")*(1/(1+EXP(-(H83-'03_Lap_b'!$B$10:$AW$10)))))</f>
        <v/>
      </c>
      <c r="J83" s="5">
        <f>SUMPRODUCT(('01_Data'!$B83:$AW83&lt;&gt;"")*(1/(1+EXP(-(H83-'03_Lap_b'!$B$10:$AW$10))))^2)</f>
        <v/>
      </c>
      <c r="K83" s="5">
        <f>MEDIAN(-6,H83+(C83-I83)/MAX(I83-J83,0.000000001),6)</f>
        <v/>
      </c>
      <c r="L83" s="5">
        <f>SUMPRODUCT(('01_Data'!$B83:$AW83&lt;&gt;"")*(1/(1+EXP(-(K83-'03_Lap_b'!$B$15:$AW$15)))))</f>
        <v/>
      </c>
      <c r="M83" s="5">
        <f>SUMPRODUCT(('01_Data'!$B83:$AW83&lt;&gt;"")*(1/(1+EXP(-(K83-'03_Lap_b'!$B$15:$AW$15))))^2)</f>
        <v/>
      </c>
      <c r="N83" s="5">
        <f>MEDIAN(-6,K83+(C83-L83)/MAX(L83-M83,0.000000001),6)</f>
        <v/>
      </c>
      <c r="O83" s="5">
        <f>SUMPRODUCT(('01_Data'!$B83:$AW83&lt;&gt;"")*(1/(1+EXP(-(N83-'03_Lap_b'!$B$20:$AW$20)))))</f>
        <v/>
      </c>
      <c r="P83" s="5">
        <f>SUMPRODUCT(('01_Data'!$B83:$AW83&lt;&gt;"")*(1/(1+EXP(-(N83-'03_Lap_b'!$B$20:$AW$20))))^2)</f>
        <v/>
      </c>
      <c r="Q83" s="5">
        <f>MEDIAN(-6,N83+(C83-O83)/MAX(O83-P83,0.000000001),6)</f>
        <v/>
      </c>
      <c r="R83" s="5">
        <f>SUMPRODUCT(('01_Data'!$B83:$AW83&lt;&gt;"")*(1/(1+EXP(-(Q83-'03_Lap_b'!$B$25:$AW$25)))))</f>
        <v/>
      </c>
      <c r="S83" s="5">
        <f>SUMPRODUCT(('01_Data'!$B83:$AW83&lt;&gt;"")*(1/(1+EXP(-(Q83-'03_Lap_b'!$B$25:$AW$25))))^2)</f>
        <v/>
      </c>
      <c r="T83" s="5">
        <f>MEDIAN(-6,Q83+(C83-R83)/MAX(R83-S83,0.000000001),6)</f>
        <v/>
      </c>
      <c r="U83" s="5">
        <f>SUMPRODUCT(('01_Data'!$B83:$AW83&lt;&gt;"")*(1/(1+EXP(-(T83-'03_Lap_b'!$B$30:$AW$30)))))</f>
        <v/>
      </c>
      <c r="V83" s="5">
        <f>SUMPRODUCT(('01_Data'!$B83:$AW83&lt;&gt;"")*(1/(1+EXP(-(T83-'03_Lap_b'!$B$30:$AW$30))))^2)</f>
        <v/>
      </c>
      <c r="W83" s="5">
        <f>MEDIAN(-6,T83+(C83-U83)/MAX(U83-V83,0.000000001),6)</f>
        <v/>
      </c>
      <c r="X83" s="5">
        <f>SUMPRODUCT(('01_Data'!$B83:$AW83&lt;&gt;"")*(1/(1+EXP(-(W83-'03_Lap_b'!$B$35:$AW$35)))))</f>
        <v/>
      </c>
      <c r="Y83" s="5">
        <f>SUMPRODUCT(('01_Data'!$B83:$AW83&lt;&gt;"")*(1/(1+EXP(-(W83-'03_Lap_b'!$B$35:$AW$35))))^2)</f>
        <v/>
      </c>
      <c r="Z83" s="5">
        <f>MEDIAN(-6,W83+(C83-X83)/MAX(X83-Y83,0.000000001),6)</f>
        <v/>
      </c>
      <c r="AA83" s="5">
        <f>SUMPRODUCT(('01_Data'!$B83:$AW83&lt;&gt;"")*(1/(1+EXP(-(Z83-'03_Lap_b'!$B$40:$AW$40)))))</f>
        <v/>
      </c>
      <c r="AB83" s="5">
        <f>SUMPRODUCT(('01_Data'!$B83:$AW83&lt;&gt;"")*(1/(1+EXP(-(Z83-'03_Lap_b'!$B$40:$AW$40))))^2)</f>
        <v/>
      </c>
      <c r="AC83" s="5">
        <f>MEDIAN(-6,Z83+(C83-AA83)/MAX(AA83-AB83,0.000000001),6)</f>
        <v/>
      </c>
    </row>
    <row r="84">
      <c r="A84" t="n">
        <v>83</v>
      </c>
      <c r="B84">
        <f>'01_Data'!A84</f>
        <v/>
      </c>
      <c r="C84">
        <f>SUM('01_Data'!$B84:$AW84)</f>
        <v/>
      </c>
      <c r="D84">
        <f>COUNT('01_Data'!$B84:$AW84)</f>
        <v/>
      </c>
      <c r="E84" s="5">
        <f>MEDIAN(-6,LN((C84+0.3)/(D84-C84+0.3)),6)</f>
        <v/>
      </c>
      <c r="F84" s="5">
        <f>SUMPRODUCT(('01_Data'!$B84:$AW84&lt;&gt;"")*(1/(1+EXP(-(E84-'03_Lap_b'!$B$5:$AW$5)))))</f>
        <v/>
      </c>
      <c r="G84" s="5">
        <f>SUMPRODUCT(('01_Data'!$B84:$AW84&lt;&gt;"")*(1/(1+EXP(-(E84-'03_Lap_b'!$B$5:$AW$5))))^2)</f>
        <v/>
      </c>
      <c r="H84" s="5">
        <f>MEDIAN(-6,E84+(C84-F84)/MAX(F84-G84,0.000000001),6)</f>
        <v/>
      </c>
      <c r="I84" s="5">
        <f>SUMPRODUCT(('01_Data'!$B84:$AW84&lt;&gt;"")*(1/(1+EXP(-(H84-'03_Lap_b'!$B$10:$AW$10)))))</f>
        <v/>
      </c>
      <c r="J84" s="5">
        <f>SUMPRODUCT(('01_Data'!$B84:$AW84&lt;&gt;"")*(1/(1+EXP(-(H84-'03_Lap_b'!$B$10:$AW$10))))^2)</f>
        <v/>
      </c>
      <c r="K84" s="5">
        <f>MEDIAN(-6,H84+(C84-I84)/MAX(I84-J84,0.000000001),6)</f>
        <v/>
      </c>
      <c r="L84" s="5">
        <f>SUMPRODUCT(('01_Data'!$B84:$AW84&lt;&gt;"")*(1/(1+EXP(-(K84-'03_Lap_b'!$B$15:$AW$15)))))</f>
        <v/>
      </c>
      <c r="M84" s="5">
        <f>SUMPRODUCT(('01_Data'!$B84:$AW84&lt;&gt;"")*(1/(1+EXP(-(K84-'03_Lap_b'!$B$15:$AW$15))))^2)</f>
        <v/>
      </c>
      <c r="N84" s="5">
        <f>MEDIAN(-6,K84+(C84-L84)/MAX(L84-M84,0.000000001),6)</f>
        <v/>
      </c>
      <c r="O84" s="5">
        <f>SUMPRODUCT(('01_Data'!$B84:$AW84&lt;&gt;"")*(1/(1+EXP(-(N84-'03_Lap_b'!$B$20:$AW$20)))))</f>
        <v/>
      </c>
      <c r="P84" s="5">
        <f>SUMPRODUCT(('01_Data'!$B84:$AW84&lt;&gt;"")*(1/(1+EXP(-(N84-'03_Lap_b'!$B$20:$AW$20))))^2)</f>
        <v/>
      </c>
      <c r="Q84" s="5">
        <f>MEDIAN(-6,N84+(C84-O84)/MAX(O84-P84,0.000000001),6)</f>
        <v/>
      </c>
      <c r="R84" s="5">
        <f>SUMPRODUCT(('01_Data'!$B84:$AW84&lt;&gt;"")*(1/(1+EXP(-(Q84-'03_Lap_b'!$B$25:$AW$25)))))</f>
        <v/>
      </c>
      <c r="S84" s="5">
        <f>SUMPRODUCT(('01_Data'!$B84:$AW84&lt;&gt;"")*(1/(1+EXP(-(Q84-'03_Lap_b'!$B$25:$AW$25))))^2)</f>
        <v/>
      </c>
      <c r="T84" s="5">
        <f>MEDIAN(-6,Q84+(C84-R84)/MAX(R84-S84,0.000000001),6)</f>
        <v/>
      </c>
      <c r="U84" s="5">
        <f>SUMPRODUCT(('01_Data'!$B84:$AW84&lt;&gt;"")*(1/(1+EXP(-(T84-'03_Lap_b'!$B$30:$AW$30)))))</f>
        <v/>
      </c>
      <c r="V84" s="5">
        <f>SUMPRODUCT(('01_Data'!$B84:$AW84&lt;&gt;"")*(1/(1+EXP(-(T84-'03_Lap_b'!$B$30:$AW$30))))^2)</f>
        <v/>
      </c>
      <c r="W84" s="5">
        <f>MEDIAN(-6,T84+(C84-U84)/MAX(U84-V84,0.000000001),6)</f>
        <v/>
      </c>
      <c r="X84" s="5">
        <f>SUMPRODUCT(('01_Data'!$B84:$AW84&lt;&gt;"")*(1/(1+EXP(-(W84-'03_Lap_b'!$B$35:$AW$35)))))</f>
        <v/>
      </c>
      <c r="Y84" s="5">
        <f>SUMPRODUCT(('01_Data'!$B84:$AW84&lt;&gt;"")*(1/(1+EXP(-(W84-'03_Lap_b'!$B$35:$AW$35))))^2)</f>
        <v/>
      </c>
      <c r="Z84" s="5">
        <f>MEDIAN(-6,W84+(C84-X84)/MAX(X84-Y84,0.000000001),6)</f>
        <v/>
      </c>
      <c r="AA84" s="5">
        <f>SUMPRODUCT(('01_Data'!$B84:$AW84&lt;&gt;"")*(1/(1+EXP(-(Z84-'03_Lap_b'!$B$40:$AW$40)))))</f>
        <v/>
      </c>
      <c r="AB84" s="5">
        <f>SUMPRODUCT(('01_Data'!$B84:$AW84&lt;&gt;"")*(1/(1+EXP(-(Z84-'03_Lap_b'!$B$40:$AW$40))))^2)</f>
        <v/>
      </c>
      <c r="AC84" s="5">
        <f>MEDIAN(-6,Z84+(C84-AA84)/MAX(AA84-AB84,0.000000001),6)</f>
        <v/>
      </c>
    </row>
    <row r="85">
      <c r="A85" t="n">
        <v>84</v>
      </c>
      <c r="B85">
        <f>'01_Data'!A85</f>
        <v/>
      </c>
      <c r="C85">
        <f>SUM('01_Data'!$B85:$AW85)</f>
        <v/>
      </c>
      <c r="D85">
        <f>COUNT('01_Data'!$B85:$AW85)</f>
        <v/>
      </c>
      <c r="E85" s="5">
        <f>MEDIAN(-6,LN((C85+0.3)/(D85-C85+0.3)),6)</f>
        <v/>
      </c>
      <c r="F85" s="5">
        <f>SUMPRODUCT(('01_Data'!$B85:$AW85&lt;&gt;"")*(1/(1+EXP(-(E85-'03_Lap_b'!$B$5:$AW$5)))))</f>
        <v/>
      </c>
      <c r="G85" s="5">
        <f>SUMPRODUCT(('01_Data'!$B85:$AW85&lt;&gt;"")*(1/(1+EXP(-(E85-'03_Lap_b'!$B$5:$AW$5))))^2)</f>
        <v/>
      </c>
      <c r="H85" s="5">
        <f>MEDIAN(-6,E85+(C85-F85)/MAX(F85-G85,0.000000001),6)</f>
        <v/>
      </c>
      <c r="I85" s="5">
        <f>SUMPRODUCT(('01_Data'!$B85:$AW85&lt;&gt;"")*(1/(1+EXP(-(H85-'03_Lap_b'!$B$10:$AW$10)))))</f>
        <v/>
      </c>
      <c r="J85" s="5">
        <f>SUMPRODUCT(('01_Data'!$B85:$AW85&lt;&gt;"")*(1/(1+EXP(-(H85-'03_Lap_b'!$B$10:$AW$10))))^2)</f>
        <v/>
      </c>
      <c r="K85" s="5">
        <f>MEDIAN(-6,H85+(C85-I85)/MAX(I85-J85,0.000000001),6)</f>
        <v/>
      </c>
      <c r="L85" s="5">
        <f>SUMPRODUCT(('01_Data'!$B85:$AW85&lt;&gt;"")*(1/(1+EXP(-(K85-'03_Lap_b'!$B$15:$AW$15)))))</f>
        <v/>
      </c>
      <c r="M85" s="5">
        <f>SUMPRODUCT(('01_Data'!$B85:$AW85&lt;&gt;"")*(1/(1+EXP(-(K85-'03_Lap_b'!$B$15:$AW$15))))^2)</f>
        <v/>
      </c>
      <c r="N85" s="5">
        <f>MEDIAN(-6,K85+(C85-L85)/MAX(L85-M85,0.000000001),6)</f>
        <v/>
      </c>
      <c r="O85" s="5">
        <f>SUMPRODUCT(('01_Data'!$B85:$AW85&lt;&gt;"")*(1/(1+EXP(-(N85-'03_Lap_b'!$B$20:$AW$20)))))</f>
        <v/>
      </c>
      <c r="P85" s="5">
        <f>SUMPRODUCT(('01_Data'!$B85:$AW85&lt;&gt;"")*(1/(1+EXP(-(N85-'03_Lap_b'!$B$20:$AW$20))))^2)</f>
        <v/>
      </c>
      <c r="Q85" s="5">
        <f>MEDIAN(-6,N85+(C85-O85)/MAX(O85-P85,0.000000001),6)</f>
        <v/>
      </c>
      <c r="R85" s="5">
        <f>SUMPRODUCT(('01_Data'!$B85:$AW85&lt;&gt;"")*(1/(1+EXP(-(Q85-'03_Lap_b'!$B$25:$AW$25)))))</f>
        <v/>
      </c>
      <c r="S85" s="5">
        <f>SUMPRODUCT(('01_Data'!$B85:$AW85&lt;&gt;"")*(1/(1+EXP(-(Q85-'03_Lap_b'!$B$25:$AW$25))))^2)</f>
        <v/>
      </c>
      <c r="T85" s="5">
        <f>MEDIAN(-6,Q85+(C85-R85)/MAX(R85-S85,0.000000001),6)</f>
        <v/>
      </c>
      <c r="U85" s="5">
        <f>SUMPRODUCT(('01_Data'!$B85:$AW85&lt;&gt;"")*(1/(1+EXP(-(T85-'03_Lap_b'!$B$30:$AW$30)))))</f>
        <v/>
      </c>
      <c r="V85" s="5">
        <f>SUMPRODUCT(('01_Data'!$B85:$AW85&lt;&gt;"")*(1/(1+EXP(-(T85-'03_Lap_b'!$B$30:$AW$30))))^2)</f>
        <v/>
      </c>
      <c r="W85" s="5">
        <f>MEDIAN(-6,T85+(C85-U85)/MAX(U85-V85,0.000000001),6)</f>
        <v/>
      </c>
      <c r="X85" s="5">
        <f>SUMPRODUCT(('01_Data'!$B85:$AW85&lt;&gt;"")*(1/(1+EXP(-(W85-'03_Lap_b'!$B$35:$AW$35)))))</f>
        <v/>
      </c>
      <c r="Y85" s="5">
        <f>SUMPRODUCT(('01_Data'!$B85:$AW85&lt;&gt;"")*(1/(1+EXP(-(W85-'03_Lap_b'!$B$35:$AW$35))))^2)</f>
        <v/>
      </c>
      <c r="Z85" s="5">
        <f>MEDIAN(-6,W85+(C85-X85)/MAX(X85-Y85,0.000000001),6)</f>
        <v/>
      </c>
      <c r="AA85" s="5">
        <f>SUMPRODUCT(('01_Data'!$B85:$AW85&lt;&gt;"")*(1/(1+EXP(-(Z85-'03_Lap_b'!$B$40:$AW$40)))))</f>
        <v/>
      </c>
      <c r="AB85" s="5">
        <f>SUMPRODUCT(('01_Data'!$B85:$AW85&lt;&gt;"")*(1/(1+EXP(-(Z85-'03_Lap_b'!$B$40:$AW$40))))^2)</f>
        <v/>
      </c>
      <c r="AC85" s="5">
        <f>MEDIAN(-6,Z85+(C85-AA85)/MAX(AA85-AB85,0.000000001),6)</f>
        <v/>
      </c>
    </row>
    <row r="86">
      <c r="A86" t="n">
        <v>85</v>
      </c>
      <c r="B86">
        <f>'01_Data'!A86</f>
        <v/>
      </c>
      <c r="C86">
        <f>SUM('01_Data'!$B86:$AW86)</f>
        <v/>
      </c>
      <c r="D86">
        <f>COUNT('01_Data'!$B86:$AW86)</f>
        <v/>
      </c>
      <c r="E86" s="5">
        <f>MEDIAN(-6,LN((C86+0.3)/(D86-C86+0.3)),6)</f>
        <v/>
      </c>
      <c r="F86" s="5">
        <f>SUMPRODUCT(('01_Data'!$B86:$AW86&lt;&gt;"")*(1/(1+EXP(-(E86-'03_Lap_b'!$B$5:$AW$5)))))</f>
        <v/>
      </c>
      <c r="G86" s="5">
        <f>SUMPRODUCT(('01_Data'!$B86:$AW86&lt;&gt;"")*(1/(1+EXP(-(E86-'03_Lap_b'!$B$5:$AW$5))))^2)</f>
        <v/>
      </c>
      <c r="H86" s="5">
        <f>MEDIAN(-6,E86+(C86-F86)/MAX(F86-G86,0.000000001),6)</f>
        <v/>
      </c>
      <c r="I86" s="5">
        <f>SUMPRODUCT(('01_Data'!$B86:$AW86&lt;&gt;"")*(1/(1+EXP(-(H86-'03_Lap_b'!$B$10:$AW$10)))))</f>
        <v/>
      </c>
      <c r="J86" s="5">
        <f>SUMPRODUCT(('01_Data'!$B86:$AW86&lt;&gt;"")*(1/(1+EXP(-(H86-'03_Lap_b'!$B$10:$AW$10))))^2)</f>
        <v/>
      </c>
      <c r="K86" s="5">
        <f>MEDIAN(-6,H86+(C86-I86)/MAX(I86-J86,0.000000001),6)</f>
        <v/>
      </c>
      <c r="L86" s="5">
        <f>SUMPRODUCT(('01_Data'!$B86:$AW86&lt;&gt;"")*(1/(1+EXP(-(K86-'03_Lap_b'!$B$15:$AW$15)))))</f>
        <v/>
      </c>
      <c r="M86" s="5">
        <f>SUMPRODUCT(('01_Data'!$B86:$AW86&lt;&gt;"")*(1/(1+EXP(-(K86-'03_Lap_b'!$B$15:$AW$15))))^2)</f>
        <v/>
      </c>
      <c r="N86" s="5">
        <f>MEDIAN(-6,K86+(C86-L86)/MAX(L86-M86,0.000000001),6)</f>
        <v/>
      </c>
      <c r="O86" s="5">
        <f>SUMPRODUCT(('01_Data'!$B86:$AW86&lt;&gt;"")*(1/(1+EXP(-(N86-'03_Lap_b'!$B$20:$AW$20)))))</f>
        <v/>
      </c>
      <c r="P86" s="5">
        <f>SUMPRODUCT(('01_Data'!$B86:$AW86&lt;&gt;"")*(1/(1+EXP(-(N86-'03_Lap_b'!$B$20:$AW$20))))^2)</f>
        <v/>
      </c>
      <c r="Q86" s="5">
        <f>MEDIAN(-6,N86+(C86-O86)/MAX(O86-P86,0.000000001),6)</f>
        <v/>
      </c>
      <c r="R86" s="5">
        <f>SUMPRODUCT(('01_Data'!$B86:$AW86&lt;&gt;"")*(1/(1+EXP(-(Q86-'03_Lap_b'!$B$25:$AW$25)))))</f>
        <v/>
      </c>
      <c r="S86" s="5">
        <f>SUMPRODUCT(('01_Data'!$B86:$AW86&lt;&gt;"")*(1/(1+EXP(-(Q86-'03_Lap_b'!$B$25:$AW$25))))^2)</f>
        <v/>
      </c>
      <c r="T86" s="5">
        <f>MEDIAN(-6,Q86+(C86-R86)/MAX(R86-S86,0.000000001),6)</f>
        <v/>
      </c>
      <c r="U86" s="5">
        <f>SUMPRODUCT(('01_Data'!$B86:$AW86&lt;&gt;"")*(1/(1+EXP(-(T86-'03_Lap_b'!$B$30:$AW$30)))))</f>
        <v/>
      </c>
      <c r="V86" s="5">
        <f>SUMPRODUCT(('01_Data'!$B86:$AW86&lt;&gt;"")*(1/(1+EXP(-(T86-'03_Lap_b'!$B$30:$AW$30))))^2)</f>
        <v/>
      </c>
      <c r="W86" s="5">
        <f>MEDIAN(-6,T86+(C86-U86)/MAX(U86-V86,0.000000001),6)</f>
        <v/>
      </c>
      <c r="X86" s="5">
        <f>SUMPRODUCT(('01_Data'!$B86:$AW86&lt;&gt;"")*(1/(1+EXP(-(W86-'03_Lap_b'!$B$35:$AW$35)))))</f>
        <v/>
      </c>
      <c r="Y86" s="5">
        <f>SUMPRODUCT(('01_Data'!$B86:$AW86&lt;&gt;"")*(1/(1+EXP(-(W86-'03_Lap_b'!$B$35:$AW$35))))^2)</f>
        <v/>
      </c>
      <c r="Z86" s="5">
        <f>MEDIAN(-6,W86+(C86-X86)/MAX(X86-Y86,0.000000001),6)</f>
        <v/>
      </c>
      <c r="AA86" s="5">
        <f>SUMPRODUCT(('01_Data'!$B86:$AW86&lt;&gt;"")*(1/(1+EXP(-(Z86-'03_Lap_b'!$B$40:$AW$40)))))</f>
        <v/>
      </c>
      <c r="AB86" s="5">
        <f>SUMPRODUCT(('01_Data'!$B86:$AW86&lt;&gt;"")*(1/(1+EXP(-(Z86-'03_Lap_b'!$B$40:$AW$40))))^2)</f>
        <v/>
      </c>
      <c r="AC86" s="5">
        <f>MEDIAN(-6,Z86+(C86-AA86)/MAX(AA86-AB86,0.000000001),6)</f>
        <v/>
      </c>
    </row>
    <row r="87">
      <c r="A87" t="n">
        <v>86</v>
      </c>
      <c r="B87">
        <f>'01_Data'!A87</f>
        <v/>
      </c>
      <c r="C87">
        <f>SUM('01_Data'!$B87:$AW87)</f>
        <v/>
      </c>
      <c r="D87">
        <f>COUNT('01_Data'!$B87:$AW87)</f>
        <v/>
      </c>
      <c r="E87" s="5">
        <f>MEDIAN(-6,LN((C87+0.3)/(D87-C87+0.3)),6)</f>
        <v/>
      </c>
      <c r="F87" s="5">
        <f>SUMPRODUCT(('01_Data'!$B87:$AW87&lt;&gt;"")*(1/(1+EXP(-(E87-'03_Lap_b'!$B$5:$AW$5)))))</f>
        <v/>
      </c>
      <c r="G87" s="5">
        <f>SUMPRODUCT(('01_Data'!$B87:$AW87&lt;&gt;"")*(1/(1+EXP(-(E87-'03_Lap_b'!$B$5:$AW$5))))^2)</f>
        <v/>
      </c>
      <c r="H87" s="5">
        <f>MEDIAN(-6,E87+(C87-F87)/MAX(F87-G87,0.000000001),6)</f>
        <v/>
      </c>
      <c r="I87" s="5">
        <f>SUMPRODUCT(('01_Data'!$B87:$AW87&lt;&gt;"")*(1/(1+EXP(-(H87-'03_Lap_b'!$B$10:$AW$10)))))</f>
        <v/>
      </c>
      <c r="J87" s="5">
        <f>SUMPRODUCT(('01_Data'!$B87:$AW87&lt;&gt;"")*(1/(1+EXP(-(H87-'03_Lap_b'!$B$10:$AW$10))))^2)</f>
        <v/>
      </c>
      <c r="K87" s="5">
        <f>MEDIAN(-6,H87+(C87-I87)/MAX(I87-J87,0.000000001),6)</f>
        <v/>
      </c>
      <c r="L87" s="5">
        <f>SUMPRODUCT(('01_Data'!$B87:$AW87&lt;&gt;"")*(1/(1+EXP(-(K87-'03_Lap_b'!$B$15:$AW$15)))))</f>
        <v/>
      </c>
      <c r="M87" s="5">
        <f>SUMPRODUCT(('01_Data'!$B87:$AW87&lt;&gt;"")*(1/(1+EXP(-(K87-'03_Lap_b'!$B$15:$AW$15))))^2)</f>
        <v/>
      </c>
      <c r="N87" s="5">
        <f>MEDIAN(-6,K87+(C87-L87)/MAX(L87-M87,0.000000001),6)</f>
        <v/>
      </c>
      <c r="O87" s="5">
        <f>SUMPRODUCT(('01_Data'!$B87:$AW87&lt;&gt;"")*(1/(1+EXP(-(N87-'03_Lap_b'!$B$20:$AW$20)))))</f>
        <v/>
      </c>
      <c r="P87" s="5">
        <f>SUMPRODUCT(('01_Data'!$B87:$AW87&lt;&gt;"")*(1/(1+EXP(-(N87-'03_Lap_b'!$B$20:$AW$20))))^2)</f>
        <v/>
      </c>
      <c r="Q87" s="5">
        <f>MEDIAN(-6,N87+(C87-O87)/MAX(O87-P87,0.000000001),6)</f>
        <v/>
      </c>
      <c r="R87" s="5">
        <f>SUMPRODUCT(('01_Data'!$B87:$AW87&lt;&gt;"")*(1/(1+EXP(-(Q87-'03_Lap_b'!$B$25:$AW$25)))))</f>
        <v/>
      </c>
      <c r="S87" s="5">
        <f>SUMPRODUCT(('01_Data'!$B87:$AW87&lt;&gt;"")*(1/(1+EXP(-(Q87-'03_Lap_b'!$B$25:$AW$25))))^2)</f>
        <v/>
      </c>
      <c r="T87" s="5">
        <f>MEDIAN(-6,Q87+(C87-R87)/MAX(R87-S87,0.000000001),6)</f>
        <v/>
      </c>
      <c r="U87" s="5">
        <f>SUMPRODUCT(('01_Data'!$B87:$AW87&lt;&gt;"")*(1/(1+EXP(-(T87-'03_Lap_b'!$B$30:$AW$30)))))</f>
        <v/>
      </c>
      <c r="V87" s="5">
        <f>SUMPRODUCT(('01_Data'!$B87:$AW87&lt;&gt;"")*(1/(1+EXP(-(T87-'03_Lap_b'!$B$30:$AW$30))))^2)</f>
        <v/>
      </c>
      <c r="W87" s="5">
        <f>MEDIAN(-6,T87+(C87-U87)/MAX(U87-V87,0.000000001),6)</f>
        <v/>
      </c>
      <c r="X87" s="5">
        <f>SUMPRODUCT(('01_Data'!$B87:$AW87&lt;&gt;"")*(1/(1+EXP(-(W87-'03_Lap_b'!$B$35:$AW$35)))))</f>
        <v/>
      </c>
      <c r="Y87" s="5">
        <f>SUMPRODUCT(('01_Data'!$B87:$AW87&lt;&gt;"")*(1/(1+EXP(-(W87-'03_Lap_b'!$B$35:$AW$35))))^2)</f>
        <v/>
      </c>
      <c r="Z87" s="5">
        <f>MEDIAN(-6,W87+(C87-X87)/MAX(X87-Y87,0.000000001),6)</f>
        <v/>
      </c>
      <c r="AA87" s="5">
        <f>SUMPRODUCT(('01_Data'!$B87:$AW87&lt;&gt;"")*(1/(1+EXP(-(Z87-'03_Lap_b'!$B$40:$AW$40)))))</f>
        <v/>
      </c>
      <c r="AB87" s="5">
        <f>SUMPRODUCT(('01_Data'!$B87:$AW87&lt;&gt;"")*(1/(1+EXP(-(Z87-'03_Lap_b'!$B$40:$AW$40))))^2)</f>
        <v/>
      </c>
      <c r="AC87" s="5">
        <f>MEDIAN(-6,Z87+(C87-AA87)/MAX(AA87-AB87,0.000000001),6)</f>
        <v/>
      </c>
    </row>
    <row r="88">
      <c r="A88" t="n">
        <v>87</v>
      </c>
      <c r="B88">
        <f>'01_Data'!A88</f>
        <v/>
      </c>
      <c r="C88">
        <f>SUM('01_Data'!$B88:$AW88)</f>
        <v/>
      </c>
      <c r="D88">
        <f>COUNT('01_Data'!$B88:$AW88)</f>
        <v/>
      </c>
      <c r="E88" s="5">
        <f>MEDIAN(-6,LN((C88+0.3)/(D88-C88+0.3)),6)</f>
        <v/>
      </c>
      <c r="F88" s="5">
        <f>SUMPRODUCT(('01_Data'!$B88:$AW88&lt;&gt;"")*(1/(1+EXP(-(E88-'03_Lap_b'!$B$5:$AW$5)))))</f>
        <v/>
      </c>
      <c r="G88" s="5">
        <f>SUMPRODUCT(('01_Data'!$B88:$AW88&lt;&gt;"")*(1/(1+EXP(-(E88-'03_Lap_b'!$B$5:$AW$5))))^2)</f>
        <v/>
      </c>
      <c r="H88" s="5">
        <f>MEDIAN(-6,E88+(C88-F88)/MAX(F88-G88,0.000000001),6)</f>
        <v/>
      </c>
      <c r="I88" s="5">
        <f>SUMPRODUCT(('01_Data'!$B88:$AW88&lt;&gt;"")*(1/(1+EXP(-(H88-'03_Lap_b'!$B$10:$AW$10)))))</f>
        <v/>
      </c>
      <c r="J88" s="5">
        <f>SUMPRODUCT(('01_Data'!$B88:$AW88&lt;&gt;"")*(1/(1+EXP(-(H88-'03_Lap_b'!$B$10:$AW$10))))^2)</f>
        <v/>
      </c>
      <c r="K88" s="5">
        <f>MEDIAN(-6,H88+(C88-I88)/MAX(I88-J88,0.000000001),6)</f>
        <v/>
      </c>
      <c r="L88" s="5">
        <f>SUMPRODUCT(('01_Data'!$B88:$AW88&lt;&gt;"")*(1/(1+EXP(-(K88-'03_Lap_b'!$B$15:$AW$15)))))</f>
        <v/>
      </c>
      <c r="M88" s="5">
        <f>SUMPRODUCT(('01_Data'!$B88:$AW88&lt;&gt;"")*(1/(1+EXP(-(K88-'03_Lap_b'!$B$15:$AW$15))))^2)</f>
        <v/>
      </c>
      <c r="N88" s="5">
        <f>MEDIAN(-6,K88+(C88-L88)/MAX(L88-M88,0.000000001),6)</f>
        <v/>
      </c>
      <c r="O88" s="5">
        <f>SUMPRODUCT(('01_Data'!$B88:$AW88&lt;&gt;"")*(1/(1+EXP(-(N88-'03_Lap_b'!$B$20:$AW$20)))))</f>
        <v/>
      </c>
      <c r="P88" s="5">
        <f>SUMPRODUCT(('01_Data'!$B88:$AW88&lt;&gt;"")*(1/(1+EXP(-(N88-'03_Lap_b'!$B$20:$AW$20))))^2)</f>
        <v/>
      </c>
      <c r="Q88" s="5">
        <f>MEDIAN(-6,N88+(C88-O88)/MAX(O88-P88,0.000000001),6)</f>
        <v/>
      </c>
      <c r="R88" s="5">
        <f>SUMPRODUCT(('01_Data'!$B88:$AW88&lt;&gt;"")*(1/(1+EXP(-(Q88-'03_Lap_b'!$B$25:$AW$25)))))</f>
        <v/>
      </c>
      <c r="S88" s="5">
        <f>SUMPRODUCT(('01_Data'!$B88:$AW88&lt;&gt;"")*(1/(1+EXP(-(Q88-'03_Lap_b'!$B$25:$AW$25))))^2)</f>
        <v/>
      </c>
      <c r="T88" s="5">
        <f>MEDIAN(-6,Q88+(C88-R88)/MAX(R88-S88,0.000000001),6)</f>
        <v/>
      </c>
      <c r="U88" s="5">
        <f>SUMPRODUCT(('01_Data'!$B88:$AW88&lt;&gt;"")*(1/(1+EXP(-(T88-'03_Lap_b'!$B$30:$AW$30)))))</f>
        <v/>
      </c>
      <c r="V88" s="5">
        <f>SUMPRODUCT(('01_Data'!$B88:$AW88&lt;&gt;"")*(1/(1+EXP(-(T88-'03_Lap_b'!$B$30:$AW$30))))^2)</f>
        <v/>
      </c>
      <c r="W88" s="5">
        <f>MEDIAN(-6,T88+(C88-U88)/MAX(U88-V88,0.000000001),6)</f>
        <v/>
      </c>
      <c r="X88" s="5">
        <f>SUMPRODUCT(('01_Data'!$B88:$AW88&lt;&gt;"")*(1/(1+EXP(-(W88-'03_Lap_b'!$B$35:$AW$35)))))</f>
        <v/>
      </c>
      <c r="Y88" s="5">
        <f>SUMPRODUCT(('01_Data'!$B88:$AW88&lt;&gt;"")*(1/(1+EXP(-(W88-'03_Lap_b'!$B$35:$AW$35))))^2)</f>
        <v/>
      </c>
      <c r="Z88" s="5">
        <f>MEDIAN(-6,W88+(C88-X88)/MAX(X88-Y88,0.000000001),6)</f>
        <v/>
      </c>
      <c r="AA88" s="5">
        <f>SUMPRODUCT(('01_Data'!$B88:$AW88&lt;&gt;"")*(1/(1+EXP(-(Z88-'03_Lap_b'!$B$40:$AW$40)))))</f>
        <v/>
      </c>
      <c r="AB88" s="5">
        <f>SUMPRODUCT(('01_Data'!$B88:$AW88&lt;&gt;"")*(1/(1+EXP(-(Z88-'03_Lap_b'!$B$40:$AW$40))))^2)</f>
        <v/>
      </c>
      <c r="AC88" s="5">
        <f>MEDIAN(-6,Z88+(C88-AA88)/MAX(AA88-AB88,0.000000001),6)</f>
        <v/>
      </c>
    </row>
    <row r="89">
      <c r="A89" t="n">
        <v>88</v>
      </c>
      <c r="B89">
        <f>'01_Data'!A89</f>
        <v/>
      </c>
      <c r="C89">
        <f>SUM('01_Data'!$B89:$AW89)</f>
        <v/>
      </c>
      <c r="D89">
        <f>COUNT('01_Data'!$B89:$AW89)</f>
        <v/>
      </c>
      <c r="E89" s="5">
        <f>MEDIAN(-6,LN((C89+0.3)/(D89-C89+0.3)),6)</f>
        <v/>
      </c>
      <c r="F89" s="5">
        <f>SUMPRODUCT(('01_Data'!$B89:$AW89&lt;&gt;"")*(1/(1+EXP(-(E89-'03_Lap_b'!$B$5:$AW$5)))))</f>
        <v/>
      </c>
      <c r="G89" s="5">
        <f>SUMPRODUCT(('01_Data'!$B89:$AW89&lt;&gt;"")*(1/(1+EXP(-(E89-'03_Lap_b'!$B$5:$AW$5))))^2)</f>
        <v/>
      </c>
      <c r="H89" s="5">
        <f>MEDIAN(-6,E89+(C89-F89)/MAX(F89-G89,0.000000001),6)</f>
        <v/>
      </c>
      <c r="I89" s="5">
        <f>SUMPRODUCT(('01_Data'!$B89:$AW89&lt;&gt;"")*(1/(1+EXP(-(H89-'03_Lap_b'!$B$10:$AW$10)))))</f>
        <v/>
      </c>
      <c r="J89" s="5">
        <f>SUMPRODUCT(('01_Data'!$B89:$AW89&lt;&gt;"")*(1/(1+EXP(-(H89-'03_Lap_b'!$B$10:$AW$10))))^2)</f>
        <v/>
      </c>
      <c r="K89" s="5">
        <f>MEDIAN(-6,H89+(C89-I89)/MAX(I89-J89,0.000000001),6)</f>
        <v/>
      </c>
      <c r="L89" s="5">
        <f>SUMPRODUCT(('01_Data'!$B89:$AW89&lt;&gt;"")*(1/(1+EXP(-(K89-'03_Lap_b'!$B$15:$AW$15)))))</f>
        <v/>
      </c>
      <c r="M89" s="5">
        <f>SUMPRODUCT(('01_Data'!$B89:$AW89&lt;&gt;"")*(1/(1+EXP(-(K89-'03_Lap_b'!$B$15:$AW$15))))^2)</f>
        <v/>
      </c>
      <c r="N89" s="5">
        <f>MEDIAN(-6,K89+(C89-L89)/MAX(L89-M89,0.000000001),6)</f>
        <v/>
      </c>
      <c r="O89" s="5">
        <f>SUMPRODUCT(('01_Data'!$B89:$AW89&lt;&gt;"")*(1/(1+EXP(-(N89-'03_Lap_b'!$B$20:$AW$20)))))</f>
        <v/>
      </c>
      <c r="P89" s="5">
        <f>SUMPRODUCT(('01_Data'!$B89:$AW89&lt;&gt;"")*(1/(1+EXP(-(N89-'03_Lap_b'!$B$20:$AW$20))))^2)</f>
        <v/>
      </c>
      <c r="Q89" s="5">
        <f>MEDIAN(-6,N89+(C89-O89)/MAX(O89-P89,0.000000001),6)</f>
        <v/>
      </c>
      <c r="R89" s="5">
        <f>SUMPRODUCT(('01_Data'!$B89:$AW89&lt;&gt;"")*(1/(1+EXP(-(Q89-'03_Lap_b'!$B$25:$AW$25)))))</f>
        <v/>
      </c>
      <c r="S89" s="5">
        <f>SUMPRODUCT(('01_Data'!$B89:$AW89&lt;&gt;"")*(1/(1+EXP(-(Q89-'03_Lap_b'!$B$25:$AW$25))))^2)</f>
        <v/>
      </c>
      <c r="T89" s="5">
        <f>MEDIAN(-6,Q89+(C89-R89)/MAX(R89-S89,0.000000001),6)</f>
        <v/>
      </c>
      <c r="U89" s="5">
        <f>SUMPRODUCT(('01_Data'!$B89:$AW89&lt;&gt;"")*(1/(1+EXP(-(T89-'03_Lap_b'!$B$30:$AW$30)))))</f>
        <v/>
      </c>
      <c r="V89" s="5">
        <f>SUMPRODUCT(('01_Data'!$B89:$AW89&lt;&gt;"")*(1/(1+EXP(-(T89-'03_Lap_b'!$B$30:$AW$30))))^2)</f>
        <v/>
      </c>
      <c r="W89" s="5">
        <f>MEDIAN(-6,T89+(C89-U89)/MAX(U89-V89,0.000000001),6)</f>
        <v/>
      </c>
      <c r="X89" s="5">
        <f>SUMPRODUCT(('01_Data'!$B89:$AW89&lt;&gt;"")*(1/(1+EXP(-(W89-'03_Lap_b'!$B$35:$AW$35)))))</f>
        <v/>
      </c>
      <c r="Y89" s="5">
        <f>SUMPRODUCT(('01_Data'!$B89:$AW89&lt;&gt;"")*(1/(1+EXP(-(W89-'03_Lap_b'!$B$35:$AW$35))))^2)</f>
        <v/>
      </c>
      <c r="Z89" s="5">
        <f>MEDIAN(-6,W89+(C89-X89)/MAX(X89-Y89,0.000000001),6)</f>
        <v/>
      </c>
      <c r="AA89" s="5">
        <f>SUMPRODUCT(('01_Data'!$B89:$AW89&lt;&gt;"")*(1/(1+EXP(-(Z89-'03_Lap_b'!$B$40:$AW$40)))))</f>
        <v/>
      </c>
      <c r="AB89" s="5">
        <f>SUMPRODUCT(('01_Data'!$B89:$AW89&lt;&gt;"")*(1/(1+EXP(-(Z89-'03_Lap_b'!$B$40:$AW$40))))^2)</f>
        <v/>
      </c>
      <c r="AC89" s="5">
        <f>MEDIAN(-6,Z89+(C89-AA89)/MAX(AA89-AB89,0.000000001),6)</f>
        <v/>
      </c>
    </row>
    <row r="90">
      <c r="A90" t="n">
        <v>89</v>
      </c>
      <c r="B90">
        <f>'01_Data'!A90</f>
        <v/>
      </c>
      <c r="C90">
        <f>SUM('01_Data'!$B90:$AW90)</f>
        <v/>
      </c>
      <c r="D90">
        <f>COUNT('01_Data'!$B90:$AW90)</f>
        <v/>
      </c>
      <c r="E90" s="5">
        <f>MEDIAN(-6,LN((C90+0.3)/(D90-C90+0.3)),6)</f>
        <v/>
      </c>
      <c r="F90" s="5">
        <f>SUMPRODUCT(('01_Data'!$B90:$AW90&lt;&gt;"")*(1/(1+EXP(-(E90-'03_Lap_b'!$B$5:$AW$5)))))</f>
        <v/>
      </c>
      <c r="G90" s="5">
        <f>SUMPRODUCT(('01_Data'!$B90:$AW90&lt;&gt;"")*(1/(1+EXP(-(E90-'03_Lap_b'!$B$5:$AW$5))))^2)</f>
        <v/>
      </c>
      <c r="H90" s="5">
        <f>MEDIAN(-6,E90+(C90-F90)/MAX(F90-G90,0.000000001),6)</f>
        <v/>
      </c>
      <c r="I90" s="5">
        <f>SUMPRODUCT(('01_Data'!$B90:$AW90&lt;&gt;"")*(1/(1+EXP(-(H90-'03_Lap_b'!$B$10:$AW$10)))))</f>
        <v/>
      </c>
      <c r="J90" s="5">
        <f>SUMPRODUCT(('01_Data'!$B90:$AW90&lt;&gt;"")*(1/(1+EXP(-(H90-'03_Lap_b'!$B$10:$AW$10))))^2)</f>
        <v/>
      </c>
      <c r="K90" s="5">
        <f>MEDIAN(-6,H90+(C90-I90)/MAX(I90-J90,0.000000001),6)</f>
        <v/>
      </c>
      <c r="L90" s="5">
        <f>SUMPRODUCT(('01_Data'!$B90:$AW90&lt;&gt;"")*(1/(1+EXP(-(K90-'03_Lap_b'!$B$15:$AW$15)))))</f>
        <v/>
      </c>
      <c r="M90" s="5">
        <f>SUMPRODUCT(('01_Data'!$B90:$AW90&lt;&gt;"")*(1/(1+EXP(-(K90-'03_Lap_b'!$B$15:$AW$15))))^2)</f>
        <v/>
      </c>
      <c r="N90" s="5">
        <f>MEDIAN(-6,K90+(C90-L90)/MAX(L90-M90,0.000000001),6)</f>
        <v/>
      </c>
      <c r="O90" s="5">
        <f>SUMPRODUCT(('01_Data'!$B90:$AW90&lt;&gt;"")*(1/(1+EXP(-(N90-'03_Lap_b'!$B$20:$AW$20)))))</f>
        <v/>
      </c>
      <c r="P90" s="5">
        <f>SUMPRODUCT(('01_Data'!$B90:$AW90&lt;&gt;"")*(1/(1+EXP(-(N90-'03_Lap_b'!$B$20:$AW$20))))^2)</f>
        <v/>
      </c>
      <c r="Q90" s="5">
        <f>MEDIAN(-6,N90+(C90-O90)/MAX(O90-P90,0.000000001),6)</f>
        <v/>
      </c>
      <c r="R90" s="5">
        <f>SUMPRODUCT(('01_Data'!$B90:$AW90&lt;&gt;"")*(1/(1+EXP(-(Q90-'03_Lap_b'!$B$25:$AW$25)))))</f>
        <v/>
      </c>
      <c r="S90" s="5">
        <f>SUMPRODUCT(('01_Data'!$B90:$AW90&lt;&gt;"")*(1/(1+EXP(-(Q90-'03_Lap_b'!$B$25:$AW$25))))^2)</f>
        <v/>
      </c>
      <c r="T90" s="5">
        <f>MEDIAN(-6,Q90+(C90-R90)/MAX(R90-S90,0.000000001),6)</f>
        <v/>
      </c>
      <c r="U90" s="5">
        <f>SUMPRODUCT(('01_Data'!$B90:$AW90&lt;&gt;"")*(1/(1+EXP(-(T90-'03_Lap_b'!$B$30:$AW$30)))))</f>
        <v/>
      </c>
      <c r="V90" s="5">
        <f>SUMPRODUCT(('01_Data'!$B90:$AW90&lt;&gt;"")*(1/(1+EXP(-(T90-'03_Lap_b'!$B$30:$AW$30))))^2)</f>
        <v/>
      </c>
      <c r="W90" s="5">
        <f>MEDIAN(-6,T90+(C90-U90)/MAX(U90-V90,0.000000001),6)</f>
        <v/>
      </c>
      <c r="X90" s="5">
        <f>SUMPRODUCT(('01_Data'!$B90:$AW90&lt;&gt;"")*(1/(1+EXP(-(W90-'03_Lap_b'!$B$35:$AW$35)))))</f>
        <v/>
      </c>
      <c r="Y90" s="5">
        <f>SUMPRODUCT(('01_Data'!$B90:$AW90&lt;&gt;"")*(1/(1+EXP(-(W90-'03_Lap_b'!$B$35:$AW$35))))^2)</f>
        <v/>
      </c>
      <c r="Z90" s="5">
        <f>MEDIAN(-6,W90+(C90-X90)/MAX(X90-Y90,0.000000001),6)</f>
        <v/>
      </c>
      <c r="AA90" s="5">
        <f>SUMPRODUCT(('01_Data'!$B90:$AW90&lt;&gt;"")*(1/(1+EXP(-(Z90-'03_Lap_b'!$B$40:$AW$40)))))</f>
        <v/>
      </c>
      <c r="AB90" s="5">
        <f>SUMPRODUCT(('01_Data'!$B90:$AW90&lt;&gt;"")*(1/(1+EXP(-(Z90-'03_Lap_b'!$B$40:$AW$40))))^2)</f>
        <v/>
      </c>
      <c r="AC90" s="5">
        <f>MEDIAN(-6,Z90+(C90-AA90)/MAX(AA90-AB90,0.000000001),6)</f>
        <v/>
      </c>
    </row>
    <row r="91">
      <c r="A91" t="n">
        <v>90</v>
      </c>
      <c r="B91">
        <f>'01_Data'!A91</f>
        <v/>
      </c>
      <c r="C91">
        <f>SUM('01_Data'!$B91:$AW91)</f>
        <v/>
      </c>
      <c r="D91">
        <f>COUNT('01_Data'!$B91:$AW91)</f>
        <v/>
      </c>
      <c r="E91" s="5">
        <f>MEDIAN(-6,LN((C91+0.3)/(D91-C91+0.3)),6)</f>
        <v/>
      </c>
      <c r="F91" s="5">
        <f>SUMPRODUCT(('01_Data'!$B91:$AW91&lt;&gt;"")*(1/(1+EXP(-(E91-'03_Lap_b'!$B$5:$AW$5)))))</f>
        <v/>
      </c>
      <c r="G91" s="5">
        <f>SUMPRODUCT(('01_Data'!$B91:$AW91&lt;&gt;"")*(1/(1+EXP(-(E91-'03_Lap_b'!$B$5:$AW$5))))^2)</f>
        <v/>
      </c>
      <c r="H91" s="5">
        <f>MEDIAN(-6,E91+(C91-F91)/MAX(F91-G91,0.000000001),6)</f>
        <v/>
      </c>
      <c r="I91" s="5">
        <f>SUMPRODUCT(('01_Data'!$B91:$AW91&lt;&gt;"")*(1/(1+EXP(-(H91-'03_Lap_b'!$B$10:$AW$10)))))</f>
        <v/>
      </c>
      <c r="J91" s="5">
        <f>SUMPRODUCT(('01_Data'!$B91:$AW91&lt;&gt;"")*(1/(1+EXP(-(H91-'03_Lap_b'!$B$10:$AW$10))))^2)</f>
        <v/>
      </c>
      <c r="K91" s="5">
        <f>MEDIAN(-6,H91+(C91-I91)/MAX(I91-J91,0.000000001),6)</f>
        <v/>
      </c>
      <c r="L91" s="5">
        <f>SUMPRODUCT(('01_Data'!$B91:$AW91&lt;&gt;"")*(1/(1+EXP(-(K91-'03_Lap_b'!$B$15:$AW$15)))))</f>
        <v/>
      </c>
      <c r="M91" s="5">
        <f>SUMPRODUCT(('01_Data'!$B91:$AW91&lt;&gt;"")*(1/(1+EXP(-(K91-'03_Lap_b'!$B$15:$AW$15))))^2)</f>
        <v/>
      </c>
      <c r="N91" s="5">
        <f>MEDIAN(-6,K91+(C91-L91)/MAX(L91-M91,0.000000001),6)</f>
        <v/>
      </c>
      <c r="O91" s="5">
        <f>SUMPRODUCT(('01_Data'!$B91:$AW91&lt;&gt;"")*(1/(1+EXP(-(N91-'03_Lap_b'!$B$20:$AW$20)))))</f>
        <v/>
      </c>
      <c r="P91" s="5">
        <f>SUMPRODUCT(('01_Data'!$B91:$AW91&lt;&gt;"")*(1/(1+EXP(-(N91-'03_Lap_b'!$B$20:$AW$20))))^2)</f>
        <v/>
      </c>
      <c r="Q91" s="5">
        <f>MEDIAN(-6,N91+(C91-O91)/MAX(O91-P91,0.000000001),6)</f>
        <v/>
      </c>
      <c r="R91" s="5">
        <f>SUMPRODUCT(('01_Data'!$B91:$AW91&lt;&gt;"")*(1/(1+EXP(-(Q91-'03_Lap_b'!$B$25:$AW$25)))))</f>
        <v/>
      </c>
      <c r="S91" s="5">
        <f>SUMPRODUCT(('01_Data'!$B91:$AW91&lt;&gt;"")*(1/(1+EXP(-(Q91-'03_Lap_b'!$B$25:$AW$25))))^2)</f>
        <v/>
      </c>
      <c r="T91" s="5">
        <f>MEDIAN(-6,Q91+(C91-R91)/MAX(R91-S91,0.000000001),6)</f>
        <v/>
      </c>
      <c r="U91" s="5">
        <f>SUMPRODUCT(('01_Data'!$B91:$AW91&lt;&gt;"")*(1/(1+EXP(-(T91-'03_Lap_b'!$B$30:$AW$30)))))</f>
        <v/>
      </c>
      <c r="V91" s="5">
        <f>SUMPRODUCT(('01_Data'!$B91:$AW91&lt;&gt;"")*(1/(1+EXP(-(T91-'03_Lap_b'!$B$30:$AW$30))))^2)</f>
        <v/>
      </c>
      <c r="W91" s="5">
        <f>MEDIAN(-6,T91+(C91-U91)/MAX(U91-V91,0.000000001),6)</f>
        <v/>
      </c>
      <c r="X91" s="5">
        <f>SUMPRODUCT(('01_Data'!$B91:$AW91&lt;&gt;"")*(1/(1+EXP(-(W91-'03_Lap_b'!$B$35:$AW$35)))))</f>
        <v/>
      </c>
      <c r="Y91" s="5">
        <f>SUMPRODUCT(('01_Data'!$B91:$AW91&lt;&gt;"")*(1/(1+EXP(-(W91-'03_Lap_b'!$B$35:$AW$35))))^2)</f>
        <v/>
      </c>
      <c r="Z91" s="5">
        <f>MEDIAN(-6,W91+(C91-X91)/MAX(X91-Y91,0.000000001),6)</f>
        <v/>
      </c>
      <c r="AA91" s="5">
        <f>SUMPRODUCT(('01_Data'!$B91:$AW91&lt;&gt;"")*(1/(1+EXP(-(Z91-'03_Lap_b'!$B$40:$AW$40)))))</f>
        <v/>
      </c>
      <c r="AB91" s="5">
        <f>SUMPRODUCT(('01_Data'!$B91:$AW91&lt;&gt;"")*(1/(1+EXP(-(Z91-'03_Lap_b'!$B$40:$AW$40))))^2)</f>
        <v/>
      </c>
      <c r="AC91" s="5">
        <f>MEDIAN(-6,Z91+(C91-AA91)/MAX(AA91-AB91,0.000000001),6)</f>
        <v/>
      </c>
    </row>
    <row r="92">
      <c r="A92" t="n">
        <v>91</v>
      </c>
      <c r="B92">
        <f>'01_Data'!A92</f>
        <v/>
      </c>
      <c r="C92">
        <f>SUM('01_Data'!$B92:$AW92)</f>
        <v/>
      </c>
      <c r="D92">
        <f>COUNT('01_Data'!$B92:$AW92)</f>
        <v/>
      </c>
      <c r="E92" s="5">
        <f>MEDIAN(-6,LN((C92+0.3)/(D92-C92+0.3)),6)</f>
        <v/>
      </c>
      <c r="F92" s="5">
        <f>SUMPRODUCT(('01_Data'!$B92:$AW92&lt;&gt;"")*(1/(1+EXP(-(E92-'03_Lap_b'!$B$5:$AW$5)))))</f>
        <v/>
      </c>
      <c r="G92" s="5">
        <f>SUMPRODUCT(('01_Data'!$B92:$AW92&lt;&gt;"")*(1/(1+EXP(-(E92-'03_Lap_b'!$B$5:$AW$5))))^2)</f>
        <v/>
      </c>
      <c r="H92" s="5">
        <f>MEDIAN(-6,E92+(C92-F92)/MAX(F92-G92,0.000000001),6)</f>
        <v/>
      </c>
      <c r="I92" s="5">
        <f>SUMPRODUCT(('01_Data'!$B92:$AW92&lt;&gt;"")*(1/(1+EXP(-(H92-'03_Lap_b'!$B$10:$AW$10)))))</f>
        <v/>
      </c>
      <c r="J92" s="5">
        <f>SUMPRODUCT(('01_Data'!$B92:$AW92&lt;&gt;"")*(1/(1+EXP(-(H92-'03_Lap_b'!$B$10:$AW$10))))^2)</f>
        <v/>
      </c>
      <c r="K92" s="5">
        <f>MEDIAN(-6,H92+(C92-I92)/MAX(I92-J92,0.000000001),6)</f>
        <v/>
      </c>
      <c r="L92" s="5">
        <f>SUMPRODUCT(('01_Data'!$B92:$AW92&lt;&gt;"")*(1/(1+EXP(-(K92-'03_Lap_b'!$B$15:$AW$15)))))</f>
        <v/>
      </c>
      <c r="M92" s="5">
        <f>SUMPRODUCT(('01_Data'!$B92:$AW92&lt;&gt;"")*(1/(1+EXP(-(K92-'03_Lap_b'!$B$15:$AW$15))))^2)</f>
        <v/>
      </c>
      <c r="N92" s="5">
        <f>MEDIAN(-6,K92+(C92-L92)/MAX(L92-M92,0.000000001),6)</f>
        <v/>
      </c>
      <c r="O92" s="5">
        <f>SUMPRODUCT(('01_Data'!$B92:$AW92&lt;&gt;"")*(1/(1+EXP(-(N92-'03_Lap_b'!$B$20:$AW$20)))))</f>
        <v/>
      </c>
      <c r="P92" s="5">
        <f>SUMPRODUCT(('01_Data'!$B92:$AW92&lt;&gt;"")*(1/(1+EXP(-(N92-'03_Lap_b'!$B$20:$AW$20))))^2)</f>
        <v/>
      </c>
      <c r="Q92" s="5">
        <f>MEDIAN(-6,N92+(C92-O92)/MAX(O92-P92,0.000000001),6)</f>
        <v/>
      </c>
      <c r="R92" s="5">
        <f>SUMPRODUCT(('01_Data'!$B92:$AW92&lt;&gt;"")*(1/(1+EXP(-(Q92-'03_Lap_b'!$B$25:$AW$25)))))</f>
        <v/>
      </c>
      <c r="S92" s="5">
        <f>SUMPRODUCT(('01_Data'!$B92:$AW92&lt;&gt;"")*(1/(1+EXP(-(Q92-'03_Lap_b'!$B$25:$AW$25))))^2)</f>
        <v/>
      </c>
      <c r="T92" s="5">
        <f>MEDIAN(-6,Q92+(C92-R92)/MAX(R92-S92,0.000000001),6)</f>
        <v/>
      </c>
      <c r="U92" s="5">
        <f>SUMPRODUCT(('01_Data'!$B92:$AW92&lt;&gt;"")*(1/(1+EXP(-(T92-'03_Lap_b'!$B$30:$AW$30)))))</f>
        <v/>
      </c>
      <c r="V92" s="5">
        <f>SUMPRODUCT(('01_Data'!$B92:$AW92&lt;&gt;"")*(1/(1+EXP(-(T92-'03_Lap_b'!$B$30:$AW$30))))^2)</f>
        <v/>
      </c>
      <c r="W92" s="5">
        <f>MEDIAN(-6,T92+(C92-U92)/MAX(U92-V92,0.000000001),6)</f>
        <v/>
      </c>
      <c r="X92" s="5">
        <f>SUMPRODUCT(('01_Data'!$B92:$AW92&lt;&gt;"")*(1/(1+EXP(-(W92-'03_Lap_b'!$B$35:$AW$35)))))</f>
        <v/>
      </c>
      <c r="Y92" s="5">
        <f>SUMPRODUCT(('01_Data'!$B92:$AW92&lt;&gt;"")*(1/(1+EXP(-(W92-'03_Lap_b'!$B$35:$AW$35))))^2)</f>
        <v/>
      </c>
      <c r="Z92" s="5">
        <f>MEDIAN(-6,W92+(C92-X92)/MAX(X92-Y92,0.000000001),6)</f>
        <v/>
      </c>
      <c r="AA92" s="5">
        <f>SUMPRODUCT(('01_Data'!$B92:$AW92&lt;&gt;"")*(1/(1+EXP(-(Z92-'03_Lap_b'!$B$40:$AW$40)))))</f>
        <v/>
      </c>
      <c r="AB92" s="5">
        <f>SUMPRODUCT(('01_Data'!$B92:$AW92&lt;&gt;"")*(1/(1+EXP(-(Z92-'03_Lap_b'!$B$40:$AW$40))))^2)</f>
        <v/>
      </c>
      <c r="AC92" s="5">
        <f>MEDIAN(-6,Z92+(C92-AA92)/MAX(AA92-AB92,0.000000001),6)</f>
        <v/>
      </c>
    </row>
    <row r="93">
      <c r="A93" t="n">
        <v>92</v>
      </c>
      <c r="B93">
        <f>'01_Data'!A93</f>
        <v/>
      </c>
      <c r="C93">
        <f>SUM('01_Data'!$B93:$AW93)</f>
        <v/>
      </c>
      <c r="D93">
        <f>COUNT('01_Data'!$B93:$AW93)</f>
        <v/>
      </c>
      <c r="E93" s="5">
        <f>MEDIAN(-6,LN((C93+0.3)/(D93-C93+0.3)),6)</f>
        <v/>
      </c>
      <c r="F93" s="5">
        <f>SUMPRODUCT(('01_Data'!$B93:$AW93&lt;&gt;"")*(1/(1+EXP(-(E93-'03_Lap_b'!$B$5:$AW$5)))))</f>
        <v/>
      </c>
      <c r="G93" s="5">
        <f>SUMPRODUCT(('01_Data'!$B93:$AW93&lt;&gt;"")*(1/(1+EXP(-(E93-'03_Lap_b'!$B$5:$AW$5))))^2)</f>
        <v/>
      </c>
      <c r="H93" s="5">
        <f>MEDIAN(-6,E93+(C93-F93)/MAX(F93-G93,0.000000001),6)</f>
        <v/>
      </c>
      <c r="I93" s="5">
        <f>SUMPRODUCT(('01_Data'!$B93:$AW93&lt;&gt;"")*(1/(1+EXP(-(H93-'03_Lap_b'!$B$10:$AW$10)))))</f>
        <v/>
      </c>
      <c r="J93" s="5">
        <f>SUMPRODUCT(('01_Data'!$B93:$AW93&lt;&gt;"")*(1/(1+EXP(-(H93-'03_Lap_b'!$B$10:$AW$10))))^2)</f>
        <v/>
      </c>
      <c r="K93" s="5">
        <f>MEDIAN(-6,H93+(C93-I93)/MAX(I93-J93,0.000000001),6)</f>
        <v/>
      </c>
      <c r="L93" s="5">
        <f>SUMPRODUCT(('01_Data'!$B93:$AW93&lt;&gt;"")*(1/(1+EXP(-(K93-'03_Lap_b'!$B$15:$AW$15)))))</f>
        <v/>
      </c>
      <c r="M93" s="5">
        <f>SUMPRODUCT(('01_Data'!$B93:$AW93&lt;&gt;"")*(1/(1+EXP(-(K93-'03_Lap_b'!$B$15:$AW$15))))^2)</f>
        <v/>
      </c>
      <c r="N93" s="5">
        <f>MEDIAN(-6,K93+(C93-L93)/MAX(L93-M93,0.000000001),6)</f>
        <v/>
      </c>
      <c r="O93" s="5">
        <f>SUMPRODUCT(('01_Data'!$B93:$AW93&lt;&gt;"")*(1/(1+EXP(-(N93-'03_Lap_b'!$B$20:$AW$20)))))</f>
        <v/>
      </c>
      <c r="P93" s="5">
        <f>SUMPRODUCT(('01_Data'!$B93:$AW93&lt;&gt;"")*(1/(1+EXP(-(N93-'03_Lap_b'!$B$20:$AW$20))))^2)</f>
        <v/>
      </c>
      <c r="Q93" s="5">
        <f>MEDIAN(-6,N93+(C93-O93)/MAX(O93-P93,0.000000001),6)</f>
        <v/>
      </c>
      <c r="R93" s="5">
        <f>SUMPRODUCT(('01_Data'!$B93:$AW93&lt;&gt;"")*(1/(1+EXP(-(Q93-'03_Lap_b'!$B$25:$AW$25)))))</f>
        <v/>
      </c>
      <c r="S93" s="5">
        <f>SUMPRODUCT(('01_Data'!$B93:$AW93&lt;&gt;"")*(1/(1+EXP(-(Q93-'03_Lap_b'!$B$25:$AW$25))))^2)</f>
        <v/>
      </c>
      <c r="T93" s="5">
        <f>MEDIAN(-6,Q93+(C93-R93)/MAX(R93-S93,0.000000001),6)</f>
        <v/>
      </c>
      <c r="U93" s="5">
        <f>SUMPRODUCT(('01_Data'!$B93:$AW93&lt;&gt;"")*(1/(1+EXP(-(T93-'03_Lap_b'!$B$30:$AW$30)))))</f>
        <v/>
      </c>
      <c r="V93" s="5">
        <f>SUMPRODUCT(('01_Data'!$B93:$AW93&lt;&gt;"")*(1/(1+EXP(-(T93-'03_Lap_b'!$B$30:$AW$30))))^2)</f>
        <v/>
      </c>
      <c r="W93" s="5">
        <f>MEDIAN(-6,T93+(C93-U93)/MAX(U93-V93,0.000000001),6)</f>
        <v/>
      </c>
      <c r="X93" s="5">
        <f>SUMPRODUCT(('01_Data'!$B93:$AW93&lt;&gt;"")*(1/(1+EXP(-(W93-'03_Lap_b'!$B$35:$AW$35)))))</f>
        <v/>
      </c>
      <c r="Y93" s="5">
        <f>SUMPRODUCT(('01_Data'!$B93:$AW93&lt;&gt;"")*(1/(1+EXP(-(W93-'03_Lap_b'!$B$35:$AW$35))))^2)</f>
        <v/>
      </c>
      <c r="Z93" s="5">
        <f>MEDIAN(-6,W93+(C93-X93)/MAX(X93-Y93,0.000000001),6)</f>
        <v/>
      </c>
      <c r="AA93" s="5">
        <f>SUMPRODUCT(('01_Data'!$B93:$AW93&lt;&gt;"")*(1/(1+EXP(-(Z93-'03_Lap_b'!$B$40:$AW$40)))))</f>
        <v/>
      </c>
      <c r="AB93" s="5">
        <f>SUMPRODUCT(('01_Data'!$B93:$AW93&lt;&gt;"")*(1/(1+EXP(-(Z93-'03_Lap_b'!$B$40:$AW$40))))^2)</f>
        <v/>
      </c>
      <c r="AC93" s="5">
        <f>MEDIAN(-6,Z93+(C93-AA93)/MAX(AA93-AB93,0.000000001),6)</f>
        <v/>
      </c>
    </row>
    <row r="94">
      <c r="A94" t="n">
        <v>93</v>
      </c>
      <c r="B94">
        <f>'01_Data'!A94</f>
        <v/>
      </c>
      <c r="C94">
        <f>SUM('01_Data'!$B94:$AW94)</f>
        <v/>
      </c>
      <c r="D94">
        <f>COUNT('01_Data'!$B94:$AW94)</f>
        <v/>
      </c>
      <c r="E94" s="5">
        <f>MEDIAN(-6,LN((C94+0.3)/(D94-C94+0.3)),6)</f>
        <v/>
      </c>
      <c r="F94" s="5">
        <f>SUMPRODUCT(('01_Data'!$B94:$AW94&lt;&gt;"")*(1/(1+EXP(-(E94-'03_Lap_b'!$B$5:$AW$5)))))</f>
        <v/>
      </c>
      <c r="G94" s="5">
        <f>SUMPRODUCT(('01_Data'!$B94:$AW94&lt;&gt;"")*(1/(1+EXP(-(E94-'03_Lap_b'!$B$5:$AW$5))))^2)</f>
        <v/>
      </c>
      <c r="H94" s="5">
        <f>MEDIAN(-6,E94+(C94-F94)/MAX(F94-G94,0.000000001),6)</f>
        <v/>
      </c>
      <c r="I94" s="5">
        <f>SUMPRODUCT(('01_Data'!$B94:$AW94&lt;&gt;"")*(1/(1+EXP(-(H94-'03_Lap_b'!$B$10:$AW$10)))))</f>
        <v/>
      </c>
      <c r="J94" s="5">
        <f>SUMPRODUCT(('01_Data'!$B94:$AW94&lt;&gt;"")*(1/(1+EXP(-(H94-'03_Lap_b'!$B$10:$AW$10))))^2)</f>
        <v/>
      </c>
      <c r="K94" s="5">
        <f>MEDIAN(-6,H94+(C94-I94)/MAX(I94-J94,0.000000001),6)</f>
        <v/>
      </c>
      <c r="L94" s="5">
        <f>SUMPRODUCT(('01_Data'!$B94:$AW94&lt;&gt;"")*(1/(1+EXP(-(K94-'03_Lap_b'!$B$15:$AW$15)))))</f>
        <v/>
      </c>
      <c r="M94" s="5">
        <f>SUMPRODUCT(('01_Data'!$B94:$AW94&lt;&gt;"")*(1/(1+EXP(-(K94-'03_Lap_b'!$B$15:$AW$15))))^2)</f>
        <v/>
      </c>
      <c r="N94" s="5">
        <f>MEDIAN(-6,K94+(C94-L94)/MAX(L94-M94,0.000000001),6)</f>
        <v/>
      </c>
      <c r="O94" s="5">
        <f>SUMPRODUCT(('01_Data'!$B94:$AW94&lt;&gt;"")*(1/(1+EXP(-(N94-'03_Lap_b'!$B$20:$AW$20)))))</f>
        <v/>
      </c>
      <c r="P94" s="5">
        <f>SUMPRODUCT(('01_Data'!$B94:$AW94&lt;&gt;"")*(1/(1+EXP(-(N94-'03_Lap_b'!$B$20:$AW$20))))^2)</f>
        <v/>
      </c>
      <c r="Q94" s="5">
        <f>MEDIAN(-6,N94+(C94-O94)/MAX(O94-P94,0.000000001),6)</f>
        <v/>
      </c>
      <c r="R94" s="5">
        <f>SUMPRODUCT(('01_Data'!$B94:$AW94&lt;&gt;"")*(1/(1+EXP(-(Q94-'03_Lap_b'!$B$25:$AW$25)))))</f>
        <v/>
      </c>
      <c r="S94" s="5">
        <f>SUMPRODUCT(('01_Data'!$B94:$AW94&lt;&gt;"")*(1/(1+EXP(-(Q94-'03_Lap_b'!$B$25:$AW$25))))^2)</f>
        <v/>
      </c>
      <c r="T94" s="5">
        <f>MEDIAN(-6,Q94+(C94-R94)/MAX(R94-S94,0.000000001),6)</f>
        <v/>
      </c>
      <c r="U94" s="5">
        <f>SUMPRODUCT(('01_Data'!$B94:$AW94&lt;&gt;"")*(1/(1+EXP(-(T94-'03_Lap_b'!$B$30:$AW$30)))))</f>
        <v/>
      </c>
      <c r="V94" s="5">
        <f>SUMPRODUCT(('01_Data'!$B94:$AW94&lt;&gt;"")*(1/(1+EXP(-(T94-'03_Lap_b'!$B$30:$AW$30))))^2)</f>
        <v/>
      </c>
      <c r="W94" s="5">
        <f>MEDIAN(-6,T94+(C94-U94)/MAX(U94-V94,0.000000001),6)</f>
        <v/>
      </c>
      <c r="X94" s="5">
        <f>SUMPRODUCT(('01_Data'!$B94:$AW94&lt;&gt;"")*(1/(1+EXP(-(W94-'03_Lap_b'!$B$35:$AW$35)))))</f>
        <v/>
      </c>
      <c r="Y94" s="5">
        <f>SUMPRODUCT(('01_Data'!$B94:$AW94&lt;&gt;"")*(1/(1+EXP(-(W94-'03_Lap_b'!$B$35:$AW$35))))^2)</f>
        <v/>
      </c>
      <c r="Z94" s="5">
        <f>MEDIAN(-6,W94+(C94-X94)/MAX(X94-Y94,0.000000001),6)</f>
        <v/>
      </c>
      <c r="AA94" s="5">
        <f>SUMPRODUCT(('01_Data'!$B94:$AW94&lt;&gt;"")*(1/(1+EXP(-(Z94-'03_Lap_b'!$B$40:$AW$40)))))</f>
        <v/>
      </c>
      <c r="AB94" s="5">
        <f>SUMPRODUCT(('01_Data'!$B94:$AW94&lt;&gt;"")*(1/(1+EXP(-(Z94-'03_Lap_b'!$B$40:$AW$40))))^2)</f>
        <v/>
      </c>
      <c r="AC94" s="5">
        <f>MEDIAN(-6,Z94+(C94-AA94)/MAX(AA94-AB94,0.000000001),6)</f>
        <v/>
      </c>
    </row>
    <row r="95">
      <c r="A95" t="n">
        <v>94</v>
      </c>
      <c r="B95">
        <f>'01_Data'!A95</f>
        <v/>
      </c>
      <c r="C95">
        <f>SUM('01_Data'!$B95:$AW95)</f>
        <v/>
      </c>
      <c r="D95">
        <f>COUNT('01_Data'!$B95:$AW95)</f>
        <v/>
      </c>
      <c r="E95" s="5">
        <f>MEDIAN(-6,LN((C95+0.3)/(D95-C95+0.3)),6)</f>
        <v/>
      </c>
      <c r="F95" s="5">
        <f>SUMPRODUCT(('01_Data'!$B95:$AW95&lt;&gt;"")*(1/(1+EXP(-(E95-'03_Lap_b'!$B$5:$AW$5)))))</f>
        <v/>
      </c>
      <c r="G95" s="5">
        <f>SUMPRODUCT(('01_Data'!$B95:$AW95&lt;&gt;"")*(1/(1+EXP(-(E95-'03_Lap_b'!$B$5:$AW$5))))^2)</f>
        <v/>
      </c>
      <c r="H95" s="5">
        <f>MEDIAN(-6,E95+(C95-F95)/MAX(F95-G95,0.000000001),6)</f>
        <v/>
      </c>
      <c r="I95" s="5">
        <f>SUMPRODUCT(('01_Data'!$B95:$AW95&lt;&gt;"")*(1/(1+EXP(-(H95-'03_Lap_b'!$B$10:$AW$10)))))</f>
        <v/>
      </c>
      <c r="J95" s="5">
        <f>SUMPRODUCT(('01_Data'!$B95:$AW95&lt;&gt;"")*(1/(1+EXP(-(H95-'03_Lap_b'!$B$10:$AW$10))))^2)</f>
        <v/>
      </c>
      <c r="K95" s="5">
        <f>MEDIAN(-6,H95+(C95-I95)/MAX(I95-J95,0.000000001),6)</f>
        <v/>
      </c>
      <c r="L95" s="5">
        <f>SUMPRODUCT(('01_Data'!$B95:$AW95&lt;&gt;"")*(1/(1+EXP(-(K95-'03_Lap_b'!$B$15:$AW$15)))))</f>
        <v/>
      </c>
      <c r="M95" s="5">
        <f>SUMPRODUCT(('01_Data'!$B95:$AW95&lt;&gt;"")*(1/(1+EXP(-(K95-'03_Lap_b'!$B$15:$AW$15))))^2)</f>
        <v/>
      </c>
      <c r="N95" s="5">
        <f>MEDIAN(-6,K95+(C95-L95)/MAX(L95-M95,0.000000001),6)</f>
        <v/>
      </c>
      <c r="O95" s="5">
        <f>SUMPRODUCT(('01_Data'!$B95:$AW95&lt;&gt;"")*(1/(1+EXP(-(N95-'03_Lap_b'!$B$20:$AW$20)))))</f>
        <v/>
      </c>
      <c r="P95" s="5">
        <f>SUMPRODUCT(('01_Data'!$B95:$AW95&lt;&gt;"")*(1/(1+EXP(-(N95-'03_Lap_b'!$B$20:$AW$20))))^2)</f>
        <v/>
      </c>
      <c r="Q95" s="5">
        <f>MEDIAN(-6,N95+(C95-O95)/MAX(O95-P95,0.000000001),6)</f>
        <v/>
      </c>
      <c r="R95" s="5">
        <f>SUMPRODUCT(('01_Data'!$B95:$AW95&lt;&gt;"")*(1/(1+EXP(-(Q95-'03_Lap_b'!$B$25:$AW$25)))))</f>
        <v/>
      </c>
      <c r="S95" s="5">
        <f>SUMPRODUCT(('01_Data'!$B95:$AW95&lt;&gt;"")*(1/(1+EXP(-(Q95-'03_Lap_b'!$B$25:$AW$25))))^2)</f>
        <v/>
      </c>
      <c r="T95" s="5">
        <f>MEDIAN(-6,Q95+(C95-R95)/MAX(R95-S95,0.000000001),6)</f>
        <v/>
      </c>
      <c r="U95" s="5">
        <f>SUMPRODUCT(('01_Data'!$B95:$AW95&lt;&gt;"")*(1/(1+EXP(-(T95-'03_Lap_b'!$B$30:$AW$30)))))</f>
        <v/>
      </c>
      <c r="V95" s="5">
        <f>SUMPRODUCT(('01_Data'!$B95:$AW95&lt;&gt;"")*(1/(1+EXP(-(T95-'03_Lap_b'!$B$30:$AW$30))))^2)</f>
        <v/>
      </c>
      <c r="W95" s="5">
        <f>MEDIAN(-6,T95+(C95-U95)/MAX(U95-V95,0.000000001),6)</f>
        <v/>
      </c>
      <c r="X95" s="5">
        <f>SUMPRODUCT(('01_Data'!$B95:$AW95&lt;&gt;"")*(1/(1+EXP(-(W95-'03_Lap_b'!$B$35:$AW$35)))))</f>
        <v/>
      </c>
      <c r="Y95" s="5">
        <f>SUMPRODUCT(('01_Data'!$B95:$AW95&lt;&gt;"")*(1/(1+EXP(-(W95-'03_Lap_b'!$B$35:$AW$35))))^2)</f>
        <v/>
      </c>
      <c r="Z95" s="5">
        <f>MEDIAN(-6,W95+(C95-X95)/MAX(X95-Y95,0.000000001),6)</f>
        <v/>
      </c>
      <c r="AA95" s="5">
        <f>SUMPRODUCT(('01_Data'!$B95:$AW95&lt;&gt;"")*(1/(1+EXP(-(Z95-'03_Lap_b'!$B$40:$AW$40)))))</f>
        <v/>
      </c>
      <c r="AB95" s="5">
        <f>SUMPRODUCT(('01_Data'!$B95:$AW95&lt;&gt;"")*(1/(1+EXP(-(Z95-'03_Lap_b'!$B$40:$AW$40))))^2)</f>
        <v/>
      </c>
      <c r="AC95" s="5">
        <f>MEDIAN(-6,Z95+(C95-AA95)/MAX(AA95-AB95,0.000000001),6)</f>
        <v/>
      </c>
    </row>
    <row r="96">
      <c r="A96" t="n">
        <v>95</v>
      </c>
      <c r="B96">
        <f>'01_Data'!A96</f>
        <v/>
      </c>
      <c r="C96">
        <f>SUM('01_Data'!$B96:$AW96)</f>
        <v/>
      </c>
      <c r="D96">
        <f>COUNT('01_Data'!$B96:$AW96)</f>
        <v/>
      </c>
      <c r="E96" s="5">
        <f>MEDIAN(-6,LN((C96+0.3)/(D96-C96+0.3)),6)</f>
        <v/>
      </c>
      <c r="F96" s="5">
        <f>SUMPRODUCT(('01_Data'!$B96:$AW96&lt;&gt;"")*(1/(1+EXP(-(E96-'03_Lap_b'!$B$5:$AW$5)))))</f>
        <v/>
      </c>
      <c r="G96" s="5">
        <f>SUMPRODUCT(('01_Data'!$B96:$AW96&lt;&gt;"")*(1/(1+EXP(-(E96-'03_Lap_b'!$B$5:$AW$5))))^2)</f>
        <v/>
      </c>
      <c r="H96" s="5">
        <f>MEDIAN(-6,E96+(C96-F96)/MAX(F96-G96,0.000000001),6)</f>
        <v/>
      </c>
      <c r="I96" s="5">
        <f>SUMPRODUCT(('01_Data'!$B96:$AW96&lt;&gt;"")*(1/(1+EXP(-(H96-'03_Lap_b'!$B$10:$AW$10)))))</f>
        <v/>
      </c>
      <c r="J96" s="5">
        <f>SUMPRODUCT(('01_Data'!$B96:$AW96&lt;&gt;"")*(1/(1+EXP(-(H96-'03_Lap_b'!$B$10:$AW$10))))^2)</f>
        <v/>
      </c>
      <c r="K96" s="5">
        <f>MEDIAN(-6,H96+(C96-I96)/MAX(I96-J96,0.000000001),6)</f>
        <v/>
      </c>
      <c r="L96" s="5">
        <f>SUMPRODUCT(('01_Data'!$B96:$AW96&lt;&gt;"")*(1/(1+EXP(-(K96-'03_Lap_b'!$B$15:$AW$15)))))</f>
        <v/>
      </c>
      <c r="M96" s="5">
        <f>SUMPRODUCT(('01_Data'!$B96:$AW96&lt;&gt;"")*(1/(1+EXP(-(K96-'03_Lap_b'!$B$15:$AW$15))))^2)</f>
        <v/>
      </c>
      <c r="N96" s="5">
        <f>MEDIAN(-6,K96+(C96-L96)/MAX(L96-M96,0.000000001),6)</f>
        <v/>
      </c>
      <c r="O96" s="5">
        <f>SUMPRODUCT(('01_Data'!$B96:$AW96&lt;&gt;"")*(1/(1+EXP(-(N96-'03_Lap_b'!$B$20:$AW$20)))))</f>
        <v/>
      </c>
      <c r="P96" s="5">
        <f>SUMPRODUCT(('01_Data'!$B96:$AW96&lt;&gt;"")*(1/(1+EXP(-(N96-'03_Lap_b'!$B$20:$AW$20))))^2)</f>
        <v/>
      </c>
      <c r="Q96" s="5">
        <f>MEDIAN(-6,N96+(C96-O96)/MAX(O96-P96,0.000000001),6)</f>
        <v/>
      </c>
      <c r="R96" s="5">
        <f>SUMPRODUCT(('01_Data'!$B96:$AW96&lt;&gt;"")*(1/(1+EXP(-(Q96-'03_Lap_b'!$B$25:$AW$25)))))</f>
        <v/>
      </c>
      <c r="S96" s="5">
        <f>SUMPRODUCT(('01_Data'!$B96:$AW96&lt;&gt;"")*(1/(1+EXP(-(Q96-'03_Lap_b'!$B$25:$AW$25))))^2)</f>
        <v/>
      </c>
      <c r="T96" s="5">
        <f>MEDIAN(-6,Q96+(C96-R96)/MAX(R96-S96,0.000000001),6)</f>
        <v/>
      </c>
      <c r="U96" s="5">
        <f>SUMPRODUCT(('01_Data'!$B96:$AW96&lt;&gt;"")*(1/(1+EXP(-(T96-'03_Lap_b'!$B$30:$AW$30)))))</f>
        <v/>
      </c>
      <c r="V96" s="5">
        <f>SUMPRODUCT(('01_Data'!$B96:$AW96&lt;&gt;"")*(1/(1+EXP(-(T96-'03_Lap_b'!$B$30:$AW$30))))^2)</f>
        <v/>
      </c>
      <c r="W96" s="5">
        <f>MEDIAN(-6,T96+(C96-U96)/MAX(U96-V96,0.000000001),6)</f>
        <v/>
      </c>
      <c r="X96" s="5">
        <f>SUMPRODUCT(('01_Data'!$B96:$AW96&lt;&gt;"")*(1/(1+EXP(-(W96-'03_Lap_b'!$B$35:$AW$35)))))</f>
        <v/>
      </c>
      <c r="Y96" s="5">
        <f>SUMPRODUCT(('01_Data'!$B96:$AW96&lt;&gt;"")*(1/(1+EXP(-(W96-'03_Lap_b'!$B$35:$AW$35))))^2)</f>
        <v/>
      </c>
      <c r="Z96" s="5">
        <f>MEDIAN(-6,W96+(C96-X96)/MAX(X96-Y96,0.000000001),6)</f>
        <v/>
      </c>
      <c r="AA96" s="5">
        <f>SUMPRODUCT(('01_Data'!$B96:$AW96&lt;&gt;"")*(1/(1+EXP(-(Z96-'03_Lap_b'!$B$40:$AW$40)))))</f>
        <v/>
      </c>
      <c r="AB96" s="5">
        <f>SUMPRODUCT(('01_Data'!$B96:$AW96&lt;&gt;"")*(1/(1+EXP(-(Z96-'03_Lap_b'!$B$40:$AW$40))))^2)</f>
        <v/>
      </c>
      <c r="AC96" s="5">
        <f>MEDIAN(-6,Z96+(C96-AA96)/MAX(AA96-AB96,0.000000001),6)</f>
        <v/>
      </c>
    </row>
    <row r="97">
      <c r="A97" t="n">
        <v>96</v>
      </c>
      <c r="B97">
        <f>'01_Data'!A97</f>
        <v/>
      </c>
      <c r="C97">
        <f>SUM('01_Data'!$B97:$AW97)</f>
        <v/>
      </c>
      <c r="D97">
        <f>COUNT('01_Data'!$B97:$AW97)</f>
        <v/>
      </c>
      <c r="E97" s="5">
        <f>MEDIAN(-6,LN((C97+0.3)/(D97-C97+0.3)),6)</f>
        <v/>
      </c>
      <c r="F97" s="5">
        <f>SUMPRODUCT(('01_Data'!$B97:$AW97&lt;&gt;"")*(1/(1+EXP(-(E97-'03_Lap_b'!$B$5:$AW$5)))))</f>
        <v/>
      </c>
      <c r="G97" s="5">
        <f>SUMPRODUCT(('01_Data'!$B97:$AW97&lt;&gt;"")*(1/(1+EXP(-(E97-'03_Lap_b'!$B$5:$AW$5))))^2)</f>
        <v/>
      </c>
      <c r="H97" s="5">
        <f>MEDIAN(-6,E97+(C97-F97)/MAX(F97-G97,0.000000001),6)</f>
        <v/>
      </c>
      <c r="I97" s="5">
        <f>SUMPRODUCT(('01_Data'!$B97:$AW97&lt;&gt;"")*(1/(1+EXP(-(H97-'03_Lap_b'!$B$10:$AW$10)))))</f>
        <v/>
      </c>
      <c r="J97" s="5">
        <f>SUMPRODUCT(('01_Data'!$B97:$AW97&lt;&gt;"")*(1/(1+EXP(-(H97-'03_Lap_b'!$B$10:$AW$10))))^2)</f>
        <v/>
      </c>
      <c r="K97" s="5">
        <f>MEDIAN(-6,H97+(C97-I97)/MAX(I97-J97,0.000000001),6)</f>
        <v/>
      </c>
      <c r="L97" s="5">
        <f>SUMPRODUCT(('01_Data'!$B97:$AW97&lt;&gt;"")*(1/(1+EXP(-(K97-'03_Lap_b'!$B$15:$AW$15)))))</f>
        <v/>
      </c>
      <c r="M97" s="5">
        <f>SUMPRODUCT(('01_Data'!$B97:$AW97&lt;&gt;"")*(1/(1+EXP(-(K97-'03_Lap_b'!$B$15:$AW$15))))^2)</f>
        <v/>
      </c>
      <c r="N97" s="5">
        <f>MEDIAN(-6,K97+(C97-L97)/MAX(L97-M97,0.000000001),6)</f>
        <v/>
      </c>
      <c r="O97" s="5">
        <f>SUMPRODUCT(('01_Data'!$B97:$AW97&lt;&gt;"")*(1/(1+EXP(-(N97-'03_Lap_b'!$B$20:$AW$20)))))</f>
        <v/>
      </c>
      <c r="P97" s="5">
        <f>SUMPRODUCT(('01_Data'!$B97:$AW97&lt;&gt;"")*(1/(1+EXP(-(N97-'03_Lap_b'!$B$20:$AW$20))))^2)</f>
        <v/>
      </c>
      <c r="Q97" s="5">
        <f>MEDIAN(-6,N97+(C97-O97)/MAX(O97-P97,0.000000001),6)</f>
        <v/>
      </c>
      <c r="R97" s="5">
        <f>SUMPRODUCT(('01_Data'!$B97:$AW97&lt;&gt;"")*(1/(1+EXP(-(Q97-'03_Lap_b'!$B$25:$AW$25)))))</f>
        <v/>
      </c>
      <c r="S97" s="5">
        <f>SUMPRODUCT(('01_Data'!$B97:$AW97&lt;&gt;"")*(1/(1+EXP(-(Q97-'03_Lap_b'!$B$25:$AW$25))))^2)</f>
        <v/>
      </c>
      <c r="T97" s="5">
        <f>MEDIAN(-6,Q97+(C97-R97)/MAX(R97-S97,0.000000001),6)</f>
        <v/>
      </c>
      <c r="U97" s="5">
        <f>SUMPRODUCT(('01_Data'!$B97:$AW97&lt;&gt;"")*(1/(1+EXP(-(T97-'03_Lap_b'!$B$30:$AW$30)))))</f>
        <v/>
      </c>
      <c r="V97" s="5">
        <f>SUMPRODUCT(('01_Data'!$B97:$AW97&lt;&gt;"")*(1/(1+EXP(-(T97-'03_Lap_b'!$B$30:$AW$30))))^2)</f>
        <v/>
      </c>
      <c r="W97" s="5">
        <f>MEDIAN(-6,T97+(C97-U97)/MAX(U97-V97,0.000000001),6)</f>
        <v/>
      </c>
      <c r="X97" s="5">
        <f>SUMPRODUCT(('01_Data'!$B97:$AW97&lt;&gt;"")*(1/(1+EXP(-(W97-'03_Lap_b'!$B$35:$AW$35)))))</f>
        <v/>
      </c>
      <c r="Y97" s="5">
        <f>SUMPRODUCT(('01_Data'!$B97:$AW97&lt;&gt;"")*(1/(1+EXP(-(W97-'03_Lap_b'!$B$35:$AW$35))))^2)</f>
        <v/>
      </c>
      <c r="Z97" s="5">
        <f>MEDIAN(-6,W97+(C97-X97)/MAX(X97-Y97,0.000000001),6)</f>
        <v/>
      </c>
      <c r="AA97" s="5">
        <f>SUMPRODUCT(('01_Data'!$B97:$AW97&lt;&gt;"")*(1/(1+EXP(-(Z97-'03_Lap_b'!$B$40:$AW$40)))))</f>
        <v/>
      </c>
      <c r="AB97" s="5">
        <f>SUMPRODUCT(('01_Data'!$B97:$AW97&lt;&gt;"")*(1/(1+EXP(-(Z97-'03_Lap_b'!$B$40:$AW$40))))^2)</f>
        <v/>
      </c>
      <c r="AC97" s="5">
        <f>MEDIAN(-6,Z97+(C97-AA97)/MAX(AA97-AB97,0.000000001),6)</f>
        <v/>
      </c>
    </row>
    <row r="98">
      <c r="A98" t="n">
        <v>97</v>
      </c>
      <c r="B98">
        <f>'01_Data'!A98</f>
        <v/>
      </c>
      <c r="C98">
        <f>SUM('01_Data'!$B98:$AW98)</f>
        <v/>
      </c>
      <c r="D98">
        <f>COUNT('01_Data'!$B98:$AW98)</f>
        <v/>
      </c>
      <c r="E98" s="5">
        <f>MEDIAN(-6,LN((C98+0.3)/(D98-C98+0.3)),6)</f>
        <v/>
      </c>
      <c r="F98" s="5">
        <f>SUMPRODUCT(('01_Data'!$B98:$AW98&lt;&gt;"")*(1/(1+EXP(-(E98-'03_Lap_b'!$B$5:$AW$5)))))</f>
        <v/>
      </c>
      <c r="G98" s="5">
        <f>SUMPRODUCT(('01_Data'!$B98:$AW98&lt;&gt;"")*(1/(1+EXP(-(E98-'03_Lap_b'!$B$5:$AW$5))))^2)</f>
        <v/>
      </c>
      <c r="H98" s="5">
        <f>MEDIAN(-6,E98+(C98-F98)/MAX(F98-G98,0.000000001),6)</f>
        <v/>
      </c>
      <c r="I98" s="5">
        <f>SUMPRODUCT(('01_Data'!$B98:$AW98&lt;&gt;"")*(1/(1+EXP(-(H98-'03_Lap_b'!$B$10:$AW$10)))))</f>
        <v/>
      </c>
      <c r="J98" s="5">
        <f>SUMPRODUCT(('01_Data'!$B98:$AW98&lt;&gt;"")*(1/(1+EXP(-(H98-'03_Lap_b'!$B$10:$AW$10))))^2)</f>
        <v/>
      </c>
      <c r="K98" s="5">
        <f>MEDIAN(-6,H98+(C98-I98)/MAX(I98-J98,0.000000001),6)</f>
        <v/>
      </c>
      <c r="L98" s="5">
        <f>SUMPRODUCT(('01_Data'!$B98:$AW98&lt;&gt;"")*(1/(1+EXP(-(K98-'03_Lap_b'!$B$15:$AW$15)))))</f>
        <v/>
      </c>
      <c r="M98" s="5">
        <f>SUMPRODUCT(('01_Data'!$B98:$AW98&lt;&gt;"")*(1/(1+EXP(-(K98-'03_Lap_b'!$B$15:$AW$15))))^2)</f>
        <v/>
      </c>
      <c r="N98" s="5">
        <f>MEDIAN(-6,K98+(C98-L98)/MAX(L98-M98,0.000000001),6)</f>
        <v/>
      </c>
      <c r="O98" s="5">
        <f>SUMPRODUCT(('01_Data'!$B98:$AW98&lt;&gt;"")*(1/(1+EXP(-(N98-'03_Lap_b'!$B$20:$AW$20)))))</f>
        <v/>
      </c>
      <c r="P98" s="5">
        <f>SUMPRODUCT(('01_Data'!$B98:$AW98&lt;&gt;"")*(1/(1+EXP(-(N98-'03_Lap_b'!$B$20:$AW$20))))^2)</f>
        <v/>
      </c>
      <c r="Q98" s="5">
        <f>MEDIAN(-6,N98+(C98-O98)/MAX(O98-P98,0.000000001),6)</f>
        <v/>
      </c>
      <c r="R98" s="5">
        <f>SUMPRODUCT(('01_Data'!$B98:$AW98&lt;&gt;"")*(1/(1+EXP(-(Q98-'03_Lap_b'!$B$25:$AW$25)))))</f>
        <v/>
      </c>
      <c r="S98" s="5">
        <f>SUMPRODUCT(('01_Data'!$B98:$AW98&lt;&gt;"")*(1/(1+EXP(-(Q98-'03_Lap_b'!$B$25:$AW$25))))^2)</f>
        <v/>
      </c>
      <c r="T98" s="5">
        <f>MEDIAN(-6,Q98+(C98-R98)/MAX(R98-S98,0.000000001),6)</f>
        <v/>
      </c>
      <c r="U98" s="5">
        <f>SUMPRODUCT(('01_Data'!$B98:$AW98&lt;&gt;"")*(1/(1+EXP(-(T98-'03_Lap_b'!$B$30:$AW$30)))))</f>
        <v/>
      </c>
      <c r="V98" s="5">
        <f>SUMPRODUCT(('01_Data'!$B98:$AW98&lt;&gt;"")*(1/(1+EXP(-(T98-'03_Lap_b'!$B$30:$AW$30))))^2)</f>
        <v/>
      </c>
      <c r="W98" s="5">
        <f>MEDIAN(-6,T98+(C98-U98)/MAX(U98-V98,0.000000001),6)</f>
        <v/>
      </c>
      <c r="X98" s="5">
        <f>SUMPRODUCT(('01_Data'!$B98:$AW98&lt;&gt;"")*(1/(1+EXP(-(W98-'03_Lap_b'!$B$35:$AW$35)))))</f>
        <v/>
      </c>
      <c r="Y98" s="5">
        <f>SUMPRODUCT(('01_Data'!$B98:$AW98&lt;&gt;"")*(1/(1+EXP(-(W98-'03_Lap_b'!$B$35:$AW$35))))^2)</f>
        <v/>
      </c>
      <c r="Z98" s="5">
        <f>MEDIAN(-6,W98+(C98-X98)/MAX(X98-Y98,0.000000001),6)</f>
        <v/>
      </c>
      <c r="AA98" s="5">
        <f>SUMPRODUCT(('01_Data'!$B98:$AW98&lt;&gt;"")*(1/(1+EXP(-(Z98-'03_Lap_b'!$B$40:$AW$40)))))</f>
        <v/>
      </c>
      <c r="AB98" s="5">
        <f>SUMPRODUCT(('01_Data'!$B98:$AW98&lt;&gt;"")*(1/(1+EXP(-(Z98-'03_Lap_b'!$B$40:$AW$40))))^2)</f>
        <v/>
      </c>
      <c r="AC98" s="5">
        <f>MEDIAN(-6,Z98+(C98-AA98)/MAX(AA98-AB98,0.000000001),6)</f>
        <v/>
      </c>
    </row>
    <row r="99">
      <c r="A99" t="n">
        <v>98</v>
      </c>
      <c r="B99">
        <f>'01_Data'!A99</f>
        <v/>
      </c>
      <c r="C99">
        <f>SUM('01_Data'!$B99:$AW99)</f>
        <v/>
      </c>
      <c r="D99">
        <f>COUNT('01_Data'!$B99:$AW99)</f>
        <v/>
      </c>
      <c r="E99" s="5">
        <f>MEDIAN(-6,LN((C99+0.3)/(D99-C99+0.3)),6)</f>
        <v/>
      </c>
      <c r="F99" s="5">
        <f>SUMPRODUCT(('01_Data'!$B99:$AW99&lt;&gt;"")*(1/(1+EXP(-(E99-'03_Lap_b'!$B$5:$AW$5)))))</f>
        <v/>
      </c>
      <c r="G99" s="5">
        <f>SUMPRODUCT(('01_Data'!$B99:$AW99&lt;&gt;"")*(1/(1+EXP(-(E99-'03_Lap_b'!$B$5:$AW$5))))^2)</f>
        <v/>
      </c>
      <c r="H99" s="5">
        <f>MEDIAN(-6,E99+(C99-F99)/MAX(F99-G99,0.000000001),6)</f>
        <v/>
      </c>
      <c r="I99" s="5">
        <f>SUMPRODUCT(('01_Data'!$B99:$AW99&lt;&gt;"")*(1/(1+EXP(-(H99-'03_Lap_b'!$B$10:$AW$10)))))</f>
        <v/>
      </c>
      <c r="J99" s="5">
        <f>SUMPRODUCT(('01_Data'!$B99:$AW99&lt;&gt;"")*(1/(1+EXP(-(H99-'03_Lap_b'!$B$10:$AW$10))))^2)</f>
        <v/>
      </c>
      <c r="K99" s="5">
        <f>MEDIAN(-6,H99+(C99-I99)/MAX(I99-J99,0.000000001),6)</f>
        <v/>
      </c>
      <c r="L99" s="5">
        <f>SUMPRODUCT(('01_Data'!$B99:$AW99&lt;&gt;"")*(1/(1+EXP(-(K99-'03_Lap_b'!$B$15:$AW$15)))))</f>
        <v/>
      </c>
      <c r="M99" s="5">
        <f>SUMPRODUCT(('01_Data'!$B99:$AW99&lt;&gt;"")*(1/(1+EXP(-(K99-'03_Lap_b'!$B$15:$AW$15))))^2)</f>
        <v/>
      </c>
      <c r="N99" s="5">
        <f>MEDIAN(-6,K99+(C99-L99)/MAX(L99-M99,0.000000001),6)</f>
        <v/>
      </c>
      <c r="O99" s="5">
        <f>SUMPRODUCT(('01_Data'!$B99:$AW99&lt;&gt;"")*(1/(1+EXP(-(N99-'03_Lap_b'!$B$20:$AW$20)))))</f>
        <v/>
      </c>
      <c r="P99" s="5">
        <f>SUMPRODUCT(('01_Data'!$B99:$AW99&lt;&gt;"")*(1/(1+EXP(-(N99-'03_Lap_b'!$B$20:$AW$20))))^2)</f>
        <v/>
      </c>
      <c r="Q99" s="5">
        <f>MEDIAN(-6,N99+(C99-O99)/MAX(O99-P99,0.000000001),6)</f>
        <v/>
      </c>
      <c r="R99" s="5">
        <f>SUMPRODUCT(('01_Data'!$B99:$AW99&lt;&gt;"")*(1/(1+EXP(-(Q99-'03_Lap_b'!$B$25:$AW$25)))))</f>
        <v/>
      </c>
      <c r="S99" s="5">
        <f>SUMPRODUCT(('01_Data'!$B99:$AW99&lt;&gt;"")*(1/(1+EXP(-(Q99-'03_Lap_b'!$B$25:$AW$25))))^2)</f>
        <v/>
      </c>
      <c r="T99" s="5">
        <f>MEDIAN(-6,Q99+(C99-R99)/MAX(R99-S99,0.000000001),6)</f>
        <v/>
      </c>
      <c r="U99" s="5">
        <f>SUMPRODUCT(('01_Data'!$B99:$AW99&lt;&gt;"")*(1/(1+EXP(-(T99-'03_Lap_b'!$B$30:$AW$30)))))</f>
        <v/>
      </c>
      <c r="V99" s="5">
        <f>SUMPRODUCT(('01_Data'!$B99:$AW99&lt;&gt;"")*(1/(1+EXP(-(T99-'03_Lap_b'!$B$30:$AW$30))))^2)</f>
        <v/>
      </c>
      <c r="W99" s="5">
        <f>MEDIAN(-6,T99+(C99-U99)/MAX(U99-V99,0.000000001),6)</f>
        <v/>
      </c>
      <c r="X99" s="5">
        <f>SUMPRODUCT(('01_Data'!$B99:$AW99&lt;&gt;"")*(1/(1+EXP(-(W99-'03_Lap_b'!$B$35:$AW$35)))))</f>
        <v/>
      </c>
      <c r="Y99" s="5">
        <f>SUMPRODUCT(('01_Data'!$B99:$AW99&lt;&gt;"")*(1/(1+EXP(-(W99-'03_Lap_b'!$B$35:$AW$35))))^2)</f>
        <v/>
      </c>
      <c r="Z99" s="5">
        <f>MEDIAN(-6,W99+(C99-X99)/MAX(X99-Y99,0.000000001),6)</f>
        <v/>
      </c>
      <c r="AA99" s="5">
        <f>SUMPRODUCT(('01_Data'!$B99:$AW99&lt;&gt;"")*(1/(1+EXP(-(Z99-'03_Lap_b'!$B$40:$AW$40)))))</f>
        <v/>
      </c>
      <c r="AB99" s="5">
        <f>SUMPRODUCT(('01_Data'!$B99:$AW99&lt;&gt;"")*(1/(1+EXP(-(Z99-'03_Lap_b'!$B$40:$AW$40))))^2)</f>
        <v/>
      </c>
      <c r="AC99" s="5">
        <f>MEDIAN(-6,Z99+(C99-AA99)/MAX(AA99-AB99,0.000000001),6)</f>
        <v/>
      </c>
    </row>
    <row r="100">
      <c r="A100" t="n">
        <v>99</v>
      </c>
      <c r="B100">
        <f>'01_Data'!A100</f>
        <v/>
      </c>
      <c r="C100">
        <f>SUM('01_Data'!$B100:$AW100)</f>
        <v/>
      </c>
      <c r="D100">
        <f>COUNT('01_Data'!$B100:$AW100)</f>
        <v/>
      </c>
      <c r="E100" s="5">
        <f>MEDIAN(-6,LN((C100+0.3)/(D100-C100+0.3)),6)</f>
        <v/>
      </c>
      <c r="F100" s="5">
        <f>SUMPRODUCT(('01_Data'!$B100:$AW100&lt;&gt;"")*(1/(1+EXP(-(E100-'03_Lap_b'!$B$5:$AW$5)))))</f>
        <v/>
      </c>
      <c r="G100" s="5">
        <f>SUMPRODUCT(('01_Data'!$B100:$AW100&lt;&gt;"")*(1/(1+EXP(-(E100-'03_Lap_b'!$B$5:$AW$5))))^2)</f>
        <v/>
      </c>
      <c r="H100" s="5">
        <f>MEDIAN(-6,E100+(C100-F100)/MAX(F100-G100,0.000000001),6)</f>
        <v/>
      </c>
      <c r="I100" s="5">
        <f>SUMPRODUCT(('01_Data'!$B100:$AW100&lt;&gt;"")*(1/(1+EXP(-(H100-'03_Lap_b'!$B$10:$AW$10)))))</f>
        <v/>
      </c>
      <c r="J100" s="5">
        <f>SUMPRODUCT(('01_Data'!$B100:$AW100&lt;&gt;"")*(1/(1+EXP(-(H100-'03_Lap_b'!$B$10:$AW$10))))^2)</f>
        <v/>
      </c>
      <c r="K100" s="5">
        <f>MEDIAN(-6,H100+(C100-I100)/MAX(I100-J100,0.000000001),6)</f>
        <v/>
      </c>
      <c r="L100" s="5">
        <f>SUMPRODUCT(('01_Data'!$B100:$AW100&lt;&gt;"")*(1/(1+EXP(-(K100-'03_Lap_b'!$B$15:$AW$15)))))</f>
        <v/>
      </c>
      <c r="M100" s="5">
        <f>SUMPRODUCT(('01_Data'!$B100:$AW100&lt;&gt;"")*(1/(1+EXP(-(K100-'03_Lap_b'!$B$15:$AW$15))))^2)</f>
        <v/>
      </c>
      <c r="N100" s="5">
        <f>MEDIAN(-6,K100+(C100-L100)/MAX(L100-M100,0.000000001),6)</f>
        <v/>
      </c>
      <c r="O100" s="5">
        <f>SUMPRODUCT(('01_Data'!$B100:$AW100&lt;&gt;"")*(1/(1+EXP(-(N100-'03_Lap_b'!$B$20:$AW$20)))))</f>
        <v/>
      </c>
      <c r="P100" s="5">
        <f>SUMPRODUCT(('01_Data'!$B100:$AW100&lt;&gt;"")*(1/(1+EXP(-(N100-'03_Lap_b'!$B$20:$AW$20))))^2)</f>
        <v/>
      </c>
      <c r="Q100" s="5">
        <f>MEDIAN(-6,N100+(C100-O100)/MAX(O100-P100,0.000000001),6)</f>
        <v/>
      </c>
      <c r="R100" s="5">
        <f>SUMPRODUCT(('01_Data'!$B100:$AW100&lt;&gt;"")*(1/(1+EXP(-(Q100-'03_Lap_b'!$B$25:$AW$25)))))</f>
        <v/>
      </c>
      <c r="S100" s="5">
        <f>SUMPRODUCT(('01_Data'!$B100:$AW100&lt;&gt;"")*(1/(1+EXP(-(Q100-'03_Lap_b'!$B$25:$AW$25))))^2)</f>
        <v/>
      </c>
      <c r="T100" s="5">
        <f>MEDIAN(-6,Q100+(C100-R100)/MAX(R100-S100,0.000000001),6)</f>
        <v/>
      </c>
      <c r="U100" s="5">
        <f>SUMPRODUCT(('01_Data'!$B100:$AW100&lt;&gt;"")*(1/(1+EXP(-(T100-'03_Lap_b'!$B$30:$AW$30)))))</f>
        <v/>
      </c>
      <c r="V100" s="5">
        <f>SUMPRODUCT(('01_Data'!$B100:$AW100&lt;&gt;"")*(1/(1+EXP(-(T100-'03_Lap_b'!$B$30:$AW$30))))^2)</f>
        <v/>
      </c>
      <c r="W100" s="5">
        <f>MEDIAN(-6,T100+(C100-U100)/MAX(U100-V100,0.000000001),6)</f>
        <v/>
      </c>
      <c r="X100" s="5">
        <f>SUMPRODUCT(('01_Data'!$B100:$AW100&lt;&gt;"")*(1/(1+EXP(-(W100-'03_Lap_b'!$B$35:$AW$35)))))</f>
        <v/>
      </c>
      <c r="Y100" s="5">
        <f>SUMPRODUCT(('01_Data'!$B100:$AW100&lt;&gt;"")*(1/(1+EXP(-(W100-'03_Lap_b'!$B$35:$AW$35))))^2)</f>
        <v/>
      </c>
      <c r="Z100" s="5">
        <f>MEDIAN(-6,W100+(C100-X100)/MAX(X100-Y100,0.000000001),6)</f>
        <v/>
      </c>
      <c r="AA100" s="5">
        <f>SUMPRODUCT(('01_Data'!$B100:$AW100&lt;&gt;"")*(1/(1+EXP(-(Z100-'03_Lap_b'!$B$40:$AW$40)))))</f>
        <v/>
      </c>
      <c r="AB100" s="5">
        <f>SUMPRODUCT(('01_Data'!$B100:$AW100&lt;&gt;"")*(1/(1+EXP(-(Z100-'03_Lap_b'!$B$40:$AW$40))))^2)</f>
        <v/>
      </c>
      <c r="AC100" s="5">
        <f>MEDIAN(-6,Z100+(C100-AA100)/MAX(AA100-AB100,0.000000001),6)</f>
        <v/>
      </c>
    </row>
    <row r="101">
      <c r="A101" t="n">
        <v>100</v>
      </c>
      <c r="B101">
        <f>'01_Data'!A101</f>
        <v/>
      </c>
      <c r="C101">
        <f>SUM('01_Data'!$B101:$AW101)</f>
        <v/>
      </c>
      <c r="D101">
        <f>COUNT('01_Data'!$B101:$AW101)</f>
        <v/>
      </c>
      <c r="E101" s="5">
        <f>MEDIAN(-6,LN((C101+0.3)/(D101-C101+0.3)),6)</f>
        <v/>
      </c>
      <c r="F101" s="5">
        <f>SUMPRODUCT(('01_Data'!$B101:$AW101&lt;&gt;"")*(1/(1+EXP(-(E101-'03_Lap_b'!$B$5:$AW$5)))))</f>
        <v/>
      </c>
      <c r="G101" s="5">
        <f>SUMPRODUCT(('01_Data'!$B101:$AW101&lt;&gt;"")*(1/(1+EXP(-(E101-'03_Lap_b'!$B$5:$AW$5))))^2)</f>
        <v/>
      </c>
      <c r="H101" s="5">
        <f>MEDIAN(-6,E101+(C101-F101)/MAX(F101-G101,0.000000001),6)</f>
        <v/>
      </c>
      <c r="I101" s="5">
        <f>SUMPRODUCT(('01_Data'!$B101:$AW101&lt;&gt;"")*(1/(1+EXP(-(H101-'03_Lap_b'!$B$10:$AW$10)))))</f>
        <v/>
      </c>
      <c r="J101" s="5">
        <f>SUMPRODUCT(('01_Data'!$B101:$AW101&lt;&gt;"")*(1/(1+EXP(-(H101-'03_Lap_b'!$B$10:$AW$10))))^2)</f>
        <v/>
      </c>
      <c r="K101" s="5">
        <f>MEDIAN(-6,H101+(C101-I101)/MAX(I101-J101,0.000000001),6)</f>
        <v/>
      </c>
      <c r="L101" s="5">
        <f>SUMPRODUCT(('01_Data'!$B101:$AW101&lt;&gt;"")*(1/(1+EXP(-(K101-'03_Lap_b'!$B$15:$AW$15)))))</f>
        <v/>
      </c>
      <c r="M101" s="5">
        <f>SUMPRODUCT(('01_Data'!$B101:$AW101&lt;&gt;"")*(1/(1+EXP(-(K101-'03_Lap_b'!$B$15:$AW$15))))^2)</f>
        <v/>
      </c>
      <c r="N101" s="5">
        <f>MEDIAN(-6,K101+(C101-L101)/MAX(L101-M101,0.000000001),6)</f>
        <v/>
      </c>
      <c r="O101" s="5">
        <f>SUMPRODUCT(('01_Data'!$B101:$AW101&lt;&gt;"")*(1/(1+EXP(-(N101-'03_Lap_b'!$B$20:$AW$20)))))</f>
        <v/>
      </c>
      <c r="P101" s="5">
        <f>SUMPRODUCT(('01_Data'!$B101:$AW101&lt;&gt;"")*(1/(1+EXP(-(N101-'03_Lap_b'!$B$20:$AW$20))))^2)</f>
        <v/>
      </c>
      <c r="Q101" s="5">
        <f>MEDIAN(-6,N101+(C101-O101)/MAX(O101-P101,0.000000001),6)</f>
        <v/>
      </c>
      <c r="R101" s="5">
        <f>SUMPRODUCT(('01_Data'!$B101:$AW101&lt;&gt;"")*(1/(1+EXP(-(Q101-'03_Lap_b'!$B$25:$AW$25)))))</f>
        <v/>
      </c>
      <c r="S101" s="5">
        <f>SUMPRODUCT(('01_Data'!$B101:$AW101&lt;&gt;"")*(1/(1+EXP(-(Q101-'03_Lap_b'!$B$25:$AW$25))))^2)</f>
        <v/>
      </c>
      <c r="T101" s="5">
        <f>MEDIAN(-6,Q101+(C101-R101)/MAX(R101-S101,0.000000001),6)</f>
        <v/>
      </c>
      <c r="U101" s="5">
        <f>SUMPRODUCT(('01_Data'!$B101:$AW101&lt;&gt;"")*(1/(1+EXP(-(T101-'03_Lap_b'!$B$30:$AW$30)))))</f>
        <v/>
      </c>
      <c r="V101" s="5">
        <f>SUMPRODUCT(('01_Data'!$B101:$AW101&lt;&gt;"")*(1/(1+EXP(-(T101-'03_Lap_b'!$B$30:$AW$30))))^2)</f>
        <v/>
      </c>
      <c r="W101" s="5">
        <f>MEDIAN(-6,T101+(C101-U101)/MAX(U101-V101,0.000000001),6)</f>
        <v/>
      </c>
      <c r="X101" s="5">
        <f>SUMPRODUCT(('01_Data'!$B101:$AW101&lt;&gt;"")*(1/(1+EXP(-(W101-'03_Lap_b'!$B$35:$AW$35)))))</f>
        <v/>
      </c>
      <c r="Y101" s="5">
        <f>SUMPRODUCT(('01_Data'!$B101:$AW101&lt;&gt;"")*(1/(1+EXP(-(W101-'03_Lap_b'!$B$35:$AW$35))))^2)</f>
        <v/>
      </c>
      <c r="Z101" s="5">
        <f>MEDIAN(-6,W101+(C101-X101)/MAX(X101-Y101,0.000000001),6)</f>
        <v/>
      </c>
      <c r="AA101" s="5">
        <f>SUMPRODUCT(('01_Data'!$B101:$AW101&lt;&gt;"")*(1/(1+EXP(-(Z101-'03_Lap_b'!$B$40:$AW$40)))))</f>
        <v/>
      </c>
      <c r="AB101" s="5">
        <f>SUMPRODUCT(('01_Data'!$B101:$AW101&lt;&gt;"")*(1/(1+EXP(-(Z101-'03_Lap_b'!$B$40:$AW$40))))^2)</f>
        <v/>
      </c>
      <c r="AC101" s="5">
        <f>MEDIAN(-6,Z101+(C101-AA101)/MAX(AA101-AB101,0.000000001),6)</f>
        <v/>
      </c>
    </row>
    <row r="102">
      <c r="A102" t="n">
        <v>101</v>
      </c>
      <c r="B102">
        <f>'01_Data'!A102</f>
        <v/>
      </c>
      <c r="C102">
        <f>SUM('01_Data'!$B102:$AW102)</f>
        <v/>
      </c>
      <c r="D102">
        <f>COUNT('01_Data'!$B102:$AW102)</f>
        <v/>
      </c>
      <c r="E102" s="5">
        <f>MEDIAN(-6,LN((C102+0.3)/(D102-C102+0.3)),6)</f>
        <v/>
      </c>
      <c r="F102" s="5">
        <f>SUMPRODUCT(('01_Data'!$B102:$AW102&lt;&gt;"")*(1/(1+EXP(-(E102-'03_Lap_b'!$B$5:$AW$5)))))</f>
        <v/>
      </c>
      <c r="G102" s="5">
        <f>SUMPRODUCT(('01_Data'!$B102:$AW102&lt;&gt;"")*(1/(1+EXP(-(E102-'03_Lap_b'!$B$5:$AW$5))))^2)</f>
        <v/>
      </c>
      <c r="H102" s="5">
        <f>MEDIAN(-6,E102+(C102-F102)/MAX(F102-G102,0.000000001),6)</f>
        <v/>
      </c>
      <c r="I102" s="5">
        <f>SUMPRODUCT(('01_Data'!$B102:$AW102&lt;&gt;"")*(1/(1+EXP(-(H102-'03_Lap_b'!$B$10:$AW$10)))))</f>
        <v/>
      </c>
      <c r="J102" s="5">
        <f>SUMPRODUCT(('01_Data'!$B102:$AW102&lt;&gt;"")*(1/(1+EXP(-(H102-'03_Lap_b'!$B$10:$AW$10))))^2)</f>
        <v/>
      </c>
      <c r="K102" s="5">
        <f>MEDIAN(-6,H102+(C102-I102)/MAX(I102-J102,0.000000001),6)</f>
        <v/>
      </c>
      <c r="L102" s="5">
        <f>SUMPRODUCT(('01_Data'!$B102:$AW102&lt;&gt;"")*(1/(1+EXP(-(K102-'03_Lap_b'!$B$15:$AW$15)))))</f>
        <v/>
      </c>
      <c r="M102" s="5">
        <f>SUMPRODUCT(('01_Data'!$B102:$AW102&lt;&gt;"")*(1/(1+EXP(-(K102-'03_Lap_b'!$B$15:$AW$15))))^2)</f>
        <v/>
      </c>
      <c r="N102" s="5">
        <f>MEDIAN(-6,K102+(C102-L102)/MAX(L102-M102,0.000000001),6)</f>
        <v/>
      </c>
      <c r="O102" s="5">
        <f>SUMPRODUCT(('01_Data'!$B102:$AW102&lt;&gt;"")*(1/(1+EXP(-(N102-'03_Lap_b'!$B$20:$AW$20)))))</f>
        <v/>
      </c>
      <c r="P102" s="5">
        <f>SUMPRODUCT(('01_Data'!$B102:$AW102&lt;&gt;"")*(1/(1+EXP(-(N102-'03_Lap_b'!$B$20:$AW$20))))^2)</f>
        <v/>
      </c>
      <c r="Q102" s="5">
        <f>MEDIAN(-6,N102+(C102-O102)/MAX(O102-P102,0.000000001),6)</f>
        <v/>
      </c>
      <c r="R102" s="5">
        <f>SUMPRODUCT(('01_Data'!$B102:$AW102&lt;&gt;"")*(1/(1+EXP(-(Q102-'03_Lap_b'!$B$25:$AW$25)))))</f>
        <v/>
      </c>
      <c r="S102" s="5">
        <f>SUMPRODUCT(('01_Data'!$B102:$AW102&lt;&gt;"")*(1/(1+EXP(-(Q102-'03_Lap_b'!$B$25:$AW$25))))^2)</f>
        <v/>
      </c>
      <c r="T102" s="5">
        <f>MEDIAN(-6,Q102+(C102-R102)/MAX(R102-S102,0.000000001),6)</f>
        <v/>
      </c>
      <c r="U102" s="5">
        <f>SUMPRODUCT(('01_Data'!$B102:$AW102&lt;&gt;"")*(1/(1+EXP(-(T102-'03_Lap_b'!$B$30:$AW$30)))))</f>
        <v/>
      </c>
      <c r="V102" s="5">
        <f>SUMPRODUCT(('01_Data'!$B102:$AW102&lt;&gt;"")*(1/(1+EXP(-(T102-'03_Lap_b'!$B$30:$AW$30))))^2)</f>
        <v/>
      </c>
      <c r="W102" s="5">
        <f>MEDIAN(-6,T102+(C102-U102)/MAX(U102-V102,0.000000001),6)</f>
        <v/>
      </c>
      <c r="X102" s="5">
        <f>SUMPRODUCT(('01_Data'!$B102:$AW102&lt;&gt;"")*(1/(1+EXP(-(W102-'03_Lap_b'!$B$35:$AW$35)))))</f>
        <v/>
      </c>
      <c r="Y102" s="5">
        <f>SUMPRODUCT(('01_Data'!$B102:$AW102&lt;&gt;"")*(1/(1+EXP(-(W102-'03_Lap_b'!$B$35:$AW$35))))^2)</f>
        <v/>
      </c>
      <c r="Z102" s="5">
        <f>MEDIAN(-6,W102+(C102-X102)/MAX(X102-Y102,0.000000001),6)</f>
        <v/>
      </c>
      <c r="AA102" s="5">
        <f>SUMPRODUCT(('01_Data'!$B102:$AW102&lt;&gt;"")*(1/(1+EXP(-(Z102-'03_Lap_b'!$B$40:$AW$40)))))</f>
        <v/>
      </c>
      <c r="AB102" s="5">
        <f>SUMPRODUCT(('01_Data'!$B102:$AW102&lt;&gt;"")*(1/(1+EXP(-(Z102-'03_Lap_b'!$B$40:$AW$40))))^2)</f>
        <v/>
      </c>
      <c r="AC102" s="5">
        <f>MEDIAN(-6,Z102+(C102-AA102)/MAX(AA102-AB102,0.000000001),6)</f>
        <v/>
      </c>
    </row>
    <row r="103">
      <c r="A103" t="n">
        <v>102</v>
      </c>
      <c r="B103">
        <f>'01_Data'!A103</f>
        <v/>
      </c>
      <c r="C103">
        <f>SUM('01_Data'!$B103:$AW103)</f>
        <v/>
      </c>
      <c r="D103">
        <f>COUNT('01_Data'!$B103:$AW103)</f>
        <v/>
      </c>
      <c r="E103" s="5">
        <f>MEDIAN(-6,LN((C103+0.3)/(D103-C103+0.3)),6)</f>
        <v/>
      </c>
      <c r="F103" s="5">
        <f>SUMPRODUCT(('01_Data'!$B103:$AW103&lt;&gt;"")*(1/(1+EXP(-(E103-'03_Lap_b'!$B$5:$AW$5)))))</f>
        <v/>
      </c>
      <c r="G103" s="5">
        <f>SUMPRODUCT(('01_Data'!$B103:$AW103&lt;&gt;"")*(1/(1+EXP(-(E103-'03_Lap_b'!$B$5:$AW$5))))^2)</f>
        <v/>
      </c>
      <c r="H103" s="5">
        <f>MEDIAN(-6,E103+(C103-F103)/MAX(F103-G103,0.000000001),6)</f>
        <v/>
      </c>
      <c r="I103" s="5">
        <f>SUMPRODUCT(('01_Data'!$B103:$AW103&lt;&gt;"")*(1/(1+EXP(-(H103-'03_Lap_b'!$B$10:$AW$10)))))</f>
        <v/>
      </c>
      <c r="J103" s="5">
        <f>SUMPRODUCT(('01_Data'!$B103:$AW103&lt;&gt;"")*(1/(1+EXP(-(H103-'03_Lap_b'!$B$10:$AW$10))))^2)</f>
        <v/>
      </c>
      <c r="K103" s="5">
        <f>MEDIAN(-6,H103+(C103-I103)/MAX(I103-J103,0.000000001),6)</f>
        <v/>
      </c>
      <c r="L103" s="5">
        <f>SUMPRODUCT(('01_Data'!$B103:$AW103&lt;&gt;"")*(1/(1+EXP(-(K103-'03_Lap_b'!$B$15:$AW$15)))))</f>
        <v/>
      </c>
      <c r="M103" s="5">
        <f>SUMPRODUCT(('01_Data'!$B103:$AW103&lt;&gt;"")*(1/(1+EXP(-(K103-'03_Lap_b'!$B$15:$AW$15))))^2)</f>
        <v/>
      </c>
      <c r="N103" s="5">
        <f>MEDIAN(-6,K103+(C103-L103)/MAX(L103-M103,0.000000001),6)</f>
        <v/>
      </c>
      <c r="O103" s="5">
        <f>SUMPRODUCT(('01_Data'!$B103:$AW103&lt;&gt;"")*(1/(1+EXP(-(N103-'03_Lap_b'!$B$20:$AW$20)))))</f>
        <v/>
      </c>
      <c r="P103" s="5">
        <f>SUMPRODUCT(('01_Data'!$B103:$AW103&lt;&gt;"")*(1/(1+EXP(-(N103-'03_Lap_b'!$B$20:$AW$20))))^2)</f>
        <v/>
      </c>
      <c r="Q103" s="5">
        <f>MEDIAN(-6,N103+(C103-O103)/MAX(O103-P103,0.000000001),6)</f>
        <v/>
      </c>
      <c r="R103" s="5">
        <f>SUMPRODUCT(('01_Data'!$B103:$AW103&lt;&gt;"")*(1/(1+EXP(-(Q103-'03_Lap_b'!$B$25:$AW$25)))))</f>
        <v/>
      </c>
      <c r="S103" s="5">
        <f>SUMPRODUCT(('01_Data'!$B103:$AW103&lt;&gt;"")*(1/(1+EXP(-(Q103-'03_Lap_b'!$B$25:$AW$25))))^2)</f>
        <v/>
      </c>
      <c r="T103" s="5">
        <f>MEDIAN(-6,Q103+(C103-R103)/MAX(R103-S103,0.000000001),6)</f>
        <v/>
      </c>
      <c r="U103" s="5">
        <f>SUMPRODUCT(('01_Data'!$B103:$AW103&lt;&gt;"")*(1/(1+EXP(-(T103-'03_Lap_b'!$B$30:$AW$30)))))</f>
        <v/>
      </c>
      <c r="V103" s="5">
        <f>SUMPRODUCT(('01_Data'!$B103:$AW103&lt;&gt;"")*(1/(1+EXP(-(T103-'03_Lap_b'!$B$30:$AW$30))))^2)</f>
        <v/>
      </c>
      <c r="W103" s="5">
        <f>MEDIAN(-6,T103+(C103-U103)/MAX(U103-V103,0.000000001),6)</f>
        <v/>
      </c>
      <c r="X103" s="5">
        <f>SUMPRODUCT(('01_Data'!$B103:$AW103&lt;&gt;"")*(1/(1+EXP(-(W103-'03_Lap_b'!$B$35:$AW$35)))))</f>
        <v/>
      </c>
      <c r="Y103" s="5">
        <f>SUMPRODUCT(('01_Data'!$B103:$AW103&lt;&gt;"")*(1/(1+EXP(-(W103-'03_Lap_b'!$B$35:$AW$35))))^2)</f>
        <v/>
      </c>
      <c r="Z103" s="5">
        <f>MEDIAN(-6,W103+(C103-X103)/MAX(X103-Y103,0.000000001),6)</f>
        <v/>
      </c>
      <c r="AA103" s="5">
        <f>SUMPRODUCT(('01_Data'!$B103:$AW103&lt;&gt;"")*(1/(1+EXP(-(Z103-'03_Lap_b'!$B$40:$AW$40)))))</f>
        <v/>
      </c>
      <c r="AB103" s="5">
        <f>SUMPRODUCT(('01_Data'!$B103:$AW103&lt;&gt;"")*(1/(1+EXP(-(Z103-'03_Lap_b'!$B$40:$AW$40))))^2)</f>
        <v/>
      </c>
      <c r="AC103" s="5">
        <f>MEDIAN(-6,Z103+(C103-AA103)/MAX(AA103-AB103,0.000000001),6)</f>
        <v/>
      </c>
    </row>
    <row r="104">
      <c r="A104" t="n">
        <v>103</v>
      </c>
      <c r="B104">
        <f>'01_Data'!A104</f>
        <v/>
      </c>
      <c r="C104">
        <f>SUM('01_Data'!$B104:$AW104)</f>
        <v/>
      </c>
      <c r="D104">
        <f>COUNT('01_Data'!$B104:$AW104)</f>
        <v/>
      </c>
      <c r="E104" s="5">
        <f>MEDIAN(-6,LN((C104+0.3)/(D104-C104+0.3)),6)</f>
        <v/>
      </c>
      <c r="F104" s="5">
        <f>SUMPRODUCT(('01_Data'!$B104:$AW104&lt;&gt;"")*(1/(1+EXP(-(E104-'03_Lap_b'!$B$5:$AW$5)))))</f>
        <v/>
      </c>
      <c r="G104" s="5">
        <f>SUMPRODUCT(('01_Data'!$B104:$AW104&lt;&gt;"")*(1/(1+EXP(-(E104-'03_Lap_b'!$B$5:$AW$5))))^2)</f>
        <v/>
      </c>
      <c r="H104" s="5">
        <f>MEDIAN(-6,E104+(C104-F104)/MAX(F104-G104,0.000000001),6)</f>
        <v/>
      </c>
      <c r="I104" s="5">
        <f>SUMPRODUCT(('01_Data'!$B104:$AW104&lt;&gt;"")*(1/(1+EXP(-(H104-'03_Lap_b'!$B$10:$AW$10)))))</f>
        <v/>
      </c>
      <c r="J104" s="5">
        <f>SUMPRODUCT(('01_Data'!$B104:$AW104&lt;&gt;"")*(1/(1+EXP(-(H104-'03_Lap_b'!$B$10:$AW$10))))^2)</f>
        <v/>
      </c>
      <c r="K104" s="5">
        <f>MEDIAN(-6,H104+(C104-I104)/MAX(I104-J104,0.000000001),6)</f>
        <v/>
      </c>
      <c r="L104" s="5">
        <f>SUMPRODUCT(('01_Data'!$B104:$AW104&lt;&gt;"")*(1/(1+EXP(-(K104-'03_Lap_b'!$B$15:$AW$15)))))</f>
        <v/>
      </c>
      <c r="M104" s="5">
        <f>SUMPRODUCT(('01_Data'!$B104:$AW104&lt;&gt;"")*(1/(1+EXP(-(K104-'03_Lap_b'!$B$15:$AW$15))))^2)</f>
        <v/>
      </c>
      <c r="N104" s="5">
        <f>MEDIAN(-6,K104+(C104-L104)/MAX(L104-M104,0.000000001),6)</f>
        <v/>
      </c>
      <c r="O104" s="5">
        <f>SUMPRODUCT(('01_Data'!$B104:$AW104&lt;&gt;"")*(1/(1+EXP(-(N104-'03_Lap_b'!$B$20:$AW$20)))))</f>
        <v/>
      </c>
      <c r="P104" s="5">
        <f>SUMPRODUCT(('01_Data'!$B104:$AW104&lt;&gt;"")*(1/(1+EXP(-(N104-'03_Lap_b'!$B$20:$AW$20))))^2)</f>
        <v/>
      </c>
      <c r="Q104" s="5">
        <f>MEDIAN(-6,N104+(C104-O104)/MAX(O104-P104,0.000000001),6)</f>
        <v/>
      </c>
      <c r="R104" s="5">
        <f>SUMPRODUCT(('01_Data'!$B104:$AW104&lt;&gt;"")*(1/(1+EXP(-(Q104-'03_Lap_b'!$B$25:$AW$25)))))</f>
        <v/>
      </c>
      <c r="S104" s="5">
        <f>SUMPRODUCT(('01_Data'!$B104:$AW104&lt;&gt;"")*(1/(1+EXP(-(Q104-'03_Lap_b'!$B$25:$AW$25))))^2)</f>
        <v/>
      </c>
      <c r="T104" s="5">
        <f>MEDIAN(-6,Q104+(C104-R104)/MAX(R104-S104,0.000000001),6)</f>
        <v/>
      </c>
      <c r="U104" s="5">
        <f>SUMPRODUCT(('01_Data'!$B104:$AW104&lt;&gt;"")*(1/(1+EXP(-(T104-'03_Lap_b'!$B$30:$AW$30)))))</f>
        <v/>
      </c>
      <c r="V104" s="5">
        <f>SUMPRODUCT(('01_Data'!$B104:$AW104&lt;&gt;"")*(1/(1+EXP(-(T104-'03_Lap_b'!$B$30:$AW$30))))^2)</f>
        <v/>
      </c>
      <c r="W104" s="5">
        <f>MEDIAN(-6,T104+(C104-U104)/MAX(U104-V104,0.000000001),6)</f>
        <v/>
      </c>
      <c r="X104" s="5">
        <f>SUMPRODUCT(('01_Data'!$B104:$AW104&lt;&gt;"")*(1/(1+EXP(-(W104-'03_Lap_b'!$B$35:$AW$35)))))</f>
        <v/>
      </c>
      <c r="Y104" s="5">
        <f>SUMPRODUCT(('01_Data'!$B104:$AW104&lt;&gt;"")*(1/(1+EXP(-(W104-'03_Lap_b'!$B$35:$AW$35))))^2)</f>
        <v/>
      </c>
      <c r="Z104" s="5">
        <f>MEDIAN(-6,W104+(C104-X104)/MAX(X104-Y104,0.000000001),6)</f>
        <v/>
      </c>
      <c r="AA104" s="5">
        <f>SUMPRODUCT(('01_Data'!$B104:$AW104&lt;&gt;"")*(1/(1+EXP(-(Z104-'03_Lap_b'!$B$40:$AW$40)))))</f>
        <v/>
      </c>
      <c r="AB104" s="5">
        <f>SUMPRODUCT(('01_Data'!$B104:$AW104&lt;&gt;"")*(1/(1+EXP(-(Z104-'03_Lap_b'!$B$40:$AW$40))))^2)</f>
        <v/>
      </c>
      <c r="AC104" s="5">
        <f>MEDIAN(-6,Z104+(C104-AA104)/MAX(AA104-AB104,0.000000001),6)</f>
        <v/>
      </c>
    </row>
    <row r="105">
      <c r="A105" t="n">
        <v>104</v>
      </c>
      <c r="B105">
        <f>'01_Data'!A105</f>
        <v/>
      </c>
      <c r="C105">
        <f>SUM('01_Data'!$B105:$AW105)</f>
        <v/>
      </c>
      <c r="D105">
        <f>COUNT('01_Data'!$B105:$AW105)</f>
        <v/>
      </c>
      <c r="E105" s="5">
        <f>MEDIAN(-6,LN((C105+0.3)/(D105-C105+0.3)),6)</f>
        <v/>
      </c>
      <c r="F105" s="5">
        <f>SUMPRODUCT(('01_Data'!$B105:$AW105&lt;&gt;"")*(1/(1+EXP(-(E105-'03_Lap_b'!$B$5:$AW$5)))))</f>
        <v/>
      </c>
      <c r="G105" s="5">
        <f>SUMPRODUCT(('01_Data'!$B105:$AW105&lt;&gt;"")*(1/(1+EXP(-(E105-'03_Lap_b'!$B$5:$AW$5))))^2)</f>
        <v/>
      </c>
      <c r="H105" s="5">
        <f>MEDIAN(-6,E105+(C105-F105)/MAX(F105-G105,0.000000001),6)</f>
        <v/>
      </c>
      <c r="I105" s="5">
        <f>SUMPRODUCT(('01_Data'!$B105:$AW105&lt;&gt;"")*(1/(1+EXP(-(H105-'03_Lap_b'!$B$10:$AW$10)))))</f>
        <v/>
      </c>
      <c r="J105" s="5">
        <f>SUMPRODUCT(('01_Data'!$B105:$AW105&lt;&gt;"")*(1/(1+EXP(-(H105-'03_Lap_b'!$B$10:$AW$10))))^2)</f>
        <v/>
      </c>
      <c r="K105" s="5">
        <f>MEDIAN(-6,H105+(C105-I105)/MAX(I105-J105,0.000000001),6)</f>
        <v/>
      </c>
      <c r="L105" s="5">
        <f>SUMPRODUCT(('01_Data'!$B105:$AW105&lt;&gt;"")*(1/(1+EXP(-(K105-'03_Lap_b'!$B$15:$AW$15)))))</f>
        <v/>
      </c>
      <c r="M105" s="5">
        <f>SUMPRODUCT(('01_Data'!$B105:$AW105&lt;&gt;"")*(1/(1+EXP(-(K105-'03_Lap_b'!$B$15:$AW$15))))^2)</f>
        <v/>
      </c>
      <c r="N105" s="5">
        <f>MEDIAN(-6,K105+(C105-L105)/MAX(L105-M105,0.000000001),6)</f>
        <v/>
      </c>
      <c r="O105" s="5">
        <f>SUMPRODUCT(('01_Data'!$B105:$AW105&lt;&gt;"")*(1/(1+EXP(-(N105-'03_Lap_b'!$B$20:$AW$20)))))</f>
        <v/>
      </c>
      <c r="P105" s="5">
        <f>SUMPRODUCT(('01_Data'!$B105:$AW105&lt;&gt;"")*(1/(1+EXP(-(N105-'03_Lap_b'!$B$20:$AW$20))))^2)</f>
        <v/>
      </c>
      <c r="Q105" s="5">
        <f>MEDIAN(-6,N105+(C105-O105)/MAX(O105-P105,0.000000001),6)</f>
        <v/>
      </c>
      <c r="R105" s="5">
        <f>SUMPRODUCT(('01_Data'!$B105:$AW105&lt;&gt;"")*(1/(1+EXP(-(Q105-'03_Lap_b'!$B$25:$AW$25)))))</f>
        <v/>
      </c>
      <c r="S105" s="5">
        <f>SUMPRODUCT(('01_Data'!$B105:$AW105&lt;&gt;"")*(1/(1+EXP(-(Q105-'03_Lap_b'!$B$25:$AW$25))))^2)</f>
        <v/>
      </c>
      <c r="T105" s="5">
        <f>MEDIAN(-6,Q105+(C105-R105)/MAX(R105-S105,0.000000001),6)</f>
        <v/>
      </c>
      <c r="U105" s="5">
        <f>SUMPRODUCT(('01_Data'!$B105:$AW105&lt;&gt;"")*(1/(1+EXP(-(T105-'03_Lap_b'!$B$30:$AW$30)))))</f>
        <v/>
      </c>
      <c r="V105" s="5">
        <f>SUMPRODUCT(('01_Data'!$B105:$AW105&lt;&gt;"")*(1/(1+EXP(-(T105-'03_Lap_b'!$B$30:$AW$30))))^2)</f>
        <v/>
      </c>
      <c r="W105" s="5">
        <f>MEDIAN(-6,T105+(C105-U105)/MAX(U105-V105,0.000000001),6)</f>
        <v/>
      </c>
      <c r="X105" s="5">
        <f>SUMPRODUCT(('01_Data'!$B105:$AW105&lt;&gt;"")*(1/(1+EXP(-(W105-'03_Lap_b'!$B$35:$AW$35)))))</f>
        <v/>
      </c>
      <c r="Y105" s="5">
        <f>SUMPRODUCT(('01_Data'!$B105:$AW105&lt;&gt;"")*(1/(1+EXP(-(W105-'03_Lap_b'!$B$35:$AW$35))))^2)</f>
        <v/>
      </c>
      <c r="Z105" s="5">
        <f>MEDIAN(-6,W105+(C105-X105)/MAX(X105-Y105,0.000000001),6)</f>
        <v/>
      </c>
      <c r="AA105" s="5">
        <f>SUMPRODUCT(('01_Data'!$B105:$AW105&lt;&gt;"")*(1/(1+EXP(-(Z105-'03_Lap_b'!$B$40:$AW$40)))))</f>
        <v/>
      </c>
      <c r="AB105" s="5">
        <f>SUMPRODUCT(('01_Data'!$B105:$AW105&lt;&gt;"")*(1/(1+EXP(-(Z105-'03_Lap_b'!$B$40:$AW$40))))^2)</f>
        <v/>
      </c>
      <c r="AC105" s="5">
        <f>MEDIAN(-6,Z105+(C105-AA105)/MAX(AA105-AB105,0.000000001),6)</f>
        <v/>
      </c>
    </row>
    <row r="106">
      <c r="A106" t="n">
        <v>105</v>
      </c>
      <c r="B106">
        <f>'01_Data'!A106</f>
        <v/>
      </c>
      <c r="C106">
        <f>SUM('01_Data'!$B106:$AW106)</f>
        <v/>
      </c>
      <c r="D106">
        <f>COUNT('01_Data'!$B106:$AW106)</f>
        <v/>
      </c>
      <c r="E106" s="5">
        <f>MEDIAN(-6,LN((C106+0.3)/(D106-C106+0.3)),6)</f>
        <v/>
      </c>
      <c r="F106" s="5">
        <f>SUMPRODUCT(('01_Data'!$B106:$AW106&lt;&gt;"")*(1/(1+EXP(-(E106-'03_Lap_b'!$B$5:$AW$5)))))</f>
        <v/>
      </c>
      <c r="G106" s="5">
        <f>SUMPRODUCT(('01_Data'!$B106:$AW106&lt;&gt;"")*(1/(1+EXP(-(E106-'03_Lap_b'!$B$5:$AW$5))))^2)</f>
        <v/>
      </c>
      <c r="H106" s="5">
        <f>MEDIAN(-6,E106+(C106-F106)/MAX(F106-G106,0.000000001),6)</f>
        <v/>
      </c>
      <c r="I106" s="5">
        <f>SUMPRODUCT(('01_Data'!$B106:$AW106&lt;&gt;"")*(1/(1+EXP(-(H106-'03_Lap_b'!$B$10:$AW$10)))))</f>
        <v/>
      </c>
      <c r="J106" s="5">
        <f>SUMPRODUCT(('01_Data'!$B106:$AW106&lt;&gt;"")*(1/(1+EXP(-(H106-'03_Lap_b'!$B$10:$AW$10))))^2)</f>
        <v/>
      </c>
      <c r="K106" s="5">
        <f>MEDIAN(-6,H106+(C106-I106)/MAX(I106-J106,0.000000001),6)</f>
        <v/>
      </c>
      <c r="L106" s="5">
        <f>SUMPRODUCT(('01_Data'!$B106:$AW106&lt;&gt;"")*(1/(1+EXP(-(K106-'03_Lap_b'!$B$15:$AW$15)))))</f>
        <v/>
      </c>
      <c r="M106" s="5">
        <f>SUMPRODUCT(('01_Data'!$B106:$AW106&lt;&gt;"")*(1/(1+EXP(-(K106-'03_Lap_b'!$B$15:$AW$15))))^2)</f>
        <v/>
      </c>
      <c r="N106" s="5">
        <f>MEDIAN(-6,K106+(C106-L106)/MAX(L106-M106,0.000000001),6)</f>
        <v/>
      </c>
      <c r="O106" s="5">
        <f>SUMPRODUCT(('01_Data'!$B106:$AW106&lt;&gt;"")*(1/(1+EXP(-(N106-'03_Lap_b'!$B$20:$AW$20)))))</f>
        <v/>
      </c>
      <c r="P106" s="5">
        <f>SUMPRODUCT(('01_Data'!$B106:$AW106&lt;&gt;"")*(1/(1+EXP(-(N106-'03_Lap_b'!$B$20:$AW$20))))^2)</f>
        <v/>
      </c>
      <c r="Q106" s="5">
        <f>MEDIAN(-6,N106+(C106-O106)/MAX(O106-P106,0.000000001),6)</f>
        <v/>
      </c>
      <c r="R106" s="5">
        <f>SUMPRODUCT(('01_Data'!$B106:$AW106&lt;&gt;"")*(1/(1+EXP(-(Q106-'03_Lap_b'!$B$25:$AW$25)))))</f>
        <v/>
      </c>
      <c r="S106" s="5">
        <f>SUMPRODUCT(('01_Data'!$B106:$AW106&lt;&gt;"")*(1/(1+EXP(-(Q106-'03_Lap_b'!$B$25:$AW$25))))^2)</f>
        <v/>
      </c>
      <c r="T106" s="5">
        <f>MEDIAN(-6,Q106+(C106-R106)/MAX(R106-S106,0.000000001),6)</f>
        <v/>
      </c>
      <c r="U106" s="5">
        <f>SUMPRODUCT(('01_Data'!$B106:$AW106&lt;&gt;"")*(1/(1+EXP(-(T106-'03_Lap_b'!$B$30:$AW$30)))))</f>
        <v/>
      </c>
      <c r="V106" s="5">
        <f>SUMPRODUCT(('01_Data'!$B106:$AW106&lt;&gt;"")*(1/(1+EXP(-(T106-'03_Lap_b'!$B$30:$AW$30))))^2)</f>
        <v/>
      </c>
      <c r="W106" s="5">
        <f>MEDIAN(-6,T106+(C106-U106)/MAX(U106-V106,0.000000001),6)</f>
        <v/>
      </c>
      <c r="X106" s="5">
        <f>SUMPRODUCT(('01_Data'!$B106:$AW106&lt;&gt;"")*(1/(1+EXP(-(W106-'03_Lap_b'!$B$35:$AW$35)))))</f>
        <v/>
      </c>
      <c r="Y106" s="5">
        <f>SUMPRODUCT(('01_Data'!$B106:$AW106&lt;&gt;"")*(1/(1+EXP(-(W106-'03_Lap_b'!$B$35:$AW$35))))^2)</f>
        <v/>
      </c>
      <c r="Z106" s="5">
        <f>MEDIAN(-6,W106+(C106-X106)/MAX(X106-Y106,0.000000001),6)</f>
        <v/>
      </c>
      <c r="AA106" s="5">
        <f>SUMPRODUCT(('01_Data'!$B106:$AW106&lt;&gt;"")*(1/(1+EXP(-(Z106-'03_Lap_b'!$B$40:$AW$40)))))</f>
        <v/>
      </c>
      <c r="AB106" s="5">
        <f>SUMPRODUCT(('01_Data'!$B106:$AW106&lt;&gt;"")*(1/(1+EXP(-(Z106-'03_Lap_b'!$B$40:$AW$40))))^2)</f>
        <v/>
      </c>
      <c r="AC106" s="5">
        <f>MEDIAN(-6,Z106+(C106-AA106)/MAX(AA106-AB106,0.000000001),6)</f>
        <v/>
      </c>
    </row>
    <row r="107">
      <c r="A107" t="n">
        <v>106</v>
      </c>
      <c r="B107">
        <f>'01_Data'!A107</f>
        <v/>
      </c>
      <c r="C107">
        <f>SUM('01_Data'!$B107:$AW107)</f>
        <v/>
      </c>
      <c r="D107">
        <f>COUNT('01_Data'!$B107:$AW107)</f>
        <v/>
      </c>
      <c r="E107" s="5">
        <f>MEDIAN(-6,LN((C107+0.3)/(D107-C107+0.3)),6)</f>
        <v/>
      </c>
      <c r="F107" s="5">
        <f>SUMPRODUCT(('01_Data'!$B107:$AW107&lt;&gt;"")*(1/(1+EXP(-(E107-'03_Lap_b'!$B$5:$AW$5)))))</f>
        <v/>
      </c>
      <c r="G107" s="5">
        <f>SUMPRODUCT(('01_Data'!$B107:$AW107&lt;&gt;"")*(1/(1+EXP(-(E107-'03_Lap_b'!$B$5:$AW$5))))^2)</f>
        <v/>
      </c>
      <c r="H107" s="5">
        <f>MEDIAN(-6,E107+(C107-F107)/MAX(F107-G107,0.000000001),6)</f>
        <v/>
      </c>
      <c r="I107" s="5">
        <f>SUMPRODUCT(('01_Data'!$B107:$AW107&lt;&gt;"")*(1/(1+EXP(-(H107-'03_Lap_b'!$B$10:$AW$10)))))</f>
        <v/>
      </c>
      <c r="J107" s="5">
        <f>SUMPRODUCT(('01_Data'!$B107:$AW107&lt;&gt;"")*(1/(1+EXP(-(H107-'03_Lap_b'!$B$10:$AW$10))))^2)</f>
        <v/>
      </c>
      <c r="K107" s="5">
        <f>MEDIAN(-6,H107+(C107-I107)/MAX(I107-J107,0.000000001),6)</f>
        <v/>
      </c>
      <c r="L107" s="5">
        <f>SUMPRODUCT(('01_Data'!$B107:$AW107&lt;&gt;"")*(1/(1+EXP(-(K107-'03_Lap_b'!$B$15:$AW$15)))))</f>
        <v/>
      </c>
      <c r="M107" s="5">
        <f>SUMPRODUCT(('01_Data'!$B107:$AW107&lt;&gt;"")*(1/(1+EXP(-(K107-'03_Lap_b'!$B$15:$AW$15))))^2)</f>
        <v/>
      </c>
      <c r="N107" s="5">
        <f>MEDIAN(-6,K107+(C107-L107)/MAX(L107-M107,0.000000001),6)</f>
        <v/>
      </c>
      <c r="O107" s="5">
        <f>SUMPRODUCT(('01_Data'!$B107:$AW107&lt;&gt;"")*(1/(1+EXP(-(N107-'03_Lap_b'!$B$20:$AW$20)))))</f>
        <v/>
      </c>
      <c r="P107" s="5">
        <f>SUMPRODUCT(('01_Data'!$B107:$AW107&lt;&gt;"")*(1/(1+EXP(-(N107-'03_Lap_b'!$B$20:$AW$20))))^2)</f>
        <v/>
      </c>
      <c r="Q107" s="5">
        <f>MEDIAN(-6,N107+(C107-O107)/MAX(O107-P107,0.000000001),6)</f>
        <v/>
      </c>
      <c r="R107" s="5">
        <f>SUMPRODUCT(('01_Data'!$B107:$AW107&lt;&gt;"")*(1/(1+EXP(-(Q107-'03_Lap_b'!$B$25:$AW$25)))))</f>
        <v/>
      </c>
      <c r="S107" s="5">
        <f>SUMPRODUCT(('01_Data'!$B107:$AW107&lt;&gt;"")*(1/(1+EXP(-(Q107-'03_Lap_b'!$B$25:$AW$25))))^2)</f>
        <v/>
      </c>
      <c r="T107" s="5">
        <f>MEDIAN(-6,Q107+(C107-R107)/MAX(R107-S107,0.000000001),6)</f>
        <v/>
      </c>
      <c r="U107" s="5">
        <f>SUMPRODUCT(('01_Data'!$B107:$AW107&lt;&gt;"")*(1/(1+EXP(-(T107-'03_Lap_b'!$B$30:$AW$30)))))</f>
        <v/>
      </c>
      <c r="V107" s="5">
        <f>SUMPRODUCT(('01_Data'!$B107:$AW107&lt;&gt;"")*(1/(1+EXP(-(T107-'03_Lap_b'!$B$30:$AW$30))))^2)</f>
        <v/>
      </c>
      <c r="W107" s="5">
        <f>MEDIAN(-6,T107+(C107-U107)/MAX(U107-V107,0.000000001),6)</f>
        <v/>
      </c>
      <c r="X107" s="5">
        <f>SUMPRODUCT(('01_Data'!$B107:$AW107&lt;&gt;"")*(1/(1+EXP(-(W107-'03_Lap_b'!$B$35:$AW$35)))))</f>
        <v/>
      </c>
      <c r="Y107" s="5">
        <f>SUMPRODUCT(('01_Data'!$B107:$AW107&lt;&gt;"")*(1/(1+EXP(-(W107-'03_Lap_b'!$B$35:$AW$35))))^2)</f>
        <v/>
      </c>
      <c r="Z107" s="5">
        <f>MEDIAN(-6,W107+(C107-X107)/MAX(X107-Y107,0.000000001),6)</f>
        <v/>
      </c>
      <c r="AA107" s="5">
        <f>SUMPRODUCT(('01_Data'!$B107:$AW107&lt;&gt;"")*(1/(1+EXP(-(Z107-'03_Lap_b'!$B$40:$AW$40)))))</f>
        <v/>
      </c>
      <c r="AB107" s="5">
        <f>SUMPRODUCT(('01_Data'!$B107:$AW107&lt;&gt;"")*(1/(1+EXP(-(Z107-'03_Lap_b'!$B$40:$AW$40))))^2)</f>
        <v/>
      </c>
      <c r="AC107" s="5">
        <f>MEDIAN(-6,Z107+(C107-AA107)/MAX(AA107-AB107,0.000000001),6)</f>
        <v/>
      </c>
    </row>
    <row r="108">
      <c r="A108" t="n">
        <v>107</v>
      </c>
      <c r="B108">
        <f>'01_Data'!A108</f>
        <v/>
      </c>
      <c r="C108">
        <f>SUM('01_Data'!$B108:$AW108)</f>
        <v/>
      </c>
      <c r="D108">
        <f>COUNT('01_Data'!$B108:$AW108)</f>
        <v/>
      </c>
      <c r="E108" s="5">
        <f>MEDIAN(-6,LN((C108+0.3)/(D108-C108+0.3)),6)</f>
        <v/>
      </c>
      <c r="F108" s="5">
        <f>SUMPRODUCT(('01_Data'!$B108:$AW108&lt;&gt;"")*(1/(1+EXP(-(E108-'03_Lap_b'!$B$5:$AW$5)))))</f>
        <v/>
      </c>
      <c r="G108" s="5">
        <f>SUMPRODUCT(('01_Data'!$B108:$AW108&lt;&gt;"")*(1/(1+EXP(-(E108-'03_Lap_b'!$B$5:$AW$5))))^2)</f>
        <v/>
      </c>
      <c r="H108" s="5">
        <f>MEDIAN(-6,E108+(C108-F108)/MAX(F108-G108,0.000000001),6)</f>
        <v/>
      </c>
      <c r="I108" s="5">
        <f>SUMPRODUCT(('01_Data'!$B108:$AW108&lt;&gt;"")*(1/(1+EXP(-(H108-'03_Lap_b'!$B$10:$AW$10)))))</f>
        <v/>
      </c>
      <c r="J108" s="5">
        <f>SUMPRODUCT(('01_Data'!$B108:$AW108&lt;&gt;"")*(1/(1+EXP(-(H108-'03_Lap_b'!$B$10:$AW$10))))^2)</f>
        <v/>
      </c>
      <c r="K108" s="5">
        <f>MEDIAN(-6,H108+(C108-I108)/MAX(I108-J108,0.000000001),6)</f>
        <v/>
      </c>
      <c r="L108" s="5">
        <f>SUMPRODUCT(('01_Data'!$B108:$AW108&lt;&gt;"")*(1/(1+EXP(-(K108-'03_Lap_b'!$B$15:$AW$15)))))</f>
        <v/>
      </c>
      <c r="M108" s="5">
        <f>SUMPRODUCT(('01_Data'!$B108:$AW108&lt;&gt;"")*(1/(1+EXP(-(K108-'03_Lap_b'!$B$15:$AW$15))))^2)</f>
        <v/>
      </c>
      <c r="N108" s="5">
        <f>MEDIAN(-6,K108+(C108-L108)/MAX(L108-M108,0.000000001),6)</f>
        <v/>
      </c>
      <c r="O108" s="5">
        <f>SUMPRODUCT(('01_Data'!$B108:$AW108&lt;&gt;"")*(1/(1+EXP(-(N108-'03_Lap_b'!$B$20:$AW$20)))))</f>
        <v/>
      </c>
      <c r="P108" s="5">
        <f>SUMPRODUCT(('01_Data'!$B108:$AW108&lt;&gt;"")*(1/(1+EXP(-(N108-'03_Lap_b'!$B$20:$AW$20))))^2)</f>
        <v/>
      </c>
      <c r="Q108" s="5">
        <f>MEDIAN(-6,N108+(C108-O108)/MAX(O108-P108,0.000000001),6)</f>
        <v/>
      </c>
      <c r="R108" s="5">
        <f>SUMPRODUCT(('01_Data'!$B108:$AW108&lt;&gt;"")*(1/(1+EXP(-(Q108-'03_Lap_b'!$B$25:$AW$25)))))</f>
        <v/>
      </c>
      <c r="S108" s="5">
        <f>SUMPRODUCT(('01_Data'!$B108:$AW108&lt;&gt;"")*(1/(1+EXP(-(Q108-'03_Lap_b'!$B$25:$AW$25))))^2)</f>
        <v/>
      </c>
      <c r="T108" s="5">
        <f>MEDIAN(-6,Q108+(C108-R108)/MAX(R108-S108,0.000000001),6)</f>
        <v/>
      </c>
      <c r="U108" s="5">
        <f>SUMPRODUCT(('01_Data'!$B108:$AW108&lt;&gt;"")*(1/(1+EXP(-(T108-'03_Lap_b'!$B$30:$AW$30)))))</f>
        <v/>
      </c>
      <c r="V108" s="5">
        <f>SUMPRODUCT(('01_Data'!$B108:$AW108&lt;&gt;"")*(1/(1+EXP(-(T108-'03_Lap_b'!$B$30:$AW$30))))^2)</f>
        <v/>
      </c>
      <c r="W108" s="5">
        <f>MEDIAN(-6,T108+(C108-U108)/MAX(U108-V108,0.000000001),6)</f>
        <v/>
      </c>
      <c r="X108" s="5">
        <f>SUMPRODUCT(('01_Data'!$B108:$AW108&lt;&gt;"")*(1/(1+EXP(-(W108-'03_Lap_b'!$B$35:$AW$35)))))</f>
        <v/>
      </c>
      <c r="Y108" s="5">
        <f>SUMPRODUCT(('01_Data'!$B108:$AW108&lt;&gt;"")*(1/(1+EXP(-(W108-'03_Lap_b'!$B$35:$AW$35))))^2)</f>
        <v/>
      </c>
      <c r="Z108" s="5">
        <f>MEDIAN(-6,W108+(C108-X108)/MAX(X108-Y108,0.000000001),6)</f>
        <v/>
      </c>
      <c r="AA108" s="5">
        <f>SUMPRODUCT(('01_Data'!$B108:$AW108&lt;&gt;"")*(1/(1+EXP(-(Z108-'03_Lap_b'!$B$40:$AW$40)))))</f>
        <v/>
      </c>
      <c r="AB108" s="5">
        <f>SUMPRODUCT(('01_Data'!$B108:$AW108&lt;&gt;"")*(1/(1+EXP(-(Z108-'03_Lap_b'!$B$40:$AW$40))))^2)</f>
        <v/>
      </c>
      <c r="AC108" s="5">
        <f>MEDIAN(-6,Z108+(C108-AA108)/MAX(AA108-AB108,0.000000001),6)</f>
        <v/>
      </c>
    </row>
    <row r="109">
      <c r="A109" t="n">
        <v>108</v>
      </c>
      <c r="B109">
        <f>'01_Data'!A109</f>
        <v/>
      </c>
      <c r="C109">
        <f>SUM('01_Data'!$B109:$AW109)</f>
        <v/>
      </c>
      <c r="D109">
        <f>COUNT('01_Data'!$B109:$AW109)</f>
        <v/>
      </c>
      <c r="E109" s="5">
        <f>MEDIAN(-6,LN((C109+0.3)/(D109-C109+0.3)),6)</f>
        <v/>
      </c>
      <c r="F109" s="5">
        <f>SUMPRODUCT(('01_Data'!$B109:$AW109&lt;&gt;"")*(1/(1+EXP(-(E109-'03_Lap_b'!$B$5:$AW$5)))))</f>
        <v/>
      </c>
      <c r="G109" s="5">
        <f>SUMPRODUCT(('01_Data'!$B109:$AW109&lt;&gt;"")*(1/(1+EXP(-(E109-'03_Lap_b'!$B$5:$AW$5))))^2)</f>
        <v/>
      </c>
      <c r="H109" s="5">
        <f>MEDIAN(-6,E109+(C109-F109)/MAX(F109-G109,0.000000001),6)</f>
        <v/>
      </c>
      <c r="I109" s="5">
        <f>SUMPRODUCT(('01_Data'!$B109:$AW109&lt;&gt;"")*(1/(1+EXP(-(H109-'03_Lap_b'!$B$10:$AW$10)))))</f>
        <v/>
      </c>
      <c r="J109" s="5">
        <f>SUMPRODUCT(('01_Data'!$B109:$AW109&lt;&gt;"")*(1/(1+EXP(-(H109-'03_Lap_b'!$B$10:$AW$10))))^2)</f>
        <v/>
      </c>
      <c r="K109" s="5">
        <f>MEDIAN(-6,H109+(C109-I109)/MAX(I109-J109,0.000000001),6)</f>
        <v/>
      </c>
      <c r="L109" s="5">
        <f>SUMPRODUCT(('01_Data'!$B109:$AW109&lt;&gt;"")*(1/(1+EXP(-(K109-'03_Lap_b'!$B$15:$AW$15)))))</f>
        <v/>
      </c>
      <c r="M109" s="5">
        <f>SUMPRODUCT(('01_Data'!$B109:$AW109&lt;&gt;"")*(1/(1+EXP(-(K109-'03_Lap_b'!$B$15:$AW$15))))^2)</f>
        <v/>
      </c>
      <c r="N109" s="5">
        <f>MEDIAN(-6,K109+(C109-L109)/MAX(L109-M109,0.000000001),6)</f>
        <v/>
      </c>
      <c r="O109" s="5">
        <f>SUMPRODUCT(('01_Data'!$B109:$AW109&lt;&gt;"")*(1/(1+EXP(-(N109-'03_Lap_b'!$B$20:$AW$20)))))</f>
        <v/>
      </c>
      <c r="P109" s="5">
        <f>SUMPRODUCT(('01_Data'!$B109:$AW109&lt;&gt;"")*(1/(1+EXP(-(N109-'03_Lap_b'!$B$20:$AW$20))))^2)</f>
        <v/>
      </c>
      <c r="Q109" s="5">
        <f>MEDIAN(-6,N109+(C109-O109)/MAX(O109-P109,0.000000001),6)</f>
        <v/>
      </c>
      <c r="R109" s="5">
        <f>SUMPRODUCT(('01_Data'!$B109:$AW109&lt;&gt;"")*(1/(1+EXP(-(Q109-'03_Lap_b'!$B$25:$AW$25)))))</f>
        <v/>
      </c>
      <c r="S109" s="5">
        <f>SUMPRODUCT(('01_Data'!$B109:$AW109&lt;&gt;"")*(1/(1+EXP(-(Q109-'03_Lap_b'!$B$25:$AW$25))))^2)</f>
        <v/>
      </c>
      <c r="T109" s="5">
        <f>MEDIAN(-6,Q109+(C109-R109)/MAX(R109-S109,0.000000001),6)</f>
        <v/>
      </c>
      <c r="U109" s="5">
        <f>SUMPRODUCT(('01_Data'!$B109:$AW109&lt;&gt;"")*(1/(1+EXP(-(T109-'03_Lap_b'!$B$30:$AW$30)))))</f>
        <v/>
      </c>
      <c r="V109" s="5">
        <f>SUMPRODUCT(('01_Data'!$B109:$AW109&lt;&gt;"")*(1/(1+EXP(-(T109-'03_Lap_b'!$B$30:$AW$30))))^2)</f>
        <v/>
      </c>
      <c r="W109" s="5">
        <f>MEDIAN(-6,T109+(C109-U109)/MAX(U109-V109,0.000000001),6)</f>
        <v/>
      </c>
      <c r="X109" s="5">
        <f>SUMPRODUCT(('01_Data'!$B109:$AW109&lt;&gt;"")*(1/(1+EXP(-(W109-'03_Lap_b'!$B$35:$AW$35)))))</f>
        <v/>
      </c>
      <c r="Y109" s="5">
        <f>SUMPRODUCT(('01_Data'!$B109:$AW109&lt;&gt;"")*(1/(1+EXP(-(W109-'03_Lap_b'!$B$35:$AW$35))))^2)</f>
        <v/>
      </c>
      <c r="Z109" s="5">
        <f>MEDIAN(-6,W109+(C109-X109)/MAX(X109-Y109,0.000000001),6)</f>
        <v/>
      </c>
      <c r="AA109" s="5">
        <f>SUMPRODUCT(('01_Data'!$B109:$AW109&lt;&gt;"")*(1/(1+EXP(-(Z109-'03_Lap_b'!$B$40:$AW$40)))))</f>
        <v/>
      </c>
      <c r="AB109" s="5">
        <f>SUMPRODUCT(('01_Data'!$B109:$AW109&lt;&gt;"")*(1/(1+EXP(-(Z109-'03_Lap_b'!$B$40:$AW$40))))^2)</f>
        <v/>
      </c>
      <c r="AC109" s="5">
        <f>MEDIAN(-6,Z109+(C109-AA109)/MAX(AA109-AB109,0.000000001),6)</f>
        <v/>
      </c>
    </row>
    <row r="110">
      <c r="A110" t="n">
        <v>109</v>
      </c>
      <c r="B110">
        <f>'01_Data'!A110</f>
        <v/>
      </c>
      <c r="C110">
        <f>SUM('01_Data'!$B110:$AW110)</f>
        <v/>
      </c>
      <c r="D110">
        <f>COUNT('01_Data'!$B110:$AW110)</f>
        <v/>
      </c>
      <c r="E110" s="5">
        <f>MEDIAN(-6,LN((C110+0.3)/(D110-C110+0.3)),6)</f>
        <v/>
      </c>
      <c r="F110" s="5">
        <f>SUMPRODUCT(('01_Data'!$B110:$AW110&lt;&gt;"")*(1/(1+EXP(-(E110-'03_Lap_b'!$B$5:$AW$5)))))</f>
        <v/>
      </c>
      <c r="G110" s="5">
        <f>SUMPRODUCT(('01_Data'!$B110:$AW110&lt;&gt;"")*(1/(1+EXP(-(E110-'03_Lap_b'!$B$5:$AW$5))))^2)</f>
        <v/>
      </c>
      <c r="H110" s="5">
        <f>MEDIAN(-6,E110+(C110-F110)/MAX(F110-G110,0.000000001),6)</f>
        <v/>
      </c>
      <c r="I110" s="5">
        <f>SUMPRODUCT(('01_Data'!$B110:$AW110&lt;&gt;"")*(1/(1+EXP(-(H110-'03_Lap_b'!$B$10:$AW$10)))))</f>
        <v/>
      </c>
      <c r="J110" s="5">
        <f>SUMPRODUCT(('01_Data'!$B110:$AW110&lt;&gt;"")*(1/(1+EXP(-(H110-'03_Lap_b'!$B$10:$AW$10))))^2)</f>
        <v/>
      </c>
      <c r="K110" s="5">
        <f>MEDIAN(-6,H110+(C110-I110)/MAX(I110-J110,0.000000001),6)</f>
        <v/>
      </c>
      <c r="L110" s="5">
        <f>SUMPRODUCT(('01_Data'!$B110:$AW110&lt;&gt;"")*(1/(1+EXP(-(K110-'03_Lap_b'!$B$15:$AW$15)))))</f>
        <v/>
      </c>
      <c r="M110" s="5">
        <f>SUMPRODUCT(('01_Data'!$B110:$AW110&lt;&gt;"")*(1/(1+EXP(-(K110-'03_Lap_b'!$B$15:$AW$15))))^2)</f>
        <v/>
      </c>
      <c r="N110" s="5">
        <f>MEDIAN(-6,K110+(C110-L110)/MAX(L110-M110,0.000000001),6)</f>
        <v/>
      </c>
      <c r="O110" s="5">
        <f>SUMPRODUCT(('01_Data'!$B110:$AW110&lt;&gt;"")*(1/(1+EXP(-(N110-'03_Lap_b'!$B$20:$AW$20)))))</f>
        <v/>
      </c>
      <c r="P110" s="5">
        <f>SUMPRODUCT(('01_Data'!$B110:$AW110&lt;&gt;"")*(1/(1+EXP(-(N110-'03_Lap_b'!$B$20:$AW$20))))^2)</f>
        <v/>
      </c>
      <c r="Q110" s="5">
        <f>MEDIAN(-6,N110+(C110-O110)/MAX(O110-P110,0.000000001),6)</f>
        <v/>
      </c>
      <c r="R110" s="5">
        <f>SUMPRODUCT(('01_Data'!$B110:$AW110&lt;&gt;"")*(1/(1+EXP(-(Q110-'03_Lap_b'!$B$25:$AW$25)))))</f>
        <v/>
      </c>
      <c r="S110" s="5">
        <f>SUMPRODUCT(('01_Data'!$B110:$AW110&lt;&gt;"")*(1/(1+EXP(-(Q110-'03_Lap_b'!$B$25:$AW$25))))^2)</f>
        <v/>
      </c>
      <c r="T110" s="5">
        <f>MEDIAN(-6,Q110+(C110-R110)/MAX(R110-S110,0.000000001),6)</f>
        <v/>
      </c>
      <c r="U110" s="5">
        <f>SUMPRODUCT(('01_Data'!$B110:$AW110&lt;&gt;"")*(1/(1+EXP(-(T110-'03_Lap_b'!$B$30:$AW$30)))))</f>
        <v/>
      </c>
      <c r="V110" s="5">
        <f>SUMPRODUCT(('01_Data'!$B110:$AW110&lt;&gt;"")*(1/(1+EXP(-(T110-'03_Lap_b'!$B$30:$AW$30))))^2)</f>
        <v/>
      </c>
      <c r="W110" s="5">
        <f>MEDIAN(-6,T110+(C110-U110)/MAX(U110-V110,0.000000001),6)</f>
        <v/>
      </c>
      <c r="X110" s="5">
        <f>SUMPRODUCT(('01_Data'!$B110:$AW110&lt;&gt;"")*(1/(1+EXP(-(W110-'03_Lap_b'!$B$35:$AW$35)))))</f>
        <v/>
      </c>
      <c r="Y110" s="5">
        <f>SUMPRODUCT(('01_Data'!$B110:$AW110&lt;&gt;"")*(1/(1+EXP(-(W110-'03_Lap_b'!$B$35:$AW$35))))^2)</f>
        <v/>
      </c>
      <c r="Z110" s="5">
        <f>MEDIAN(-6,W110+(C110-X110)/MAX(X110-Y110,0.000000001),6)</f>
        <v/>
      </c>
      <c r="AA110" s="5">
        <f>SUMPRODUCT(('01_Data'!$B110:$AW110&lt;&gt;"")*(1/(1+EXP(-(Z110-'03_Lap_b'!$B$40:$AW$40)))))</f>
        <v/>
      </c>
      <c r="AB110" s="5">
        <f>SUMPRODUCT(('01_Data'!$B110:$AW110&lt;&gt;"")*(1/(1+EXP(-(Z110-'03_Lap_b'!$B$40:$AW$40))))^2)</f>
        <v/>
      </c>
      <c r="AC110" s="5">
        <f>MEDIAN(-6,Z110+(C110-AA110)/MAX(AA110-AB110,0.000000001),6)</f>
        <v/>
      </c>
    </row>
    <row r="111">
      <c r="A111" t="n">
        <v>110</v>
      </c>
      <c r="B111">
        <f>'01_Data'!A111</f>
        <v/>
      </c>
      <c r="C111">
        <f>SUM('01_Data'!$B111:$AW111)</f>
        <v/>
      </c>
      <c r="D111">
        <f>COUNT('01_Data'!$B111:$AW111)</f>
        <v/>
      </c>
      <c r="E111" s="5">
        <f>MEDIAN(-6,LN((C111+0.3)/(D111-C111+0.3)),6)</f>
        <v/>
      </c>
      <c r="F111" s="5">
        <f>SUMPRODUCT(('01_Data'!$B111:$AW111&lt;&gt;"")*(1/(1+EXP(-(E111-'03_Lap_b'!$B$5:$AW$5)))))</f>
        <v/>
      </c>
      <c r="G111" s="5">
        <f>SUMPRODUCT(('01_Data'!$B111:$AW111&lt;&gt;"")*(1/(1+EXP(-(E111-'03_Lap_b'!$B$5:$AW$5))))^2)</f>
        <v/>
      </c>
      <c r="H111" s="5">
        <f>MEDIAN(-6,E111+(C111-F111)/MAX(F111-G111,0.000000001),6)</f>
        <v/>
      </c>
      <c r="I111" s="5">
        <f>SUMPRODUCT(('01_Data'!$B111:$AW111&lt;&gt;"")*(1/(1+EXP(-(H111-'03_Lap_b'!$B$10:$AW$10)))))</f>
        <v/>
      </c>
      <c r="J111" s="5">
        <f>SUMPRODUCT(('01_Data'!$B111:$AW111&lt;&gt;"")*(1/(1+EXP(-(H111-'03_Lap_b'!$B$10:$AW$10))))^2)</f>
        <v/>
      </c>
      <c r="K111" s="5">
        <f>MEDIAN(-6,H111+(C111-I111)/MAX(I111-J111,0.000000001),6)</f>
        <v/>
      </c>
      <c r="L111" s="5">
        <f>SUMPRODUCT(('01_Data'!$B111:$AW111&lt;&gt;"")*(1/(1+EXP(-(K111-'03_Lap_b'!$B$15:$AW$15)))))</f>
        <v/>
      </c>
      <c r="M111" s="5">
        <f>SUMPRODUCT(('01_Data'!$B111:$AW111&lt;&gt;"")*(1/(1+EXP(-(K111-'03_Lap_b'!$B$15:$AW$15))))^2)</f>
        <v/>
      </c>
      <c r="N111" s="5">
        <f>MEDIAN(-6,K111+(C111-L111)/MAX(L111-M111,0.000000001),6)</f>
        <v/>
      </c>
      <c r="O111" s="5">
        <f>SUMPRODUCT(('01_Data'!$B111:$AW111&lt;&gt;"")*(1/(1+EXP(-(N111-'03_Lap_b'!$B$20:$AW$20)))))</f>
        <v/>
      </c>
      <c r="P111" s="5">
        <f>SUMPRODUCT(('01_Data'!$B111:$AW111&lt;&gt;"")*(1/(1+EXP(-(N111-'03_Lap_b'!$B$20:$AW$20))))^2)</f>
        <v/>
      </c>
      <c r="Q111" s="5">
        <f>MEDIAN(-6,N111+(C111-O111)/MAX(O111-P111,0.000000001),6)</f>
        <v/>
      </c>
      <c r="R111" s="5">
        <f>SUMPRODUCT(('01_Data'!$B111:$AW111&lt;&gt;"")*(1/(1+EXP(-(Q111-'03_Lap_b'!$B$25:$AW$25)))))</f>
        <v/>
      </c>
      <c r="S111" s="5">
        <f>SUMPRODUCT(('01_Data'!$B111:$AW111&lt;&gt;"")*(1/(1+EXP(-(Q111-'03_Lap_b'!$B$25:$AW$25))))^2)</f>
        <v/>
      </c>
      <c r="T111" s="5">
        <f>MEDIAN(-6,Q111+(C111-R111)/MAX(R111-S111,0.000000001),6)</f>
        <v/>
      </c>
      <c r="U111" s="5">
        <f>SUMPRODUCT(('01_Data'!$B111:$AW111&lt;&gt;"")*(1/(1+EXP(-(T111-'03_Lap_b'!$B$30:$AW$30)))))</f>
        <v/>
      </c>
      <c r="V111" s="5">
        <f>SUMPRODUCT(('01_Data'!$B111:$AW111&lt;&gt;"")*(1/(1+EXP(-(T111-'03_Lap_b'!$B$30:$AW$30))))^2)</f>
        <v/>
      </c>
      <c r="W111" s="5">
        <f>MEDIAN(-6,T111+(C111-U111)/MAX(U111-V111,0.000000001),6)</f>
        <v/>
      </c>
      <c r="X111" s="5">
        <f>SUMPRODUCT(('01_Data'!$B111:$AW111&lt;&gt;"")*(1/(1+EXP(-(W111-'03_Lap_b'!$B$35:$AW$35)))))</f>
        <v/>
      </c>
      <c r="Y111" s="5">
        <f>SUMPRODUCT(('01_Data'!$B111:$AW111&lt;&gt;"")*(1/(1+EXP(-(W111-'03_Lap_b'!$B$35:$AW$35))))^2)</f>
        <v/>
      </c>
      <c r="Z111" s="5">
        <f>MEDIAN(-6,W111+(C111-X111)/MAX(X111-Y111,0.000000001),6)</f>
        <v/>
      </c>
      <c r="AA111" s="5">
        <f>SUMPRODUCT(('01_Data'!$B111:$AW111&lt;&gt;"")*(1/(1+EXP(-(Z111-'03_Lap_b'!$B$40:$AW$40)))))</f>
        <v/>
      </c>
      <c r="AB111" s="5">
        <f>SUMPRODUCT(('01_Data'!$B111:$AW111&lt;&gt;"")*(1/(1+EXP(-(Z111-'03_Lap_b'!$B$40:$AW$40))))^2)</f>
        <v/>
      </c>
      <c r="AC111" s="5">
        <f>MEDIAN(-6,Z111+(C111-AA111)/MAX(AA111-AB111,0.000000001),6)</f>
        <v/>
      </c>
    </row>
    <row r="112">
      <c r="A112" t="n">
        <v>111</v>
      </c>
      <c r="B112">
        <f>'01_Data'!A112</f>
        <v/>
      </c>
      <c r="C112">
        <f>SUM('01_Data'!$B112:$AW112)</f>
        <v/>
      </c>
      <c r="D112">
        <f>COUNT('01_Data'!$B112:$AW112)</f>
        <v/>
      </c>
      <c r="E112" s="5">
        <f>MEDIAN(-6,LN((C112+0.3)/(D112-C112+0.3)),6)</f>
        <v/>
      </c>
      <c r="F112" s="5">
        <f>SUMPRODUCT(('01_Data'!$B112:$AW112&lt;&gt;"")*(1/(1+EXP(-(E112-'03_Lap_b'!$B$5:$AW$5)))))</f>
        <v/>
      </c>
      <c r="G112" s="5">
        <f>SUMPRODUCT(('01_Data'!$B112:$AW112&lt;&gt;"")*(1/(1+EXP(-(E112-'03_Lap_b'!$B$5:$AW$5))))^2)</f>
        <v/>
      </c>
      <c r="H112" s="5">
        <f>MEDIAN(-6,E112+(C112-F112)/MAX(F112-G112,0.000000001),6)</f>
        <v/>
      </c>
      <c r="I112" s="5">
        <f>SUMPRODUCT(('01_Data'!$B112:$AW112&lt;&gt;"")*(1/(1+EXP(-(H112-'03_Lap_b'!$B$10:$AW$10)))))</f>
        <v/>
      </c>
      <c r="J112" s="5">
        <f>SUMPRODUCT(('01_Data'!$B112:$AW112&lt;&gt;"")*(1/(1+EXP(-(H112-'03_Lap_b'!$B$10:$AW$10))))^2)</f>
        <v/>
      </c>
      <c r="K112" s="5">
        <f>MEDIAN(-6,H112+(C112-I112)/MAX(I112-J112,0.000000001),6)</f>
        <v/>
      </c>
      <c r="L112" s="5">
        <f>SUMPRODUCT(('01_Data'!$B112:$AW112&lt;&gt;"")*(1/(1+EXP(-(K112-'03_Lap_b'!$B$15:$AW$15)))))</f>
        <v/>
      </c>
      <c r="M112" s="5">
        <f>SUMPRODUCT(('01_Data'!$B112:$AW112&lt;&gt;"")*(1/(1+EXP(-(K112-'03_Lap_b'!$B$15:$AW$15))))^2)</f>
        <v/>
      </c>
      <c r="N112" s="5">
        <f>MEDIAN(-6,K112+(C112-L112)/MAX(L112-M112,0.000000001),6)</f>
        <v/>
      </c>
      <c r="O112" s="5">
        <f>SUMPRODUCT(('01_Data'!$B112:$AW112&lt;&gt;"")*(1/(1+EXP(-(N112-'03_Lap_b'!$B$20:$AW$20)))))</f>
        <v/>
      </c>
      <c r="P112" s="5">
        <f>SUMPRODUCT(('01_Data'!$B112:$AW112&lt;&gt;"")*(1/(1+EXP(-(N112-'03_Lap_b'!$B$20:$AW$20))))^2)</f>
        <v/>
      </c>
      <c r="Q112" s="5">
        <f>MEDIAN(-6,N112+(C112-O112)/MAX(O112-P112,0.000000001),6)</f>
        <v/>
      </c>
      <c r="R112" s="5">
        <f>SUMPRODUCT(('01_Data'!$B112:$AW112&lt;&gt;"")*(1/(1+EXP(-(Q112-'03_Lap_b'!$B$25:$AW$25)))))</f>
        <v/>
      </c>
      <c r="S112" s="5">
        <f>SUMPRODUCT(('01_Data'!$B112:$AW112&lt;&gt;"")*(1/(1+EXP(-(Q112-'03_Lap_b'!$B$25:$AW$25))))^2)</f>
        <v/>
      </c>
      <c r="T112" s="5">
        <f>MEDIAN(-6,Q112+(C112-R112)/MAX(R112-S112,0.000000001),6)</f>
        <v/>
      </c>
      <c r="U112" s="5">
        <f>SUMPRODUCT(('01_Data'!$B112:$AW112&lt;&gt;"")*(1/(1+EXP(-(T112-'03_Lap_b'!$B$30:$AW$30)))))</f>
        <v/>
      </c>
      <c r="V112" s="5">
        <f>SUMPRODUCT(('01_Data'!$B112:$AW112&lt;&gt;"")*(1/(1+EXP(-(T112-'03_Lap_b'!$B$30:$AW$30))))^2)</f>
        <v/>
      </c>
      <c r="W112" s="5">
        <f>MEDIAN(-6,T112+(C112-U112)/MAX(U112-V112,0.000000001),6)</f>
        <v/>
      </c>
      <c r="X112" s="5">
        <f>SUMPRODUCT(('01_Data'!$B112:$AW112&lt;&gt;"")*(1/(1+EXP(-(W112-'03_Lap_b'!$B$35:$AW$35)))))</f>
        <v/>
      </c>
      <c r="Y112" s="5">
        <f>SUMPRODUCT(('01_Data'!$B112:$AW112&lt;&gt;"")*(1/(1+EXP(-(W112-'03_Lap_b'!$B$35:$AW$35))))^2)</f>
        <v/>
      </c>
      <c r="Z112" s="5">
        <f>MEDIAN(-6,W112+(C112-X112)/MAX(X112-Y112,0.000000001),6)</f>
        <v/>
      </c>
      <c r="AA112" s="5">
        <f>SUMPRODUCT(('01_Data'!$B112:$AW112&lt;&gt;"")*(1/(1+EXP(-(Z112-'03_Lap_b'!$B$40:$AW$40)))))</f>
        <v/>
      </c>
      <c r="AB112" s="5">
        <f>SUMPRODUCT(('01_Data'!$B112:$AW112&lt;&gt;"")*(1/(1+EXP(-(Z112-'03_Lap_b'!$B$40:$AW$40))))^2)</f>
        <v/>
      </c>
      <c r="AC112" s="5">
        <f>MEDIAN(-6,Z112+(C112-AA112)/MAX(AA112-AB112,0.000000001),6)</f>
        <v/>
      </c>
    </row>
    <row r="113">
      <c r="A113" t="n">
        <v>112</v>
      </c>
      <c r="B113">
        <f>'01_Data'!A113</f>
        <v/>
      </c>
      <c r="C113">
        <f>SUM('01_Data'!$B113:$AW113)</f>
        <v/>
      </c>
      <c r="D113">
        <f>COUNT('01_Data'!$B113:$AW113)</f>
        <v/>
      </c>
      <c r="E113" s="5">
        <f>MEDIAN(-6,LN((C113+0.3)/(D113-C113+0.3)),6)</f>
        <v/>
      </c>
      <c r="F113" s="5">
        <f>SUMPRODUCT(('01_Data'!$B113:$AW113&lt;&gt;"")*(1/(1+EXP(-(E113-'03_Lap_b'!$B$5:$AW$5)))))</f>
        <v/>
      </c>
      <c r="G113" s="5">
        <f>SUMPRODUCT(('01_Data'!$B113:$AW113&lt;&gt;"")*(1/(1+EXP(-(E113-'03_Lap_b'!$B$5:$AW$5))))^2)</f>
        <v/>
      </c>
      <c r="H113" s="5">
        <f>MEDIAN(-6,E113+(C113-F113)/MAX(F113-G113,0.000000001),6)</f>
        <v/>
      </c>
      <c r="I113" s="5">
        <f>SUMPRODUCT(('01_Data'!$B113:$AW113&lt;&gt;"")*(1/(1+EXP(-(H113-'03_Lap_b'!$B$10:$AW$10)))))</f>
        <v/>
      </c>
      <c r="J113" s="5">
        <f>SUMPRODUCT(('01_Data'!$B113:$AW113&lt;&gt;"")*(1/(1+EXP(-(H113-'03_Lap_b'!$B$10:$AW$10))))^2)</f>
        <v/>
      </c>
      <c r="K113" s="5">
        <f>MEDIAN(-6,H113+(C113-I113)/MAX(I113-J113,0.000000001),6)</f>
        <v/>
      </c>
      <c r="L113" s="5">
        <f>SUMPRODUCT(('01_Data'!$B113:$AW113&lt;&gt;"")*(1/(1+EXP(-(K113-'03_Lap_b'!$B$15:$AW$15)))))</f>
        <v/>
      </c>
      <c r="M113" s="5">
        <f>SUMPRODUCT(('01_Data'!$B113:$AW113&lt;&gt;"")*(1/(1+EXP(-(K113-'03_Lap_b'!$B$15:$AW$15))))^2)</f>
        <v/>
      </c>
      <c r="N113" s="5">
        <f>MEDIAN(-6,K113+(C113-L113)/MAX(L113-M113,0.000000001),6)</f>
        <v/>
      </c>
      <c r="O113" s="5">
        <f>SUMPRODUCT(('01_Data'!$B113:$AW113&lt;&gt;"")*(1/(1+EXP(-(N113-'03_Lap_b'!$B$20:$AW$20)))))</f>
        <v/>
      </c>
      <c r="P113" s="5">
        <f>SUMPRODUCT(('01_Data'!$B113:$AW113&lt;&gt;"")*(1/(1+EXP(-(N113-'03_Lap_b'!$B$20:$AW$20))))^2)</f>
        <v/>
      </c>
      <c r="Q113" s="5">
        <f>MEDIAN(-6,N113+(C113-O113)/MAX(O113-P113,0.000000001),6)</f>
        <v/>
      </c>
      <c r="R113" s="5">
        <f>SUMPRODUCT(('01_Data'!$B113:$AW113&lt;&gt;"")*(1/(1+EXP(-(Q113-'03_Lap_b'!$B$25:$AW$25)))))</f>
        <v/>
      </c>
      <c r="S113" s="5">
        <f>SUMPRODUCT(('01_Data'!$B113:$AW113&lt;&gt;"")*(1/(1+EXP(-(Q113-'03_Lap_b'!$B$25:$AW$25))))^2)</f>
        <v/>
      </c>
      <c r="T113" s="5">
        <f>MEDIAN(-6,Q113+(C113-R113)/MAX(R113-S113,0.000000001),6)</f>
        <v/>
      </c>
      <c r="U113" s="5">
        <f>SUMPRODUCT(('01_Data'!$B113:$AW113&lt;&gt;"")*(1/(1+EXP(-(T113-'03_Lap_b'!$B$30:$AW$30)))))</f>
        <v/>
      </c>
      <c r="V113" s="5">
        <f>SUMPRODUCT(('01_Data'!$B113:$AW113&lt;&gt;"")*(1/(1+EXP(-(T113-'03_Lap_b'!$B$30:$AW$30))))^2)</f>
        <v/>
      </c>
      <c r="W113" s="5">
        <f>MEDIAN(-6,T113+(C113-U113)/MAX(U113-V113,0.000000001),6)</f>
        <v/>
      </c>
      <c r="X113" s="5">
        <f>SUMPRODUCT(('01_Data'!$B113:$AW113&lt;&gt;"")*(1/(1+EXP(-(W113-'03_Lap_b'!$B$35:$AW$35)))))</f>
        <v/>
      </c>
      <c r="Y113" s="5">
        <f>SUMPRODUCT(('01_Data'!$B113:$AW113&lt;&gt;"")*(1/(1+EXP(-(W113-'03_Lap_b'!$B$35:$AW$35))))^2)</f>
        <v/>
      </c>
      <c r="Z113" s="5">
        <f>MEDIAN(-6,W113+(C113-X113)/MAX(X113-Y113,0.000000001),6)</f>
        <v/>
      </c>
      <c r="AA113" s="5">
        <f>SUMPRODUCT(('01_Data'!$B113:$AW113&lt;&gt;"")*(1/(1+EXP(-(Z113-'03_Lap_b'!$B$40:$AW$40)))))</f>
        <v/>
      </c>
      <c r="AB113" s="5">
        <f>SUMPRODUCT(('01_Data'!$B113:$AW113&lt;&gt;"")*(1/(1+EXP(-(Z113-'03_Lap_b'!$B$40:$AW$40))))^2)</f>
        <v/>
      </c>
      <c r="AC113" s="5">
        <f>MEDIAN(-6,Z113+(C113-AA113)/MAX(AA113-AB113,0.000000001),6)</f>
        <v/>
      </c>
    </row>
    <row r="114">
      <c r="A114" t="n">
        <v>113</v>
      </c>
      <c r="B114">
        <f>'01_Data'!A114</f>
        <v/>
      </c>
      <c r="C114">
        <f>SUM('01_Data'!$B114:$AW114)</f>
        <v/>
      </c>
      <c r="D114">
        <f>COUNT('01_Data'!$B114:$AW114)</f>
        <v/>
      </c>
      <c r="E114" s="5">
        <f>MEDIAN(-6,LN((C114+0.3)/(D114-C114+0.3)),6)</f>
        <v/>
      </c>
      <c r="F114" s="5">
        <f>SUMPRODUCT(('01_Data'!$B114:$AW114&lt;&gt;"")*(1/(1+EXP(-(E114-'03_Lap_b'!$B$5:$AW$5)))))</f>
        <v/>
      </c>
      <c r="G114" s="5">
        <f>SUMPRODUCT(('01_Data'!$B114:$AW114&lt;&gt;"")*(1/(1+EXP(-(E114-'03_Lap_b'!$B$5:$AW$5))))^2)</f>
        <v/>
      </c>
      <c r="H114" s="5">
        <f>MEDIAN(-6,E114+(C114-F114)/MAX(F114-G114,0.000000001),6)</f>
        <v/>
      </c>
      <c r="I114" s="5">
        <f>SUMPRODUCT(('01_Data'!$B114:$AW114&lt;&gt;"")*(1/(1+EXP(-(H114-'03_Lap_b'!$B$10:$AW$10)))))</f>
        <v/>
      </c>
      <c r="J114" s="5">
        <f>SUMPRODUCT(('01_Data'!$B114:$AW114&lt;&gt;"")*(1/(1+EXP(-(H114-'03_Lap_b'!$B$10:$AW$10))))^2)</f>
        <v/>
      </c>
      <c r="K114" s="5">
        <f>MEDIAN(-6,H114+(C114-I114)/MAX(I114-J114,0.000000001),6)</f>
        <v/>
      </c>
      <c r="L114" s="5">
        <f>SUMPRODUCT(('01_Data'!$B114:$AW114&lt;&gt;"")*(1/(1+EXP(-(K114-'03_Lap_b'!$B$15:$AW$15)))))</f>
        <v/>
      </c>
      <c r="M114" s="5">
        <f>SUMPRODUCT(('01_Data'!$B114:$AW114&lt;&gt;"")*(1/(1+EXP(-(K114-'03_Lap_b'!$B$15:$AW$15))))^2)</f>
        <v/>
      </c>
      <c r="N114" s="5">
        <f>MEDIAN(-6,K114+(C114-L114)/MAX(L114-M114,0.000000001),6)</f>
        <v/>
      </c>
      <c r="O114" s="5">
        <f>SUMPRODUCT(('01_Data'!$B114:$AW114&lt;&gt;"")*(1/(1+EXP(-(N114-'03_Lap_b'!$B$20:$AW$20)))))</f>
        <v/>
      </c>
      <c r="P114" s="5">
        <f>SUMPRODUCT(('01_Data'!$B114:$AW114&lt;&gt;"")*(1/(1+EXP(-(N114-'03_Lap_b'!$B$20:$AW$20))))^2)</f>
        <v/>
      </c>
      <c r="Q114" s="5">
        <f>MEDIAN(-6,N114+(C114-O114)/MAX(O114-P114,0.000000001),6)</f>
        <v/>
      </c>
      <c r="R114" s="5">
        <f>SUMPRODUCT(('01_Data'!$B114:$AW114&lt;&gt;"")*(1/(1+EXP(-(Q114-'03_Lap_b'!$B$25:$AW$25)))))</f>
        <v/>
      </c>
      <c r="S114" s="5">
        <f>SUMPRODUCT(('01_Data'!$B114:$AW114&lt;&gt;"")*(1/(1+EXP(-(Q114-'03_Lap_b'!$B$25:$AW$25))))^2)</f>
        <v/>
      </c>
      <c r="T114" s="5">
        <f>MEDIAN(-6,Q114+(C114-R114)/MAX(R114-S114,0.000000001),6)</f>
        <v/>
      </c>
      <c r="U114" s="5">
        <f>SUMPRODUCT(('01_Data'!$B114:$AW114&lt;&gt;"")*(1/(1+EXP(-(T114-'03_Lap_b'!$B$30:$AW$30)))))</f>
        <v/>
      </c>
      <c r="V114" s="5">
        <f>SUMPRODUCT(('01_Data'!$B114:$AW114&lt;&gt;"")*(1/(1+EXP(-(T114-'03_Lap_b'!$B$30:$AW$30))))^2)</f>
        <v/>
      </c>
      <c r="W114" s="5">
        <f>MEDIAN(-6,T114+(C114-U114)/MAX(U114-V114,0.000000001),6)</f>
        <v/>
      </c>
      <c r="X114" s="5">
        <f>SUMPRODUCT(('01_Data'!$B114:$AW114&lt;&gt;"")*(1/(1+EXP(-(W114-'03_Lap_b'!$B$35:$AW$35)))))</f>
        <v/>
      </c>
      <c r="Y114" s="5">
        <f>SUMPRODUCT(('01_Data'!$B114:$AW114&lt;&gt;"")*(1/(1+EXP(-(W114-'03_Lap_b'!$B$35:$AW$35))))^2)</f>
        <v/>
      </c>
      <c r="Z114" s="5">
        <f>MEDIAN(-6,W114+(C114-X114)/MAX(X114-Y114,0.000000001),6)</f>
        <v/>
      </c>
      <c r="AA114" s="5">
        <f>SUMPRODUCT(('01_Data'!$B114:$AW114&lt;&gt;"")*(1/(1+EXP(-(Z114-'03_Lap_b'!$B$40:$AW$40)))))</f>
        <v/>
      </c>
      <c r="AB114" s="5">
        <f>SUMPRODUCT(('01_Data'!$B114:$AW114&lt;&gt;"")*(1/(1+EXP(-(Z114-'03_Lap_b'!$B$40:$AW$40))))^2)</f>
        <v/>
      </c>
      <c r="AC114" s="5">
        <f>MEDIAN(-6,Z114+(C114-AA114)/MAX(AA114-AB114,0.000000001),6)</f>
        <v/>
      </c>
    </row>
    <row r="115">
      <c r="A115" t="n">
        <v>114</v>
      </c>
      <c r="B115">
        <f>'01_Data'!A115</f>
        <v/>
      </c>
      <c r="C115">
        <f>SUM('01_Data'!$B115:$AW115)</f>
        <v/>
      </c>
      <c r="D115">
        <f>COUNT('01_Data'!$B115:$AW115)</f>
        <v/>
      </c>
      <c r="E115" s="5">
        <f>MEDIAN(-6,LN((C115+0.3)/(D115-C115+0.3)),6)</f>
        <v/>
      </c>
      <c r="F115" s="5">
        <f>SUMPRODUCT(('01_Data'!$B115:$AW115&lt;&gt;"")*(1/(1+EXP(-(E115-'03_Lap_b'!$B$5:$AW$5)))))</f>
        <v/>
      </c>
      <c r="G115" s="5">
        <f>SUMPRODUCT(('01_Data'!$B115:$AW115&lt;&gt;"")*(1/(1+EXP(-(E115-'03_Lap_b'!$B$5:$AW$5))))^2)</f>
        <v/>
      </c>
      <c r="H115" s="5">
        <f>MEDIAN(-6,E115+(C115-F115)/MAX(F115-G115,0.000000001),6)</f>
        <v/>
      </c>
      <c r="I115" s="5">
        <f>SUMPRODUCT(('01_Data'!$B115:$AW115&lt;&gt;"")*(1/(1+EXP(-(H115-'03_Lap_b'!$B$10:$AW$10)))))</f>
        <v/>
      </c>
      <c r="J115" s="5">
        <f>SUMPRODUCT(('01_Data'!$B115:$AW115&lt;&gt;"")*(1/(1+EXP(-(H115-'03_Lap_b'!$B$10:$AW$10))))^2)</f>
        <v/>
      </c>
      <c r="K115" s="5">
        <f>MEDIAN(-6,H115+(C115-I115)/MAX(I115-J115,0.000000001),6)</f>
        <v/>
      </c>
      <c r="L115" s="5">
        <f>SUMPRODUCT(('01_Data'!$B115:$AW115&lt;&gt;"")*(1/(1+EXP(-(K115-'03_Lap_b'!$B$15:$AW$15)))))</f>
        <v/>
      </c>
      <c r="M115" s="5">
        <f>SUMPRODUCT(('01_Data'!$B115:$AW115&lt;&gt;"")*(1/(1+EXP(-(K115-'03_Lap_b'!$B$15:$AW$15))))^2)</f>
        <v/>
      </c>
      <c r="N115" s="5">
        <f>MEDIAN(-6,K115+(C115-L115)/MAX(L115-M115,0.000000001),6)</f>
        <v/>
      </c>
      <c r="O115" s="5">
        <f>SUMPRODUCT(('01_Data'!$B115:$AW115&lt;&gt;"")*(1/(1+EXP(-(N115-'03_Lap_b'!$B$20:$AW$20)))))</f>
        <v/>
      </c>
      <c r="P115" s="5">
        <f>SUMPRODUCT(('01_Data'!$B115:$AW115&lt;&gt;"")*(1/(1+EXP(-(N115-'03_Lap_b'!$B$20:$AW$20))))^2)</f>
        <v/>
      </c>
      <c r="Q115" s="5">
        <f>MEDIAN(-6,N115+(C115-O115)/MAX(O115-P115,0.000000001),6)</f>
        <v/>
      </c>
      <c r="R115" s="5">
        <f>SUMPRODUCT(('01_Data'!$B115:$AW115&lt;&gt;"")*(1/(1+EXP(-(Q115-'03_Lap_b'!$B$25:$AW$25)))))</f>
        <v/>
      </c>
      <c r="S115" s="5">
        <f>SUMPRODUCT(('01_Data'!$B115:$AW115&lt;&gt;"")*(1/(1+EXP(-(Q115-'03_Lap_b'!$B$25:$AW$25))))^2)</f>
        <v/>
      </c>
      <c r="T115" s="5">
        <f>MEDIAN(-6,Q115+(C115-R115)/MAX(R115-S115,0.000000001),6)</f>
        <v/>
      </c>
      <c r="U115" s="5">
        <f>SUMPRODUCT(('01_Data'!$B115:$AW115&lt;&gt;"")*(1/(1+EXP(-(T115-'03_Lap_b'!$B$30:$AW$30)))))</f>
        <v/>
      </c>
      <c r="V115" s="5">
        <f>SUMPRODUCT(('01_Data'!$B115:$AW115&lt;&gt;"")*(1/(1+EXP(-(T115-'03_Lap_b'!$B$30:$AW$30))))^2)</f>
        <v/>
      </c>
      <c r="W115" s="5">
        <f>MEDIAN(-6,T115+(C115-U115)/MAX(U115-V115,0.000000001),6)</f>
        <v/>
      </c>
      <c r="X115" s="5">
        <f>SUMPRODUCT(('01_Data'!$B115:$AW115&lt;&gt;"")*(1/(1+EXP(-(W115-'03_Lap_b'!$B$35:$AW$35)))))</f>
        <v/>
      </c>
      <c r="Y115" s="5">
        <f>SUMPRODUCT(('01_Data'!$B115:$AW115&lt;&gt;"")*(1/(1+EXP(-(W115-'03_Lap_b'!$B$35:$AW$35))))^2)</f>
        <v/>
      </c>
      <c r="Z115" s="5">
        <f>MEDIAN(-6,W115+(C115-X115)/MAX(X115-Y115,0.000000001),6)</f>
        <v/>
      </c>
      <c r="AA115" s="5">
        <f>SUMPRODUCT(('01_Data'!$B115:$AW115&lt;&gt;"")*(1/(1+EXP(-(Z115-'03_Lap_b'!$B$40:$AW$40)))))</f>
        <v/>
      </c>
      <c r="AB115" s="5">
        <f>SUMPRODUCT(('01_Data'!$B115:$AW115&lt;&gt;"")*(1/(1+EXP(-(Z115-'03_Lap_b'!$B$40:$AW$40))))^2)</f>
        <v/>
      </c>
      <c r="AC115" s="5">
        <f>MEDIAN(-6,Z115+(C115-AA115)/MAX(AA115-AB115,0.000000001),6)</f>
        <v/>
      </c>
    </row>
    <row r="116">
      <c r="A116" t="n">
        <v>115</v>
      </c>
      <c r="B116">
        <f>'01_Data'!A116</f>
        <v/>
      </c>
      <c r="C116">
        <f>SUM('01_Data'!$B116:$AW116)</f>
        <v/>
      </c>
      <c r="D116">
        <f>COUNT('01_Data'!$B116:$AW116)</f>
        <v/>
      </c>
      <c r="E116" s="5">
        <f>MEDIAN(-6,LN((C116+0.3)/(D116-C116+0.3)),6)</f>
        <v/>
      </c>
      <c r="F116" s="5">
        <f>SUMPRODUCT(('01_Data'!$B116:$AW116&lt;&gt;"")*(1/(1+EXP(-(E116-'03_Lap_b'!$B$5:$AW$5)))))</f>
        <v/>
      </c>
      <c r="G116" s="5">
        <f>SUMPRODUCT(('01_Data'!$B116:$AW116&lt;&gt;"")*(1/(1+EXP(-(E116-'03_Lap_b'!$B$5:$AW$5))))^2)</f>
        <v/>
      </c>
      <c r="H116" s="5">
        <f>MEDIAN(-6,E116+(C116-F116)/MAX(F116-G116,0.000000001),6)</f>
        <v/>
      </c>
      <c r="I116" s="5">
        <f>SUMPRODUCT(('01_Data'!$B116:$AW116&lt;&gt;"")*(1/(1+EXP(-(H116-'03_Lap_b'!$B$10:$AW$10)))))</f>
        <v/>
      </c>
      <c r="J116" s="5">
        <f>SUMPRODUCT(('01_Data'!$B116:$AW116&lt;&gt;"")*(1/(1+EXP(-(H116-'03_Lap_b'!$B$10:$AW$10))))^2)</f>
        <v/>
      </c>
      <c r="K116" s="5">
        <f>MEDIAN(-6,H116+(C116-I116)/MAX(I116-J116,0.000000001),6)</f>
        <v/>
      </c>
      <c r="L116" s="5">
        <f>SUMPRODUCT(('01_Data'!$B116:$AW116&lt;&gt;"")*(1/(1+EXP(-(K116-'03_Lap_b'!$B$15:$AW$15)))))</f>
        <v/>
      </c>
      <c r="M116" s="5">
        <f>SUMPRODUCT(('01_Data'!$B116:$AW116&lt;&gt;"")*(1/(1+EXP(-(K116-'03_Lap_b'!$B$15:$AW$15))))^2)</f>
        <v/>
      </c>
      <c r="N116" s="5">
        <f>MEDIAN(-6,K116+(C116-L116)/MAX(L116-M116,0.000000001),6)</f>
        <v/>
      </c>
      <c r="O116" s="5">
        <f>SUMPRODUCT(('01_Data'!$B116:$AW116&lt;&gt;"")*(1/(1+EXP(-(N116-'03_Lap_b'!$B$20:$AW$20)))))</f>
        <v/>
      </c>
      <c r="P116" s="5">
        <f>SUMPRODUCT(('01_Data'!$B116:$AW116&lt;&gt;"")*(1/(1+EXP(-(N116-'03_Lap_b'!$B$20:$AW$20))))^2)</f>
        <v/>
      </c>
      <c r="Q116" s="5">
        <f>MEDIAN(-6,N116+(C116-O116)/MAX(O116-P116,0.000000001),6)</f>
        <v/>
      </c>
      <c r="R116" s="5">
        <f>SUMPRODUCT(('01_Data'!$B116:$AW116&lt;&gt;"")*(1/(1+EXP(-(Q116-'03_Lap_b'!$B$25:$AW$25)))))</f>
        <v/>
      </c>
      <c r="S116" s="5">
        <f>SUMPRODUCT(('01_Data'!$B116:$AW116&lt;&gt;"")*(1/(1+EXP(-(Q116-'03_Lap_b'!$B$25:$AW$25))))^2)</f>
        <v/>
      </c>
      <c r="T116" s="5">
        <f>MEDIAN(-6,Q116+(C116-R116)/MAX(R116-S116,0.000000001),6)</f>
        <v/>
      </c>
      <c r="U116" s="5">
        <f>SUMPRODUCT(('01_Data'!$B116:$AW116&lt;&gt;"")*(1/(1+EXP(-(T116-'03_Lap_b'!$B$30:$AW$30)))))</f>
        <v/>
      </c>
      <c r="V116" s="5">
        <f>SUMPRODUCT(('01_Data'!$B116:$AW116&lt;&gt;"")*(1/(1+EXP(-(T116-'03_Lap_b'!$B$30:$AW$30))))^2)</f>
        <v/>
      </c>
      <c r="W116" s="5">
        <f>MEDIAN(-6,T116+(C116-U116)/MAX(U116-V116,0.000000001),6)</f>
        <v/>
      </c>
      <c r="X116" s="5">
        <f>SUMPRODUCT(('01_Data'!$B116:$AW116&lt;&gt;"")*(1/(1+EXP(-(W116-'03_Lap_b'!$B$35:$AW$35)))))</f>
        <v/>
      </c>
      <c r="Y116" s="5">
        <f>SUMPRODUCT(('01_Data'!$B116:$AW116&lt;&gt;"")*(1/(1+EXP(-(W116-'03_Lap_b'!$B$35:$AW$35))))^2)</f>
        <v/>
      </c>
      <c r="Z116" s="5">
        <f>MEDIAN(-6,W116+(C116-X116)/MAX(X116-Y116,0.000000001),6)</f>
        <v/>
      </c>
      <c r="AA116" s="5">
        <f>SUMPRODUCT(('01_Data'!$B116:$AW116&lt;&gt;"")*(1/(1+EXP(-(Z116-'03_Lap_b'!$B$40:$AW$40)))))</f>
        <v/>
      </c>
      <c r="AB116" s="5">
        <f>SUMPRODUCT(('01_Data'!$B116:$AW116&lt;&gt;"")*(1/(1+EXP(-(Z116-'03_Lap_b'!$B$40:$AW$40))))^2)</f>
        <v/>
      </c>
      <c r="AC116" s="5">
        <f>MEDIAN(-6,Z116+(C116-AA116)/MAX(AA116-AB116,0.000000001),6)</f>
        <v/>
      </c>
    </row>
    <row r="117">
      <c r="A117" t="n">
        <v>116</v>
      </c>
      <c r="B117">
        <f>'01_Data'!A117</f>
        <v/>
      </c>
      <c r="C117">
        <f>SUM('01_Data'!$B117:$AW117)</f>
        <v/>
      </c>
      <c r="D117">
        <f>COUNT('01_Data'!$B117:$AW117)</f>
        <v/>
      </c>
      <c r="E117" s="5">
        <f>MEDIAN(-6,LN((C117+0.3)/(D117-C117+0.3)),6)</f>
        <v/>
      </c>
      <c r="F117" s="5">
        <f>SUMPRODUCT(('01_Data'!$B117:$AW117&lt;&gt;"")*(1/(1+EXP(-(E117-'03_Lap_b'!$B$5:$AW$5)))))</f>
        <v/>
      </c>
      <c r="G117" s="5">
        <f>SUMPRODUCT(('01_Data'!$B117:$AW117&lt;&gt;"")*(1/(1+EXP(-(E117-'03_Lap_b'!$B$5:$AW$5))))^2)</f>
        <v/>
      </c>
      <c r="H117" s="5">
        <f>MEDIAN(-6,E117+(C117-F117)/MAX(F117-G117,0.000000001),6)</f>
        <v/>
      </c>
      <c r="I117" s="5">
        <f>SUMPRODUCT(('01_Data'!$B117:$AW117&lt;&gt;"")*(1/(1+EXP(-(H117-'03_Lap_b'!$B$10:$AW$10)))))</f>
        <v/>
      </c>
      <c r="J117" s="5">
        <f>SUMPRODUCT(('01_Data'!$B117:$AW117&lt;&gt;"")*(1/(1+EXP(-(H117-'03_Lap_b'!$B$10:$AW$10))))^2)</f>
        <v/>
      </c>
      <c r="K117" s="5">
        <f>MEDIAN(-6,H117+(C117-I117)/MAX(I117-J117,0.000000001),6)</f>
        <v/>
      </c>
      <c r="L117" s="5">
        <f>SUMPRODUCT(('01_Data'!$B117:$AW117&lt;&gt;"")*(1/(1+EXP(-(K117-'03_Lap_b'!$B$15:$AW$15)))))</f>
        <v/>
      </c>
      <c r="M117" s="5">
        <f>SUMPRODUCT(('01_Data'!$B117:$AW117&lt;&gt;"")*(1/(1+EXP(-(K117-'03_Lap_b'!$B$15:$AW$15))))^2)</f>
        <v/>
      </c>
      <c r="N117" s="5">
        <f>MEDIAN(-6,K117+(C117-L117)/MAX(L117-M117,0.000000001),6)</f>
        <v/>
      </c>
      <c r="O117" s="5">
        <f>SUMPRODUCT(('01_Data'!$B117:$AW117&lt;&gt;"")*(1/(1+EXP(-(N117-'03_Lap_b'!$B$20:$AW$20)))))</f>
        <v/>
      </c>
      <c r="P117" s="5">
        <f>SUMPRODUCT(('01_Data'!$B117:$AW117&lt;&gt;"")*(1/(1+EXP(-(N117-'03_Lap_b'!$B$20:$AW$20))))^2)</f>
        <v/>
      </c>
      <c r="Q117" s="5">
        <f>MEDIAN(-6,N117+(C117-O117)/MAX(O117-P117,0.000000001),6)</f>
        <v/>
      </c>
      <c r="R117" s="5">
        <f>SUMPRODUCT(('01_Data'!$B117:$AW117&lt;&gt;"")*(1/(1+EXP(-(Q117-'03_Lap_b'!$B$25:$AW$25)))))</f>
        <v/>
      </c>
      <c r="S117" s="5">
        <f>SUMPRODUCT(('01_Data'!$B117:$AW117&lt;&gt;"")*(1/(1+EXP(-(Q117-'03_Lap_b'!$B$25:$AW$25))))^2)</f>
        <v/>
      </c>
      <c r="T117" s="5">
        <f>MEDIAN(-6,Q117+(C117-R117)/MAX(R117-S117,0.000000001),6)</f>
        <v/>
      </c>
      <c r="U117" s="5">
        <f>SUMPRODUCT(('01_Data'!$B117:$AW117&lt;&gt;"")*(1/(1+EXP(-(T117-'03_Lap_b'!$B$30:$AW$30)))))</f>
        <v/>
      </c>
      <c r="V117" s="5">
        <f>SUMPRODUCT(('01_Data'!$B117:$AW117&lt;&gt;"")*(1/(1+EXP(-(T117-'03_Lap_b'!$B$30:$AW$30))))^2)</f>
        <v/>
      </c>
      <c r="W117" s="5">
        <f>MEDIAN(-6,T117+(C117-U117)/MAX(U117-V117,0.000000001),6)</f>
        <v/>
      </c>
      <c r="X117" s="5">
        <f>SUMPRODUCT(('01_Data'!$B117:$AW117&lt;&gt;"")*(1/(1+EXP(-(W117-'03_Lap_b'!$B$35:$AW$35)))))</f>
        <v/>
      </c>
      <c r="Y117" s="5">
        <f>SUMPRODUCT(('01_Data'!$B117:$AW117&lt;&gt;"")*(1/(1+EXP(-(W117-'03_Lap_b'!$B$35:$AW$35))))^2)</f>
        <v/>
      </c>
      <c r="Z117" s="5">
        <f>MEDIAN(-6,W117+(C117-X117)/MAX(X117-Y117,0.000000001),6)</f>
        <v/>
      </c>
      <c r="AA117" s="5">
        <f>SUMPRODUCT(('01_Data'!$B117:$AW117&lt;&gt;"")*(1/(1+EXP(-(Z117-'03_Lap_b'!$B$40:$AW$40)))))</f>
        <v/>
      </c>
      <c r="AB117" s="5">
        <f>SUMPRODUCT(('01_Data'!$B117:$AW117&lt;&gt;"")*(1/(1+EXP(-(Z117-'03_Lap_b'!$B$40:$AW$40))))^2)</f>
        <v/>
      </c>
      <c r="AC117" s="5">
        <f>MEDIAN(-6,Z117+(C117-AA117)/MAX(AA117-AB117,0.000000001),6)</f>
        <v/>
      </c>
    </row>
    <row r="118">
      <c r="A118" t="n">
        <v>117</v>
      </c>
      <c r="B118">
        <f>'01_Data'!A118</f>
        <v/>
      </c>
      <c r="C118">
        <f>SUM('01_Data'!$B118:$AW118)</f>
        <v/>
      </c>
      <c r="D118">
        <f>COUNT('01_Data'!$B118:$AW118)</f>
        <v/>
      </c>
      <c r="E118" s="5">
        <f>MEDIAN(-6,LN((C118+0.3)/(D118-C118+0.3)),6)</f>
        <v/>
      </c>
      <c r="F118" s="5">
        <f>SUMPRODUCT(('01_Data'!$B118:$AW118&lt;&gt;"")*(1/(1+EXP(-(E118-'03_Lap_b'!$B$5:$AW$5)))))</f>
        <v/>
      </c>
      <c r="G118" s="5">
        <f>SUMPRODUCT(('01_Data'!$B118:$AW118&lt;&gt;"")*(1/(1+EXP(-(E118-'03_Lap_b'!$B$5:$AW$5))))^2)</f>
        <v/>
      </c>
      <c r="H118" s="5">
        <f>MEDIAN(-6,E118+(C118-F118)/MAX(F118-G118,0.000000001),6)</f>
        <v/>
      </c>
      <c r="I118" s="5">
        <f>SUMPRODUCT(('01_Data'!$B118:$AW118&lt;&gt;"")*(1/(1+EXP(-(H118-'03_Lap_b'!$B$10:$AW$10)))))</f>
        <v/>
      </c>
      <c r="J118" s="5">
        <f>SUMPRODUCT(('01_Data'!$B118:$AW118&lt;&gt;"")*(1/(1+EXP(-(H118-'03_Lap_b'!$B$10:$AW$10))))^2)</f>
        <v/>
      </c>
      <c r="K118" s="5">
        <f>MEDIAN(-6,H118+(C118-I118)/MAX(I118-J118,0.000000001),6)</f>
        <v/>
      </c>
      <c r="L118" s="5">
        <f>SUMPRODUCT(('01_Data'!$B118:$AW118&lt;&gt;"")*(1/(1+EXP(-(K118-'03_Lap_b'!$B$15:$AW$15)))))</f>
        <v/>
      </c>
      <c r="M118" s="5">
        <f>SUMPRODUCT(('01_Data'!$B118:$AW118&lt;&gt;"")*(1/(1+EXP(-(K118-'03_Lap_b'!$B$15:$AW$15))))^2)</f>
        <v/>
      </c>
      <c r="N118" s="5">
        <f>MEDIAN(-6,K118+(C118-L118)/MAX(L118-M118,0.000000001),6)</f>
        <v/>
      </c>
      <c r="O118" s="5">
        <f>SUMPRODUCT(('01_Data'!$B118:$AW118&lt;&gt;"")*(1/(1+EXP(-(N118-'03_Lap_b'!$B$20:$AW$20)))))</f>
        <v/>
      </c>
      <c r="P118" s="5">
        <f>SUMPRODUCT(('01_Data'!$B118:$AW118&lt;&gt;"")*(1/(1+EXP(-(N118-'03_Lap_b'!$B$20:$AW$20))))^2)</f>
        <v/>
      </c>
      <c r="Q118" s="5">
        <f>MEDIAN(-6,N118+(C118-O118)/MAX(O118-P118,0.000000001),6)</f>
        <v/>
      </c>
      <c r="R118" s="5">
        <f>SUMPRODUCT(('01_Data'!$B118:$AW118&lt;&gt;"")*(1/(1+EXP(-(Q118-'03_Lap_b'!$B$25:$AW$25)))))</f>
        <v/>
      </c>
      <c r="S118" s="5">
        <f>SUMPRODUCT(('01_Data'!$B118:$AW118&lt;&gt;"")*(1/(1+EXP(-(Q118-'03_Lap_b'!$B$25:$AW$25))))^2)</f>
        <v/>
      </c>
      <c r="T118" s="5">
        <f>MEDIAN(-6,Q118+(C118-R118)/MAX(R118-S118,0.000000001),6)</f>
        <v/>
      </c>
      <c r="U118" s="5">
        <f>SUMPRODUCT(('01_Data'!$B118:$AW118&lt;&gt;"")*(1/(1+EXP(-(T118-'03_Lap_b'!$B$30:$AW$30)))))</f>
        <v/>
      </c>
      <c r="V118" s="5">
        <f>SUMPRODUCT(('01_Data'!$B118:$AW118&lt;&gt;"")*(1/(1+EXP(-(T118-'03_Lap_b'!$B$30:$AW$30))))^2)</f>
        <v/>
      </c>
      <c r="W118" s="5">
        <f>MEDIAN(-6,T118+(C118-U118)/MAX(U118-V118,0.000000001),6)</f>
        <v/>
      </c>
      <c r="X118" s="5">
        <f>SUMPRODUCT(('01_Data'!$B118:$AW118&lt;&gt;"")*(1/(1+EXP(-(W118-'03_Lap_b'!$B$35:$AW$35)))))</f>
        <v/>
      </c>
      <c r="Y118" s="5">
        <f>SUMPRODUCT(('01_Data'!$B118:$AW118&lt;&gt;"")*(1/(1+EXP(-(W118-'03_Lap_b'!$B$35:$AW$35))))^2)</f>
        <v/>
      </c>
      <c r="Z118" s="5">
        <f>MEDIAN(-6,W118+(C118-X118)/MAX(X118-Y118,0.000000001),6)</f>
        <v/>
      </c>
      <c r="AA118" s="5">
        <f>SUMPRODUCT(('01_Data'!$B118:$AW118&lt;&gt;"")*(1/(1+EXP(-(Z118-'03_Lap_b'!$B$40:$AW$40)))))</f>
        <v/>
      </c>
      <c r="AB118" s="5">
        <f>SUMPRODUCT(('01_Data'!$B118:$AW118&lt;&gt;"")*(1/(1+EXP(-(Z118-'03_Lap_b'!$B$40:$AW$40))))^2)</f>
        <v/>
      </c>
      <c r="AC118" s="5">
        <f>MEDIAN(-6,Z118+(C118-AA118)/MAX(AA118-AB118,0.000000001),6)</f>
        <v/>
      </c>
    </row>
    <row r="119">
      <c r="A119" t="n">
        <v>118</v>
      </c>
      <c r="B119">
        <f>'01_Data'!A119</f>
        <v/>
      </c>
      <c r="C119">
        <f>SUM('01_Data'!$B119:$AW119)</f>
        <v/>
      </c>
      <c r="D119">
        <f>COUNT('01_Data'!$B119:$AW119)</f>
        <v/>
      </c>
      <c r="E119" s="5">
        <f>MEDIAN(-6,LN((C119+0.3)/(D119-C119+0.3)),6)</f>
        <v/>
      </c>
      <c r="F119" s="5">
        <f>SUMPRODUCT(('01_Data'!$B119:$AW119&lt;&gt;"")*(1/(1+EXP(-(E119-'03_Lap_b'!$B$5:$AW$5)))))</f>
        <v/>
      </c>
      <c r="G119" s="5">
        <f>SUMPRODUCT(('01_Data'!$B119:$AW119&lt;&gt;"")*(1/(1+EXP(-(E119-'03_Lap_b'!$B$5:$AW$5))))^2)</f>
        <v/>
      </c>
      <c r="H119" s="5">
        <f>MEDIAN(-6,E119+(C119-F119)/MAX(F119-G119,0.000000001),6)</f>
        <v/>
      </c>
      <c r="I119" s="5">
        <f>SUMPRODUCT(('01_Data'!$B119:$AW119&lt;&gt;"")*(1/(1+EXP(-(H119-'03_Lap_b'!$B$10:$AW$10)))))</f>
        <v/>
      </c>
      <c r="J119" s="5">
        <f>SUMPRODUCT(('01_Data'!$B119:$AW119&lt;&gt;"")*(1/(1+EXP(-(H119-'03_Lap_b'!$B$10:$AW$10))))^2)</f>
        <v/>
      </c>
      <c r="K119" s="5">
        <f>MEDIAN(-6,H119+(C119-I119)/MAX(I119-J119,0.000000001),6)</f>
        <v/>
      </c>
      <c r="L119" s="5">
        <f>SUMPRODUCT(('01_Data'!$B119:$AW119&lt;&gt;"")*(1/(1+EXP(-(K119-'03_Lap_b'!$B$15:$AW$15)))))</f>
        <v/>
      </c>
      <c r="M119" s="5">
        <f>SUMPRODUCT(('01_Data'!$B119:$AW119&lt;&gt;"")*(1/(1+EXP(-(K119-'03_Lap_b'!$B$15:$AW$15))))^2)</f>
        <v/>
      </c>
      <c r="N119" s="5">
        <f>MEDIAN(-6,K119+(C119-L119)/MAX(L119-M119,0.000000001),6)</f>
        <v/>
      </c>
      <c r="O119" s="5">
        <f>SUMPRODUCT(('01_Data'!$B119:$AW119&lt;&gt;"")*(1/(1+EXP(-(N119-'03_Lap_b'!$B$20:$AW$20)))))</f>
        <v/>
      </c>
      <c r="P119" s="5">
        <f>SUMPRODUCT(('01_Data'!$B119:$AW119&lt;&gt;"")*(1/(1+EXP(-(N119-'03_Lap_b'!$B$20:$AW$20))))^2)</f>
        <v/>
      </c>
      <c r="Q119" s="5">
        <f>MEDIAN(-6,N119+(C119-O119)/MAX(O119-P119,0.000000001),6)</f>
        <v/>
      </c>
      <c r="R119" s="5">
        <f>SUMPRODUCT(('01_Data'!$B119:$AW119&lt;&gt;"")*(1/(1+EXP(-(Q119-'03_Lap_b'!$B$25:$AW$25)))))</f>
        <v/>
      </c>
      <c r="S119" s="5">
        <f>SUMPRODUCT(('01_Data'!$B119:$AW119&lt;&gt;"")*(1/(1+EXP(-(Q119-'03_Lap_b'!$B$25:$AW$25))))^2)</f>
        <v/>
      </c>
      <c r="T119" s="5">
        <f>MEDIAN(-6,Q119+(C119-R119)/MAX(R119-S119,0.000000001),6)</f>
        <v/>
      </c>
      <c r="U119" s="5">
        <f>SUMPRODUCT(('01_Data'!$B119:$AW119&lt;&gt;"")*(1/(1+EXP(-(T119-'03_Lap_b'!$B$30:$AW$30)))))</f>
        <v/>
      </c>
      <c r="V119" s="5">
        <f>SUMPRODUCT(('01_Data'!$B119:$AW119&lt;&gt;"")*(1/(1+EXP(-(T119-'03_Lap_b'!$B$30:$AW$30))))^2)</f>
        <v/>
      </c>
      <c r="W119" s="5">
        <f>MEDIAN(-6,T119+(C119-U119)/MAX(U119-V119,0.000000001),6)</f>
        <v/>
      </c>
      <c r="X119" s="5">
        <f>SUMPRODUCT(('01_Data'!$B119:$AW119&lt;&gt;"")*(1/(1+EXP(-(W119-'03_Lap_b'!$B$35:$AW$35)))))</f>
        <v/>
      </c>
      <c r="Y119" s="5">
        <f>SUMPRODUCT(('01_Data'!$B119:$AW119&lt;&gt;"")*(1/(1+EXP(-(W119-'03_Lap_b'!$B$35:$AW$35))))^2)</f>
        <v/>
      </c>
      <c r="Z119" s="5">
        <f>MEDIAN(-6,W119+(C119-X119)/MAX(X119-Y119,0.000000001),6)</f>
        <v/>
      </c>
      <c r="AA119" s="5">
        <f>SUMPRODUCT(('01_Data'!$B119:$AW119&lt;&gt;"")*(1/(1+EXP(-(Z119-'03_Lap_b'!$B$40:$AW$40)))))</f>
        <v/>
      </c>
      <c r="AB119" s="5">
        <f>SUMPRODUCT(('01_Data'!$B119:$AW119&lt;&gt;"")*(1/(1+EXP(-(Z119-'03_Lap_b'!$B$40:$AW$40))))^2)</f>
        <v/>
      </c>
      <c r="AC119" s="5">
        <f>MEDIAN(-6,Z119+(C119-AA119)/MAX(AA119-AB119,0.000000001),6)</f>
        <v/>
      </c>
    </row>
    <row r="120">
      <c r="A120" t="n">
        <v>119</v>
      </c>
      <c r="B120">
        <f>'01_Data'!A120</f>
        <v/>
      </c>
      <c r="C120">
        <f>SUM('01_Data'!$B120:$AW120)</f>
        <v/>
      </c>
      <c r="D120">
        <f>COUNT('01_Data'!$B120:$AW120)</f>
        <v/>
      </c>
      <c r="E120" s="5">
        <f>MEDIAN(-6,LN((C120+0.3)/(D120-C120+0.3)),6)</f>
        <v/>
      </c>
      <c r="F120" s="5">
        <f>SUMPRODUCT(('01_Data'!$B120:$AW120&lt;&gt;"")*(1/(1+EXP(-(E120-'03_Lap_b'!$B$5:$AW$5)))))</f>
        <v/>
      </c>
      <c r="G120" s="5">
        <f>SUMPRODUCT(('01_Data'!$B120:$AW120&lt;&gt;"")*(1/(1+EXP(-(E120-'03_Lap_b'!$B$5:$AW$5))))^2)</f>
        <v/>
      </c>
      <c r="H120" s="5">
        <f>MEDIAN(-6,E120+(C120-F120)/MAX(F120-G120,0.000000001),6)</f>
        <v/>
      </c>
      <c r="I120" s="5">
        <f>SUMPRODUCT(('01_Data'!$B120:$AW120&lt;&gt;"")*(1/(1+EXP(-(H120-'03_Lap_b'!$B$10:$AW$10)))))</f>
        <v/>
      </c>
      <c r="J120" s="5">
        <f>SUMPRODUCT(('01_Data'!$B120:$AW120&lt;&gt;"")*(1/(1+EXP(-(H120-'03_Lap_b'!$B$10:$AW$10))))^2)</f>
        <v/>
      </c>
      <c r="K120" s="5">
        <f>MEDIAN(-6,H120+(C120-I120)/MAX(I120-J120,0.000000001),6)</f>
        <v/>
      </c>
      <c r="L120" s="5">
        <f>SUMPRODUCT(('01_Data'!$B120:$AW120&lt;&gt;"")*(1/(1+EXP(-(K120-'03_Lap_b'!$B$15:$AW$15)))))</f>
        <v/>
      </c>
      <c r="M120" s="5">
        <f>SUMPRODUCT(('01_Data'!$B120:$AW120&lt;&gt;"")*(1/(1+EXP(-(K120-'03_Lap_b'!$B$15:$AW$15))))^2)</f>
        <v/>
      </c>
      <c r="N120" s="5">
        <f>MEDIAN(-6,K120+(C120-L120)/MAX(L120-M120,0.000000001),6)</f>
        <v/>
      </c>
      <c r="O120" s="5">
        <f>SUMPRODUCT(('01_Data'!$B120:$AW120&lt;&gt;"")*(1/(1+EXP(-(N120-'03_Lap_b'!$B$20:$AW$20)))))</f>
        <v/>
      </c>
      <c r="P120" s="5">
        <f>SUMPRODUCT(('01_Data'!$B120:$AW120&lt;&gt;"")*(1/(1+EXP(-(N120-'03_Lap_b'!$B$20:$AW$20))))^2)</f>
        <v/>
      </c>
      <c r="Q120" s="5">
        <f>MEDIAN(-6,N120+(C120-O120)/MAX(O120-P120,0.000000001),6)</f>
        <v/>
      </c>
      <c r="R120" s="5">
        <f>SUMPRODUCT(('01_Data'!$B120:$AW120&lt;&gt;"")*(1/(1+EXP(-(Q120-'03_Lap_b'!$B$25:$AW$25)))))</f>
        <v/>
      </c>
      <c r="S120" s="5">
        <f>SUMPRODUCT(('01_Data'!$B120:$AW120&lt;&gt;"")*(1/(1+EXP(-(Q120-'03_Lap_b'!$B$25:$AW$25))))^2)</f>
        <v/>
      </c>
      <c r="T120" s="5">
        <f>MEDIAN(-6,Q120+(C120-R120)/MAX(R120-S120,0.000000001),6)</f>
        <v/>
      </c>
      <c r="U120" s="5">
        <f>SUMPRODUCT(('01_Data'!$B120:$AW120&lt;&gt;"")*(1/(1+EXP(-(T120-'03_Lap_b'!$B$30:$AW$30)))))</f>
        <v/>
      </c>
      <c r="V120" s="5">
        <f>SUMPRODUCT(('01_Data'!$B120:$AW120&lt;&gt;"")*(1/(1+EXP(-(T120-'03_Lap_b'!$B$30:$AW$30))))^2)</f>
        <v/>
      </c>
      <c r="W120" s="5">
        <f>MEDIAN(-6,T120+(C120-U120)/MAX(U120-V120,0.000000001),6)</f>
        <v/>
      </c>
      <c r="X120" s="5">
        <f>SUMPRODUCT(('01_Data'!$B120:$AW120&lt;&gt;"")*(1/(1+EXP(-(W120-'03_Lap_b'!$B$35:$AW$35)))))</f>
        <v/>
      </c>
      <c r="Y120" s="5">
        <f>SUMPRODUCT(('01_Data'!$B120:$AW120&lt;&gt;"")*(1/(1+EXP(-(W120-'03_Lap_b'!$B$35:$AW$35))))^2)</f>
        <v/>
      </c>
      <c r="Z120" s="5">
        <f>MEDIAN(-6,W120+(C120-X120)/MAX(X120-Y120,0.000000001),6)</f>
        <v/>
      </c>
      <c r="AA120" s="5">
        <f>SUMPRODUCT(('01_Data'!$B120:$AW120&lt;&gt;"")*(1/(1+EXP(-(Z120-'03_Lap_b'!$B$40:$AW$40)))))</f>
        <v/>
      </c>
      <c r="AB120" s="5">
        <f>SUMPRODUCT(('01_Data'!$B120:$AW120&lt;&gt;"")*(1/(1+EXP(-(Z120-'03_Lap_b'!$B$40:$AW$40))))^2)</f>
        <v/>
      </c>
      <c r="AC120" s="5">
        <f>MEDIAN(-6,Z120+(C120-AA120)/MAX(AA120-AB120,0.000000001),6)</f>
        <v/>
      </c>
    </row>
    <row r="121">
      <c r="A121" t="n">
        <v>120</v>
      </c>
      <c r="B121">
        <f>'01_Data'!A121</f>
        <v/>
      </c>
      <c r="C121">
        <f>SUM('01_Data'!$B121:$AW121)</f>
        <v/>
      </c>
      <c r="D121">
        <f>COUNT('01_Data'!$B121:$AW121)</f>
        <v/>
      </c>
      <c r="E121" s="5">
        <f>MEDIAN(-6,LN((C121+0.3)/(D121-C121+0.3)),6)</f>
        <v/>
      </c>
      <c r="F121" s="5">
        <f>SUMPRODUCT(('01_Data'!$B121:$AW121&lt;&gt;"")*(1/(1+EXP(-(E121-'03_Lap_b'!$B$5:$AW$5)))))</f>
        <v/>
      </c>
      <c r="G121" s="5">
        <f>SUMPRODUCT(('01_Data'!$B121:$AW121&lt;&gt;"")*(1/(1+EXP(-(E121-'03_Lap_b'!$B$5:$AW$5))))^2)</f>
        <v/>
      </c>
      <c r="H121" s="5">
        <f>MEDIAN(-6,E121+(C121-F121)/MAX(F121-G121,0.000000001),6)</f>
        <v/>
      </c>
      <c r="I121" s="5">
        <f>SUMPRODUCT(('01_Data'!$B121:$AW121&lt;&gt;"")*(1/(1+EXP(-(H121-'03_Lap_b'!$B$10:$AW$10)))))</f>
        <v/>
      </c>
      <c r="J121" s="5">
        <f>SUMPRODUCT(('01_Data'!$B121:$AW121&lt;&gt;"")*(1/(1+EXP(-(H121-'03_Lap_b'!$B$10:$AW$10))))^2)</f>
        <v/>
      </c>
      <c r="K121" s="5">
        <f>MEDIAN(-6,H121+(C121-I121)/MAX(I121-J121,0.000000001),6)</f>
        <v/>
      </c>
      <c r="L121" s="5">
        <f>SUMPRODUCT(('01_Data'!$B121:$AW121&lt;&gt;"")*(1/(1+EXP(-(K121-'03_Lap_b'!$B$15:$AW$15)))))</f>
        <v/>
      </c>
      <c r="M121" s="5">
        <f>SUMPRODUCT(('01_Data'!$B121:$AW121&lt;&gt;"")*(1/(1+EXP(-(K121-'03_Lap_b'!$B$15:$AW$15))))^2)</f>
        <v/>
      </c>
      <c r="N121" s="5">
        <f>MEDIAN(-6,K121+(C121-L121)/MAX(L121-M121,0.000000001),6)</f>
        <v/>
      </c>
      <c r="O121" s="5">
        <f>SUMPRODUCT(('01_Data'!$B121:$AW121&lt;&gt;"")*(1/(1+EXP(-(N121-'03_Lap_b'!$B$20:$AW$20)))))</f>
        <v/>
      </c>
      <c r="P121" s="5">
        <f>SUMPRODUCT(('01_Data'!$B121:$AW121&lt;&gt;"")*(1/(1+EXP(-(N121-'03_Lap_b'!$B$20:$AW$20))))^2)</f>
        <v/>
      </c>
      <c r="Q121" s="5">
        <f>MEDIAN(-6,N121+(C121-O121)/MAX(O121-P121,0.000000001),6)</f>
        <v/>
      </c>
      <c r="R121" s="5">
        <f>SUMPRODUCT(('01_Data'!$B121:$AW121&lt;&gt;"")*(1/(1+EXP(-(Q121-'03_Lap_b'!$B$25:$AW$25)))))</f>
        <v/>
      </c>
      <c r="S121" s="5">
        <f>SUMPRODUCT(('01_Data'!$B121:$AW121&lt;&gt;"")*(1/(1+EXP(-(Q121-'03_Lap_b'!$B$25:$AW$25))))^2)</f>
        <v/>
      </c>
      <c r="T121" s="5">
        <f>MEDIAN(-6,Q121+(C121-R121)/MAX(R121-S121,0.000000001),6)</f>
        <v/>
      </c>
      <c r="U121" s="5">
        <f>SUMPRODUCT(('01_Data'!$B121:$AW121&lt;&gt;"")*(1/(1+EXP(-(T121-'03_Lap_b'!$B$30:$AW$30)))))</f>
        <v/>
      </c>
      <c r="V121" s="5">
        <f>SUMPRODUCT(('01_Data'!$B121:$AW121&lt;&gt;"")*(1/(1+EXP(-(T121-'03_Lap_b'!$B$30:$AW$30))))^2)</f>
        <v/>
      </c>
      <c r="W121" s="5">
        <f>MEDIAN(-6,T121+(C121-U121)/MAX(U121-V121,0.000000001),6)</f>
        <v/>
      </c>
      <c r="X121" s="5">
        <f>SUMPRODUCT(('01_Data'!$B121:$AW121&lt;&gt;"")*(1/(1+EXP(-(W121-'03_Lap_b'!$B$35:$AW$35)))))</f>
        <v/>
      </c>
      <c r="Y121" s="5">
        <f>SUMPRODUCT(('01_Data'!$B121:$AW121&lt;&gt;"")*(1/(1+EXP(-(W121-'03_Lap_b'!$B$35:$AW$35))))^2)</f>
        <v/>
      </c>
      <c r="Z121" s="5">
        <f>MEDIAN(-6,W121+(C121-X121)/MAX(X121-Y121,0.000000001),6)</f>
        <v/>
      </c>
      <c r="AA121" s="5">
        <f>SUMPRODUCT(('01_Data'!$B121:$AW121&lt;&gt;"")*(1/(1+EXP(-(Z121-'03_Lap_b'!$B$40:$AW$40)))))</f>
        <v/>
      </c>
      <c r="AB121" s="5">
        <f>SUMPRODUCT(('01_Data'!$B121:$AW121&lt;&gt;"")*(1/(1+EXP(-(Z121-'03_Lap_b'!$B$40:$AW$40))))^2)</f>
        <v/>
      </c>
      <c r="AC121" s="5">
        <f>MEDIAN(-6,Z121+(C121-AA121)/MAX(AA121-AB121,0.000000001),6)</f>
        <v/>
      </c>
    </row>
    <row r="122">
      <c r="A122" t="n">
        <v>121</v>
      </c>
      <c r="B122">
        <f>'01_Data'!A122</f>
        <v/>
      </c>
      <c r="C122">
        <f>SUM('01_Data'!$B122:$AW122)</f>
        <v/>
      </c>
      <c r="D122">
        <f>COUNT('01_Data'!$B122:$AW122)</f>
        <v/>
      </c>
      <c r="E122" s="5">
        <f>MEDIAN(-6,LN((C122+0.3)/(D122-C122+0.3)),6)</f>
        <v/>
      </c>
      <c r="F122" s="5">
        <f>SUMPRODUCT(('01_Data'!$B122:$AW122&lt;&gt;"")*(1/(1+EXP(-(E122-'03_Lap_b'!$B$5:$AW$5)))))</f>
        <v/>
      </c>
      <c r="G122" s="5">
        <f>SUMPRODUCT(('01_Data'!$B122:$AW122&lt;&gt;"")*(1/(1+EXP(-(E122-'03_Lap_b'!$B$5:$AW$5))))^2)</f>
        <v/>
      </c>
      <c r="H122" s="5">
        <f>MEDIAN(-6,E122+(C122-F122)/MAX(F122-G122,0.000000001),6)</f>
        <v/>
      </c>
      <c r="I122" s="5">
        <f>SUMPRODUCT(('01_Data'!$B122:$AW122&lt;&gt;"")*(1/(1+EXP(-(H122-'03_Lap_b'!$B$10:$AW$10)))))</f>
        <v/>
      </c>
      <c r="J122" s="5">
        <f>SUMPRODUCT(('01_Data'!$B122:$AW122&lt;&gt;"")*(1/(1+EXP(-(H122-'03_Lap_b'!$B$10:$AW$10))))^2)</f>
        <v/>
      </c>
      <c r="K122" s="5">
        <f>MEDIAN(-6,H122+(C122-I122)/MAX(I122-J122,0.000000001),6)</f>
        <v/>
      </c>
      <c r="L122" s="5">
        <f>SUMPRODUCT(('01_Data'!$B122:$AW122&lt;&gt;"")*(1/(1+EXP(-(K122-'03_Lap_b'!$B$15:$AW$15)))))</f>
        <v/>
      </c>
      <c r="M122" s="5">
        <f>SUMPRODUCT(('01_Data'!$B122:$AW122&lt;&gt;"")*(1/(1+EXP(-(K122-'03_Lap_b'!$B$15:$AW$15))))^2)</f>
        <v/>
      </c>
      <c r="N122" s="5">
        <f>MEDIAN(-6,K122+(C122-L122)/MAX(L122-M122,0.000000001),6)</f>
        <v/>
      </c>
      <c r="O122" s="5">
        <f>SUMPRODUCT(('01_Data'!$B122:$AW122&lt;&gt;"")*(1/(1+EXP(-(N122-'03_Lap_b'!$B$20:$AW$20)))))</f>
        <v/>
      </c>
      <c r="P122" s="5">
        <f>SUMPRODUCT(('01_Data'!$B122:$AW122&lt;&gt;"")*(1/(1+EXP(-(N122-'03_Lap_b'!$B$20:$AW$20))))^2)</f>
        <v/>
      </c>
      <c r="Q122" s="5">
        <f>MEDIAN(-6,N122+(C122-O122)/MAX(O122-P122,0.000000001),6)</f>
        <v/>
      </c>
      <c r="R122" s="5">
        <f>SUMPRODUCT(('01_Data'!$B122:$AW122&lt;&gt;"")*(1/(1+EXP(-(Q122-'03_Lap_b'!$B$25:$AW$25)))))</f>
        <v/>
      </c>
      <c r="S122" s="5">
        <f>SUMPRODUCT(('01_Data'!$B122:$AW122&lt;&gt;"")*(1/(1+EXP(-(Q122-'03_Lap_b'!$B$25:$AW$25))))^2)</f>
        <v/>
      </c>
      <c r="T122" s="5">
        <f>MEDIAN(-6,Q122+(C122-R122)/MAX(R122-S122,0.000000001),6)</f>
        <v/>
      </c>
      <c r="U122" s="5">
        <f>SUMPRODUCT(('01_Data'!$B122:$AW122&lt;&gt;"")*(1/(1+EXP(-(T122-'03_Lap_b'!$B$30:$AW$30)))))</f>
        <v/>
      </c>
      <c r="V122" s="5">
        <f>SUMPRODUCT(('01_Data'!$B122:$AW122&lt;&gt;"")*(1/(1+EXP(-(T122-'03_Lap_b'!$B$30:$AW$30))))^2)</f>
        <v/>
      </c>
      <c r="W122" s="5">
        <f>MEDIAN(-6,T122+(C122-U122)/MAX(U122-V122,0.000000001),6)</f>
        <v/>
      </c>
      <c r="X122" s="5">
        <f>SUMPRODUCT(('01_Data'!$B122:$AW122&lt;&gt;"")*(1/(1+EXP(-(W122-'03_Lap_b'!$B$35:$AW$35)))))</f>
        <v/>
      </c>
      <c r="Y122" s="5">
        <f>SUMPRODUCT(('01_Data'!$B122:$AW122&lt;&gt;"")*(1/(1+EXP(-(W122-'03_Lap_b'!$B$35:$AW$35))))^2)</f>
        <v/>
      </c>
      <c r="Z122" s="5">
        <f>MEDIAN(-6,W122+(C122-X122)/MAX(X122-Y122,0.000000001),6)</f>
        <v/>
      </c>
      <c r="AA122" s="5">
        <f>SUMPRODUCT(('01_Data'!$B122:$AW122&lt;&gt;"")*(1/(1+EXP(-(Z122-'03_Lap_b'!$B$40:$AW$40)))))</f>
        <v/>
      </c>
      <c r="AB122" s="5">
        <f>SUMPRODUCT(('01_Data'!$B122:$AW122&lt;&gt;"")*(1/(1+EXP(-(Z122-'03_Lap_b'!$B$40:$AW$40))))^2)</f>
        <v/>
      </c>
      <c r="AC122" s="5">
        <f>MEDIAN(-6,Z122+(C122-AA122)/MAX(AA122-AB122,0.000000001),6)</f>
        <v/>
      </c>
    </row>
    <row r="123">
      <c r="A123" t="n">
        <v>122</v>
      </c>
      <c r="B123">
        <f>'01_Data'!A123</f>
        <v/>
      </c>
      <c r="C123">
        <f>SUM('01_Data'!$B123:$AW123)</f>
        <v/>
      </c>
      <c r="D123">
        <f>COUNT('01_Data'!$B123:$AW123)</f>
        <v/>
      </c>
      <c r="E123" s="5">
        <f>MEDIAN(-6,LN((C123+0.3)/(D123-C123+0.3)),6)</f>
        <v/>
      </c>
      <c r="F123" s="5">
        <f>SUMPRODUCT(('01_Data'!$B123:$AW123&lt;&gt;"")*(1/(1+EXP(-(E123-'03_Lap_b'!$B$5:$AW$5)))))</f>
        <v/>
      </c>
      <c r="G123" s="5">
        <f>SUMPRODUCT(('01_Data'!$B123:$AW123&lt;&gt;"")*(1/(1+EXP(-(E123-'03_Lap_b'!$B$5:$AW$5))))^2)</f>
        <v/>
      </c>
      <c r="H123" s="5">
        <f>MEDIAN(-6,E123+(C123-F123)/MAX(F123-G123,0.000000001),6)</f>
        <v/>
      </c>
      <c r="I123" s="5">
        <f>SUMPRODUCT(('01_Data'!$B123:$AW123&lt;&gt;"")*(1/(1+EXP(-(H123-'03_Lap_b'!$B$10:$AW$10)))))</f>
        <v/>
      </c>
      <c r="J123" s="5">
        <f>SUMPRODUCT(('01_Data'!$B123:$AW123&lt;&gt;"")*(1/(1+EXP(-(H123-'03_Lap_b'!$B$10:$AW$10))))^2)</f>
        <v/>
      </c>
      <c r="K123" s="5">
        <f>MEDIAN(-6,H123+(C123-I123)/MAX(I123-J123,0.000000001),6)</f>
        <v/>
      </c>
      <c r="L123" s="5">
        <f>SUMPRODUCT(('01_Data'!$B123:$AW123&lt;&gt;"")*(1/(1+EXP(-(K123-'03_Lap_b'!$B$15:$AW$15)))))</f>
        <v/>
      </c>
      <c r="M123" s="5">
        <f>SUMPRODUCT(('01_Data'!$B123:$AW123&lt;&gt;"")*(1/(1+EXP(-(K123-'03_Lap_b'!$B$15:$AW$15))))^2)</f>
        <v/>
      </c>
      <c r="N123" s="5">
        <f>MEDIAN(-6,K123+(C123-L123)/MAX(L123-M123,0.000000001),6)</f>
        <v/>
      </c>
      <c r="O123" s="5">
        <f>SUMPRODUCT(('01_Data'!$B123:$AW123&lt;&gt;"")*(1/(1+EXP(-(N123-'03_Lap_b'!$B$20:$AW$20)))))</f>
        <v/>
      </c>
      <c r="P123" s="5">
        <f>SUMPRODUCT(('01_Data'!$B123:$AW123&lt;&gt;"")*(1/(1+EXP(-(N123-'03_Lap_b'!$B$20:$AW$20))))^2)</f>
        <v/>
      </c>
      <c r="Q123" s="5">
        <f>MEDIAN(-6,N123+(C123-O123)/MAX(O123-P123,0.000000001),6)</f>
        <v/>
      </c>
      <c r="R123" s="5">
        <f>SUMPRODUCT(('01_Data'!$B123:$AW123&lt;&gt;"")*(1/(1+EXP(-(Q123-'03_Lap_b'!$B$25:$AW$25)))))</f>
        <v/>
      </c>
      <c r="S123" s="5">
        <f>SUMPRODUCT(('01_Data'!$B123:$AW123&lt;&gt;"")*(1/(1+EXP(-(Q123-'03_Lap_b'!$B$25:$AW$25))))^2)</f>
        <v/>
      </c>
      <c r="T123" s="5">
        <f>MEDIAN(-6,Q123+(C123-R123)/MAX(R123-S123,0.000000001),6)</f>
        <v/>
      </c>
      <c r="U123" s="5">
        <f>SUMPRODUCT(('01_Data'!$B123:$AW123&lt;&gt;"")*(1/(1+EXP(-(T123-'03_Lap_b'!$B$30:$AW$30)))))</f>
        <v/>
      </c>
      <c r="V123" s="5">
        <f>SUMPRODUCT(('01_Data'!$B123:$AW123&lt;&gt;"")*(1/(1+EXP(-(T123-'03_Lap_b'!$B$30:$AW$30))))^2)</f>
        <v/>
      </c>
      <c r="W123" s="5">
        <f>MEDIAN(-6,T123+(C123-U123)/MAX(U123-V123,0.000000001),6)</f>
        <v/>
      </c>
      <c r="X123" s="5">
        <f>SUMPRODUCT(('01_Data'!$B123:$AW123&lt;&gt;"")*(1/(1+EXP(-(W123-'03_Lap_b'!$B$35:$AW$35)))))</f>
        <v/>
      </c>
      <c r="Y123" s="5">
        <f>SUMPRODUCT(('01_Data'!$B123:$AW123&lt;&gt;"")*(1/(1+EXP(-(W123-'03_Lap_b'!$B$35:$AW$35))))^2)</f>
        <v/>
      </c>
      <c r="Z123" s="5">
        <f>MEDIAN(-6,W123+(C123-X123)/MAX(X123-Y123,0.000000001),6)</f>
        <v/>
      </c>
      <c r="AA123" s="5">
        <f>SUMPRODUCT(('01_Data'!$B123:$AW123&lt;&gt;"")*(1/(1+EXP(-(Z123-'03_Lap_b'!$B$40:$AW$40)))))</f>
        <v/>
      </c>
      <c r="AB123" s="5">
        <f>SUMPRODUCT(('01_Data'!$B123:$AW123&lt;&gt;"")*(1/(1+EXP(-(Z123-'03_Lap_b'!$B$40:$AW$40))))^2)</f>
        <v/>
      </c>
      <c r="AC123" s="5">
        <f>MEDIAN(-6,Z123+(C123-AA123)/MAX(AA123-AB123,0.000000001),6)</f>
        <v/>
      </c>
    </row>
    <row r="124">
      <c r="A124" t="n">
        <v>123</v>
      </c>
      <c r="B124">
        <f>'01_Data'!A124</f>
        <v/>
      </c>
      <c r="C124">
        <f>SUM('01_Data'!$B124:$AW124)</f>
        <v/>
      </c>
      <c r="D124">
        <f>COUNT('01_Data'!$B124:$AW124)</f>
        <v/>
      </c>
      <c r="E124" s="5">
        <f>MEDIAN(-6,LN((C124+0.3)/(D124-C124+0.3)),6)</f>
        <v/>
      </c>
      <c r="F124" s="5">
        <f>SUMPRODUCT(('01_Data'!$B124:$AW124&lt;&gt;"")*(1/(1+EXP(-(E124-'03_Lap_b'!$B$5:$AW$5)))))</f>
        <v/>
      </c>
      <c r="G124" s="5">
        <f>SUMPRODUCT(('01_Data'!$B124:$AW124&lt;&gt;"")*(1/(1+EXP(-(E124-'03_Lap_b'!$B$5:$AW$5))))^2)</f>
        <v/>
      </c>
      <c r="H124" s="5">
        <f>MEDIAN(-6,E124+(C124-F124)/MAX(F124-G124,0.000000001),6)</f>
        <v/>
      </c>
      <c r="I124" s="5">
        <f>SUMPRODUCT(('01_Data'!$B124:$AW124&lt;&gt;"")*(1/(1+EXP(-(H124-'03_Lap_b'!$B$10:$AW$10)))))</f>
        <v/>
      </c>
      <c r="J124" s="5">
        <f>SUMPRODUCT(('01_Data'!$B124:$AW124&lt;&gt;"")*(1/(1+EXP(-(H124-'03_Lap_b'!$B$10:$AW$10))))^2)</f>
        <v/>
      </c>
      <c r="K124" s="5">
        <f>MEDIAN(-6,H124+(C124-I124)/MAX(I124-J124,0.000000001),6)</f>
        <v/>
      </c>
      <c r="L124" s="5">
        <f>SUMPRODUCT(('01_Data'!$B124:$AW124&lt;&gt;"")*(1/(1+EXP(-(K124-'03_Lap_b'!$B$15:$AW$15)))))</f>
        <v/>
      </c>
      <c r="M124" s="5">
        <f>SUMPRODUCT(('01_Data'!$B124:$AW124&lt;&gt;"")*(1/(1+EXP(-(K124-'03_Lap_b'!$B$15:$AW$15))))^2)</f>
        <v/>
      </c>
      <c r="N124" s="5">
        <f>MEDIAN(-6,K124+(C124-L124)/MAX(L124-M124,0.000000001),6)</f>
        <v/>
      </c>
      <c r="O124" s="5">
        <f>SUMPRODUCT(('01_Data'!$B124:$AW124&lt;&gt;"")*(1/(1+EXP(-(N124-'03_Lap_b'!$B$20:$AW$20)))))</f>
        <v/>
      </c>
      <c r="P124" s="5">
        <f>SUMPRODUCT(('01_Data'!$B124:$AW124&lt;&gt;"")*(1/(1+EXP(-(N124-'03_Lap_b'!$B$20:$AW$20))))^2)</f>
        <v/>
      </c>
      <c r="Q124" s="5">
        <f>MEDIAN(-6,N124+(C124-O124)/MAX(O124-P124,0.000000001),6)</f>
        <v/>
      </c>
      <c r="R124" s="5">
        <f>SUMPRODUCT(('01_Data'!$B124:$AW124&lt;&gt;"")*(1/(1+EXP(-(Q124-'03_Lap_b'!$B$25:$AW$25)))))</f>
        <v/>
      </c>
      <c r="S124" s="5">
        <f>SUMPRODUCT(('01_Data'!$B124:$AW124&lt;&gt;"")*(1/(1+EXP(-(Q124-'03_Lap_b'!$B$25:$AW$25))))^2)</f>
        <v/>
      </c>
      <c r="T124" s="5">
        <f>MEDIAN(-6,Q124+(C124-R124)/MAX(R124-S124,0.000000001),6)</f>
        <v/>
      </c>
      <c r="U124" s="5">
        <f>SUMPRODUCT(('01_Data'!$B124:$AW124&lt;&gt;"")*(1/(1+EXP(-(T124-'03_Lap_b'!$B$30:$AW$30)))))</f>
        <v/>
      </c>
      <c r="V124" s="5">
        <f>SUMPRODUCT(('01_Data'!$B124:$AW124&lt;&gt;"")*(1/(1+EXP(-(T124-'03_Lap_b'!$B$30:$AW$30))))^2)</f>
        <v/>
      </c>
      <c r="W124" s="5">
        <f>MEDIAN(-6,T124+(C124-U124)/MAX(U124-V124,0.000000001),6)</f>
        <v/>
      </c>
      <c r="X124" s="5">
        <f>SUMPRODUCT(('01_Data'!$B124:$AW124&lt;&gt;"")*(1/(1+EXP(-(W124-'03_Lap_b'!$B$35:$AW$35)))))</f>
        <v/>
      </c>
      <c r="Y124" s="5">
        <f>SUMPRODUCT(('01_Data'!$B124:$AW124&lt;&gt;"")*(1/(1+EXP(-(W124-'03_Lap_b'!$B$35:$AW$35))))^2)</f>
        <v/>
      </c>
      <c r="Z124" s="5">
        <f>MEDIAN(-6,W124+(C124-X124)/MAX(X124-Y124,0.000000001),6)</f>
        <v/>
      </c>
      <c r="AA124" s="5">
        <f>SUMPRODUCT(('01_Data'!$B124:$AW124&lt;&gt;"")*(1/(1+EXP(-(Z124-'03_Lap_b'!$B$40:$AW$40)))))</f>
        <v/>
      </c>
      <c r="AB124" s="5">
        <f>SUMPRODUCT(('01_Data'!$B124:$AW124&lt;&gt;"")*(1/(1+EXP(-(Z124-'03_Lap_b'!$B$40:$AW$40))))^2)</f>
        <v/>
      </c>
      <c r="AC124" s="5">
        <f>MEDIAN(-6,Z124+(C124-AA124)/MAX(AA124-AB124,0.000000001),6)</f>
        <v/>
      </c>
    </row>
    <row r="125">
      <c r="A125" t="n">
        <v>124</v>
      </c>
      <c r="B125">
        <f>'01_Data'!A125</f>
        <v/>
      </c>
      <c r="C125">
        <f>SUM('01_Data'!$B125:$AW125)</f>
        <v/>
      </c>
      <c r="D125">
        <f>COUNT('01_Data'!$B125:$AW125)</f>
        <v/>
      </c>
      <c r="E125" s="5">
        <f>MEDIAN(-6,LN((C125+0.3)/(D125-C125+0.3)),6)</f>
        <v/>
      </c>
      <c r="F125" s="5">
        <f>SUMPRODUCT(('01_Data'!$B125:$AW125&lt;&gt;"")*(1/(1+EXP(-(E125-'03_Lap_b'!$B$5:$AW$5)))))</f>
        <v/>
      </c>
      <c r="G125" s="5">
        <f>SUMPRODUCT(('01_Data'!$B125:$AW125&lt;&gt;"")*(1/(1+EXP(-(E125-'03_Lap_b'!$B$5:$AW$5))))^2)</f>
        <v/>
      </c>
      <c r="H125" s="5">
        <f>MEDIAN(-6,E125+(C125-F125)/MAX(F125-G125,0.000000001),6)</f>
        <v/>
      </c>
      <c r="I125" s="5">
        <f>SUMPRODUCT(('01_Data'!$B125:$AW125&lt;&gt;"")*(1/(1+EXP(-(H125-'03_Lap_b'!$B$10:$AW$10)))))</f>
        <v/>
      </c>
      <c r="J125" s="5">
        <f>SUMPRODUCT(('01_Data'!$B125:$AW125&lt;&gt;"")*(1/(1+EXP(-(H125-'03_Lap_b'!$B$10:$AW$10))))^2)</f>
        <v/>
      </c>
      <c r="K125" s="5">
        <f>MEDIAN(-6,H125+(C125-I125)/MAX(I125-J125,0.000000001),6)</f>
        <v/>
      </c>
      <c r="L125" s="5">
        <f>SUMPRODUCT(('01_Data'!$B125:$AW125&lt;&gt;"")*(1/(1+EXP(-(K125-'03_Lap_b'!$B$15:$AW$15)))))</f>
        <v/>
      </c>
      <c r="M125" s="5">
        <f>SUMPRODUCT(('01_Data'!$B125:$AW125&lt;&gt;"")*(1/(1+EXP(-(K125-'03_Lap_b'!$B$15:$AW$15))))^2)</f>
        <v/>
      </c>
      <c r="N125" s="5">
        <f>MEDIAN(-6,K125+(C125-L125)/MAX(L125-M125,0.000000001),6)</f>
        <v/>
      </c>
      <c r="O125" s="5">
        <f>SUMPRODUCT(('01_Data'!$B125:$AW125&lt;&gt;"")*(1/(1+EXP(-(N125-'03_Lap_b'!$B$20:$AW$20)))))</f>
        <v/>
      </c>
      <c r="P125" s="5">
        <f>SUMPRODUCT(('01_Data'!$B125:$AW125&lt;&gt;"")*(1/(1+EXP(-(N125-'03_Lap_b'!$B$20:$AW$20))))^2)</f>
        <v/>
      </c>
      <c r="Q125" s="5">
        <f>MEDIAN(-6,N125+(C125-O125)/MAX(O125-P125,0.000000001),6)</f>
        <v/>
      </c>
      <c r="R125" s="5">
        <f>SUMPRODUCT(('01_Data'!$B125:$AW125&lt;&gt;"")*(1/(1+EXP(-(Q125-'03_Lap_b'!$B$25:$AW$25)))))</f>
        <v/>
      </c>
      <c r="S125" s="5">
        <f>SUMPRODUCT(('01_Data'!$B125:$AW125&lt;&gt;"")*(1/(1+EXP(-(Q125-'03_Lap_b'!$B$25:$AW$25))))^2)</f>
        <v/>
      </c>
      <c r="T125" s="5">
        <f>MEDIAN(-6,Q125+(C125-R125)/MAX(R125-S125,0.000000001),6)</f>
        <v/>
      </c>
      <c r="U125" s="5">
        <f>SUMPRODUCT(('01_Data'!$B125:$AW125&lt;&gt;"")*(1/(1+EXP(-(T125-'03_Lap_b'!$B$30:$AW$30)))))</f>
        <v/>
      </c>
      <c r="V125" s="5">
        <f>SUMPRODUCT(('01_Data'!$B125:$AW125&lt;&gt;"")*(1/(1+EXP(-(T125-'03_Lap_b'!$B$30:$AW$30))))^2)</f>
        <v/>
      </c>
      <c r="W125" s="5">
        <f>MEDIAN(-6,T125+(C125-U125)/MAX(U125-V125,0.000000001),6)</f>
        <v/>
      </c>
      <c r="X125" s="5">
        <f>SUMPRODUCT(('01_Data'!$B125:$AW125&lt;&gt;"")*(1/(1+EXP(-(W125-'03_Lap_b'!$B$35:$AW$35)))))</f>
        <v/>
      </c>
      <c r="Y125" s="5">
        <f>SUMPRODUCT(('01_Data'!$B125:$AW125&lt;&gt;"")*(1/(1+EXP(-(W125-'03_Lap_b'!$B$35:$AW$35))))^2)</f>
        <v/>
      </c>
      <c r="Z125" s="5">
        <f>MEDIAN(-6,W125+(C125-X125)/MAX(X125-Y125,0.000000001),6)</f>
        <v/>
      </c>
      <c r="AA125" s="5">
        <f>SUMPRODUCT(('01_Data'!$B125:$AW125&lt;&gt;"")*(1/(1+EXP(-(Z125-'03_Lap_b'!$B$40:$AW$40)))))</f>
        <v/>
      </c>
      <c r="AB125" s="5">
        <f>SUMPRODUCT(('01_Data'!$B125:$AW125&lt;&gt;"")*(1/(1+EXP(-(Z125-'03_Lap_b'!$B$40:$AW$40))))^2)</f>
        <v/>
      </c>
      <c r="AC125" s="5">
        <f>MEDIAN(-6,Z125+(C125-AA125)/MAX(AA125-AB125,0.000000001),6)</f>
        <v/>
      </c>
    </row>
    <row r="126">
      <c r="A126" t="n">
        <v>125</v>
      </c>
      <c r="B126">
        <f>'01_Data'!A126</f>
        <v/>
      </c>
      <c r="C126">
        <f>SUM('01_Data'!$B126:$AW126)</f>
        <v/>
      </c>
      <c r="D126">
        <f>COUNT('01_Data'!$B126:$AW126)</f>
        <v/>
      </c>
      <c r="E126" s="5">
        <f>MEDIAN(-6,LN((C126+0.3)/(D126-C126+0.3)),6)</f>
        <v/>
      </c>
      <c r="F126" s="5">
        <f>SUMPRODUCT(('01_Data'!$B126:$AW126&lt;&gt;"")*(1/(1+EXP(-(E126-'03_Lap_b'!$B$5:$AW$5)))))</f>
        <v/>
      </c>
      <c r="G126" s="5">
        <f>SUMPRODUCT(('01_Data'!$B126:$AW126&lt;&gt;"")*(1/(1+EXP(-(E126-'03_Lap_b'!$B$5:$AW$5))))^2)</f>
        <v/>
      </c>
      <c r="H126" s="5">
        <f>MEDIAN(-6,E126+(C126-F126)/MAX(F126-G126,0.000000001),6)</f>
        <v/>
      </c>
      <c r="I126" s="5">
        <f>SUMPRODUCT(('01_Data'!$B126:$AW126&lt;&gt;"")*(1/(1+EXP(-(H126-'03_Lap_b'!$B$10:$AW$10)))))</f>
        <v/>
      </c>
      <c r="J126" s="5">
        <f>SUMPRODUCT(('01_Data'!$B126:$AW126&lt;&gt;"")*(1/(1+EXP(-(H126-'03_Lap_b'!$B$10:$AW$10))))^2)</f>
        <v/>
      </c>
      <c r="K126" s="5">
        <f>MEDIAN(-6,H126+(C126-I126)/MAX(I126-J126,0.000000001),6)</f>
        <v/>
      </c>
      <c r="L126" s="5">
        <f>SUMPRODUCT(('01_Data'!$B126:$AW126&lt;&gt;"")*(1/(1+EXP(-(K126-'03_Lap_b'!$B$15:$AW$15)))))</f>
        <v/>
      </c>
      <c r="M126" s="5">
        <f>SUMPRODUCT(('01_Data'!$B126:$AW126&lt;&gt;"")*(1/(1+EXP(-(K126-'03_Lap_b'!$B$15:$AW$15))))^2)</f>
        <v/>
      </c>
      <c r="N126" s="5">
        <f>MEDIAN(-6,K126+(C126-L126)/MAX(L126-M126,0.000000001),6)</f>
        <v/>
      </c>
      <c r="O126" s="5">
        <f>SUMPRODUCT(('01_Data'!$B126:$AW126&lt;&gt;"")*(1/(1+EXP(-(N126-'03_Lap_b'!$B$20:$AW$20)))))</f>
        <v/>
      </c>
      <c r="P126" s="5">
        <f>SUMPRODUCT(('01_Data'!$B126:$AW126&lt;&gt;"")*(1/(1+EXP(-(N126-'03_Lap_b'!$B$20:$AW$20))))^2)</f>
        <v/>
      </c>
      <c r="Q126" s="5">
        <f>MEDIAN(-6,N126+(C126-O126)/MAX(O126-P126,0.000000001),6)</f>
        <v/>
      </c>
      <c r="R126" s="5">
        <f>SUMPRODUCT(('01_Data'!$B126:$AW126&lt;&gt;"")*(1/(1+EXP(-(Q126-'03_Lap_b'!$B$25:$AW$25)))))</f>
        <v/>
      </c>
      <c r="S126" s="5">
        <f>SUMPRODUCT(('01_Data'!$B126:$AW126&lt;&gt;"")*(1/(1+EXP(-(Q126-'03_Lap_b'!$B$25:$AW$25))))^2)</f>
        <v/>
      </c>
      <c r="T126" s="5">
        <f>MEDIAN(-6,Q126+(C126-R126)/MAX(R126-S126,0.000000001),6)</f>
        <v/>
      </c>
      <c r="U126" s="5">
        <f>SUMPRODUCT(('01_Data'!$B126:$AW126&lt;&gt;"")*(1/(1+EXP(-(T126-'03_Lap_b'!$B$30:$AW$30)))))</f>
        <v/>
      </c>
      <c r="V126" s="5">
        <f>SUMPRODUCT(('01_Data'!$B126:$AW126&lt;&gt;"")*(1/(1+EXP(-(T126-'03_Lap_b'!$B$30:$AW$30))))^2)</f>
        <v/>
      </c>
      <c r="W126" s="5">
        <f>MEDIAN(-6,T126+(C126-U126)/MAX(U126-V126,0.000000001),6)</f>
        <v/>
      </c>
      <c r="X126" s="5">
        <f>SUMPRODUCT(('01_Data'!$B126:$AW126&lt;&gt;"")*(1/(1+EXP(-(W126-'03_Lap_b'!$B$35:$AW$35)))))</f>
        <v/>
      </c>
      <c r="Y126" s="5">
        <f>SUMPRODUCT(('01_Data'!$B126:$AW126&lt;&gt;"")*(1/(1+EXP(-(W126-'03_Lap_b'!$B$35:$AW$35))))^2)</f>
        <v/>
      </c>
      <c r="Z126" s="5">
        <f>MEDIAN(-6,W126+(C126-X126)/MAX(X126-Y126,0.000000001),6)</f>
        <v/>
      </c>
      <c r="AA126" s="5">
        <f>SUMPRODUCT(('01_Data'!$B126:$AW126&lt;&gt;"")*(1/(1+EXP(-(Z126-'03_Lap_b'!$B$40:$AW$40)))))</f>
        <v/>
      </c>
      <c r="AB126" s="5">
        <f>SUMPRODUCT(('01_Data'!$B126:$AW126&lt;&gt;"")*(1/(1+EXP(-(Z126-'03_Lap_b'!$B$40:$AW$40))))^2)</f>
        <v/>
      </c>
      <c r="AC126" s="5">
        <f>MEDIAN(-6,Z126+(C126-AA126)/MAX(AA126-AB126,0.000000001),6)</f>
        <v/>
      </c>
    </row>
    <row r="127">
      <c r="A127" t="n">
        <v>126</v>
      </c>
      <c r="B127">
        <f>'01_Data'!A127</f>
        <v/>
      </c>
      <c r="C127">
        <f>SUM('01_Data'!$B127:$AW127)</f>
        <v/>
      </c>
      <c r="D127">
        <f>COUNT('01_Data'!$B127:$AW127)</f>
        <v/>
      </c>
      <c r="E127" s="5">
        <f>MEDIAN(-6,LN((C127+0.3)/(D127-C127+0.3)),6)</f>
        <v/>
      </c>
      <c r="F127" s="5">
        <f>SUMPRODUCT(('01_Data'!$B127:$AW127&lt;&gt;"")*(1/(1+EXP(-(E127-'03_Lap_b'!$B$5:$AW$5)))))</f>
        <v/>
      </c>
      <c r="G127" s="5">
        <f>SUMPRODUCT(('01_Data'!$B127:$AW127&lt;&gt;"")*(1/(1+EXP(-(E127-'03_Lap_b'!$B$5:$AW$5))))^2)</f>
        <v/>
      </c>
      <c r="H127" s="5">
        <f>MEDIAN(-6,E127+(C127-F127)/MAX(F127-G127,0.000000001),6)</f>
        <v/>
      </c>
      <c r="I127" s="5">
        <f>SUMPRODUCT(('01_Data'!$B127:$AW127&lt;&gt;"")*(1/(1+EXP(-(H127-'03_Lap_b'!$B$10:$AW$10)))))</f>
        <v/>
      </c>
      <c r="J127" s="5">
        <f>SUMPRODUCT(('01_Data'!$B127:$AW127&lt;&gt;"")*(1/(1+EXP(-(H127-'03_Lap_b'!$B$10:$AW$10))))^2)</f>
        <v/>
      </c>
      <c r="K127" s="5">
        <f>MEDIAN(-6,H127+(C127-I127)/MAX(I127-J127,0.000000001),6)</f>
        <v/>
      </c>
      <c r="L127" s="5">
        <f>SUMPRODUCT(('01_Data'!$B127:$AW127&lt;&gt;"")*(1/(1+EXP(-(K127-'03_Lap_b'!$B$15:$AW$15)))))</f>
        <v/>
      </c>
      <c r="M127" s="5">
        <f>SUMPRODUCT(('01_Data'!$B127:$AW127&lt;&gt;"")*(1/(1+EXP(-(K127-'03_Lap_b'!$B$15:$AW$15))))^2)</f>
        <v/>
      </c>
      <c r="N127" s="5">
        <f>MEDIAN(-6,K127+(C127-L127)/MAX(L127-M127,0.000000001),6)</f>
        <v/>
      </c>
      <c r="O127" s="5">
        <f>SUMPRODUCT(('01_Data'!$B127:$AW127&lt;&gt;"")*(1/(1+EXP(-(N127-'03_Lap_b'!$B$20:$AW$20)))))</f>
        <v/>
      </c>
      <c r="P127" s="5">
        <f>SUMPRODUCT(('01_Data'!$B127:$AW127&lt;&gt;"")*(1/(1+EXP(-(N127-'03_Lap_b'!$B$20:$AW$20))))^2)</f>
        <v/>
      </c>
      <c r="Q127" s="5">
        <f>MEDIAN(-6,N127+(C127-O127)/MAX(O127-P127,0.000000001),6)</f>
        <v/>
      </c>
      <c r="R127" s="5">
        <f>SUMPRODUCT(('01_Data'!$B127:$AW127&lt;&gt;"")*(1/(1+EXP(-(Q127-'03_Lap_b'!$B$25:$AW$25)))))</f>
        <v/>
      </c>
      <c r="S127" s="5">
        <f>SUMPRODUCT(('01_Data'!$B127:$AW127&lt;&gt;"")*(1/(1+EXP(-(Q127-'03_Lap_b'!$B$25:$AW$25))))^2)</f>
        <v/>
      </c>
      <c r="T127" s="5">
        <f>MEDIAN(-6,Q127+(C127-R127)/MAX(R127-S127,0.000000001),6)</f>
        <v/>
      </c>
      <c r="U127" s="5">
        <f>SUMPRODUCT(('01_Data'!$B127:$AW127&lt;&gt;"")*(1/(1+EXP(-(T127-'03_Lap_b'!$B$30:$AW$30)))))</f>
        <v/>
      </c>
      <c r="V127" s="5">
        <f>SUMPRODUCT(('01_Data'!$B127:$AW127&lt;&gt;"")*(1/(1+EXP(-(T127-'03_Lap_b'!$B$30:$AW$30))))^2)</f>
        <v/>
      </c>
      <c r="W127" s="5">
        <f>MEDIAN(-6,T127+(C127-U127)/MAX(U127-V127,0.000000001),6)</f>
        <v/>
      </c>
      <c r="X127" s="5">
        <f>SUMPRODUCT(('01_Data'!$B127:$AW127&lt;&gt;"")*(1/(1+EXP(-(W127-'03_Lap_b'!$B$35:$AW$35)))))</f>
        <v/>
      </c>
      <c r="Y127" s="5">
        <f>SUMPRODUCT(('01_Data'!$B127:$AW127&lt;&gt;"")*(1/(1+EXP(-(W127-'03_Lap_b'!$B$35:$AW$35))))^2)</f>
        <v/>
      </c>
      <c r="Z127" s="5">
        <f>MEDIAN(-6,W127+(C127-X127)/MAX(X127-Y127,0.000000001),6)</f>
        <v/>
      </c>
      <c r="AA127" s="5">
        <f>SUMPRODUCT(('01_Data'!$B127:$AW127&lt;&gt;"")*(1/(1+EXP(-(Z127-'03_Lap_b'!$B$40:$AW$40)))))</f>
        <v/>
      </c>
      <c r="AB127" s="5">
        <f>SUMPRODUCT(('01_Data'!$B127:$AW127&lt;&gt;"")*(1/(1+EXP(-(Z127-'03_Lap_b'!$B$40:$AW$40))))^2)</f>
        <v/>
      </c>
      <c r="AC127" s="5">
        <f>MEDIAN(-6,Z127+(C127-AA127)/MAX(AA127-AB127,0.000000001),6)</f>
        <v/>
      </c>
    </row>
    <row r="128">
      <c r="A128" t="n">
        <v>127</v>
      </c>
      <c r="B128">
        <f>'01_Data'!A128</f>
        <v/>
      </c>
      <c r="C128">
        <f>SUM('01_Data'!$B128:$AW128)</f>
        <v/>
      </c>
      <c r="D128">
        <f>COUNT('01_Data'!$B128:$AW128)</f>
        <v/>
      </c>
      <c r="E128" s="5">
        <f>MEDIAN(-6,LN((C128+0.3)/(D128-C128+0.3)),6)</f>
        <v/>
      </c>
      <c r="F128" s="5">
        <f>SUMPRODUCT(('01_Data'!$B128:$AW128&lt;&gt;"")*(1/(1+EXP(-(E128-'03_Lap_b'!$B$5:$AW$5)))))</f>
        <v/>
      </c>
      <c r="G128" s="5">
        <f>SUMPRODUCT(('01_Data'!$B128:$AW128&lt;&gt;"")*(1/(1+EXP(-(E128-'03_Lap_b'!$B$5:$AW$5))))^2)</f>
        <v/>
      </c>
      <c r="H128" s="5">
        <f>MEDIAN(-6,E128+(C128-F128)/MAX(F128-G128,0.000000001),6)</f>
        <v/>
      </c>
      <c r="I128" s="5">
        <f>SUMPRODUCT(('01_Data'!$B128:$AW128&lt;&gt;"")*(1/(1+EXP(-(H128-'03_Lap_b'!$B$10:$AW$10)))))</f>
        <v/>
      </c>
      <c r="J128" s="5">
        <f>SUMPRODUCT(('01_Data'!$B128:$AW128&lt;&gt;"")*(1/(1+EXP(-(H128-'03_Lap_b'!$B$10:$AW$10))))^2)</f>
        <v/>
      </c>
      <c r="K128" s="5">
        <f>MEDIAN(-6,H128+(C128-I128)/MAX(I128-J128,0.000000001),6)</f>
        <v/>
      </c>
      <c r="L128" s="5">
        <f>SUMPRODUCT(('01_Data'!$B128:$AW128&lt;&gt;"")*(1/(1+EXP(-(K128-'03_Lap_b'!$B$15:$AW$15)))))</f>
        <v/>
      </c>
      <c r="M128" s="5">
        <f>SUMPRODUCT(('01_Data'!$B128:$AW128&lt;&gt;"")*(1/(1+EXP(-(K128-'03_Lap_b'!$B$15:$AW$15))))^2)</f>
        <v/>
      </c>
      <c r="N128" s="5">
        <f>MEDIAN(-6,K128+(C128-L128)/MAX(L128-M128,0.000000001),6)</f>
        <v/>
      </c>
      <c r="O128" s="5">
        <f>SUMPRODUCT(('01_Data'!$B128:$AW128&lt;&gt;"")*(1/(1+EXP(-(N128-'03_Lap_b'!$B$20:$AW$20)))))</f>
        <v/>
      </c>
      <c r="P128" s="5">
        <f>SUMPRODUCT(('01_Data'!$B128:$AW128&lt;&gt;"")*(1/(1+EXP(-(N128-'03_Lap_b'!$B$20:$AW$20))))^2)</f>
        <v/>
      </c>
      <c r="Q128" s="5">
        <f>MEDIAN(-6,N128+(C128-O128)/MAX(O128-P128,0.000000001),6)</f>
        <v/>
      </c>
      <c r="R128" s="5">
        <f>SUMPRODUCT(('01_Data'!$B128:$AW128&lt;&gt;"")*(1/(1+EXP(-(Q128-'03_Lap_b'!$B$25:$AW$25)))))</f>
        <v/>
      </c>
      <c r="S128" s="5">
        <f>SUMPRODUCT(('01_Data'!$B128:$AW128&lt;&gt;"")*(1/(1+EXP(-(Q128-'03_Lap_b'!$B$25:$AW$25))))^2)</f>
        <v/>
      </c>
      <c r="T128" s="5">
        <f>MEDIAN(-6,Q128+(C128-R128)/MAX(R128-S128,0.000000001),6)</f>
        <v/>
      </c>
      <c r="U128" s="5">
        <f>SUMPRODUCT(('01_Data'!$B128:$AW128&lt;&gt;"")*(1/(1+EXP(-(T128-'03_Lap_b'!$B$30:$AW$30)))))</f>
        <v/>
      </c>
      <c r="V128" s="5">
        <f>SUMPRODUCT(('01_Data'!$B128:$AW128&lt;&gt;"")*(1/(1+EXP(-(T128-'03_Lap_b'!$B$30:$AW$30))))^2)</f>
        <v/>
      </c>
      <c r="W128" s="5">
        <f>MEDIAN(-6,T128+(C128-U128)/MAX(U128-V128,0.000000001),6)</f>
        <v/>
      </c>
      <c r="X128" s="5">
        <f>SUMPRODUCT(('01_Data'!$B128:$AW128&lt;&gt;"")*(1/(1+EXP(-(W128-'03_Lap_b'!$B$35:$AW$35)))))</f>
        <v/>
      </c>
      <c r="Y128" s="5">
        <f>SUMPRODUCT(('01_Data'!$B128:$AW128&lt;&gt;"")*(1/(1+EXP(-(W128-'03_Lap_b'!$B$35:$AW$35))))^2)</f>
        <v/>
      </c>
      <c r="Z128" s="5">
        <f>MEDIAN(-6,W128+(C128-X128)/MAX(X128-Y128,0.000000001),6)</f>
        <v/>
      </c>
      <c r="AA128" s="5">
        <f>SUMPRODUCT(('01_Data'!$B128:$AW128&lt;&gt;"")*(1/(1+EXP(-(Z128-'03_Lap_b'!$B$40:$AW$40)))))</f>
        <v/>
      </c>
      <c r="AB128" s="5">
        <f>SUMPRODUCT(('01_Data'!$B128:$AW128&lt;&gt;"")*(1/(1+EXP(-(Z128-'03_Lap_b'!$B$40:$AW$40))))^2)</f>
        <v/>
      </c>
      <c r="AC128" s="5">
        <f>MEDIAN(-6,Z128+(C128-AA128)/MAX(AA128-AB128,0.000000001),6)</f>
        <v/>
      </c>
    </row>
    <row r="129">
      <c r="A129" t="n">
        <v>128</v>
      </c>
      <c r="B129">
        <f>'01_Data'!A129</f>
        <v/>
      </c>
      <c r="C129">
        <f>SUM('01_Data'!$B129:$AW129)</f>
        <v/>
      </c>
      <c r="D129">
        <f>COUNT('01_Data'!$B129:$AW129)</f>
        <v/>
      </c>
      <c r="E129" s="5">
        <f>MEDIAN(-6,LN((C129+0.3)/(D129-C129+0.3)),6)</f>
        <v/>
      </c>
      <c r="F129" s="5">
        <f>SUMPRODUCT(('01_Data'!$B129:$AW129&lt;&gt;"")*(1/(1+EXP(-(E129-'03_Lap_b'!$B$5:$AW$5)))))</f>
        <v/>
      </c>
      <c r="G129" s="5">
        <f>SUMPRODUCT(('01_Data'!$B129:$AW129&lt;&gt;"")*(1/(1+EXP(-(E129-'03_Lap_b'!$B$5:$AW$5))))^2)</f>
        <v/>
      </c>
      <c r="H129" s="5">
        <f>MEDIAN(-6,E129+(C129-F129)/MAX(F129-G129,0.000000001),6)</f>
        <v/>
      </c>
      <c r="I129" s="5">
        <f>SUMPRODUCT(('01_Data'!$B129:$AW129&lt;&gt;"")*(1/(1+EXP(-(H129-'03_Lap_b'!$B$10:$AW$10)))))</f>
        <v/>
      </c>
      <c r="J129" s="5">
        <f>SUMPRODUCT(('01_Data'!$B129:$AW129&lt;&gt;"")*(1/(1+EXP(-(H129-'03_Lap_b'!$B$10:$AW$10))))^2)</f>
        <v/>
      </c>
      <c r="K129" s="5">
        <f>MEDIAN(-6,H129+(C129-I129)/MAX(I129-J129,0.000000001),6)</f>
        <v/>
      </c>
      <c r="L129" s="5">
        <f>SUMPRODUCT(('01_Data'!$B129:$AW129&lt;&gt;"")*(1/(1+EXP(-(K129-'03_Lap_b'!$B$15:$AW$15)))))</f>
        <v/>
      </c>
      <c r="M129" s="5">
        <f>SUMPRODUCT(('01_Data'!$B129:$AW129&lt;&gt;"")*(1/(1+EXP(-(K129-'03_Lap_b'!$B$15:$AW$15))))^2)</f>
        <v/>
      </c>
      <c r="N129" s="5">
        <f>MEDIAN(-6,K129+(C129-L129)/MAX(L129-M129,0.000000001),6)</f>
        <v/>
      </c>
      <c r="O129" s="5">
        <f>SUMPRODUCT(('01_Data'!$B129:$AW129&lt;&gt;"")*(1/(1+EXP(-(N129-'03_Lap_b'!$B$20:$AW$20)))))</f>
        <v/>
      </c>
      <c r="P129" s="5">
        <f>SUMPRODUCT(('01_Data'!$B129:$AW129&lt;&gt;"")*(1/(1+EXP(-(N129-'03_Lap_b'!$B$20:$AW$20))))^2)</f>
        <v/>
      </c>
      <c r="Q129" s="5">
        <f>MEDIAN(-6,N129+(C129-O129)/MAX(O129-P129,0.000000001),6)</f>
        <v/>
      </c>
      <c r="R129" s="5">
        <f>SUMPRODUCT(('01_Data'!$B129:$AW129&lt;&gt;"")*(1/(1+EXP(-(Q129-'03_Lap_b'!$B$25:$AW$25)))))</f>
        <v/>
      </c>
      <c r="S129" s="5">
        <f>SUMPRODUCT(('01_Data'!$B129:$AW129&lt;&gt;"")*(1/(1+EXP(-(Q129-'03_Lap_b'!$B$25:$AW$25))))^2)</f>
        <v/>
      </c>
      <c r="T129" s="5">
        <f>MEDIAN(-6,Q129+(C129-R129)/MAX(R129-S129,0.000000001),6)</f>
        <v/>
      </c>
      <c r="U129" s="5">
        <f>SUMPRODUCT(('01_Data'!$B129:$AW129&lt;&gt;"")*(1/(1+EXP(-(T129-'03_Lap_b'!$B$30:$AW$30)))))</f>
        <v/>
      </c>
      <c r="V129" s="5">
        <f>SUMPRODUCT(('01_Data'!$B129:$AW129&lt;&gt;"")*(1/(1+EXP(-(T129-'03_Lap_b'!$B$30:$AW$30))))^2)</f>
        <v/>
      </c>
      <c r="W129" s="5">
        <f>MEDIAN(-6,T129+(C129-U129)/MAX(U129-V129,0.000000001),6)</f>
        <v/>
      </c>
      <c r="X129" s="5">
        <f>SUMPRODUCT(('01_Data'!$B129:$AW129&lt;&gt;"")*(1/(1+EXP(-(W129-'03_Lap_b'!$B$35:$AW$35)))))</f>
        <v/>
      </c>
      <c r="Y129" s="5">
        <f>SUMPRODUCT(('01_Data'!$B129:$AW129&lt;&gt;"")*(1/(1+EXP(-(W129-'03_Lap_b'!$B$35:$AW$35))))^2)</f>
        <v/>
      </c>
      <c r="Z129" s="5">
        <f>MEDIAN(-6,W129+(C129-X129)/MAX(X129-Y129,0.000000001),6)</f>
        <v/>
      </c>
      <c r="AA129" s="5">
        <f>SUMPRODUCT(('01_Data'!$B129:$AW129&lt;&gt;"")*(1/(1+EXP(-(Z129-'03_Lap_b'!$B$40:$AW$40)))))</f>
        <v/>
      </c>
      <c r="AB129" s="5">
        <f>SUMPRODUCT(('01_Data'!$B129:$AW129&lt;&gt;"")*(1/(1+EXP(-(Z129-'03_Lap_b'!$B$40:$AW$40))))^2)</f>
        <v/>
      </c>
      <c r="AC129" s="5">
        <f>MEDIAN(-6,Z129+(C129-AA129)/MAX(AA129-AB129,0.000000001),6)</f>
        <v/>
      </c>
    </row>
    <row r="130">
      <c r="A130" t="n">
        <v>129</v>
      </c>
      <c r="B130">
        <f>'01_Data'!A130</f>
        <v/>
      </c>
      <c r="C130">
        <f>SUM('01_Data'!$B130:$AW130)</f>
        <v/>
      </c>
      <c r="D130">
        <f>COUNT('01_Data'!$B130:$AW130)</f>
        <v/>
      </c>
      <c r="E130" s="5">
        <f>MEDIAN(-6,LN((C130+0.3)/(D130-C130+0.3)),6)</f>
        <v/>
      </c>
      <c r="F130" s="5">
        <f>SUMPRODUCT(('01_Data'!$B130:$AW130&lt;&gt;"")*(1/(1+EXP(-(E130-'03_Lap_b'!$B$5:$AW$5)))))</f>
        <v/>
      </c>
      <c r="G130" s="5">
        <f>SUMPRODUCT(('01_Data'!$B130:$AW130&lt;&gt;"")*(1/(1+EXP(-(E130-'03_Lap_b'!$B$5:$AW$5))))^2)</f>
        <v/>
      </c>
      <c r="H130" s="5">
        <f>MEDIAN(-6,E130+(C130-F130)/MAX(F130-G130,0.000000001),6)</f>
        <v/>
      </c>
      <c r="I130" s="5">
        <f>SUMPRODUCT(('01_Data'!$B130:$AW130&lt;&gt;"")*(1/(1+EXP(-(H130-'03_Lap_b'!$B$10:$AW$10)))))</f>
        <v/>
      </c>
      <c r="J130" s="5">
        <f>SUMPRODUCT(('01_Data'!$B130:$AW130&lt;&gt;"")*(1/(1+EXP(-(H130-'03_Lap_b'!$B$10:$AW$10))))^2)</f>
        <v/>
      </c>
      <c r="K130" s="5">
        <f>MEDIAN(-6,H130+(C130-I130)/MAX(I130-J130,0.000000001),6)</f>
        <v/>
      </c>
      <c r="L130" s="5">
        <f>SUMPRODUCT(('01_Data'!$B130:$AW130&lt;&gt;"")*(1/(1+EXP(-(K130-'03_Lap_b'!$B$15:$AW$15)))))</f>
        <v/>
      </c>
      <c r="M130" s="5">
        <f>SUMPRODUCT(('01_Data'!$B130:$AW130&lt;&gt;"")*(1/(1+EXP(-(K130-'03_Lap_b'!$B$15:$AW$15))))^2)</f>
        <v/>
      </c>
      <c r="N130" s="5">
        <f>MEDIAN(-6,K130+(C130-L130)/MAX(L130-M130,0.000000001),6)</f>
        <v/>
      </c>
      <c r="O130" s="5">
        <f>SUMPRODUCT(('01_Data'!$B130:$AW130&lt;&gt;"")*(1/(1+EXP(-(N130-'03_Lap_b'!$B$20:$AW$20)))))</f>
        <v/>
      </c>
      <c r="P130" s="5">
        <f>SUMPRODUCT(('01_Data'!$B130:$AW130&lt;&gt;"")*(1/(1+EXP(-(N130-'03_Lap_b'!$B$20:$AW$20))))^2)</f>
        <v/>
      </c>
      <c r="Q130" s="5">
        <f>MEDIAN(-6,N130+(C130-O130)/MAX(O130-P130,0.000000001),6)</f>
        <v/>
      </c>
      <c r="R130" s="5">
        <f>SUMPRODUCT(('01_Data'!$B130:$AW130&lt;&gt;"")*(1/(1+EXP(-(Q130-'03_Lap_b'!$B$25:$AW$25)))))</f>
        <v/>
      </c>
      <c r="S130" s="5">
        <f>SUMPRODUCT(('01_Data'!$B130:$AW130&lt;&gt;"")*(1/(1+EXP(-(Q130-'03_Lap_b'!$B$25:$AW$25))))^2)</f>
        <v/>
      </c>
      <c r="T130" s="5">
        <f>MEDIAN(-6,Q130+(C130-R130)/MAX(R130-S130,0.000000001),6)</f>
        <v/>
      </c>
      <c r="U130" s="5">
        <f>SUMPRODUCT(('01_Data'!$B130:$AW130&lt;&gt;"")*(1/(1+EXP(-(T130-'03_Lap_b'!$B$30:$AW$30)))))</f>
        <v/>
      </c>
      <c r="V130" s="5">
        <f>SUMPRODUCT(('01_Data'!$B130:$AW130&lt;&gt;"")*(1/(1+EXP(-(T130-'03_Lap_b'!$B$30:$AW$30))))^2)</f>
        <v/>
      </c>
      <c r="W130" s="5">
        <f>MEDIAN(-6,T130+(C130-U130)/MAX(U130-V130,0.000000001),6)</f>
        <v/>
      </c>
      <c r="X130" s="5">
        <f>SUMPRODUCT(('01_Data'!$B130:$AW130&lt;&gt;"")*(1/(1+EXP(-(W130-'03_Lap_b'!$B$35:$AW$35)))))</f>
        <v/>
      </c>
      <c r="Y130" s="5">
        <f>SUMPRODUCT(('01_Data'!$B130:$AW130&lt;&gt;"")*(1/(1+EXP(-(W130-'03_Lap_b'!$B$35:$AW$35))))^2)</f>
        <v/>
      </c>
      <c r="Z130" s="5">
        <f>MEDIAN(-6,W130+(C130-X130)/MAX(X130-Y130,0.000000001),6)</f>
        <v/>
      </c>
      <c r="AA130" s="5">
        <f>SUMPRODUCT(('01_Data'!$B130:$AW130&lt;&gt;"")*(1/(1+EXP(-(Z130-'03_Lap_b'!$B$40:$AW$40)))))</f>
        <v/>
      </c>
      <c r="AB130" s="5">
        <f>SUMPRODUCT(('01_Data'!$B130:$AW130&lt;&gt;"")*(1/(1+EXP(-(Z130-'03_Lap_b'!$B$40:$AW$40))))^2)</f>
        <v/>
      </c>
      <c r="AC130" s="5">
        <f>MEDIAN(-6,Z130+(C130-AA130)/MAX(AA130-AB130,0.000000001),6)</f>
        <v/>
      </c>
    </row>
    <row r="131">
      <c r="A131" t="n">
        <v>130</v>
      </c>
      <c r="B131">
        <f>'01_Data'!A131</f>
        <v/>
      </c>
      <c r="C131">
        <f>SUM('01_Data'!$B131:$AW131)</f>
        <v/>
      </c>
      <c r="D131">
        <f>COUNT('01_Data'!$B131:$AW131)</f>
        <v/>
      </c>
      <c r="E131" s="5">
        <f>MEDIAN(-6,LN((C131+0.3)/(D131-C131+0.3)),6)</f>
        <v/>
      </c>
      <c r="F131" s="5">
        <f>SUMPRODUCT(('01_Data'!$B131:$AW131&lt;&gt;"")*(1/(1+EXP(-(E131-'03_Lap_b'!$B$5:$AW$5)))))</f>
        <v/>
      </c>
      <c r="G131" s="5">
        <f>SUMPRODUCT(('01_Data'!$B131:$AW131&lt;&gt;"")*(1/(1+EXP(-(E131-'03_Lap_b'!$B$5:$AW$5))))^2)</f>
        <v/>
      </c>
      <c r="H131" s="5">
        <f>MEDIAN(-6,E131+(C131-F131)/MAX(F131-G131,0.000000001),6)</f>
        <v/>
      </c>
      <c r="I131" s="5">
        <f>SUMPRODUCT(('01_Data'!$B131:$AW131&lt;&gt;"")*(1/(1+EXP(-(H131-'03_Lap_b'!$B$10:$AW$10)))))</f>
        <v/>
      </c>
      <c r="J131" s="5">
        <f>SUMPRODUCT(('01_Data'!$B131:$AW131&lt;&gt;"")*(1/(1+EXP(-(H131-'03_Lap_b'!$B$10:$AW$10))))^2)</f>
        <v/>
      </c>
      <c r="K131" s="5">
        <f>MEDIAN(-6,H131+(C131-I131)/MAX(I131-J131,0.000000001),6)</f>
        <v/>
      </c>
      <c r="L131" s="5">
        <f>SUMPRODUCT(('01_Data'!$B131:$AW131&lt;&gt;"")*(1/(1+EXP(-(K131-'03_Lap_b'!$B$15:$AW$15)))))</f>
        <v/>
      </c>
      <c r="M131" s="5">
        <f>SUMPRODUCT(('01_Data'!$B131:$AW131&lt;&gt;"")*(1/(1+EXP(-(K131-'03_Lap_b'!$B$15:$AW$15))))^2)</f>
        <v/>
      </c>
      <c r="N131" s="5">
        <f>MEDIAN(-6,K131+(C131-L131)/MAX(L131-M131,0.000000001),6)</f>
        <v/>
      </c>
      <c r="O131" s="5">
        <f>SUMPRODUCT(('01_Data'!$B131:$AW131&lt;&gt;"")*(1/(1+EXP(-(N131-'03_Lap_b'!$B$20:$AW$20)))))</f>
        <v/>
      </c>
      <c r="P131" s="5">
        <f>SUMPRODUCT(('01_Data'!$B131:$AW131&lt;&gt;"")*(1/(1+EXP(-(N131-'03_Lap_b'!$B$20:$AW$20))))^2)</f>
        <v/>
      </c>
      <c r="Q131" s="5">
        <f>MEDIAN(-6,N131+(C131-O131)/MAX(O131-P131,0.000000001),6)</f>
        <v/>
      </c>
      <c r="R131" s="5">
        <f>SUMPRODUCT(('01_Data'!$B131:$AW131&lt;&gt;"")*(1/(1+EXP(-(Q131-'03_Lap_b'!$B$25:$AW$25)))))</f>
        <v/>
      </c>
      <c r="S131" s="5">
        <f>SUMPRODUCT(('01_Data'!$B131:$AW131&lt;&gt;"")*(1/(1+EXP(-(Q131-'03_Lap_b'!$B$25:$AW$25))))^2)</f>
        <v/>
      </c>
      <c r="T131" s="5">
        <f>MEDIAN(-6,Q131+(C131-R131)/MAX(R131-S131,0.000000001),6)</f>
        <v/>
      </c>
      <c r="U131" s="5">
        <f>SUMPRODUCT(('01_Data'!$B131:$AW131&lt;&gt;"")*(1/(1+EXP(-(T131-'03_Lap_b'!$B$30:$AW$30)))))</f>
        <v/>
      </c>
      <c r="V131" s="5">
        <f>SUMPRODUCT(('01_Data'!$B131:$AW131&lt;&gt;"")*(1/(1+EXP(-(T131-'03_Lap_b'!$B$30:$AW$30))))^2)</f>
        <v/>
      </c>
      <c r="W131" s="5">
        <f>MEDIAN(-6,T131+(C131-U131)/MAX(U131-V131,0.000000001),6)</f>
        <v/>
      </c>
      <c r="X131" s="5">
        <f>SUMPRODUCT(('01_Data'!$B131:$AW131&lt;&gt;"")*(1/(1+EXP(-(W131-'03_Lap_b'!$B$35:$AW$35)))))</f>
        <v/>
      </c>
      <c r="Y131" s="5">
        <f>SUMPRODUCT(('01_Data'!$B131:$AW131&lt;&gt;"")*(1/(1+EXP(-(W131-'03_Lap_b'!$B$35:$AW$35))))^2)</f>
        <v/>
      </c>
      <c r="Z131" s="5">
        <f>MEDIAN(-6,W131+(C131-X131)/MAX(X131-Y131,0.000000001),6)</f>
        <v/>
      </c>
      <c r="AA131" s="5">
        <f>SUMPRODUCT(('01_Data'!$B131:$AW131&lt;&gt;"")*(1/(1+EXP(-(Z131-'03_Lap_b'!$B$40:$AW$40)))))</f>
        <v/>
      </c>
      <c r="AB131" s="5">
        <f>SUMPRODUCT(('01_Data'!$B131:$AW131&lt;&gt;"")*(1/(1+EXP(-(Z131-'03_Lap_b'!$B$40:$AW$40))))^2)</f>
        <v/>
      </c>
      <c r="AC131" s="5">
        <f>MEDIAN(-6,Z131+(C131-AA131)/MAX(AA131-AB131,0.000000001),6)</f>
        <v/>
      </c>
    </row>
    <row r="132">
      <c r="A132" t="n">
        <v>131</v>
      </c>
      <c r="B132">
        <f>'01_Data'!A132</f>
        <v/>
      </c>
      <c r="C132">
        <f>SUM('01_Data'!$B132:$AW132)</f>
        <v/>
      </c>
      <c r="D132">
        <f>COUNT('01_Data'!$B132:$AW132)</f>
        <v/>
      </c>
      <c r="E132" s="5">
        <f>MEDIAN(-6,LN((C132+0.3)/(D132-C132+0.3)),6)</f>
        <v/>
      </c>
      <c r="F132" s="5">
        <f>SUMPRODUCT(('01_Data'!$B132:$AW132&lt;&gt;"")*(1/(1+EXP(-(E132-'03_Lap_b'!$B$5:$AW$5)))))</f>
        <v/>
      </c>
      <c r="G132" s="5">
        <f>SUMPRODUCT(('01_Data'!$B132:$AW132&lt;&gt;"")*(1/(1+EXP(-(E132-'03_Lap_b'!$B$5:$AW$5))))^2)</f>
        <v/>
      </c>
      <c r="H132" s="5">
        <f>MEDIAN(-6,E132+(C132-F132)/MAX(F132-G132,0.000000001),6)</f>
        <v/>
      </c>
      <c r="I132" s="5">
        <f>SUMPRODUCT(('01_Data'!$B132:$AW132&lt;&gt;"")*(1/(1+EXP(-(H132-'03_Lap_b'!$B$10:$AW$10)))))</f>
        <v/>
      </c>
      <c r="J132" s="5">
        <f>SUMPRODUCT(('01_Data'!$B132:$AW132&lt;&gt;"")*(1/(1+EXP(-(H132-'03_Lap_b'!$B$10:$AW$10))))^2)</f>
        <v/>
      </c>
      <c r="K132" s="5">
        <f>MEDIAN(-6,H132+(C132-I132)/MAX(I132-J132,0.000000001),6)</f>
        <v/>
      </c>
      <c r="L132" s="5">
        <f>SUMPRODUCT(('01_Data'!$B132:$AW132&lt;&gt;"")*(1/(1+EXP(-(K132-'03_Lap_b'!$B$15:$AW$15)))))</f>
        <v/>
      </c>
      <c r="M132" s="5">
        <f>SUMPRODUCT(('01_Data'!$B132:$AW132&lt;&gt;"")*(1/(1+EXP(-(K132-'03_Lap_b'!$B$15:$AW$15))))^2)</f>
        <v/>
      </c>
      <c r="N132" s="5">
        <f>MEDIAN(-6,K132+(C132-L132)/MAX(L132-M132,0.000000001),6)</f>
        <v/>
      </c>
      <c r="O132" s="5">
        <f>SUMPRODUCT(('01_Data'!$B132:$AW132&lt;&gt;"")*(1/(1+EXP(-(N132-'03_Lap_b'!$B$20:$AW$20)))))</f>
        <v/>
      </c>
      <c r="P132" s="5">
        <f>SUMPRODUCT(('01_Data'!$B132:$AW132&lt;&gt;"")*(1/(1+EXP(-(N132-'03_Lap_b'!$B$20:$AW$20))))^2)</f>
        <v/>
      </c>
      <c r="Q132" s="5">
        <f>MEDIAN(-6,N132+(C132-O132)/MAX(O132-P132,0.000000001),6)</f>
        <v/>
      </c>
      <c r="R132" s="5">
        <f>SUMPRODUCT(('01_Data'!$B132:$AW132&lt;&gt;"")*(1/(1+EXP(-(Q132-'03_Lap_b'!$B$25:$AW$25)))))</f>
        <v/>
      </c>
      <c r="S132" s="5">
        <f>SUMPRODUCT(('01_Data'!$B132:$AW132&lt;&gt;"")*(1/(1+EXP(-(Q132-'03_Lap_b'!$B$25:$AW$25))))^2)</f>
        <v/>
      </c>
      <c r="T132" s="5">
        <f>MEDIAN(-6,Q132+(C132-R132)/MAX(R132-S132,0.000000001),6)</f>
        <v/>
      </c>
      <c r="U132" s="5">
        <f>SUMPRODUCT(('01_Data'!$B132:$AW132&lt;&gt;"")*(1/(1+EXP(-(T132-'03_Lap_b'!$B$30:$AW$30)))))</f>
        <v/>
      </c>
      <c r="V132" s="5">
        <f>SUMPRODUCT(('01_Data'!$B132:$AW132&lt;&gt;"")*(1/(1+EXP(-(T132-'03_Lap_b'!$B$30:$AW$30))))^2)</f>
        <v/>
      </c>
      <c r="W132" s="5">
        <f>MEDIAN(-6,T132+(C132-U132)/MAX(U132-V132,0.000000001),6)</f>
        <v/>
      </c>
      <c r="X132" s="5">
        <f>SUMPRODUCT(('01_Data'!$B132:$AW132&lt;&gt;"")*(1/(1+EXP(-(W132-'03_Lap_b'!$B$35:$AW$35)))))</f>
        <v/>
      </c>
      <c r="Y132" s="5">
        <f>SUMPRODUCT(('01_Data'!$B132:$AW132&lt;&gt;"")*(1/(1+EXP(-(W132-'03_Lap_b'!$B$35:$AW$35))))^2)</f>
        <v/>
      </c>
      <c r="Z132" s="5">
        <f>MEDIAN(-6,W132+(C132-X132)/MAX(X132-Y132,0.000000001),6)</f>
        <v/>
      </c>
      <c r="AA132" s="5">
        <f>SUMPRODUCT(('01_Data'!$B132:$AW132&lt;&gt;"")*(1/(1+EXP(-(Z132-'03_Lap_b'!$B$40:$AW$40)))))</f>
        <v/>
      </c>
      <c r="AB132" s="5">
        <f>SUMPRODUCT(('01_Data'!$B132:$AW132&lt;&gt;"")*(1/(1+EXP(-(Z132-'03_Lap_b'!$B$40:$AW$40))))^2)</f>
        <v/>
      </c>
      <c r="AC132" s="5">
        <f>MEDIAN(-6,Z132+(C132-AA132)/MAX(AA132-AB132,0.000000001),6)</f>
        <v/>
      </c>
    </row>
    <row r="133">
      <c r="A133" t="n">
        <v>132</v>
      </c>
      <c r="B133">
        <f>'01_Data'!A133</f>
        <v/>
      </c>
      <c r="C133">
        <f>SUM('01_Data'!$B133:$AW133)</f>
        <v/>
      </c>
      <c r="D133">
        <f>COUNT('01_Data'!$B133:$AW133)</f>
        <v/>
      </c>
      <c r="E133" s="5">
        <f>MEDIAN(-6,LN((C133+0.3)/(D133-C133+0.3)),6)</f>
        <v/>
      </c>
      <c r="F133" s="5">
        <f>SUMPRODUCT(('01_Data'!$B133:$AW133&lt;&gt;"")*(1/(1+EXP(-(E133-'03_Lap_b'!$B$5:$AW$5)))))</f>
        <v/>
      </c>
      <c r="G133" s="5">
        <f>SUMPRODUCT(('01_Data'!$B133:$AW133&lt;&gt;"")*(1/(1+EXP(-(E133-'03_Lap_b'!$B$5:$AW$5))))^2)</f>
        <v/>
      </c>
      <c r="H133" s="5">
        <f>MEDIAN(-6,E133+(C133-F133)/MAX(F133-G133,0.000000001),6)</f>
        <v/>
      </c>
      <c r="I133" s="5">
        <f>SUMPRODUCT(('01_Data'!$B133:$AW133&lt;&gt;"")*(1/(1+EXP(-(H133-'03_Lap_b'!$B$10:$AW$10)))))</f>
        <v/>
      </c>
      <c r="J133" s="5">
        <f>SUMPRODUCT(('01_Data'!$B133:$AW133&lt;&gt;"")*(1/(1+EXP(-(H133-'03_Lap_b'!$B$10:$AW$10))))^2)</f>
        <v/>
      </c>
      <c r="K133" s="5">
        <f>MEDIAN(-6,H133+(C133-I133)/MAX(I133-J133,0.000000001),6)</f>
        <v/>
      </c>
      <c r="L133" s="5">
        <f>SUMPRODUCT(('01_Data'!$B133:$AW133&lt;&gt;"")*(1/(1+EXP(-(K133-'03_Lap_b'!$B$15:$AW$15)))))</f>
        <v/>
      </c>
      <c r="M133" s="5">
        <f>SUMPRODUCT(('01_Data'!$B133:$AW133&lt;&gt;"")*(1/(1+EXP(-(K133-'03_Lap_b'!$B$15:$AW$15))))^2)</f>
        <v/>
      </c>
      <c r="N133" s="5">
        <f>MEDIAN(-6,K133+(C133-L133)/MAX(L133-M133,0.000000001),6)</f>
        <v/>
      </c>
      <c r="O133" s="5">
        <f>SUMPRODUCT(('01_Data'!$B133:$AW133&lt;&gt;"")*(1/(1+EXP(-(N133-'03_Lap_b'!$B$20:$AW$20)))))</f>
        <v/>
      </c>
      <c r="P133" s="5">
        <f>SUMPRODUCT(('01_Data'!$B133:$AW133&lt;&gt;"")*(1/(1+EXP(-(N133-'03_Lap_b'!$B$20:$AW$20))))^2)</f>
        <v/>
      </c>
      <c r="Q133" s="5">
        <f>MEDIAN(-6,N133+(C133-O133)/MAX(O133-P133,0.000000001),6)</f>
        <v/>
      </c>
      <c r="R133" s="5">
        <f>SUMPRODUCT(('01_Data'!$B133:$AW133&lt;&gt;"")*(1/(1+EXP(-(Q133-'03_Lap_b'!$B$25:$AW$25)))))</f>
        <v/>
      </c>
      <c r="S133" s="5">
        <f>SUMPRODUCT(('01_Data'!$B133:$AW133&lt;&gt;"")*(1/(1+EXP(-(Q133-'03_Lap_b'!$B$25:$AW$25))))^2)</f>
        <v/>
      </c>
      <c r="T133" s="5">
        <f>MEDIAN(-6,Q133+(C133-R133)/MAX(R133-S133,0.000000001),6)</f>
        <v/>
      </c>
      <c r="U133" s="5">
        <f>SUMPRODUCT(('01_Data'!$B133:$AW133&lt;&gt;"")*(1/(1+EXP(-(T133-'03_Lap_b'!$B$30:$AW$30)))))</f>
        <v/>
      </c>
      <c r="V133" s="5">
        <f>SUMPRODUCT(('01_Data'!$B133:$AW133&lt;&gt;"")*(1/(1+EXP(-(T133-'03_Lap_b'!$B$30:$AW$30))))^2)</f>
        <v/>
      </c>
      <c r="W133" s="5">
        <f>MEDIAN(-6,T133+(C133-U133)/MAX(U133-V133,0.000000001),6)</f>
        <v/>
      </c>
      <c r="X133" s="5">
        <f>SUMPRODUCT(('01_Data'!$B133:$AW133&lt;&gt;"")*(1/(1+EXP(-(W133-'03_Lap_b'!$B$35:$AW$35)))))</f>
        <v/>
      </c>
      <c r="Y133" s="5">
        <f>SUMPRODUCT(('01_Data'!$B133:$AW133&lt;&gt;"")*(1/(1+EXP(-(W133-'03_Lap_b'!$B$35:$AW$35))))^2)</f>
        <v/>
      </c>
      <c r="Z133" s="5">
        <f>MEDIAN(-6,W133+(C133-X133)/MAX(X133-Y133,0.000000001),6)</f>
        <v/>
      </c>
      <c r="AA133" s="5">
        <f>SUMPRODUCT(('01_Data'!$B133:$AW133&lt;&gt;"")*(1/(1+EXP(-(Z133-'03_Lap_b'!$B$40:$AW$40)))))</f>
        <v/>
      </c>
      <c r="AB133" s="5">
        <f>SUMPRODUCT(('01_Data'!$B133:$AW133&lt;&gt;"")*(1/(1+EXP(-(Z133-'03_Lap_b'!$B$40:$AW$40))))^2)</f>
        <v/>
      </c>
      <c r="AC133" s="5">
        <f>MEDIAN(-6,Z133+(C133-AA133)/MAX(AA133-AB133,0.000000001),6)</f>
        <v/>
      </c>
    </row>
    <row r="134">
      <c r="A134" t="n">
        <v>133</v>
      </c>
      <c r="B134">
        <f>'01_Data'!A134</f>
        <v/>
      </c>
      <c r="C134">
        <f>SUM('01_Data'!$B134:$AW134)</f>
        <v/>
      </c>
      <c r="D134">
        <f>COUNT('01_Data'!$B134:$AW134)</f>
        <v/>
      </c>
      <c r="E134" s="5">
        <f>MEDIAN(-6,LN((C134+0.3)/(D134-C134+0.3)),6)</f>
        <v/>
      </c>
      <c r="F134" s="5">
        <f>SUMPRODUCT(('01_Data'!$B134:$AW134&lt;&gt;"")*(1/(1+EXP(-(E134-'03_Lap_b'!$B$5:$AW$5)))))</f>
        <v/>
      </c>
      <c r="G134" s="5">
        <f>SUMPRODUCT(('01_Data'!$B134:$AW134&lt;&gt;"")*(1/(1+EXP(-(E134-'03_Lap_b'!$B$5:$AW$5))))^2)</f>
        <v/>
      </c>
      <c r="H134" s="5">
        <f>MEDIAN(-6,E134+(C134-F134)/MAX(F134-G134,0.000000001),6)</f>
        <v/>
      </c>
      <c r="I134" s="5">
        <f>SUMPRODUCT(('01_Data'!$B134:$AW134&lt;&gt;"")*(1/(1+EXP(-(H134-'03_Lap_b'!$B$10:$AW$10)))))</f>
        <v/>
      </c>
      <c r="J134" s="5">
        <f>SUMPRODUCT(('01_Data'!$B134:$AW134&lt;&gt;"")*(1/(1+EXP(-(H134-'03_Lap_b'!$B$10:$AW$10))))^2)</f>
        <v/>
      </c>
      <c r="K134" s="5">
        <f>MEDIAN(-6,H134+(C134-I134)/MAX(I134-J134,0.000000001),6)</f>
        <v/>
      </c>
      <c r="L134" s="5">
        <f>SUMPRODUCT(('01_Data'!$B134:$AW134&lt;&gt;"")*(1/(1+EXP(-(K134-'03_Lap_b'!$B$15:$AW$15)))))</f>
        <v/>
      </c>
      <c r="M134" s="5">
        <f>SUMPRODUCT(('01_Data'!$B134:$AW134&lt;&gt;"")*(1/(1+EXP(-(K134-'03_Lap_b'!$B$15:$AW$15))))^2)</f>
        <v/>
      </c>
      <c r="N134" s="5">
        <f>MEDIAN(-6,K134+(C134-L134)/MAX(L134-M134,0.000000001),6)</f>
        <v/>
      </c>
      <c r="O134" s="5">
        <f>SUMPRODUCT(('01_Data'!$B134:$AW134&lt;&gt;"")*(1/(1+EXP(-(N134-'03_Lap_b'!$B$20:$AW$20)))))</f>
        <v/>
      </c>
      <c r="P134" s="5">
        <f>SUMPRODUCT(('01_Data'!$B134:$AW134&lt;&gt;"")*(1/(1+EXP(-(N134-'03_Lap_b'!$B$20:$AW$20))))^2)</f>
        <v/>
      </c>
      <c r="Q134" s="5">
        <f>MEDIAN(-6,N134+(C134-O134)/MAX(O134-P134,0.000000001),6)</f>
        <v/>
      </c>
      <c r="R134" s="5">
        <f>SUMPRODUCT(('01_Data'!$B134:$AW134&lt;&gt;"")*(1/(1+EXP(-(Q134-'03_Lap_b'!$B$25:$AW$25)))))</f>
        <v/>
      </c>
      <c r="S134" s="5">
        <f>SUMPRODUCT(('01_Data'!$B134:$AW134&lt;&gt;"")*(1/(1+EXP(-(Q134-'03_Lap_b'!$B$25:$AW$25))))^2)</f>
        <v/>
      </c>
      <c r="T134" s="5">
        <f>MEDIAN(-6,Q134+(C134-R134)/MAX(R134-S134,0.000000001),6)</f>
        <v/>
      </c>
      <c r="U134" s="5">
        <f>SUMPRODUCT(('01_Data'!$B134:$AW134&lt;&gt;"")*(1/(1+EXP(-(T134-'03_Lap_b'!$B$30:$AW$30)))))</f>
        <v/>
      </c>
      <c r="V134" s="5">
        <f>SUMPRODUCT(('01_Data'!$B134:$AW134&lt;&gt;"")*(1/(1+EXP(-(T134-'03_Lap_b'!$B$30:$AW$30))))^2)</f>
        <v/>
      </c>
      <c r="W134" s="5">
        <f>MEDIAN(-6,T134+(C134-U134)/MAX(U134-V134,0.000000001),6)</f>
        <v/>
      </c>
      <c r="X134" s="5">
        <f>SUMPRODUCT(('01_Data'!$B134:$AW134&lt;&gt;"")*(1/(1+EXP(-(W134-'03_Lap_b'!$B$35:$AW$35)))))</f>
        <v/>
      </c>
      <c r="Y134" s="5">
        <f>SUMPRODUCT(('01_Data'!$B134:$AW134&lt;&gt;"")*(1/(1+EXP(-(W134-'03_Lap_b'!$B$35:$AW$35))))^2)</f>
        <v/>
      </c>
      <c r="Z134" s="5">
        <f>MEDIAN(-6,W134+(C134-X134)/MAX(X134-Y134,0.000000001),6)</f>
        <v/>
      </c>
      <c r="AA134" s="5">
        <f>SUMPRODUCT(('01_Data'!$B134:$AW134&lt;&gt;"")*(1/(1+EXP(-(Z134-'03_Lap_b'!$B$40:$AW$40)))))</f>
        <v/>
      </c>
      <c r="AB134" s="5">
        <f>SUMPRODUCT(('01_Data'!$B134:$AW134&lt;&gt;"")*(1/(1+EXP(-(Z134-'03_Lap_b'!$B$40:$AW$40))))^2)</f>
        <v/>
      </c>
      <c r="AC134" s="5">
        <f>MEDIAN(-6,Z134+(C134-AA134)/MAX(AA134-AB134,0.000000001),6)</f>
        <v/>
      </c>
    </row>
    <row r="135">
      <c r="A135" t="n">
        <v>134</v>
      </c>
      <c r="B135">
        <f>'01_Data'!A135</f>
        <v/>
      </c>
      <c r="C135">
        <f>SUM('01_Data'!$B135:$AW135)</f>
        <v/>
      </c>
      <c r="D135">
        <f>COUNT('01_Data'!$B135:$AW135)</f>
        <v/>
      </c>
      <c r="E135" s="5">
        <f>MEDIAN(-6,LN((C135+0.3)/(D135-C135+0.3)),6)</f>
        <v/>
      </c>
      <c r="F135" s="5">
        <f>SUMPRODUCT(('01_Data'!$B135:$AW135&lt;&gt;"")*(1/(1+EXP(-(E135-'03_Lap_b'!$B$5:$AW$5)))))</f>
        <v/>
      </c>
      <c r="G135" s="5">
        <f>SUMPRODUCT(('01_Data'!$B135:$AW135&lt;&gt;"")*(1/(1+EXP(-(E135-'03_Lap_b'!$B$5:$AW$5))))^2)</f>
        <v/>
      </c>
      <c r="H135" s="5">
        <f>MEDIAN(-6,E135+(C135-F135)/MAX(F135-G135,0.000000001),6)</f>
        <v/>
      </c>
      <c r="I135" s="5">
        <f>SUMPRODUCT(('01_Data'!$B135:$AW135&lt;&gt;"")*(1/(1+EXP(-(H135-'03_Lap_b'!$B$10:$AW$10)))))</f>
        <v/>
      </c>
      <c r="J135" s="5">
        <f>SUMPRODUCT(('01_Data'!$B135:$AW135&lt;&gt;"")*(1/(1+EXP(-(H135-'03_Lap_b'!$B$10:$AW$10))))^2)</f>
        <v/>
      </c>
      <c r="K135" s="5">
        <f>MEDIAN(-6,H135+(C135-I135)/MAX(I135-J135,0.000000001),6)</f>
        <v/>
      </c>
      <c r="L135" s="5">
        <f>SUMPRODUCT(('01_Data'!$B135:$AW135&lt;&gt;"")*(1/(1+EXP(-(K135-'03_Lap_b'!$B$15:$AW$15)))))</f>
        <v/>
      </c>
      <c r="M135" s="5">
        <f>SUMPRODUCT(('01_Data'!$B135:$AW135&lt;&gt;"")*(1/(1+EXP(-(K135-'03_Lap_b'!$B$15:$AW$15))))^2)</f>
        <v/>
      </c>
      <c r="N135" s="5">
        <f>MEDIAN(-6,K135+(C135-L135)/MAX(L135-M135,0.000000001),6)</f>
        <v/>
      </c>
      <c r="O135" s="5">
        <f>SUMPRODUCT(('01_Data'!$B135:$AW135&lt;&gt;"")*(1/(1+EXP(-(N135-'03_Lap_b'!$B$20:$AW$20)))))</f>
        <v/>
      </c>
      <c r="P135" s="5">
        <f>SUMPRODUCT(('01_Data'!$B135:$AW135&lt;&gt;"")*(1/(1+EXP(-(N135-'03_Lap_b'!$B$20:$AW$20))))^2)</f>
        <v/>
      </c>
      <c r="Q135" s="5">
        <f>MEDIAN(-6,N135+(C135-O135)/MAX(O135-P135,0.000000001),6)</f>
        <v/>
      </c>
      <c r="R135" s="5">
        <f>SUMPRODUCT(('01_Data'!$B135:$AW135&lt;&gt;"")*(1/(1+EXP(-(Q135-'03_Lap_b'!$B$25:$AW$25)))))</f>
        <v/>
      </c>
      <c r="S135" s="5">
        <f>SUMPRODUCT(('01_Data'!$B135:$AW135&lt;&gt;"")*(1/(1+EXP(-(Q135-'03_Lap_b'!$B$25:$AW$25))))^2)</f>
        <v/>
      </c>
      <c r="T135" s="5">
        <f>MEDIAN(-6,Q135+(C135-R135)/MAX(R135-S135,0.000000001),6)</f>
        <v/>
      </c>
      <c r="U135" s="5">
        <f>SUMPRODUCT(('01_Data'!$B135:$AW135&lt;&gt;"")*(1/(1+EXP(-(T135-'03_Lap_b'!$B$30:$AW$30)))))</f>
        <v/>
      </c>
      <c r="V135" s="5">
        <f>SUMPRODUCT(('01_Data'!$B135:$AW135&lt;&gt;"")*(1/(1+EXP(-(T135-'03_Lap_b'!$B$30:$AW$30))))^2)</f>
        <v/>
      </c>
      <c r="W135" s="5">
        <f>MEDIAN(-6,T135+(C135-U135)/MAX(U135-V135,0.000000001),6)</f>
        <v/>
      </c>
      <c r="X135" s="5">
        <f>SUMPRODUCT(('01_Data'!$B135:$AW135&lt;&gt;"")*(1/(1+EXP(-(W135-'03_Lap_b'!$B$35:$AW$35)))))</f>
        <v/>
      </c>
      <c r="Y135" s="5">
        <f>SUMPRODUCT(('01_Data'!$B135:$AW135&lt;&gt;"")*(1/(1+EXP(-(W135-'03_Lap_b'!$B$35:$AW$35))))^2)</f>
        <v/>
      </c>
      <c r="Z135" s="5">
        <f>MEDIAN(-6,W135+(C135-X135)/MAX(X135-Y135,0.000000001),6)</f>
        <v/>
      </c>
      <c r="AA135" s="5">
        <f>SUMPRODUCT(('01_Data'!$B135:$AW135&lt;&gt;"")*(1/(1+EXP(-(Z135-'03_Lap_b'!$B$40:$AW$40)))))</f>
        <v/>
      </c>
      <c r="AB135" s="5">
        <f>SUMPRODUCT(('01_Data'!$B135:$AW135&lt;&gt;"")*(1/(1+EXP(-(Z135-'03_Lap_b'!$B$40:$AW$40))))^2)</f>
        <v/>
      </c>
      <c r="AC135" s="5">
        <f>MEDIAN(-6,Z135+(C135-AA135)/MAX(AA135-AB135,0.000000001),6)</f>
        <v/>
      </c>
    </row>
    <row r="136">
      <c r="A136" t="n">
        <v>135</v>
      </c>
      <c r="B136">
        <f>'01_Data'!A136</f>
        <v/>
      </c>
      <c r="C136">
        <f>SUM('01_Data'!$B136:$AW136)</f>
        <v/>
      </c>
      <c r="D136">
        <f>COUNT('01_Data'!$B136:$AW136)</f>
        <v/>
      </c>
      <c r="E136" s="5">
        <f>MEDIAN(-6,LN((C136+0.3)/(D136-C136+0.3)),6)</f>
        <v/>
      </c>
      <c r="F136" s="5">
        <f>SUMPRODUCT(('01_Data'!$B136:$AW136&lt;&gt;"")*(1/(1+EXP(-(E136-'03_Lap_b'!$B$5:$AW$5)))))</f>
        <v/>
      </c>
      <c r="G136" s="5">
        <f>SUMPRODUCT(('01_Data'!$B136:$AW136&lt;&gt;"")*(1/(1+EXP(-(E136-'03_Lap_b'!$B$5:$AW$5))))^2)</f>
        <v/>
      </c>
      <c r="H136" s="5">
        <f>MEDIAN(-6,E136+(C136-F136)/MAX(F136-G136,0.000000001),6)</f>
        <v/>
      </c>
      <c r="I136" s="5">
        <f>SUMPRODUCT(('01_Data'!$B136:$AW136&lt;&gt;"")*(1/(1+EXP(-(H136-'03_Lap_b'!$B$10:$AW$10)))))</f>
        <v/>
      </c>
      <c r="J136" s="5">
        <f>SUMPRODUCT(('01_Data'!$B136:$AW136&lt;&gt;"")*(1/(1+EXP(-(H136-'03_Lap_b'!$B$10:$AW$10))))^2)</f>
        <v/>
      </c>
      <c r="K136" s="5">
        <f>MEDIAN(-6,H136+(C136-I136)/MAX(I136-J136,0.000000001),6)</f>
        <v/>
      </c>
      <c r="L136" s="5">
        <f>SUMPRODUCT(('01_Data'!$B136:$AW136&lt;&gt;"")*(1/(1+EXP(-(K136-'03_Lap_b'!$B$15:$AW$15)))))</f>
        <v/>
      </c>
      <c r="M136" s="5">
        <f>SUMPRODUCT(('01_Data'!$B136:$AW136&lt;&gt;"")*(1/(1+EXP(-(K136-'03_Lap_b'!$B$15:$AW$15))))^2)</f>
        <v/>
      </c>
      <c r="N136" s="5">
        <f>MEDIAN(-6,K136+(C136-L136)/MAX(L136-M136,0.000000001),6)</f>
        <v/>
      </c>
      <c r="O136" s="5">
        <f>SUMPRODUCT(('01_Data'!$B136:$AW136&lt;&gt;"")*(1/(1+EXP(-(N136-'03_Lap_b'!$B$20:$AW$20)))))</f>
        <v/>
      </c>
      <c r="P136" s="5">
        <f>SUMPRODUCT(('01_Data'!$B136:$AW136&lt;&gt;"")*(1/(1+EXP(-(N136-'03_Lap_b'!$B$20:$AW$20))))^2)</f>
        <v/>
      </c>
      <c r="Q136" s="5">
        <f>MEDIAN(-6,N136+(C136-O136)/MAX(O136-P136,0.000000001),6)</f>
        <v/>
      </c>
      <c r="R136" s="5">
        <f>SUMPRODUCT(('01_Data'!$B136:$AW136&lt;&gt;"")*(1/(1+EXP(-(Q136-'03_Lap_b'!$B$25:$AW$25)))))</f>
        <v/>
      </c>
      <c r="S136" s="5">
        <f>SUMPRODUCT(('01_Data'!$B136:$AW136&lt;&gt;"")*(1/(1+EXP(-(Q136-'03_Lap_b'!$B$25:$AW$25))))^2)</f>
        <v/>
      </c>
      <c r="T136" s="5">
        <f>MEDIAN(-6,Q136+(C136-R136)/MAX(R136-S136,0.000000001),6)</f>
        <v/>
      </c>
      <c r="U136" s="5">
        <f>SUMPRODUCT(('01_Data'!$B136:$AW136&lt;&gt;"")*(1/(1+EXP(-(T136-'03_Lap_b'!$B$30:$AW$30)))))</f>
        <v/>
      </c>
      <c r="V136" s="5">
        <f>SUMPRODUCT(('01_Data'!$B136:$AW136&lt;&gt;"")*(1/(1+EXP(-(T136-'03_Lap_b'!$B$30:$AW$30))))^2)</f>
        <v/>
      </c>
      <c r="W136" s="5">
        <f>MEDIAN(-6,T136+(C136-U136)/MAX(U136-V136,0.000000001),6)</f>
        <v/>
      </c>
      <c r="X136" s="5">
        <f>SUMPRODUCT(('01_Data'!$B136:$AW136&lt;&gt;"")*(1/(1+EXP(-(W136-'03_Lap_b'!$B$35:$AW$35)))))</f>
        <v/>
      </c>
      <c r="Y136" s="5">
        <f>SUMPRODUCT(('01_Data'!$B136:$AW136&lt;&gt;"")*(1/(1+EXP(-(W136-'03_Lap_b'!$B$35:$AW$35))))^2)</f>
        <v/>
      </c>
      <c r="Z136" s="5">
        <f>MEDIAN(-6,W136+(C136-X136)/MAX(X136-Y136,0.000000001),6)</f>
        <v/>
      </c>
      <c r="AA136" s="5">
        <f>SUMPRODUCT(('01_Data'!$B136:$AW136&lt;&gt;"")*(1/(1+EXP(-(Z136-'03_Lap_b'!$B$40:$AW$40)))))</f>
        <v/>
      </c>
      <c r="AB136" s="5">
        <f>SUMPRODUCT(('01_Data'!$B136:$AW136&lt;&gt;"")*(1/(1+EXP(-(Z136-'03_Lap_b'!$B$40:$AW$40))))^2)</f>
        <v/>
      </c>
      <c r="AC136" s="5">
        <f>MEDIAN(-6,Z136+(C136-AA136)/MAX(AA136-AB136,0.000000001),6)</f>
        <v/>
      </c>
    </row>
    <row r="137">
      <c r="A137" t="n">
        <v>136</v>
      </c>
      <c r="B137">
        <f>'01_Data'!A137</f>
        <v/>
      </c>
      <c r="C137">
        <f>SUM('01_Data'!$B137:$AW137)</f>
        <v/>
      </c>
      <c r="D137">
        <f>COUNT('01_Data'!$B137:$AW137)</f>
        <v/>
      </c>
      <c r="E137" s="5">
        <f>MEDIAN(-6,LN((C137+0.3)/(D137-C137+0.3)),6)</f>
        <v/>
      </c>
      <c r="F137" s="5">
        <f>SUMPRODUCT(('01_Data'!$B137:$AW137&lt;&gt;"")*(1/(1+EXP(-(E137-'03_Lap_b'!$B$5:$AW$5)))))</f>
        <v/>
      </c>
      <c r="G137" s="5">
        <f>SUMPRODUCT(('01_Data'!$B137:$AW137&lt;&gt;"")*(1/(1+EXP(-(E137-'03_Lap_b'!$B$5:$AW$5))))^2)</f>
        <v/>
      </c>
      <c r="H137" s="5">
        <f>MEDIAN(-6,E137+(C137-F137)/MAX(F137-G137,0.000000001),6)</f>
        <v/>
      </c>
      <c r="I137" s="5">
        <f>SUMPRODUCT(('01_Data'!$B137:$AW137&lt;&gt;"")*(1/(1+EXP(-(H137-'03_Lap_b'!$B$10:$AW$10)))))</f>
        <v/>
      </c>
      <c r="J137" s="5">
        <f>SUMPRODUCT(('01_Data'!$B137:$AW137&lt;&gt;"")*(1/(1+EXP(-(H137-'03_Lap_b'!$B$10:$AW$10))))^2)</f>
        <v/>
      </c>
      <c r="K137" s="5">
        <f>MEDIAN(-6,H137+(C137-I137)/MAX(I137-J137,0.000000001),6)</f>
        <v/>
      </c>
      <c r="L137" s="5">
        <f>SUMPRODUCT(('01_Data'!$B137:$AW137&lt;&gt;"")*(1/(1+EXP(-(K137-'03_Lap_b'!$B$15:$AW$15)))))</f>
        <v/>
      </c>
      <c r="M137" s="5">
        <f>SUMPRODUCT(('01_Data'!$B137:$AW137&lt;&gt;"")*(1/(1+EXP(-(K137-'03_Lap_b'!$B$15:$AW$15))))^2)</f>
        <v/>
      </c>
      <c r="N137" s="5">
        <f>MEDIAN(-6,K137+(C137-L137)/MAX(L137-M137,0.000000001),6)</f>
        <v/>
      </c>
      <c r="O137" s="5">
        <f>SUMPRODUCT(('01_Data'!$B137:$AW137&lt;&gt;"")*(1/(1+EXP(-(N137-'03_Lap_b'!$B$20:$AW$20)))))</f>
        <v/>
      </c>
      <c r="P137" s="5">
        <f>SUMPRODUCT(('01_Data'!$B137:$AW137&lt;&gt;"")*(1/(1+EXP(-(N137-'03_Lap_b'!$B$20:$AW$20))))^2)</f>
        <v/>
      </c>
      <c r="Q137" s="5">
        <f>MEDIAN(-6,N137+(C137-O137)/MAX(O137-P137,0.000000001),6)</f>
        <v/>
      </c>
      <c r="R137" s="5">
        <f>SUMPRODUCT(('01_Data'!$B137:$AW137&lt;&gt;"")*(1/(1+EXP(-(Q137-'03_Lap_b'!$B$25:$AW$25)))))</f>
        <v/>
      </c>
      <c r="S137" s="5">
        <f>SUMPRODUCT(('01_Data'!$B137:$AW137&lt;&gt;"")*(1/(1+EXP(-(Q137-'03_Lap_b'!$B$25:$AW$25))))^2)</f>
        <v/>
      </c>
      <c r="T137" s="5">
        <f>MEDIAN(-6,Q137+(C137-R137)/MAX(R137-S137,0.000000001),6)</f>
        <v/>
      </c>
      <c r="U137" s="5">
        <f>SUMPRODUCT(('01_Data'!$B137:$AW137&lt;&gt;"")*(1/(1+EXP(-(T137-'03_Lap_b'!$B$30:$AW$30)))))</f>
        <v/>
      </c>
      <c r="V137" s="5">
        <f>SUMPRODUCT(('01_Data'!$B137:$AW137&lt;&gt;"")*(1/(1+EXP(-(T137-'03_Lap_b'!$B$30:$AW$30))))^2)</f>
        <v/>
      </c>
      <c r="W137" s="5">
        <f>MEDIAN(-6,T137+(C137-U137)/MAX(U137-V137,0.000000001),6)</f>
        <v/>
      </c>
      <c r="X137" s="5">
        <f>SUMPRODUCT(('01_Data'!$B137:$AW137&lt;&gt;"")*(1/(1+EXP(-(W137-'03_Lap_b'!$B$35:$AW$35)))))</f>
        <v/>
      </c>
      <c r="Y137" s="5">
        <f>SUMPRODUCT(('01_Data'!$B137:$AW137&lt;&gt;"")*(1/(1+EXP(-(W137-'03_Lap_b'!$B$35:$AW$35))))^2)</f>
        <v/>
      </c>
      <c r="Z137" s="5">
        <f>MEDIAN(-6,W137+(C137-X137)/MAX(X137-Y137,0.000000001),6)</f>
        <v/>
      </c>
      <c r="AA137" s="5">
        <f>SUMPRODUCT(('01_Data'!$B137:$AW137&lt;&gt;"")*(1/(1+EXP(-(Z137-'03_Lap_b'!$B$40:$AW$40)))))</f>
        <v/>
      </c>
      <c r="AB137" s="5">
        <f>SUMPRODUCT(('01_Data'!$B137:$AW137&lt;&gt;"")*(1/(1+EXP(-(Z137-'03_Lap_b'!$B$40:$AW$40))))^2)</f>
        <v/>
      </c>
      <c r="AC137" s="5">
        <f>MEDIAN(-6,Z137+(C137-AA137)/MAX(AA137-AB137,0.000000001),6)</f>
        <v/>
      </c>
    </row>
    <row r="138">
      <c r="A138" t="n">
        <v>137</v>
      </c>
      <c r="B138">
        <f>'01_Data'!A138</f>
        <v/>
      </c>
      <c r="C138">
        <f>SUM('01_Data'!$B138:$AW138)</f>
        <v/>
      </c>
      <c r="D138">
        <f>COUNT('01_Data'!$B138:$AW138)</f>
        <v/>
      </c>
      <c r="E138" s="5">
        <f>MEDIAN(-6,LN((C138+0.3)/(D138-C138+0.3)),6)</f>
        <v/>
      </c>
      <c r="F138" s="5">
        <f>SUMPRODUCT(('01_Data'!$B138:$AW138&lt;&gt;"")*(1/(1+EXP(-(E138-'03_Lap_b'!$B$5:$AW$5)))))</f>
        <v/>
      </c>
      <c r="G138" s="5">
        <f>SUMPRODUCT(('01_Data'!$B138:$AW138&lt;&gt;"")*(1/(1+EXP(-(E138-'03_Lap_b'!$B$5:$AW$5))))^2)</f>
        <v/>
      </c>
      <c r="H138" s="5">
        <f>MEDIAN(-6,E138+(C138-F138)/MAX(F138-G138,0.000000001),6)</f>
        <v/>
      </c>
      <c r="I138" s="5">
        <f>SUMPRODUCT(('01_Data'!$B138:$AW138&lt;&gt;"")*(1/(1+EXP(-(H138-'03_Lap_b'!$B$10:$AW$10)))))</f>
        <v/>
      </c>
      <c r="J138" s="5">
        <f>SUMPRODUCT(('01_Data'!$B138:$AW138&lt;&gt;"")*(1/(1+EXP(-(H138-'03_Lap_b'!$B$10:$AW$10))))^2)</f>
        <v/>
      </c>
      <c r="K138" s="5">
        <f>MEDIAN(-6,H138+(C138-I138)/MAX(I138-J138,0.000000001),6)</f>
        <v/>
      </c>
      <c r="L138" s="5">
        <f>SUMPRODUCT(('01_Data'!$B138:$AW138&lt;&gt;"")*(1/(1+EXP(-(K138-'03_Lap_b'!$B$15:$AW$15)))))</f>
        <v/>
      </c>
      <c r="M138" s="5">
        <f>SUMPRODUCT(('01_Data'!$B138:$AW138&lt;&gt;"")*(1/(1+EXP(-(K138-'03_Lap_b'!$B$15:$AW$15))))^2)</f>
        <v/>
      </c>
      <c r="N138" s="5">
        <f>MEDIAN(-6,K138+(C138-L138)/MAX(L138-M138,0.000000001),6)</f>
        <v/>
      </c>
      <c r="O138" s="5">
        <f>SUMPRODUCT(('01_Data'!$B138:$AW138&lt;&gt;"")*(1/(1+EXP(-(N138-'03_Lap_b'!$B$20:$AW$20)))))</f>
        <v/>
      </c>
      <c r="P138" s="5">
        <f>SUMPRODUCT(('01_Data'!$B138:$AW138&lt;&gt;"")*(1/(1+EXP(-(N138-'03_Lap_b'!$B$20:$AW$20))))^2)</f>
        <v/>
      </c>
      <c r="Q138" s="5">
        <f>MEDIAN(-6,N138+(C138-O138)/MAX(O138-P138,0.000000001),6)</f>
        <v/>
      </c>
      <c r="R138" s="5">
        <f>SUMPRODUCT(('01_Data'!$B138:$AW138&lt;&gt;"")*(1/(1+EXP(-(Q138-'03_Lap_b'!$B$25:$AW$25)))))</f>
        <v/>
      </c>
      <c r="S138" s="5">
        <f>SUMPRODUCT(('01_Data'!$B138:$AW138&lt;&gt;"")*(1/(1+EXP(-(Q138-'03_Lap_b'!$B$25:$AW$25))))^2)</f>
        <v/>
      </c>
      <c r="T138" s="5">
        <f>MEDIAN(-6,Q138+(C138-R138)/MAX(R138-S138,0.000000001),6)</f>
        <v/>
      </c>
      <c r="U138" s="5">
        <f>SUMPRODUCT(('01_Data'!$B138:$AW138&lt;&gt;"")*(1/(1+EXP(-(T138-'03_Lap_b'!$B$30:$AW$30)))))</f>
        <v/>
      </c>
      <c r="V138" s="5">
        <f>SUMPRODUCT(('01_Data'!$B138:$AW138&lt;&gt;"")*(1/(1+EXP(-(T138-'03_Lap_b'!$B$30:$AW$30))))^2)</f>
        <v/>
      </c>
      <c r="W138" s="5">
        <f>MEDIAN(-6,T138+(C138-U138)/MAX(U138-V138,0.000000001),6)</f>
        <v/>
      </c>
      <c r="X138" s="5">
        <f>SUMPRODUCT(('01_Data'!$B138:$AW138&lt;&gt;"")*(1/(1+EXP(-(W138-'03_Lap_b'!$B$35:$AW$35)))))</f>
        <v/>
      </c>
      <c r="Y138" s="5">
        <f>SUMPRODUCT(('01_Data'!$B138:$AW138&lt;&gt;"")*(1/(1+EXP(-(W138-'03_Lap_b'!$B$35:$AW$35))))^2)</f>
        <v/>
      </c>
      <c r="Z138" s="5">
        <f>MEDIAN(-6,W138+(C138-X138)/MAX(X138-Y138,0.000000001),6)</f>
        <v/>
      </c>
      <c r="AA138" s="5">
        <f>SUMPRODUCT(('01_Data'!$B138:$AW138&lt;&gt;"")*(1/(1+EXP(-(Z138-'03_Lap_b'!$B$40:$AW$40)))))</f>
        <v/>
      </c>
      <c r="AB138" s="5">
        <f>SUMPRODUCT(('01_Data'!$B138:$AW138&lt;&gt;"")*(1/(1+EXP(-(Z138-'03_Lap_b'!$B$40:$AW$40))))^2)</f>
        <v/>
      </c>
      <c r="AC138" s="5">
        <f>MEDIAN(-6,Z138+(C138-AA138)/MAX(AA138-AB138,0.000000001),6)</f>
        <v/>
      </c>
    </row>
    <row r="139">
      <c r="A139" t="n">
        <v>138</v>
      </c>
      <c r="B139">
        <f>'01_Data'!A139</f>
        <v/>
      </c>
      <c r="C139">
        <f>SUM('01_Data'!$B139:$AW139)</f>
        <v/>
      </c>
      <c r="D139">
        <f>COUNT('01_Data'!$B139:$AW139)</f>
        <v/>
      </c>
      <c r="E139" s="5">
        <f>MEDIAN(-6,LN((C139+0.3)/(D139-C139+0.3)),6)</f>
        <v/>
      </c>
      <c r="F139" s="5">
        <f>SUMPRODUCT(('01_Data'!$B139:$AW139&lt;&gt;"")*(1/(1+EXP(-(E139-'03_Lap_b'!$B$5:$AW$5)))))</f>
        <v/>
      </c>
      <c r="G139" s="5">
        <f>SUMPRODUCT(('01_Data'!$B139:$AW139&lt;&gt;"")*(1/(1+EXP(-(E139-'03_Lap_b'!$B$5:$AW$5))))^2)</f>
        <v/>
      </c>
      <c r="H139" s="5">
        <f>MEDIAN(-6,E139+(C139-F139)/MAX(F139-G139,0.000000001),6)</f>
        <v/>
      </c>
      <c r="I139" s="5">
        <f>SUMPRODUCT(('01_Data'!$B139:$AW139&lt;&gt;"")*(1/(1+EXP(-(H139-'03_Lap_b'!$B$10:$AW$10)))))</f>
        <v/>
      </c>
      <c r="J139" s="5">
        <f>SUMPRODUCT(('01_Data'!$B139:$AW139&lt;&gt;"")*(1/(1+EXP(-(H139-'03_Lap_b'!$B$10:$AW$10))))^2)</f>
        <v/>
      </c>
      <c r="K139" s="5">
        <f>MEDIAN(-6,H139+(C139-I139)/MAX(I139-J139,0.000000001),6)</f>
        <v/>
      </c>
      <c r="L139" s="5">
        <f>SUMPRODUCT(('01_Data'!$B139:$AW139&lt;&gt;"")*(1/(1+EXP(-(K139-'03_Lap_b'!$B$15:$AW$15)))))</f>
        <v/>
      </c>
      <c r="M139" s="5">
        <f>SUMPRODUCT(('01_Data'!$B139:$AW139&lt;&gt;"")*(1/(1+EXP(-(K139-'03_Lap_b'!$B$15:$AW$15))))^2)</f>
        <v/>
      </c>
      <c r="N139" s="5">
        <f>MEDIAN(-6,K139+(C139-L139)/MAX(L139-M139,0.000000001),6)</f>
        <v/>
      </c>
      <c r="O139" s="5">
        <f>SUMPRODUCT(('01_Data'!$B139:$AW139&lt;&gt;"")*(1/(1+EXP(-(N139-'03_Lap_b'!$B$20:$AW$20)))))</f>
        <v/>
      </c>
      <c r="P139" s="5">
        <f>SUMPRODUCT(('01_Data'!$B139:$AW139&lt;&gt;"")*(1/(1+EXP(-(N139-'03_Lap_b'!$B$20:$AW$20))))^2)</f>
        <v/>
      </c>
      <c r="Q139" s="5">
        <f>MEDIAN(-6,N139+(C139-O139)/MAX(O139-P139,0.000000001),6)</f>
        <v/>
      </c>
      <c r="R139" s="5">
        <f>SUMPRODUCT(('01_Data'!$B139:$AW139&lt;&gt;"")*(1/(1+EXP(-(Q139-'03_Lap_b'!$B$25:$AW$25)))))</f>
        <v/>
      </c>
      <c r="S139" s="5">
        <f>SUMPRODUCT(('01_Data'!$B139:$AW139&lt;&gt;"")*(1/(1+EXP(-(Q139-'03_Lap_b'!$B$25:$AW$25))))^2)</f>
        <v/>
      </c>
      <c r="T139" s="5">
        <f>MEDIAN(-6,Q139+(C139-R139)/MAX(R139-S139,0.000000001),6)</f>
        <v/>
      </c>
      <c r="U139" s="5">
        <f>SUMPRODUCT(('01_Data'!$B139:$AW139&lt;&gt;"")*(1/(1+EXP(-(T139-'03_Lap_b'!$B$30:$AW$30)))))</f>
        <v/>
      </c>
      <c r="V139" s="5">
        <f>SUMPRODUCT(('01_Data'!$B139:$AW139&lt;&gt;"")*(1/(1+EXP(-(T139-'03_Lap_b'!$B$30:$AW$30))))^2)</f>
        <v/>
      </c>
      <c r="W139" s="5">
        <f>MEDIAN(-6,T139+(C139-U139)/MAX(U139-V139,0.000000001),6)</f>
        <v/>
      </c>
      <c r="X139" s="5">
        <f>SUMPRODUCT(('01_Data'!$B139:$AW139&lt;&gt;"")*(1/(1+EXP(-(W139-'03_Lap_b'!$B$35:$AW$35)))))</f>
        <v/>
      </c>
      <c r="Y139" s="5">
        <f>SUMPRODUCT(('01_Data'!$B139:$AW139&lt;&gt;"")*(1/(1+EXP(-(W139-'03_Lap_b'!$B$35:$AW$35))))^2)</f>
        <v/>
      </c>
      <c r="Z139" s="5">
        <f>MEDIAN(-6,W139+(C139-X139)/MAX(X139-Y139,0.000000001),6)</f>
        <v/>
      </c>
      <c r="AA139" s="5">
        <f>SUMPRODUCT(('01_Data'!$B139:$AW139&lt;&gt;"")*(1/(1+EXP(-(Z139-'03_Lap_b'!$B$40:$AW$40)))))</f>
        <v/>
      </c>
      <c r="AB139" s="5">
        <f>SUMPRODUCT(('01_Data'!$B139:$AW139&lt;&gt;"")*(1/(1+EXP(-(Z139-'03_Lap_b'!$B$40:$AW$40))))^2)</f>
        <v/>
      </c>
      <c r="AC139" s="5">
        <f>MEDIAN(-6,Z139+(C139-AA139)/MAX(AA139-AB139,0.000000001),6)</f>
        <v/>
      </c>
    </row>
    <row r="140">
      <c r="A140" t="n">
        <v>139</v>
      </c>
      <c r="B140">
        <f>'01_Data'!A140</f>
        <v/>
      </c>
      <c r="C140">
        <f>SUM('01_Data'!$B140:$AW140)</f>
        <v/>
      </c>
      <c r="D140">
        <f>COUNT('01_Data'!$B140:$AW140)</f>
        <v/>
      </c>
      <c r="E140" s="5">
        <f>MEDIAN(-6,LN((C140+0.3)/(D140-C140+0.3)),6)</f>
        <v/>
      </c>
      <c r="F140" s="5">
        <f>SUMPRODUCT(('01_Data'!$B140:$AW140&lt;&gt;"")*(1/(1+EXP(-(E140-'03_Lap_b'!$B$5:$AW$5)))))</f>
        <v/>
      </c>
      <c r="G140" s="5">
        <f>SUMPRODUCT(('01_Data'!$B140:$AW140&lt;&gt;"")*(1/(1+EXP(-(E140-'03_Lap_b'!$B$5:$AW$5))))^2)</f>
        <v/>
      </c>
      <c r="H140" s="5">
        <f>MEDIAN(-6,E140+(C140-F140)/MAX(F140-G140,0.000000001),6)</f>
        <v/>
      </c>
      <c r="I140" s="5">
        <f>SUMPRODUCT(('01_Data'!$B140:$AW140&lt;&gt;"")*(1/(1+EXP(-(H140-'03_Lap_b'!$B$10:$AW$10)))))</f>
        <v/>
      </c>
      <c r="J140" s="5">
        <f>SUMPRODUCT(('01_Data'!$B140:$AW140&lt;&gt;"")*(1/(1+EXP(-(H140-'03_Lap_b'!$B$10:$AW$10))))^2)</f>
        <v/>
      </c>
      <c r="K140" s="5">
        <f>MEDIAN(-6,H140+(C140-I140)/MAX(I140-J140,0.000000001),6)</f>
        <v/>
      </c>
      <c r="L140" s="5">
        <f>SUMPRODUCT(('01_Data'!$B140:$AW140&lt;&gt;"")*(1/(1+EXP(-(K140-'03_Lap_b'!$B$15:$AW$15)))))</f>
        <v/>
      </c>
      <c r="M140" s="5">
        <f>SUMPRODUCT(('01_Data'!$B140:$AW140&lt;&gt;"")*(1/(1+EXP(-(K140-'03_Lap_b'!$B$15:$AW$15))))^2)</f>
        <v/>
      </c>
      <c r="N140" s="5">
        <f>MEDIAN(-6,K140+(C140-L140)/MAX(L140-M140,0.000000001),6)</f>
        <v/>
      </c>
      <c r="O140" s="5">
        <f>SUMPRODUCT(('01_Data'!$B140:$AW140&lt;&gt;"")*(1/(1+EXP(-(N140-'03_Lap_b'!$B$20:$AW$20)))))</f>
        <v/>
      </c>
      <c r="P140" s="5">
        <f>SUMPRODUCT(('01_Data'!$B140:$AW140&lt;&gt;"")*(1/(1+EXP(-(N140-'03_Lap_b'!$B$20:$AW$20))))^2)</f>
        <v/>
      </c>
      <c r="Q140" s="5">
        <f>MEDIAN(-6,N140+(C140-O140)/MAX(O140-P140,0.000000001),6)</f>
        <v/>
      </c>
      <c r="R140" s="5">
        <f>SUMPRODUCT(('01_Data'!$B140:$AW140&lt;&gt;"")*(1/(1+EXP(-(Q140-'03_Lap_b'!$B$25:$AW$25)))))</f>
        <v/>
      </c>
      <c r="S140" s="5">
        <f>SUMPRODUCT(('01_Data'!$B140:$AW140&lt;&gt;"")*(1/(1+EXP(-(Q140-'03_Lap_b'!$B$25:$AW$25))))^2)</f>
        <v/>
      </c>
      <c r="T140" s="5">
        <f>MEDIAN(-6,Q140+(C140-R140)/MAX(R140-S140,0.000000001),6)</f>
        <v/>
      </c>
      <c r="U140" s="5">
        <f>SUMPRODUCT(('01_Data'!$B140:$AW140&lt;&gt;"")*(1/(1+EXP(-(T140-'03_Lap_b'!$B$30:$AW$30)))))</f>
        <v/>
      </c>
      <c r="V140" s="5">
        <f>SUMPRODUCT(('01_Data'!$B140:$AW140&lt;&gt;"")*(1/(1+EXP(-(T140-'03_Lap_b'!$B$30:$AW$30))))^2)</f>
        <v/>
      </c>
      <c r="W140" s="5">
        <f>MEDIAN(-6,T140+(C140-U140)/MAX(U140-V140,0.000000001),6)</f>
        <v/>
      </c>
      <c r="X140" s="5">
        <f>SUMPRODUCT(('01_Data'!$B140:$AW140&lt;&gt;"")*(1/(1+EXP(-(W140-'03_Lap_b'!$B$35:$AW$35)))))</f>
        <v/>
      </c>
      <c r="Y140" s="5">
        <f>SUMPRODUCT(('01_Data'!$B140:$AW140&lt;&gt;"")*(1/(1+EXP(-(W140-'03_Lap_b'!$B$35:$AW$35))))^2)</f>
        <v/>
      </c>
      <c r="Z140" s="5">
        <f>MEDIAN(-6,W140+(C140-X140)/MAX(X140-Y140,0.000000001),6)</f>
        <v/>
      </c>
      <c r="AA140" s="5">
        <f>SUMPRODUCT(('01_Data'!$B140:$AW140&lt;&gt;"")*(1/(1+EXP(-(Z140-'03_Lap_b'!$B$40:$AW$40)))))</f>
        <v/>
      </c>
      <c r="AB140" s="5">
        <f>SUMPRODUCT(('01_Data'!$B140:$AW140&lt;&gt;"")*(1/(1+EXP(-(Z140-'03_Lap_b'!$B$40:$AW$40))))^2)</f>
        <v/>
      </c>
      <c r="AC140" s="5">
        <f>MEDIAN(-6,Z140+(C140-AA140)/MAX(AA140-AB140,0.000000001),6)</f>
        <v/>
      </c>
    </row>
    <row r="141">
      <c r="A141" t="n">
        <v>140</v>
      </c>
      <c r="B141">
        <f>'01_Data'!A141</f>
        <v/>
      </c>
      <c r="C141">
        <f>SUM('01_Data'!$B141:$AW141)</f>
        <v/>
      </c>
      <c r="D141">
        <f>COUNT('01_Data'!$B141:$AW141)</f>
        <v/>
      </c>
      <c r="E141" s="5">
        <f>MEDIAN(-6,LN((C141+0.3)/(D141-C141+0.3)),6)</f>
        <v/>
      </c>
      <c r="F141" s="5">
        <f>SUMPRODUCT(('01_Data'!$B141:$AW141&lt;&gt;"")*(1/(1+EXP(-(E141-'03_Lap_b'!$B$5:$AW$5)))))</f>
        <v/>
      </c>
      <c r="G141" s="5">
        <f>SUMPRODUCT(('01_Data'!$B141:$AW141&lt;&gt;"")*(1/(1+EXP(-(E141-'03_Lap_b'!$B$5:$AW$5))))^2)</f>
        <v/>
      </c>
      <c r="H141" s="5">
        <f>MEDIAN(-6,E141+(C141-F141)/MAX(F141-G141,0.000000001),6)</f>
        <v/>
      </c>
      <c r="I141" s="5">
        <f>SUMPRODUCT(('01_Data'!$B141:$AW141&lt;&gt;"")*(1/(1+EXP(-(H141-'03_Lap_b'!$B$10:$AW$10)))))</f>
        <v/>
      </c>
      <c r="J141" s="5">
        <f>SUMPRODUCT(('01_Data'!$B141:$AW141&lt;&gt;"")*(1/(1+EXP(-(H141-'03_Lap_b'!$B$10:$AW$10))))^2)</f>
        <v/>
      </c>
      <c r="K141" s="5">
        <f>MEDIAN(-6,H141+(C141-I141)/MAX(I141-J141,0.000000001),6)</f>
        <v/>
      </c>
      <c r="L141" s="5">
        <f>SUMPRODUCT(('01_Data'!$B141:$AW141&lt;&gt;"")*(1/(1+EXP(-(K141-'03_Lap_b'!$B$15:$AW$15)))))</f>
        <v/>
      </c>
      <c r="M141" s="5">
        <f>SUMPRODUCT(('01_Data'!$B141:$AW141&lt;&gt;"")*(1/(1+EXP(-(K141-'03_Lap_b'!$B$15:$AW$15))))^2)</f>
        <v/>
      </c>
      <c r="N141" s="5">
        <f>MEDIAN(-6,K141+(C141-L141)/MAX(L141-M141,0.000000001),6)</f>
        <v/>
      </c>
      <c r="O141" s="5">
        <f>SUMPRODUCT(('01_Data'!$B141:$AW141&lt;&gt;"")*(1/(1+EXP(-(N141-'03_Lap_b'!$B$20:$AW$20)))))</f>
        <v/>
      </c>
      <c r="P141" s="5">
        <f>SUMPRODUCT(('01_Data'!$B141:$AW141&lt;&gt;"")*(1/(1+EXP(-(N141-'03_Lap_b'!$B$20:$AW$20))))^2)</f>
        <v/>
      </c>
      <c r="Q141" s="5">
        <f>MEDIAN(-6,N141+(C141-O141)/MAX(O141-P141,0.000000001),6)</f>
        <v/>
      </c>
      <c r="R141" s="5">
        <f>SUMPRODUCT(('01_Data'!$B141:$AW141&lt;&gt;"")*(1/(1+EXP(-(Q141-'03_Lap_b'!$B$25:$AW$25)))))</f>
        <v/>
      </c>
      <c r="S141" s="5">
        <f>SUMPRODUCT(('01_Data'!$B141:$AW141&lt;&gt;"")*(1/(1+EXP(-(Q141-'03_Lap_b'!$B$25:$AW$25))))^2)</f>
        <v/>
      </c>
      <c r="T141" s="5">
        <f>MEDIAN(-6,Q141+(C141-R141)/MAX(R141-S141,0.000000001),6)</f>
        <v/>
      </c>
      <c r="U141" s="5">
        <f>SUMPRODUCT(('01_Data'!$B141:$AW141&lt;&gt;"")*(1/(1+EXP(-(T141-'03_Lap_b'!$B$30:$AW$30)))))</f>
        <v/>
      </c>
      <c r="V141" s="5">
        <f>SUMPRODUCT(('01_Data'!$B141:$AW141&lt;&gt;"")*(1/(1+EXP(-(T141-'03_Lap_b'!$B$30:$AW$30))))^2)</f>
        <v/>
      </c>
      <c r="W141" s="5">
        <f>MEDIAN(-6,T141+(C141-U141)/MAX(U141-V141,0.000000001),6)</f>
        <v/>
      </c>
      <c r="X141" s="5">
        <f>SUMPRODUCT(('01_Data'!$B141:$AW141&lt;&gt;"")*(1/(1+EXP(-(W141-'03_Lap_b'!$B$35:$AW$35)))))</f>
        <v/>
      </c>
      <c r="Y141" s="5">
        <f>SUMPRODUCT(('01_Data'!$B141:$AW141&lt;&gt;"")*(1/(1+EXP(-(W141-'03_Lap_b'!$B$35:$AW$35))))^2)</f>
        <v/>
      </c>
      <c r="Z141" s="5">
        <f>MEDIAN(-6,W141+(C141-X141)/MAX(X141-Y141,0.000000001),6)</f>
        <v/>
      </c>
      <c r="AA141" s="5">
        <f>SUMPRODUCT(('01_Data'!$B141:$AW141&lt;&gt;"")*(1/(1+EXP(-(Z141-'03_Lap_b'!$B$40:$AW$40)))))</f>
        <v/>
      </c>
      <c r="AB141" s="5">
        <f>SUMPRODUCT(('01_Data'!$B141:$AW141&lt;&gt;"")*(1/(1+EXP(-(Z141-'03_Lap_b'!$B$40:$AW$40))))^2)</f>
        <v/>
      </c>
      <c r="AC141" s="5">
        <f>MEDIAN(-6,Z141+(C141-AA141)/MAX(AA141-AB141,0.000000001),6)</f>
        <v/>
      </c>
    </row>
    <row r="142">
      <c r="A142" t="n">
        <v>141</v>
      </c>
      <c r="B142">
        <f>'01_Data'!A142</f>
        <v/>
      </c>
      <c r="C142">
        <f>SUM('01_Data'!$B142:$AW142)</f>
        <v/>
      </c>
      <c r="D142">
        <f>COUNT('01_Data'!$B142:$AW142)</f>
        <v/>
      </c>
      <c r="E142" s="5">
        <f>MEDIAN(-6,LN((C142+0.3)/(D142-C142+0.3)),6)</f>
        <v/>
      </c>
      <c r="F142" s="5">
        <f>SUMPRODUCT(('01_Data'!$B142:$AW142&lt;&gt;"")*(1/(1+EXP(-(E142-'03_Lap_b'!$B$5:$AW$5)))))</f>
        <v/>
      </c>
      <c r="G142" s="5">
        <f>SUMPRODUCT(('01_Data'!$B142:$AW142&lt;&gt;"")*(1/(1+EXP(-(E142-'03_Lap_b'!$B$5:$AW$5))))^2)</f>
        <v/>
      </c>
      <c r="H142" s="5">
        <f>MEDIAN(-6,E142+(C142-F142)/MAX(F142-G142,0.000000001),6)</f>
        <v/>
      </c>
      <c r="I142" s="5">
        <f>SUMPRODUCT(('01_Data'!$B142:$AW142&lt;&gt;"")*(1/(1+EXP(-(H142-'03_Lap_b'!$B$10:$AW$10)))))</f>
        <v/>
      </c>
      <c r="J142" s="5">
        <f>SUMPRODUCT(('01_Data'!$B142:$AW142&lt;&gt;"")*(1/(1+EXP(-(H142-'03_Lap_b'!$B$10:$AW$10))))^2)</f>
        <v/>
      </c>
      <c r="K142" s="5">
        <f>MEDIAN(-6,H142+(C142-I142)/MAX(I142-J142,0.000000001),6)</f>
        <v/>
      </c>
      <c r="L142" s="5">
        <f>SUMPRODUCT(('01_Data'!$B142:$AW142&lt;&gt;"")*(1/(1+EXP(-(K142-'03_Lap_b'!$B$15:$AW$15)))))</f>
        <v/>
      </c>
      <c r="M142" s="5">
        <f>SUMPRODUCT(('01_Data'!$B142:$AW142&lt;&gt;"")*(1/(1+EXP(-(K142-'03_Lap_b'!$B$15:$AW$15))))^2)</f>
        <v/>
      </c>
      <c r="N142" s="5">
        <f>MEDIAN(-6,K142+(C142-L142)/MAX(L142-M142,0.000000001),6)</f>
        <v/>
      </c>
      <c r="O142" s="5">
        <f>SUMPRODUCT(('01_Data'!$B142:$AW142&lt;&gt;"")*(1/(1+EXP(-(N142-'03_Lap_b'!$B$20:$AW$20)))))</f>
        <v/>
      </c>
      <c r="P142" s="5">
        <f>SUMPRODUCT(('01_Data'!$B142:$AW142&lt;&gt;"")*(1/(1+EXP(-(N142-'03_Lap_b'!$B$20:$AW$20))))^2)</f>
        <v/>
      </c>
      <c r="Q142" s="5">
        <f>MEDIAN(-6,N142+(C142-O142)/MAX(O142-P142,0.000000001),6)</f>
        <v/>
      </c>
      <c r="R142" s="5">
        <f>SUMPRODUCT(('01_Data'!$B142:$AW142&lt;&gt;"")*(1/(1+EXP(-(Q142-'03_Lap_b'!$B$25:$AW$25)))))</f>
        <v/>
      </c>
      <c r="S142" s="5">
        <f>SUMPRODUCT(('01_Data'!$B142:$AW142&lt;&gt;"")*(1/(1+EXP(-(Q142-'03_Lap_b'!$B$25:$AW$25))))^2)</f>
        <v/>
      </c>
      <c r="T142" s="5">
        <f>MEDIAN(-6,Q142+(C142-R142)/MAX(R142-S142,0.000000001),6)</f>
        <v/>
      </c>
      <c r="U142" s="5">
        <f>SUMPRODUCT(('01_Data'!$B142:$AW142&lt;&gt;"")*(1/(1+EXP(-(T142-'03_Lap_b'!$B$30:$AW$30)))))</f>
        <v/>
      </c>
      <c r="V142" s="5">
        <f>SUMPRODUCT(('01_Data'!$B142:$AW142&lt;&gt;"")*(1/(1+EXP(-(T142-'03_Lap_b'!$B$30:$AW$30))))^2)</f>
        <v/>
      </c>
      <c r="W142" s="5">
        <f>MEDIAN(-6,T142+(C142-U142)/MAX(U142-V142,0.000000001),6)</f>
        <v/>
      </c>
      <c r="X142" s="5">
        <f>SUMPRODUCT(('01_Data'!$B142:$AW142&lt;&gt;"")*(1/(1+EXP(-(W142-'03_Lap_b'!$B$35:$AW$35)))))</f>
        <v/>
      </c>
      <c r="Y142" s="5">
        <f>SUMPRODUCT(('01_Data'!$B142:$AW142&lt;&gt;"")*(1/(1+EXP(-(W142-'03_Lap_b'!$B$35:$AW$35))))^2)</f>
        <v/>
      </c>
      <c r="Z142" s="5">
        <f>MEDIAN(-6,W142+(C142-X142)/MAX(X142-Y142,0.000000001),6)</f>
        <v/>
      </c>
      <c r="AA142" s="5">
        <f>SUMPRODUCT(('01_Data'!$B142:$AW142&lt;&gt;"")*(1/(1+EXP(-(Z142-'03_Lap_b'!$B$40:$AW$40)))))</f>
        <v/>
      </c>
      <c r="AB142" s="5">
        <f>SUMPRODUCT(('01_Data'!$B142:$AW142&lt;&gt;"")*(1/(1+EXP(-(Z142-'03_Lap_b'!$B$40:$AW$40))))^2)</f>
        <v/>
      </c>
      <c r="AC142" s="5">
        <f>MEDIAN(-6,Z142+(C142-AA142)/MAX(AA142-AB142,0.000000001),6)</f>
        <v/>
      </c>
    </row>
    <row r="143">
      <c r="A143" t="n">
        <v>142</v>
      </c>
      <c r="B143">
        <f>'01_Data'!A143</f>
        <v/>
      </c>
      <c r="C143">
        <f>SUM('01_Data'!$B143:$AW143)</f>
        <v/>
      </c>
      <c r="D143">
        <f>COUNT('01_Data'!$B143:$AW143)</f>
        <v/>
      </c>
      <c r="E143" s="5">
        <f>MEDIAN(-6,LN((C143+0.3)/(D143-C143+0.3)),6)</f>
        <v/>
      </c>
      <c r="F143" s="5">
        <f>SUMPRODUCT(('01_Data'!$B143:$AW143&lt;&gt;"")*(1/(1+EXP(-(E143-'03_Lap_b'!$B$5:$AW$5)))))</f>
        <v/>
      </c>
      <c r="G143" s="5">
        <f>SUMPRODUCT(('01_Data'!$B143:$AW143&lt;&gt;"")*(1/(1+EXP(-(E143-'03_Lap_b'!$B$5:$AW$5))))^2)</f>
        <v/>
      </c>
      <c r="H143" s="5">
        <f>MEDIAN(-6,E143+(C143-F143)/MAX(F143-G143,0.000000001),6)</f>
        <v/>
      </c>
      <c r="I143" s="5">
        <f>SUMPRODUCT(('01_Data'!$B143:$AW143&lt;&gt;"")*(1/(1+EXP(-(H143-'03_Lap_b'!$B$10:$AW$10)))))</f>
        <v/>
      </c>
      <c r="J143" s="5">
        <f>SUMPRODUCT(('01_Data'!$B143:$AW143&lt;&gt;"")*(1/(1+EXP(-(H143-'03_Lap_b'!$B$10:$AW$10))))^2)</f>
        <v/>
      </c>
      <c r="K143" s="5">
        <f>MEDIAN(-6,H143+(C143-I143)/MAX(I143-J143,0.000000001),6)</f>
        <v/>
      </c>
      <c r="L143" s="5">
        <f>SUMPRODUCT(('01_Data'!$B143:$AW143&lt;&gt;"")*(1/(1+EXP(-(K143-'03_Lap_b'!$B$15:$AW$15)))))</f>
        <v/>
      </c>
      <c r="M143" s="5">
        <f>SUMPRODUCT(('01_Data'!$B143:$AW143&lt;&gt;"")*(1/(1+EXP(-(K143-'03_Lap_b'!$B$15:$AW$15))))^2)</f>
        <v/>
      </c>
      <c r="N143" s="5">
        <f>MEDIAN(-6,K143+(C143-L143)/MAX(L143-M143,0.000000001),6)</f>
        <v/>
      </c>
      <c r="O143" s="5">
        <f>SUMPRODUCT(('01_Data'!$B143:$AW143&lt;&gt;"")*(1/(1+EXP(-(N143-'03_Lap_b'!$B$20:$AW$20)))))</f>
        <v/>
      </c>
      <c r="P143" s="5">
        <f>SUMPRODUCT(('01_Data'!$B143:$AW143&lt;&gt;"")*(1/(1+EXP(-(N143-'03_Lap_b'!$B$20:$AW$20))))^2)</f>
        <v/>
      </c>
      <c r="Q143" s="5">
        <f>MEDIAN(-6,N143+(C143-O143)/MAX(O143-P143,0.000000001),6)</f>
        <v/>
      </c>
      <c r="R143" s="5">
        <f>SUMPRODUCT(('01_Data'!$B143:$AW143&lt;&gt;"")*(1/(1+EXP(-(Q143-'03_Lap_b'!$B$25:$AW$25)))))</f>
        <v/>
      </c>
      <c r="S143" s="5">
        <f>SUMPRODUCT(('01_Data'!$B143:$AW143&lt;&gt;"")*(1/(1+EXP(-(Q143-'03_Lap_b'!$B$25:$AW$25))))^2)</f>
        <v/>
      </c>
      <c r="T143" s="5">
        <f>MEDIAN(-6,Q143+(C143-R143)/MAX(R143-S143,0.000000001),6)</f>
        <v/>
      </c>
      <c r="U143" s="5">
        <f>SUMPRODUCT(('01_Data'!$B143:$AW143&lt;&gt;"")*(1/(1+EXP(-(T143-'03_Lap_b'!$B$30:$AW$30)))))</f>
        <v/>
      </c>
      <c r="V143" s="5">
        <f>SUMPRODUCT(('01_Data'!$B143:$AW143&lt;&gt;"")*(1/(1+EXP(-(T143-'03_Lap_b'!$B$30:$AW$30))))^2)</f>
        <v/>
      </c>
      <c r="W143" s="5">
        <f>MEDIAN(-6,T143+(C143-U143)/MAX(U143-V143,0.000000001),6)</f>
        <v/>
      </c>
      <c r="X143" s="5">
        <f>SUMPRODUCT(('01_Data'!$B143:$AW143&lt;&gt;"")*(1/(1+EXP(-(W143-'03_Lap_b'!$B$35:$AW$35)))))</f>
        <v/>
      </c>
      <c r="Y143" s="5">
        <f>SUMPRODUCT(('01_Data'!$B143:$AW143&lt;&gt;"")*(1/(1+EXP(-(W143-'03_Lap_b'!$B$35:$AW$35))))^2)</f>
        <v/>
      </c>
      <c r="Z143" s="5">
        <f>MEDIAN(-6,W143+(C143-X143)/MAX(X143-Y143,0.000000001),6)</f>
        <v/>
      </c>
      <c r="AA143" s="5">
        <f>SUMPRODUCT(('01_Data'!$B143:$AW143&lt;&gt;"")*(1/(1+EXP(-(Z143-'03_Lap_b'!$B$40:$AW$40)))))</f>
        <v/>
      </c>
      <c r="AB143" s="5">
        <f>SUMPRODUCT(('01_Data'!$B143:$AW143&lt;&gt;"")*(1/(1+EXP(-(Z143-'03_Lap_b'!$B$40:$AW$40))))^2)</f>
        <v/>
      </c>
      <c r="AC143" s="5">
        <f>MEDIAN(-6,Z143+(C143-AA143)/MAX(AA143-AB143,0.000000001),6)</f>
        <v/>
      </c>
    </row>
    <row r="144">
      <c r="A144" t="n">
        <v>143</v>
      </c>
      <c r="B144">
        <f>'01_Data'!A144</f>
        <v/>
      </c>
      <c r="C144">
        <f>SUM('01_Data'!$B144:$AW144)</f>
        <v/>
      </c>
      <c r="D144">
        <f>COUNT('01_Data'!$B144:$AW144)</f>
        <v/>
      </c>
      <c r="E144" s="5">
        <f>MEDIAN(-6,LN((C144+0.3)/(D144-C144+0.3)),6)</f>
        <v/>
      </c>
      <c r="F144" s="5">
        <f>SUMPRODUCT(('01_Data'!$B144:$AW144&lt;&gt;"")*(1/(1+EXP(-(E144-'03_Lap_b'!$B$5:$AW$5)))))</f>
        <v/>
      </c>
      <c r="G144" s="5">
        <f>SUMPRODUCT(('01_Data'!$B144:$AW144&lt;&gt;"")*(1/(1+EXP(-(E144-'03_Lap_b'!$B$5:$AW$5))))^2)</f>
        <v/>
      </c>
      <c r="H144" s="5">
        <f>MEDIAN(-6,E144+(C144-F144)/MAX(F144-G144,0.000000001),6)</f>
        <v/>
      </c>
      <c r="I144" s="5">
        <f>SUMPRODUCT(('01_Data'!$B144:$AW144&lt;&gt;"")*(1/(1+EXP(-(H144-'03_Lap_b'!$B$10:$AW$10)))))</f>
        <v/>
      </c>
      <c r="J144" s="5">
        <f>SUMPRODUCT(('01_Data'!$B144:$AW144&lt;&gt;"")*(1/(1+EXP(-(H144-'03_Lap_b'!$B$10:$AW$10))))^2)</f>
        <v/>
      </c>
      <c r="K144" s="5">
        <f>MEDIAN(-6,H144+(C144-I144)/MAX(I144-J144,0.000000001),6)</f>
        <v/>
      </c>
      <c r="L144" s="5">
        <f>SUMPRODUCT(('01_Data'!$B144:$AW144&lt;&gt;"")*(1/(1+EXP(-(K144-'03_Lap_b'!$B$15:$AW$15)))))</f>
        <v/>
      </c>
      <c r="M144" s="5">
        <f>SUMPRODUCT(('01_Data'!$B144:$AW144&lt;&gt;"")*(1/(1+EXP(-(K144-'03_Lap_b'!$B$15:$AW$15))))^2)</f>
        <v/>
      </c>
      <c r="N144" s="5">
        <f>MEDIAN(-6,K144+(C144-L144)/MAX(L144-M144,0.000000001),6)</f>
        <v/>
      </c>
      <c r="O144" s="5">
        <f>SUMPRODUCT(('01_Data'!$B144:$AW144&lt;&gt;"")*(1/(1+EXP(-(N144-'03_Lap_b'!$B$20:$AW$20)))))</f>
        <v/>
      </c>
      <c r="P144" s="5">
        <f>SUMPRODUCT(('01_Data'!$B144:$AW144&lt;&gt;"")*(1/(1+EXP(-(N144-'03_Lap_b'!$B$20:$AW$20))))^2)</f>
        <v/>
      </c>
      <c r="Q144" s="5">
        <f>MEDIAN(-6,N144+(C144-O144)/MAX(O144-P144,0.000000001),6)</f>
        <v/>
      </c>
      <c r="R144" s="5">
        <f>SUMPRODUCT(('01_Data'!$B144:$AW144&lt;&gt;"")*(1/(1+EXP(-(Q144-'03_Lap_b'!$B$25:$AW$25)))))</f>
        <v/>
      </c>
      <c r="S144" s="5">
        <f>SUMPRODUCT(('01_Data'!$B144:$AW144&lt;&gt;"")*(1/(1+EXP(-(Q144-'03_Lap_b'!$B$25:$AW$25))))^2)</f>
        <v/>
      </c>
      <c r="T144" s="5">
        <f>MEDIAN(-6,Q144+(C144-R144)/MAX(R144-S144,0.000000001),6)</f>
        <v/>
      </c>
      <c r="U144" s="5">
        <f>SUMPRODUCT(('01_Data'!$B144:$AW144&lt;&gt;"")*(1/(1+EXP(-(T144-'03_Lap_b'!$B$30:$AW$30)))))</f>
        <v/>
      </c>
      <c r="V144" s="5">
        <f>SUMPRODUCT(('01_Data'!$B144:$AW144&lt;&gt;"")*(1/(1+EXP(-(T144-'03_Lap_b'!$B$30:$AW$30))))^2)</f>
        <v/>
      </c>
      <c r="W144" s="5">
        <f>MEDIAN(-6,T144+(C144-U144)/MAX(U144-V144,0.000000001),6)</f>
        <v/>
      </c>
      <c r="X144" s="5">
        <f>SUMPRODUCT(('01_Data'!$B144:$AW144&lt;&gt;"")*(1/(1+EXP(-(W144-'03_Lap_b'!$B$35:$AW$35)))))</f>
        <v/>
      </c>
      <c r="Y144" s="5">
        <f>SUMPRODUCT(('01_Data'!$B144:$AW144&lt;&gt;"")*(1/(1+EXP(-(W144-'03_Lap_b'!$B$35:$AW$35))))^2)</f>
        <v/>
      </c>
      <c r="Z144" s="5">
        <f>MEDIAN(-6,W144+(C144-X144)/MAX(X144-Y144,0.000000001),6)</f>
        <v/>
      </c>
      <c r="AA144" s="5">
        <f>SUMPRODUCT(('01_Data'!$B144:$AW144&lt;&gt;"")*(1/(1+EXP(-(Z144-'03_Lap_b'!$B$40:$AW$40)))))</f>
        <v/>
      </c>
      <c r="AB144" s="5">
        <f>SUMPRODUCT(('01_Data'!$B144:$AW144&lt;&gt;"")*(1/(1+EXP(-(Z144-'03_Lap_b'!$B$40:$AW$40))))^2)</f>
        <v/>
      </c>
      <c r="AC144" s="5">
        <f>MEDIAN(-6,Z144+(C144-AA144)/MAX(AA144-AB144,0.000000001),6)</f>
        <v/>
      </c>
    </row>
    <row r="145">
      <c r="A145" t="n">
        <v>144</v>
      </c>
      <c r="B145">
        <f>'01_Data'!A145</f>
        <v/>
      </c>
      <c r="C145">
        <f>SUM('01_Data'!$B145:$AW145)</f>
        <v/>
      </c>
      <c r="D145">
        <f>COUNT('01_Data'!$B145:$AW145)</f>
        <v/>
      </c>
      <c r="E145" s="5">
        <f>MEDIAN(-6,LN((C145+0.3)/(D145-C145+0.3)),6)</f>
        <v/>
      </c>
      <c r="F145" s="5">
        <f>SUMPRODUCT(('01_Data'!$B145:$AW145&lt;&gt;"")*(1/(1+EXP(-(E145-'03_Lap_b'!$B$5:$AW$5)))))</f>
        <v/>
      </c>
      <c r="G145" s="5">
        <f>SUMPRODUCT(('01_Data'!$B145:$AW145&lt;&gt;"")*(1/(1+EXP(-(E145-'03_Lap_b'!$B$5:$AW$5))))^2)</f>
        <v/>
      </c>
      <c r="H145" s="5">
        <f>MEDIAN(-6,E145+(C145-F145)/MAX(F145-G145,0.000000001),6)</f>
        <v/>
      </c>
      <c r="I145" s="5">
        <f>SUMPRODUCT(('01_Data'!$B145:$AW145&lt;&gt;"")*(1/(1+EXP(-(H145-'03_Lap_b'!$B$10:$AW$10)))))</f>
        <v/>
      </c>
      <c r="J145" s="5">
        <f>SUMPRODUCT(('01_Data'!$B145:$AW145&lt;&gt;"")*(1/(1+EXP(-(H145-'03_Lap_b'!$B$10:$AW$10))))^2)</f>
        <v/>
      </c>
      <c r="K145" s="5">
        <f>MEDIAN(-6,H145+(C145-I145)/MAX(I145-J145,0.000000001),6)</f>
        <v/>
      </c>
      <c r="L145" s="5">
        <f>SUMPRODUCT(('01_Data'!$B145:$AW145&lt;&gt;"")*(1/(1+EXP(-(K145-'03_Lap_b'!$B$15:$AW$15)))))</f>
        <v/>
      </c>
      <c r="M145" s="5">
        <f>SUMPRODUCT(('01_Data'!$B145:$AW145&lt;&gt;"")*(1/(1+EXP(-(K145-'03_Lap_b'!$B$15:$AW$15))))^2)</f>
        <v/>
      </c>
      <c r="N145" s="5">
        <f>MEDIAN(-6,K145+(C145-L145)/MAX(L145-M145,0.000000001),6)</f>
        <v/>
      </c>
      <c r="O145" s="5">
        <f>SUMPRODUCT(('01_Data'!$B145:$AW145&lt;&gt;"")*(1/(1+EXP(-(N145-'03_Lap_b'!$B$20:$AW$20)))))</f>
        <v/>
      </c>
      <c r="P145" s="5">
        <f>SUMPRODUCT(('01_Data'!$B145:$AW145&lt;&gt;"")*(1/(1+EXP(-(N145-'03_Lap_b'!$B$20:$AW$20))))^2)</f>
        <v/>
      </c>
      <c r="Q145" s="5">
        <f>MEDIAN(-6,N145+(C145-O145)/MAX(O145-P145,0.000000001),6)</f>
        <v/>
      </c>
      <c r="R145" s="5">
        <f>SUMPRODUCT(('01_Data'!$B145:$AW145&lt;&gt;"")*(1/(1+EXP(-(Q145-'03_Lap_b'!$B$25:$AW$25)))))</f>
        <v/>
      </c>
      <c r="S145" s="5">
        <f>SUMPRODUCT(('01_Data'!$B145:$AW145&lt;&gt;"")*(1/(1+EXP(-(Q145-'03_Lap_b'!$B$25:$AW$25))))^2)</f>
        <v/>
      </c>
      <c r="T145" s="5">
        <f>MEDIAN(-6,Q145+(C145-R145)/MAX(R145-S145,0.000000001),6)</f>
        <v/>
      </c>
      <c r="U145" s="5">
        <f>SUMPRODUCT(('01_Data'!$B145:$AW145&lt;&gt;"")*(1/(1+EXP(-(T145-'03_Lap_b'!$B$30:$AW$30)))))</f>
        <v/>
      </c>
      <c r="V145" s="5">
        <f>SUMPRODUCT(('01_Data'!$B145:$AW145&lt;&gt;"")*(1/(1+EXP(-(T145-'03_Lap_b'!$B$30:$AW$30))))^2)</f>
        <v/>
      </c>
      <c r="W145" s="5">
        <f>MEDIAN(-6,T145+(C145-U145)/MAX(U145-V145,0.000000001),6)</f>
        <v/>
      </c>
      <c r="X145" s="5">
        <f>SUMPRODUCT(('01_Data'!$B145:$AW145&lt;&gt;"")*(1/(1+EXP(-(W145-'03_Lap_b'!$B$35:$AW$35)))))</f>
        <v/>
      </c>
      <c r="Y145" s="5">
        <f>SUMPRODUCT(('01_Data'!$B145:$AW145&lt;&gt;"")*(1/(1+EXP(-(W145-'03_Lap_b'!$B$35:$AW$35))))^2)</f>
        <v/>
      </c>
      <c r="Z145" s="5">
        <f>MEDIAN(-6,W145+(C145-X145)/MAX(X145-Y145,0.000000001),6)</f>
        <v/>
      </c>
      <c r="AA145" s="5">
        <f>SUMPRODUCT(('01_Data'!$B145:$AW145&lt;&gt;"")*(1/(1+EXP(-(Z145-'03_Lap_b'!$B$40:$AW$40)))))</f>
        <v/>
      </c>
      <c r="AB145" s="5">
        <f>SUMPRODUCT(('01_Data'!$B145:$AW145&lt;&gt;"")*(1/(1+EXP(-(Z145-'03_Lap_b'!$B$40:$AW$40))))^2)</f>
        <v/>
      </c>
      <c r="AC145" s="5">
        <f>MEDIAN(-6,Z145+(C145-AA145)/MAX(AA145-AB145,0.000000001),6)</f>
        <v/>
      </c>
    </row>
    <row r="146">
      <c r="A146" t="n">
        <v>145</v>
      </c>
      <c r="B146">
        <f>'01_Data'!A146</f>
        <v/>
      </c>
      <c r="C146">
        <f>SUM('01_Data'!$B146:$AW146)</f>
        <v/>
      </c>
      <c r="D146">
        <f>COUNT('01_Data'!$B146:$AW146)</f>
        <v/>
      </c>
      <c r="E146" s="5">
        <f>MEDIAN(-6,LN((C146+0.3)/(D146-C146+0.3)),6)</f>
        <v/>
      </c>
      <c r="F146" s="5">
        <f>SUMPRODUCT(('01_Data'!$B146:$AW146&lt;&gt;"")*(1/(1+EXP(-(E146-'03_Lap_b'!$B$5:$AW$5)))))</f>
        <v/>
      </c>
      <c r="G146" s="5">
        <f>SUMPRODUCT(('01_Data'!$B146:$AW146&lt;&gt;"")*(1/(1+EXP(-(E146-'03_Lap_b'!$B$5:$AW$5))))^2)</f>
        <v/>
      </c>
      <c r="H146" s="5">
        <f>MEDIAN(-6,E146+(C146-F146)/MAX(F146-G146,0.000000001),6)</f>
        <v/>
      </c>
      <c r="I146" s="5">
        <f>SUMPRODUCT(('01_Data'!$B146:$AW146&lt;&gt;"")*(1/(1+EXP(-(H146-'03_Lap_b'!$B$10:$AW$10)))))</f>
        <v/>
      </c>
      <c r="J146" s="5">
        <f>SUMPRODUCT(('01_Data'!$B146:$AW146&lt;&gt;"")*(1/(1+EXP(-(H146-'03_Lap_b'!$B$10:$AW$10))))^2)</f>
        <v/>
      </c>
      <c r="K146" s="5">
        <f>MEDIAN(-6,H146+(C146-I146)/MAX(I146-J146,0.000000001),6)</f>
        <v/>
      </c>
      <c r="L146" s="5">
        <f>SUMPRODUCT(('01_Data'!$B146:$AW146&lt;&gt;"")*(1/(1+EXP(-(K146-'03_Lap_b'!$B$15:$AW$15)))))</f>
        <v/>
      </c>
      <c r="M146" s="5">
        <f>SUMPRODUCT(('01_Data'!$B146:$AW146&lt;&gt;"")*(1/(1+EXP(-(K146-'03_Lap_b'!$B$15:$AW$15))))^2)</f>
        <v/>
      </c>
      <c r="N146" s="5">
        <f>MEDIAN(-6,K146+(C146-L146)/MAX(L146-M146,0.000000001),6)</f>
        <v/>
      </c>
      <c r="O146" s="5">
        <f>SUMPRODUCT(('01_Data'!$B146:$AW146&lt;&gt;"")*(1/(1+EXP(-(N146-'03_Lap_b'!$B$20:$AW$20)))))</f>
        <v/>
      </c>
      <c r="P146" s="5">
        <f>SUMPRODUCT(('01_Data'!$B146:$AW146&lt;&gt;"")*(1/(1+EXP(-(N146-'03_Lap_b'!$B$20:$AW$20))))^2)</f>
        <v/>
      </c>
      <c r="Q146" s="5">
        <f>MEDIAN(-6,N146+(C146-O146)/MAX(O146-P146,0.000000001),6)</f>
        <v/>
      </c>
      <c r="R146" s="5">
        <f>SUMPRODUCT(('01_Data'!$B146:$AW146&lt;&gt;"")*(1/(1+EXP(-(Q146-'03_Lap_b'!$B$25:$AW$25)))))</f>
        <v/>
      </c>
      <c r="S146" s="5">
        <f>SUMPRODUCT(('01_Data'!$B146:$AW146&lt;&gt;"")*(1/(1+EXP(-(Q146-'03_Lap_b'!$B$25:$AW$25))))^2)</f>
        <v/>
      </c>
      <c r="T146" s="5">
        <f>MEDIAN(-6,Q146+(C146-R146)/MAX(R146-S146,0.000000001),6)</f>
        <v/>
      </c>
      <c r="U146" s="5">
        <f>SUMPRODUCT(('01_Data'!$B146:$AW146&lt;&gt;"")*(1/(1+EXP(-(T146-'03_Lap_b'!$B$30:$AW$30)))))</f>
        <v/>
      </c>
      <c r="V146" s="5">
        <f>SUMPRODUCT(('01_Data'!$B146:$AW146&lt;&gt;"")*(1/(1+EXP(-(T146-'03_Lap_b'!$B$30:$AW$30))))^2)</f>
        <v/>
      </c>
      <c r="W146" s="5">
        <f>MEDIAN(-6,T146+(C146-U146)/MAX(U146-V146,0.000000001),6)</f>
        <v/>
      </c>
      <c r="X146" s="5">
        <f>SUMPRODUCT(('01_Data'!$B146:$AW146&lt;&gt;"")*(1/(1+EXP(-(W146-'03_Lap_b'!$B$35:$AW$35)))))</f>
        <v/>
      </c>
      <c r="Y146" s="5">
        <f>SUMPRODUCT(('01_Data'!$B146:$AW146&lt;&gt;"")*(1/(1+EXP(-(W146-'03_Lap_b'!$B$35:$AW$35))))^2)</f>
        <v/>
      </c>
      <c r="Z146" s="5">
        <f>MEDIAN(-6,W146+(C146-X146)/MAX(X146-Y146,0.000000001),6)</f>
        <v/>
      </c>
      <c r="AA146" s="5">
        <f>SUMPRODUCT(('01_Data'!$B146:$AW146&lt;&gt;"")*(1/(1+EXP(-(Z146-'03_Lap_b'!$B$40:$AW$40)))))</f>
        <v/>
      </c>
      <c r="AB146" s="5">
        <f>SUMPRODUCT(('01_Data'!$B146:$AW146&lt;&gt;"")*(1/(1+EXP(-(Z146-'03_Lap_b'!$B$40:$AW$40))))^2)</f>
        <v/>
      </c>
      <c r="AC146" s="5">
        <f>MEDIAN(-6,Z146+(C146-AA146)/MAX(AA146-AB146,0.000000001),6)</f>
        <v/>
      </c>
    </row>
    <row r="147">
      <c r="A147" t="n">
        <v>146</v>
      </c>
      <c r="B147">
        <f>'01_Data'!A147</f>
        <v/>
      </c>
      <c r="C147">
        <f>SUM('01_Data'!$B147:$AW147)</f>
        <v/>
      </c>
      <c r="D147">
        <f>COUNT('01_Data'!$B147:$AW147)</f>
        <v/>
      </c>
      <c r="E147" s="5">
        <f>MEDIAN(-6,LN((C147+0.3)/(D147-C147+0.3)),6)</f>
        <v/>
      </c>
      <c r="F147" s="5">
        <f>SUMPRODUCT(('01_Data'!$B147:$AW147&lt;&gt;"")*(1/(1+EXP(-(E147-'03_Lap_b'!$B$5:$AW$5)))))</f>
        <v/>
      </c>
      <c r="G147" s="5">
        <f>SUMPRODUCT(('01_Data'!$B147:$AW147&lt;&gt;"")*(1/(1+EXP(-(E147-'03_Lap_b'!$B$5:$AW$5))))^2)</f>
        <v/>
      </c>
      <c r="H147" s="5">
        <f>MEDIAN(-6,E147+(C147-F147)/MAX(F147-G147,0.000000001),6)</f>
        <v/>
      </c>
      <c r="I147" s="5">
        <f>SUMPRODUCT(('01_Data'!$B147:$AW147&lt;&gt;"")*(1/(1+EXP(-(H147-'03_Lap_b'!$B$10:$AW$10)))))</f>
        <v/>
      </c>
      <c r="J147" s="5">
        <f>SUMPRODUCT(('01_Data'!$B147:$AW147&lt;&gt;"")*(1/(1+EXP(-(H147-'03_Lap_b'!$B$10:$AW$10))))^2)</f>
        <v/>
      </c>
      <c r="K147" s="5">
        <f>MEDIAN(-6,H147+(C147-I147)/MAX(I147-J147,0.000000001),6)</f>
        <v/>
      </c>
      <c r="L147" s="5">
        <f>SUMPRODUCT(('01_Data'!$B147:$AW147&lt;&gt;"")*(1/(1+EXP(-(K147-'03_Lap_b'!$B$15:$AW$15)))))</f>
        <v/>
      </c>
      <c r="M147" s="5">
        <f>SUMPRODUCT(('01_Data'!$B147:$AW147&lt;&gt;"")*(1/(1+EXP(-(K147-'03_Lap_b'!$B$15:$AW$15))))^2)</f>
        <v/>
      </c>
      <c r="N147" s="5">
        <f>MEDIAN(-6,K147+(C147-L147)/MAX(L147-M147,0.000000001),6)</f>
        <v/>
      </c>
      <c r="O147" s="5">
        <f>SUMPRODUCT(('01_Data'!$B147:$AW147&lt;&gt;"")*(1/(1+EXP(-(N147-'03_Lap_b'!$B$20:$AW$20)))))</f>
        <v/>
      </c>
      <c r="P147" s="5">
        <f>SUMPRODUCT(('01_Data'!$B147:$AW147&lt;&gt;"")*(1/(1+EXP(-(N147-'03_Lap_b'!$B$20:$AW$20))))^2)</f>
        <v/>
      </c>
      <c r="Q147" s="5">
        <f>MEDIAN(-6,N147+(C147-O147)/MAX(O147-P147,0.000000001),6)</f>
        <v/>
      </c>
      <c r="R147" s="5">
        <f>SUMPRODUCT(('01_Data'!$B147:$AW147&lt;&gt;"")*(1/(1+EXP(-(Q147-'03_Lap_b'!$B$25:$AW$25)))))</f>
        <v/>
      </c>
      <c r="S147" s="5">
        <f>SUMPRODUCT(('01_Data'!$B147:$AW147&lt;&gt;"")*(1/(1+EXP(-(Q147-'03_Lap_b'!$B$25:$AW$25))))^2)</f>
        <v/>
      </c>
      <c r="T147" s="5">
        <f>MEDIAN(-6,Q147+(C147-R147)/MAX(R147-S147,0.000000001),6)</f>
        <v/>
      </c>
      <c r="U147" s="5">
        <f>SUMPRODUCT(('01_Data'!$B147:$AW147&lt;&gt;"")*(1/(1+EXP(-(T147-'03_Lap_b'!$B$30:$AW$30)))))</f>
        <v/>
      </c>
      <c r="V147" s="5">
        <f>SUMPRODUCT(('01_Data'!$B147:$AW147&lt;&gt;"")*(1/(1+EXP(-(T147-'03_Lap_b'!$B$30:$AW$30))))^2)</f>
        <v/>
      </c>
      <c r="W147" s="5">
        <f>MEDIAN(-6,T147+(C147-U147)/MAX(U147-V147,0.000000001),6)</f>
        <v/>
      </c>
      <c r="X147" s="5">
        <f>SUMPRODUCT(('01_Data'!$B147:$AW147&lt;&gt;"")*(1/(1+EXP(-(W147-'03_Lap_b'!$B$35:$AW$35)))))</f>
        <v/>
      </c>
      <c r="Y147" s="5">
        <f>SUMPRODUCT(('01_Data'!$B147:$AW147&lt;&gt;"")*(1/(1+EXP(-(W147-'03_Lap_b'!$B$35:$AW$35))))^2)</f>
        <v/>
      </c>
      <c r="Z147" s="5">
        <f>MEDIAN(-6,W147+(C147-X147)/MAX(X147-Y147,0.000000001),6)</f>
        <v/>
      </c>
      <c r="AA147" s="5">
        <f>SUMPRODUCT(('01_Data'!$B147:$AW147&lt;&gt;"")*(1/(1+EXP(-(Z147-'03_Lap_b'!$B$40:$AW$40)))))</f>
        <v/>
      </c>
      <c r="AB147" s="5">
        <f>SUMPRODUCT(('01_Data'!$B147:$AW147&lt;&gt;"")*(1/(1+EXP(-(Z147-'03_Lap_b'!$B$40:$AW$40))))^2)</f>
        <v/>
      </c>
      <c r="AC147" s="5">
        <f>MEDIAN(-6,Z147+(C147-AA147)/MAX(AA147-AB147,0.000000001),6)</f>
        <v/>
      </c>
    </row>
    <row r="148">
      <c r="A148" t="n">
        <v>147</v>
      </c>
      <c r="B148">
        <f>'01_Data'!A148</f>
        <v/>
      </c>
      <c r="C148">
        <f>SUM('01_Data'!$B148:$AW148)</f>
        <v/>
      </c>
      <c r="D148">
        <f>COUNT('01_Data'!$B148:$AW148)</f>
        <v/>
      </c>
      <c r="E148" s="5">
        <f>MEDIAN(-6,LN((C148+0.3)/(D148-C148+0.3)),6)</f>
        <v/>
      </c>
      <c r="F148" s="5">
        <f>SUMPRODUCT(('01_Data'!$B148:$AW148&lt;&gt;"")*(1/(1+EXP(-(E148-'03_Lap_b'!$B$5:$AW$5)))))</f>
        <v/>
      </c>
      <c r="G148" s="5">
        <f>SUMPRODUCT(('01_Data'!$B148:$AW148&lt;&gt;"")*(1/(1+EXP(-(E148-'03_Lap_b'!$B$5:$AW$5))))^2)</f>
        <v/>
      </c>
      <c r="H148" s="5">
        <f>MEDIAN(-6,E148+(C148-F148)/MAX(F148-G148,0.000000001),6)</f>
        <v/>
      </c>
      <c r="I148" s="5">
        <f>SUMPRODUCT(('01_Data'!$B148:$AW148&lt;&gt;"")*(1/(1+EXP(-(H148-'03_Lap_b'!$B$10:$AW$10)))))</f>
        <v/>
      </c>
      <c r="J148" s="5">
        <f>SUMPRODUCT(('01_Data'!$B148:$AW148&lt;&gt;"")*(1/(1+EXP(-(H148-'03_Lap_b'!$B$10:$AW$10))))^2)</f>
        <v/>
      </c>
      <c r="K148" s="5">
        <f>MEDIAN(-6,H148+(C148-I148)/MAX(I148-J148,0.000000001),6)</f>
        <v/>
      </c>
      <c r="L148" s="5">
        <f>SUMPRODUCT(('01_Data'!$B148:$AW148&lt;&gt;"")*(1/(1+EXP(-(K148-'03_Lap_b'!$B$15:$AW$15)))))</f>
        <v/>
      </c>
      <c r="M148" s="5">
        <f>SUMPRODUCT(('01_Data'!$B148:$AW148&lt;&gt;"")*(1/(1+EXP(-(K148-'03_Lap_b'!$B$15:$AW$15))))^2)</f>
        <v/>
      </c>
      <c r="N148" s="5">
        <f>MEDIAN(-6,K148+(C148-L148)/MAX(L148-M148,0.000000001),6)</f>
        <v/>
      </c>
      <c r="O148" s="5">
        <f>SUMPRODUCT(('01_Data'!$B148:$AW148&lt;&gt;"")*(1/(1+EXP(-(N148-'03_Lap_b'!$B$20:$AW$20)))))</f>
        <v/>
      </c>
      <c r="P148" s="5">
        <f>SUMPRODUCT(('01_Data'!$B148:$AW148&lt;&gt;"")*(1/(1+EXP(-(N148-'03_Lap_b'!$B$20:$AW$20))))^2)</f>
        <v/>
      </c>
      <c r="Q148" s="5">
        <f>MEDIAN(-6,N148+(C148-O148)/MAX(O148-P148,0.000000001),6)</f>
        <v/>
      </c>
      <c r="R148" s="5">
        <f>SUMPRODUCT(('01_Data'!$B148:$AW148&lt;&gt;"")*(1/(1+EXP(-(Q148-'03_Lap_b'!$B$25:$AW$25)))))</f>
        <v/>
      </c>
      <c r="S148" s="5">
        <f>SUMPRODUCT(('01_Data'!$B148:$AW148&lt;&gt;"")*(1/(1+EXP(-(Q148-'03_Lap_b'!$B$25:$AW$25))))^2)</f>
        <v/>
      </c>
      <c r="T148" s="5">
        <f>MEDIAN(-6,Q148+(C148-R148)/MAX(R148-S148,0.000000001),6)</f>
        <v/>
      </c>
      <c r="U148" s="5">
        <f>SUMPRODUCT(('01_Data'!$B148:$AW148&lt;&gt;"")*(1/(1+EXP(-(T148-'03_Lap_b'!$B$30:$AW$30)))))</f>
        <v/>
      </c>
      <c r="V148" s="5">
        <f>SUMPRODUCT(('01_Data'!$B148:$AW148&lt;&gt;"")*(1/(1+EXP(-(T148-'03_Lap_b'!$B$30:$AW$30))))^2)</f>
        <v/>
      </c>
      <c r="W148" s="5">
        <f>MEDIAN(-6,T148+(C148-U148)/MAX(U148-V148,0.000000001),6)</f>
        <v/>
      </c>
      <c r="X148" s="5">
        <f>SUMPRODUCT(('01_Data'!$B148:$AW148&lt;&gt;"")*(1/(1+EXP(-(W148-'03_Lap_b'!$B$35:$AW$35)))))</f>
        <v/>
      </c>
      <c r="Y148" s="5">
        <f>SUMPRODUCT(('01_Data'!$B148:$AW148&lt;&gt;"")*(1/(1+EXP(-(W148-'03_Lap_b'!$B$35:$AW$35))))^2)</f>
        <v/>
      </c>
      <c r="Z148" s="5">
        <f>MEDIAN(-6,W148+(C148-X148)/MAX(X148-Y148,0.000000001),6)</f>
        <v/>
      </c>
      <c r="AA148" s="5">
        <f>SUMPRODUCT(('01_Data'!$B148:$AW148&lt;&gt;"")*(1/(1+EXP(-(Z148-'03_Lap_b'!$B$40:$AW$40)))))</f>
        <v/>
      </c>
      <c r="AB148" s="5">
        <f>SUMPRODUCT(('01_Data'!$B148:$AW148&lt;&gt;"")*(1/(1+EXP(-(Z148-'03_Lap_b'!$B$40:$AW$40))))^2)</f>
        <v/>
      </c>
      <c r="AC148" s="5">
        <f>MEDIAN(-6,Z148+(C148-AA148)/MAX(AA148-AB148,0.000000001),6)</f>
        <v/>
      </c>
    </row>
    <row r="149">
      <c r="A149" t="n">
        <v>148</v>
      </c>
      <c r="B149">
        <f>'01_Data'!A149</f>
        <v/>
      </c>
      <c r="C149">
        <f>SUM('01_Data'!$B149:$AW149)</f>
        <v/>
      </c>
      <c r="D149">
        <f>COUNT('01_Data'!$B149:$AW149)</f>
        <v/>
      </c>
      <c r="E149" s="5">
        <f>MEDIAN(-6,LN((C149+0.3)/(D149-C149+0.3)),6)</f>
        <v/>
      </c>
      <c r="F149" s="5">
        <f>SUMPRODUCT(('01_Data'!$B149:$AW149&lt;&gt;"")*(1/(1+EXP(-(E149-'03_Lap_b'!$B$5:$AW$5)))))</f>
        <v/>
      </c>
      <c r="G149" s="5">
        <f>SUMPRODUCT(('01_Data'!$B149:$AW149&lt;&gt;"")*(1/(1+EXP(-(E149-'03_Lap_b'!$B$5:$AW$5))))^2)</f>
        <v/>
      </c>
      <c r="H149" s="5">
        <f>MEDIAN(-6,E149+(C149-F149)/MAX(F149-G149,0.000000001),6)</f>
        <v/>
      </c>
      <c r="I149" s="5">
        <f>SUMPRODUCT(('01_Data'!$B149:$AW149&lt;&gt;"")*(1/(1+EXP(-(H149-'03_Lap_b'!$B$10:$AW$10)))))</f>
        <v/>
      </c>
      <c r="J149" s="5">
        <f>SUMPRODUCT(('01_Data'!$B149:$AW149&lt;&gt;"")*(1/(1+EXP(-(H149-'03_Lap_b'!$B$10:$AW$10))))^2)</f>
        <v/>
      </c>
      <c r="K149" s="5">
        <f>MEDIAN(-6,H149+(C149-I149)/MAX(I149-J149,0.000000001),6)</f>
        <v/>
      </c>
      <c r="L149" s="5">
        <f>SUMPRODUCT(('01_Data'!$B149:$AW149&lt;&gt;"")*(1/(1+EXP(-(K149-'03_Lap_b'!$B$15:$AW$15)))))</f>
        <v/>
      </c>
      <c r="M149" s="5">
        <f>SUMPRODUCT(('01_Data'!$B149:$AW149&lt;&gt;"")*(1/(1+EXP(-(K149-'03_Lap_b'!$B$15:$AW$15))))^2)</f>
        <v/>
      </c>
      <c r="N149" s="5">
        <f>MEDIAN(-6,K149+(C149-L149)/MAX(L149-M149,0.000000001),6)</f>
        <v/>
      </c>
      <c r="O149" s="5">
        <f>SUMPRODUCT(('01_Data'!$B149:$AW149&lt;&gt;"")*(1/(1+EXP(-(N149-'03_Lap_b'!$B$20:$AW$20)))))</f>
        <v/>
      </c>
      <c r="P149" s="5">
        <f>SUMPRODUCT(('01_Data'!$B149:$AW149&lt;&gt;"")*(1/(1+EXP(-(N149-'03_Lap_b'!$B$20:$AW$20))))^2)</f>
        <v/>
      </c>
      <c r="Q149" s="5">
        <f>MEDIAN(-6,N149+(C149-O149)/MAX(O149-P149,0.000000001),6)</f>
        <v/>
      </c>
      <c r="R149" s="5">
        <f>SUMPRODUCT(('01_Data'!$B149:$AW149&lt;&gt;"")*(1/(1+EXP(-(Q149-'03_Lap_b'!$B$25:$AW$25)))))</f>
        <v/>
      </c>
      <c r="S149" s="5">
        <f>SUMPRODUCT(('01_Data'!$B149:$AW149&lt;&gt;"")*(1/(1+EXP(-(Q149-'03_Lap_b'!$B$25:$AW$25))))^2)</f>
        <v/>
      </c>
      <c r="T149" s="5">
        <f>MEDIAN(-6,Q149+(C149-R149)/MAX(R149-S149,0.000000001),6)</f>
        <v/>
      </c>
      <c r="U149" s="5">
        <f>SUMPRODUCT(('01_Data'!$B149:$AW149&lt;&gt;"")*(1/(1+EXP(-(T149-'03_Lap_b'!$B$30:$AW$30)))))</f>
        <v/>
      </c>
      <c r="V149" s="5">
        <f>SUMPRODUCT(('01_Data'!$B149:$AW149&lt;&gt;"")*(1/(1+EXP(-(T149-'03_Lap_b'!$B$30:$AW$30))))^2)</f>
        <v/>
      </c>
      <c r="W149" s="5">
        <f>MEDIAN(-6,T149+(C149-U149)/MAX(U149-V149,0.000000001),6)</f>
        <v/>
      </c>
      <c r="X149" s="5">
        <f>SUMPRODUCT(('01_Data'!$B149:$AW149&lt;&gt;"")*(1/(1+EXP(-(W149-'03_Lap_b'!$B$35:$AW$35)))))</f>
        <v/>
      </c>
      <c r="Y149" s="5">
        <f>SUMPRODUCT(('01_Data'!$B149:$AW149&lt;&gt;"")*(1/(1+EXP(-(W149-'03_Lap_b'!$B$35:$AW$35))))^2)</f>
        <v/>
      </c>
      <c r="Z149" s="5">
        <f>MEDIAN(-6,W149+(C149-X149)/MAX(X149-Y149,0.000000001),6)</f>
        <v/>
      </c>
      <c r="AA149" s="5">
        <f>SUMPRODUCT(('01_Data'!$B149:$AW149&lt;&gt;"")*(1/(1+EXP(-(Z149-'03_Lap_b'!$B$40:$AW$40)))))</f>
        <v/>
      </c>
      <c r="AB149" s="5">
        <f>SUMPRODUCT(('01_Data'!$B149:$AW149&lt;&gt;"")*(1/(1+EXP(-(Z149-'03_Lap_b'!$B$40:$AW$40))))^2)</f>
        <v/>
      </c>
      <c r="AC149" s="5">
        <f>MEDIAN(-6,Z149+(C149-AA149)/MAX(AA149-AB149,0.000000001),6)</f>
        <v/>
      </c>
    </row>
    <row r="150">
      <c r="A150" t="n">
        <v>149</v>
      </c>
      <c r="B150">
        <f>'01_Data'!A150</f>
        <v/>
      </c>
      <c r="C150">
        <f>SUM('01_Data'!$B150:$AW150)</f>
        <v/>
      </c>
      <c r="D150">
        <f>COUNT('01_Data'!$B150:$AW150)</f>
        <v/>
      </c>
      <c r="E150" s="5">
        <f>MEDIAN(-6,LN((C150+0.3)/(D150-C150+0.3)),6)</f>
        <v/>
      </c>
      <c r="F150" s="5">
        <f>SUMPRODUCT(('01_Data'!$B150:$AW150&lt;&gt;"")*(1/(1+EXP(-(E150-'03_Lap_b'!$B$5:$AW$5)))))</f>
        <v/>
      </c>
      <c r="G150" s="5">
        <f>SUMPRODUCT(('01_Data'!$B150:$AW150&lt;&gt;"")*(1/(1+EXP(-(E150-'03_Lap_b'!$B$5:$AW$5))))^2)</f>
        <v/>
      </c>
      <c r="H150" s="5">
        <f>MEDIAN(-6,E150+(C150-F150)/MAX(F150-G150,0.000000001),6)</f>
        <v/>
      </c>
      <c r="I150" s="5">
        <f>SUMPRODUCT(('01_Data'!$B150:$AW150&lt;&gt;"")*(1/(1+EXP(-(H150-'03_Lap_b'!$B$10:$AW$10)))))</f>
        <v/>
      </c>
      <c r="J150" s="5">
        <f>SUMPRODUCT(('01_Data'!$B150:$AW150&lt;&gt;"")*(1/(1+EXP(-(H150-'03_Lap_b'!$B$10:$AW$10))))^2)</f>
        <v/>
      </c>
      <c r="K150" s="5">
        <f>MEDIAN(-6,H150+(C150-I150)/MAX(I150-J150,0.000000001),6)</f>
        <v/>
      </c>
      <c r="L150" s="5">
        <f>SUMPRODUCT(('01_Data'!$B150:$AW150&lt;&gt;"")*(1/(1+EXP(-(K150-'03_Lap_b'!$B$15:$AW$15)))))</f>
        <v/>
      </c>
      <c r="M150" s="5">
        <f>SUMPRODUCT(('01_Data'!$B150:$AW150&lt;&gt;"")*(1/(1+EXP(-(K150-'03_Lap_b'!$B$15:$AW$15))))^2)</f>
        <v/>
      </c>
      <c r="N150" s="5">
        <f>MEDIAN(-6,K150+(C150-L150)/MAX(L150-M150,0.000000001),6)</f>
        <v/>
      </c>
      <c r="O150" s="5">
        <f>SUMPRODUCT(('01_Data'!$B150:$AW150&lt;&gt;"")*(1/(1+EXP(-(N150-'03_Lap_b'!$B$20:$AW$20)))))</f>
        <v/>
      </c>
      <c r="P150" s="5">
        <f>SUMPRODUCT(('01_Data'!$B150:$AW150&lt;&gt;"")*(1/(1+EXP(-(N150-'03_Lap_b'!$B$20:$AW$20))))^2)</f>
        <v/>
      </c>
      <c r="Q150" s="5">
        <f>MEDIAN(-6,N150+(C150-O150)/MAX(O150-P150,0.000000001),6)</f>
        <v/>
      </c>
      <c r="R150" s="5">
        <f>SUMPRODUCT(('01_Data'!$B150:$AW150&lt;&gt;"")*(1/(1+EXP(-(Q150-'03_Lap_b'!$B$25:$AW$25)))))</f>
        <v/>
      </c>
      <c r="S150" s="5">
        <f>SUMPRODUCT(('01_Data'!$B150:$AW150&lt;&gt;"")*(1/(1+EXP(-(Q150-'03_Lap_b'!$B$25:$AW$25))))^2)</f>
        <v/>
      </c>
      <c r="T150" s="5">
        <f>MEDIAN(-6,Q150+(C150-R150)/MAX(R150-S150,0.000000001),6)</f>
        <v/>
      </c>
      <c r="U150" s="5">
        <f>SUMPRODUCT(('01_Data'!$B150:$AW150&lt;&gt;"")*(1/(1+EXP(-(T150-'03_Lap_b'!$B$30:$AW$30)))))</f>
        <v/>
      </c>
      <c r="V150" s="5">
        <f>SUMPRODUCT(('01_Data'!$B150:$AW150&lt;&gt;"")*(1/(1+EXP(-(T150-'03_Lap_b'!$B$30:$AW$30))))^2)</f>
        <v/>
      </c>
      <c r="W150" s="5">
        <f>MEDIAN(-6,T150+(C150-U150)/MAX(U150-V150,0.000000001),6)</f>
        <v/>
      </c>
      <c r="X150" s="5">
        <f>SUMPRODUCT(('01_Data'!$B150:$AW150&lt;&gt;"")*(1/(1+EXP(-(W150-'03_Lap_b'!$B$35:$AW$35)))))</f>
        <v/>
      </c>
      <c r="Y150" s="5">
        <f>SUMPRODUCT(('01_Data'!$B150:$AW150&lt;&gt;"")*(1/(1+EXP(-(W150-'03_Lap_b'!$B$35:$AW$35))))^2)</f>
        <v/>
      </c>
      <c r="Z150" s="5">
        <f>MEDIAN(-6,W150+(C150-X150)/MAX(X150-Y150,0.000000001),6)</f>
        <v/>
      </c>
      <c r="AA150" s="5">
        <f>SUMPRODUCT(('01_Data'!$B150:$AW150&lt;&gt;"")*(1/(1+EXP(-(Z150-'03_Lap_b'!$B$40:$AW$40)))))</f>
        <v/>
      </c>
      <c r="AB150" s="5">
        <f>SUMPRODUCT(('01_Data'!$B150:$AW150&lt;&gt;"")*(1/(1+EXP(-(Z150-'03_Lap_b'!$B$40:$AW$40))))^2)</f>
        <v/>
      </c>
      <c r="AC150" s="5">
        <f>MEDIAN(-6,Z150+(C150-AA150)/MAX(AA150-AB150,0.000000001),6)</f>
        <v/>
      </c>
    </row>
    <row r="151">
      <c r="A151" t="n">
        <v>150</v>
      </c>
      <c r="B151">
        <f>'01_Data'!A151</f>
        <v/>
      </c>
      <c r="C151">
        <f>SUM('01_Data'!$B151:$AW151)</f>
        <v/>
      </c>
      <c r="D151">
        <f>COUNT('01_Data'!$B151:$AW151)</f>
        <v/>
      </c>
      <c r="E151" s="5">
        <f>MEDIAN(-6,LN((C151+0.3)/(D151-C151+0.3)),6)</f>
        <v/>
      </c>
      <c r="F151" s="5">
        <f>SUMPRODUCT(('01_Data'!$B151:$AW151&lt;&gt;"")*(1/(1+EXP(-(E151-'03_Lap_b'!$B$5:$AW$5)))))</f>
        <v/>
      </c>
      <c r="G151" s="5">
        <f>SUMPRODUCT(('01_Data'!$B151:$AW151&lt;&gt;"")*(1/(1+EXP(-(E151-'03_Lap_b'!$B$5:$AW$5))))^2)</f>
        <v/>
      </c>
      <c r="H151" s="5">
        <f>MEDIAN(-6,E151+(C151-F151)/MAX(F151-G151,0.000000001),6)</f>
        <v/>
      </c>
      <c r="I151" s="5">
        <f>SUMPRODUCT(('01_Data'!$B151:$AW151&lt;&gt;"")*(1/(1+EXP(-(H151-'03_Lap_b'!$B$10:$AW$10)))))</f>
        <v/>
      </c>
      <c r="J151" s="5">
        <f>SUMPRODUCT(('01_Data'!$B151:$AW151&lt;&gt;"")*(1/(1+EXP(-(H151-'03_Lap_b'!$B$10:$AW$10))))^2)</f>
        <v/>
      </c>
      <c r="K151" s="5">
        <f>MEDIAN(-6,H151+(C151-I151)/MAX(I151-J151,0.000000001),6)</f>
        <v/>
      </c>
      <c r="L151" s="5">
        <f>SUMPRODUCT(('01_Data'!$B151:$AW151&lt;&gt;"")*(1/(1+EXP(-(K151-'03_Lap_b'!$B$15:$AW$15)))))</f>
        <v/>
      </c>
      <c r="M151" s="5">
        <f>SUMPRODUCT(('01_Data'!$B151:$AW151&lt;&gt;"")*(1/(1+EXP(-(K151-'03_Lap_b'!$B$15:$AW$15))))^2)</f>
        <v/>
      </c>
      <c r="N151" s="5">
        <f>MEDIAN(-6,K151+(C151-L151)/MAX(L151-M151,0.000000001),6)</f>
        <v/>
      </c>
      <c r="O151" s="5">
        <f>SUMPRODUCT(('01_Data'!$B151:$AW151&lt;&gt;"")*(1/(1+EXP(-(N151-'03_Lap_b'!$B$20:$AW$20)))))</f>
        <v/>
      </c>
      <c r="P151" s="5">
        <f>SUMPRODUCT(('01_Data'!$B151:$AW151&lt;&gt;"")*(1/(1+EXP(-(N151-'03_Lap_b'!$B$20:$AW$20))))^2)</f>
        <v/>
      </c>
      <c r="Q151" s="5">
        <f>MEDIAN(-6,N151+(C151-O151)/MAX(O151-P151,0.000000001),6)</f>
        <v/>
      </c>
      <c r="R151" s="5">
        <f>SUMPRODUCT(('01_Data'!$B151:$AW151&lt;&gt;"")*(1/(1+EXP(-(Q151-'03_Lap_b'!$B$25:$AW$25)))))</f>
        <v/>
      </c>
      <c r="S151" s="5">
        <f>SUMPRODUCT(('01_Data'!$B151:$AW151&lt;&gt;"")*(1/(1+EXP(-(Q151-'03_Lap_b'!$B$25:$AW$25))))^2)</f>
        <v/>
      </c>
      <c r="T151" s="5">
        <f>MEDIAN(-6,Q151+(C151-R151)/MAX(R151-S151,0.000000001),6)</f>
        <v/>
      </c>
      <c r="U151" s="5">
        <f>SUMPRODUCT(('01_Data'!$B151:$AW151&lt;&gt;"")*(1/(1+EXP(-(T151-'03_Lap_b'!$B$30:$AW$30)))))</f>
        <v/>
      </c>
      <c r="V151" s="5">
        <f>SUMPRODUCT(('01_Data'!$B151:$AW151&lt;&gt;"")*(1/(1+EXP(-(T151-'03_Lap_b'!$B$30:$AW$30))))^2)</f>
        <v/>
      </c>
      <c r="W151" s="5">
        <f>MEDIAN(-6,T151+(C151-U151)/MAX(U151-V151,0.000000001),6)</f>
        <v/>
      </c>
      <c r="X151" s="5">
        <f>SUMPRODUCT(('01_Data'!$B151:$AW151&lt;&gt;"")*(1/(1+EXP(-(W151-'03_Lap_b'!$B$35:$AW$35)))))</f>
        <v/>
      </c>
      <c r="Y151" s="5">
        <f>SUMPRODUCT(('01_Data'!$B151:$AW151&lt;&gt;"")*(1/(1+EXP(-(W151-'03_Lap_b'!$B$35:$AW$35))))^2)</f>
        <v/>
      </c>
      <c r="Z151" s="5">
        <f>MEDIAN(-6,W151+(C151-X151)/MAX(X151-Y151,0.000000001),6)</f>
        <v/>
      </c>
      <c r="AA151" s="5">
        <f>SUMPRODUCT(('01_Data'!$B151:$AW151&lt;&gt;"")*(1/(1+EXP(-(Z151-'03_Lap_b'!$B$40:$AW$40)))))</f>
        <v/>
      </c>
      <c r="AB151" s="5">
        <f>SUMPRODUCT(('01_Data'!$B151:$AW151&lt;&gt;"")*(1/(1+EXP(-(Z151-'03_Lap_b'!$B$40:$AW$40))))^2)</f>
        <v/>
      </c>
      <c r="AC151" s="5">
        <f>MEDIAN(-6,Z151+(C151-AA151)/MAX(AA151-AB151,0.000000001),6)</f>
        <v/>
      </c>
    </row>
    <row r="152">
      <c r="A152" t="n">
        <v>151</v>
      </c>
      <c r="B152">
        <f>'01_Data'!A152</f>
        <v/>
      </c>
      <c r="C152">
        <f>SUM('01_Data'!$B152:$AW152)</f>
        <v/>
      </c>
      <c r="D152">
        <f>COUNT('01_Data'!$B152:$AW152)</f>
        <v/>
      </c>
      <c r="E152" s="5">
        <f>MEDIAN(-6,LN((C152+0.3)/(D152-C152+0.3)),6)</f>
        <v/>
      </c>
      <c r="F152" s="5">
        <f>SUMPRODUCT(('01_Data'!$B152:$AW152&lt;&gt;"")*(1/(1+EXP(-(E152-'03_Lap_b'!$B$5:$AW$5)))))</f>
        <v/>
      </c>
      <c r="G152" s="5">
        <f>SUMPRODUCT(('01_Data'!$B152:$AW152&lt;&gt;"")*(1/(1+EXP(-(E152-'03_Lap_b'!$B$5:$AW$5))))^2)</f>
        <v/>
      </c>
      <c r="H152" s="5">
        <f>MEDIAN(-6,E152+(C152-F152)/MAX(F152-G152,0.000000001),6)</f>
        <v/>
      </c>
      <c r="I152" s="5">
        <f>SUMPRODUCT(('01_Data'!$B152:$AW152&lt;&gt;"")*(1/(1+EXP(-(H152-'03_Lap_b'!$B$10:$AW$10)))))</f>
        <v/>
      </c>
      <c r="J152" s="5">
        <f>SUMPRODUCT(('01_Data'!$B152:$AW152&lt;&gt;"")*(1/(1+EXP(-(H152-'03_Lap_b'!$B$10:$AW$10))))^2)</f>
        <v/>
      </c>
      <c r="K152" s="5">
        <f>MEDIAN(-6,H152+(C152-I152)/MAX(I152-J152,0.000000001),6)</f>
        <v/>
      </c>
      <c r="L152" s="5">
        <f>SUMPRODUCT(('01_Data'!$B152:$AW152&lt;&gt;"")*(1/(1+EXP(-(K152-'03_Lap_b'!$B$15:$AW$15)))))</f>
        <v/>
      </c>
      <c r="M152" s="5">
        <f>SUMPRODUCT(('01_Data'!$B152:$AW152&lt;&gt;"")*(1/(1+EXP(-(K152-'03_Lap_b'!$B$15:$AW$15))))^2)</f>
        <v/>
      </c>
      <c r="N152" s="5">
        <f>MEDIAN(-6,K152+(C152-L152)/MAX(L152-M152,0.000000001),6)</f>
        <v/>
      </c>
      <c r="O152" s="5">
        <f>SUMPRODUCT(('01_Data'!$B152:$AW152&lt;&gt;"")*(1/(1+EXP(-(N152-'03_Lap_b'!$B$20:$AW$20)))))</f>
        <v/>
      </c>
      <c r="P152" s="5">
        <f>SUMPRODUCT(('01_Data'!$B152:$AW152&lt;&gt;"")*(1/(1+EXP(-(N152-'03_Lap_b'!$B$20:$AW$20))))^2)</f>
        <v/>
      </c>
      <c r="Q152" s="5">
        <f>MEDIAN(-6,N152+(C152-O152)/MAX(O152-P152,0.000000001),6)</f>
        <v/>
      </c>
      <c r="R152" s="5">
        <f>SUMPRODUCT(('01_Data'!$B152:$AW152&lt;&gt;"")*(1/(1+EXP(-(Q152-'03_Lap_b'!$B$25:$AW$25)))))</f>
        <v/>
      </c>
      <c r="S152" s="5">
        <f>SUMPRODUCT(('01_Data'!$B152:$AW152&lt;&gt;"")*(1/(1+EXP(-(Q152-'03_Lap_b'!$B$25:$AW$25))))^2)</f>
        <v/>
      </c>
      <c r="T152" s="5">
        <f>MEDIAN(-6,Q152+(C152-R152)/MAX(R152-S152,0.000000001),6)</f>
        <v/>
      </c>
      <c r="U152" s="5">
        <f>SUMPRODUCT(('01_Data'!$B152:$AW152&lt;&gt;"")*(1/(1+EXP(-(T152-'03_Lap_b'!$B$30:$AW$30)))))</f>
        <v/>
      </c>
      <c r="V152" s="5">
        <f>SUMPRODUCT(('01_Data'!$B152:$AW152&lt;&gt;"")*(1/(1+EXP(-(T152-'03_Lap_b'!$B$30:$AW$30))))^2)</f>
        <v/>
      </c>
      <c r="W152" s="5">
        <f>MEDIAN(-6,T152+(C152-U152)/MAX(U152-V152,0.000000001),6)</f>
        <v/>
      </c>
      <c r="X152" s="5">
        <f>SUMPRODUCT(('01_Data'!$B152:$AW152&lt;&gt;"")*(1/(1+EXP(-(W152-'03_Lap_b'!$B$35:$AW$35)))))</f>
        <v/>
      </c>
      <c r="Y152" s="5">
        <f>SUMPRODUCT(('01_Data'!$B152:$AW152&lt;&gt;"")*(1/(1+EXP(-(W152-'03_Lap_b'!$B$35:$AW$35))))^2)</f>
        <v/>
      </c>
      <c r="Z152" s="5">
        <f>MEDIAN(-6,W152+(C152-X152)/MAX(X152-Y152,0.000000001),6)</f>
        <v/>
      </c>
      <c r="AA152" s="5">
        <f>SUMPRODUCT(('01_Data'!$B152:$AW152&lt;&gt;"")*(1/(1+EXP(-(Z152-'03_Lap_b'!$B$40:$AW$40)))))</f>
        <v/>
      </c>
      <c r="AB152" s="5">
        <f>SUMPRODUCT(('01_Data'!$B152:$AW152&lt;&gt;"")*(1/(1+EXP(-(Z152-'03_Lap_b'!$B$40:$AW$40))))^2)</f>
        <v/>
      </c>
      <c r="AC152" s="5">
        <f>MEDIAN(-6,Z152+(C152-AA152)/MAX(AA152-AB152,0.000000001),6)</f>
        <v/>
      </c>
    </row>
    <row r="153">
      <c r="A153" t="n">
        <v>152</v>
      </c>
      <c r="B153">
        <f>'01_Data'!A153</f>
        <v/>
      </c>
      <c r="C153">
        <f>SUM('01_Data'!$B153:$AW153)</f>
        <v/>
      </c>
      <c r="D153">
        <f>COUNT('01_Data'!$B153:$AW153)</f>
        <v/>
      </c>
      <c r="E153" s="5">
        <f>MEDIAN(-6,LN((C153+0.3)/(D153-C153+0.3)),6)</f>
        <v/>
      </c>
      <c r="F153" s="5">
        <f>SUMPRODUCT(('01_Data'!$B153:$AW153&lt;&gt;"")*(1/(1+EXP(-(E153-'03_Lap_b'!$B$5:$AW$5)))))</f>
        <v/>
      </c>
      <c r="G153" s="5">
        <f>SUMPRODUCT(('01_Data'!$B153:$AW153&lt;&gt;"")*(1/(1+EXP(-(E153-'03_Lap_b'!$B$5:$AW$5))))^2)</f>
        <v/>
      </c>
      <c r="H153" s="5">
        <f>MEDIAN(-6,E153+(C153-F153)/MAX(F153-G153,0.000000001),6)</f>
        <v/>
      </c>
      <c r="I153" s="5">
        <f>SUMPRODUCT(('01_Data'!$B153:$AW153&lt;&gt;"")*(1/(1+EXP(-(H153-'03_Lap_b'!$B$10:$AW$10)))))</f>
        <v/>
      </c>
      <c r="J153" s="5">
        <f>SUMPRODUCT(('01_Data'!$B153:$AW153&lt;&gt;"")*(1/(1+EXP(-(H153-'03_Lap_b'!$B$10:$AW$10))))^2)</f>
        <v/>
      </c>
      <c r="K153" s="5">
        <f>MEDIAN(-6,H153+(C153-I153)/MAX(I153-J153,0.000000001),6)</f>
        <v/>
      </c>
      <c r="L153" s="5">
        <f>SUMPRODUCT(('01_Data'!$B153:$AW153&lt;&gt;"")*(1/(1+EXP(-(K153-'03_Lap_b'!$B$15:$AW$15)))))</f>
        <v/>
      </c>
      <c r="M153" s="5">
        <f>SUMPRODUCT(('01_Data'!$B153:$AW153&lt;&gt;"")*(1/(1+EXP(-(K153-'03_Lap_b'!$B$15:$AW$15))))^2)</f>
        <v/>
      </c>
      <c r="N153" s="5">
        <f>MEDIAN(-6,K153+(C153-L153)/MAX(L153-M153,0.000000001),6)</f>
        <v/>
      </c>
      <c r="O153" s="5">
        <f>SUMPRODUCT(('01_Data'!$B153:$AW153&lt;&gt;"")*(1/(1+EXP(-(N153-'03_Lap_b'!$B$20:$AW$20)))))</f>
        <v/>
      </c>
      <c r="P153" s="5">
        <f>SUMPRODUCT(('01_Data'!$B153:$AW153&lt;&gt;"")*(1/(1+EXP(-(N153-'03_Lap_b'!$B$20:$AW$20))))^2)</f>
        <v/>
      </c>
      <c r="Q153" s="5">
        <f>MEDIAN(-6,N153+(C153-O153)/MAX(O153-P153,0.000000001),6)</f>
        <v/>
      </c>
      <c r="R153" s="5">
        <f>SUMPRODUCT(('01_Data'!$B153:$AW153&lt;&gt;"")*(1/(1+EXP(-(Q153-'03_Lap_b'!$B$25:$AW$25)))))</f>
        <v/>
      </c>
      <c r="S153" s="5">
        <f>SUMPRODUCT(('01_Data'!$B153:$AW153&lt;&gt;"")*(1/(1+EXP(-(Q153-'03_Lap_b'!$B$25:$AW$25))))^2)</f>
        <v/>
      </c>
      <c r="T153" s="5">
        <f>MEDIAN(-6,Q153+(C153-R153)/MAX(R153-S153,0.000000001),6)</f>
        <v/>
      </c>
      <c r="U153" s="5">
        <f>SUMPRODUCT(('01_Data'!$B153:$AW153&lt;&gt;"")*(1/(1+EXP(-(T153-'03_Lap_b'!$B$30:$AW$30)))))</f>
        <v/>
      </c>
      <c r="V153" s="5">
        <f>SUMPRODUCT(('01_Data'!$B153:$AW153&lt;&gt;"")*(1/(1+EXP(-(T153-'03_Lap_b'!$B$30:$AW$30))))^2)</f>
        <v/>
      </c>
      <c r="W153" s="5">
        <f>MEDIAN(-6,T153+(C153-U153)/MAX(U153-V153,0.000000001),6)</f>
        <v/>
      </c>
      <c r="X153" s="5">
        <f>SUMPRODUCT(('01_Data'!$B153:$AW153&lt;&gt;"")*(1/(1+EXP(-(W153-'03_Lap_b'!$B$35:$AW$35)))))</f>
        <v/>
      </c>
      <c r="Y153" s="5">
        <f>SUMPRODUCT(('01_Data'!$B153:$AW153&lt;&gt;"")*(1/(1+EXP(-(W153-'03_Lap_b'!$B$35:$AW$35))))^2)</f>
        <v/>
      </c>
      <c r="Z153" s="5">
        <f>MEDIAN(-6,W153+(C153-X153)/MAX(X153-Y153,0.000000001),6)</f>
        <v/>
      </c>
      <c r="AA153" s="5">
        <f>SUMPRODUCT(('01_Data'!$B153:$AW153&lt;&gt;"")*(1/(1+EXP(-(Z153-'03_Lap_b'!$B$40:$AW$40)))))</f>
        <v/>
      </c>
      <c r="AB153" s="5">
        <f>SUMPRODUCT(('01_Data'!$B153:$AW153&lt;&gt;"")*(1/(1+EXP(-(Z153-'03_Lap_b'!$B$40:$AW$40))))^2)</f>
        <v/>
      </c>
      <c r="AC153" s="5">
        <f>MEDIAN(-6,Z153+(C153-AA153)/MAX(AA153-AB153,0.000000001),6)</f>
        <v/>
      </c>
    </row>
    <row r="154">
      <c r="A154" t="n">
        <v>153</v>
      </c>
      <c r="B154">
        <f>'01_Data'!A154</f>
        <v/>
      </c>
      <c r="C154">
        <f>SUM('01_Data'!$B154:$AW154)</f>
        <v/>
      </c>
      <c r="D154">
        <f>COUNT('01_Data'!$B154:$AW154)</f>
        <v/>
      </c>
      <c r="E154" s="5">
        <f>MEDIAN(-6,LN((C154+0.3)/(D154-C154+0.3)),6)</f>
        <v/>
      </c>
      <c r="F154" s="5">
        <f>SUMPRODUCT(('01_Data'!$B154:$AW154&lt;&gt;"")*(1/(1+EXP(-(E154-'03_Lap_b'!$B$5:$AW$5)))))</f>
        <v/>
      </c>
      <c r="G154" s="5">
        <f>SUMPRODUCT(('01_Data'!$B154:$AW154&lt;&gt;"")*(1/(1+EXP(-(E154-'03_Lap_b'!$B$5:$AW$5))))^2)</f>
        <v/>
      </c>
      <c r="H154" s="5">
        <f>MEDIAN(-6,E154+(C154-F154)/MAX(F154-G154,0.000000001),6)</f>
        <v/>
      </c>
      <c r="I154" s="5">
        <f>SUMPRODUCT(('01_Data'!$B154:$AW154&lt;&gt;"")*(1/(1+EXP(-(H154-'03_Lap_b'!$B$10:$AW$10)))))</f>
        <v/>
      </c>
      <c r="J154" s="5">
        <f>SUMPRODUCT(('01_Data'!$B154:$AW154&lt;&gt;"")*(1/(1+EXP(-(H154-'03_Lap_b'!$B$10:$AW$10))))^2)</f>
        <v/>
      </c>
      <c r="K154" s="5">
        <f>MEDIAN(-6,H154+(C154-I154)/MAX(I154-J154,0.000000001),6)</f>
        <v/>
      </c>
      <c r="L154" s="5">
        <f>SUMPRODUCT(('01_Data'!$B154:$AW154&lt;&gt;"")*(1/(1+EXP(-(K154-'03_Lap_b'!$B$15:$AW$15)))))</f>
        <v/>
      </c>
      <c r="M154" s="5">
        <f>SUMPRODUCT(('01_Data'!$B154:$AW154&lt;&gt;"")*(1/(1+EXP(-(K154-'03_Lap_b'!$B$15:$AW$15))))^2)</f>
        <v/>
      </c>
      <c r="N154" s="5">
        <f>MEDIAN(-6,K154+(C154-L154)/MAX(L154-M154,0.000000001),6)</f>
        <v/>
      </c>
      <c r="O154" s="5">
        <f>SUMPRODUCT(('01_Data'!$B154:$AW154&lt;&gt;"")*(1/(1+EXP(-(N154-'03_Lap_b'!$B$20:$AW$20)))))</f>
        <v/>
      </c>
      <c r="P154" s="5">
        <f>SUMPRODUCT(('01_Data'!$B154:$AW154&lt;&gt;"")*(1/(1+EXP(-(N154-'03_Lap_b'!$B$20:$AW$20))))^2)</f>
        <v/>
      </c>
      <c r="Q154" s="5">
        <f>MEDIAN(-6,N154+(C154-O154)/MAX(O154-P154,0.000000001),6)</f>
        <v/>
      </c>
      <c r="R154" s="5">
        <f>SUMPRODUCT(('01_Data'!$B154:$AW154&lt;&gt;"")*(1/(1+EXP(-(Q154-'03_Lap_b'!$B$25:$AW$25)))))</f>
        <v/>
      </c>
      <c r="S154" s="5">
        <f>SUMPRODUCT(('01_Data'!$B154:$AW154&lt;&gt;"")*(1/(1+EXP(-(Q154-'03_Lap_b'!$B$25:$AW$25))))^2)</f>
        <v/>
      </c>
      <c r="T154" s="5">
        <f>MEDIAN(-6,Q154+(C154-R154)/MAX(R154-S154,0.000000001),6)</f>
        <v/>
      </c>
      <c r="U154" s="5">
        <f>SUMPRODUCT(('01_Data'!$B154:$AW154&lt;&gt;"")*(1/(1+EXP(-(T154-'03_Lap_b'!$B$30:$AW$30)))))</f>
        <v/>
      </c>
      <c r="V154" s="5">
        <f>SUMPRODUCT(('01_Data'!$B154:$AW154&lt;&gt;"")*(1/(1+EXP(-(T154-'03_Lap_b'!$B$30:$AW$30))))^2)</f>
        <v/>
      </c>
      <c r="W154" s="5">
        <f>MEDIAN(-6,T154+(C154-U154)/MAX(U154-V154,0.000000001),6)</f>
        <v/>
      </c>
      <c r="X154" s="5">
        <f>SUMPRODUCT(('01_Data'!$B154:$AW154&lt;&gt;"")*(1/(1+EXP(-(W154-'03_Lap_b'!$B$35:$AW$35)))))</f>
        <v/>
      </c>
      <c r="Y154" s="5">
        <f>SUMPRODUCT(('01_Data'!$B154:$AW154&lt;&gt;"")*(1/(1+EXP(-(W154-'03_Lap_b'!$B$35:$AW$35))))^2)</f>
        <v/>
      </c>
      <c r="Z154" s="5">
        <f>MEDIAN(-6,W154+(C154-X154)/MAX(X154-Y154,0.000000001),6)</f>
        <v/>
      </c>
      <c r="AA154" s="5">
        <f>SUMPRODUCT(('01_Data'!$B154:$AW154&lt;&gt;"")*(1/(1+EXP(-(Z154-'03_Lap_b'!$B$40:$AW$40)))))</f>
        <v/>
      </c>
      <c r="AB154" s="5">
        <f>SUMPRODUCT(('01_Data'!$B154:$AW154&lt;&gt;"")*(1/(1+EXP(-(Z154-'03_Lap_b'!$B$40:$AW$40))))^2)</f>
        <v/>
      </c>
      <c r="AC154" s="5">
        <f>MEDIAN(-6,Z154+(C154-AA154)/MAX(AA154-AB154,0.000000001),6)</f>
        <v/>
      </c>
    </row>
    <row r="155">
      <c r="A155" t="n">
        <v>154</v>
      </c>
      <c r="B155">
        <f>'01_Data'!A155</f>
        <v/>
      </c>
      <c r="C155">
        <f>SUM('01_Data'!$B155:$AW155)</f>
        <v/>
      </c>
      <c r="D155">
        <f>COUNT('01_Data'!$B155:$AW155)</f>
        <v/>
      </c>
      <c r="E155" s="5">
        <f>MEDIAN(-6,LN((C155+0.3)/(D155-C155+0.3)),6)</f>
        <v/>
      </c>
      <c r="F155" s="5">
        <f>SUMPRODUCT(('01_Data'!$B155:$AW155&lt;&gt;"")*(1/(1+EXP(-(E155-'03_Lap_b'!$B$5:$AW$5)))))</f>
        <v/>
      </c>
      <c r="G155" s="5">
        <f>SUMPRODUCT(('01_Data'!$B155:$AW155&lt;&gt;"")*(1/(1+EXP(-(E155-'03_Lap_b'!$B$5:$AW$5))))^2)</f>
        <v/>
      </c>
      <c r="H155" s="5">
        <f>MEDIAN(-6,E155+(C155-F155)/MAX(F155-G155,0.000000001),6)</f>
        <v/>
      </c>
      <c r="I155" s="5">
        <f>SUMPRODUCT(('01_Data'!$B155:$AW155&lt;&gt;"")*(1/(1+EXP(-(H155-'03_Lap_b'!$B$10:$AW$10)))))</f>
        <v/>
      </c>
      <c r="J155" s="5">
        <f>SUMPRODUCT(('01_Data'!$B155:$AW155&lt;&gt;"")*(1/(1+EXP(-(H155-'03_Lap_b'!$B$10:$AW$10))))^2)</f>
        <v/>
      </c>
      <c r="K155" s="5">
        <f>MEDIAN(-6,H155+(C155-I155)/MAX(I155-J155,0.000000001),6)</f>
        <v/>
      </c>
      <c r="L155" s="5">
        <f>SUMPRODUCT(('01_Data'!$B155:$AW155&lt;&gt;"")*(1/(1+EXP(-(K155-'03_Lap_b'!$B$15:$AW$15)))))</f>
        <v/>
      </c>
      <c r="M155" s="5">
        <f>SUMPRODUCT(('01_Data'!$B155:$AW155&lt;&gt;"")*(1/(1+EXP(-(K155-'03_Lap_b'!$B$15:$AW$15))))^2)</f>
        <v/>
      </c>
      <c r="N155" s="5">
        <f>MEDIAN(-6,K155+(C155-L155)/MAX(L155-M155,0.000000001),6)</f>
        <v/>
      </c>
      <c r="O155" s="5">
        <f>SUMPRODUCT(('01_Data'!$B155:$AW155&lt;&gt;"")*(1/(1+EXP(-(N155-'03_Lap_b'!$B$20:$AW$20)))))</f>
        <v/>
      </c>
      <c r="P155" s="5">
        <f>SUMPRODUCT(('01_Data'!$B155:$AW155&lt;&gt;"")*(1/(1+EXP(-(N155-'03_Lap_b'!$B$20:$AW$20))))^2)</f>
        <v/>
      </c>
      <c r="Q155" s="5">
        <f>MEDIAN(-6,N155+(C155-O155)/MAX(O155-P155,0.000000001),6)</f>
        <v/>
      </c>
      <c r="R155" s="5">
        <f>SUMPRODUCT(('01_Data'!$B155:$AW155&lt;&gt;"")*(1/(1+EXP(-(Q155-'03_Lap_b'!$B$25:$AW$25)))))</f>
        <v/>
      </c>
      <c r="S155" s="5">
        <f>SUMPRODUCT(('01_Data'!$B155:$AW155&lt;&gt;"")*(1/(1+EXP(-(Q155-'03_Lap_b'!$B$25:$AW$25))))^2)</f>
        <v/>
      </c>
      <c r="T155" s="5">
        <f>MEDIAN(-6,Q155+(C155-R155)/MAX(R155-S155,0.000000001),6)</f>
        <v/>
      </c>
      <c r="U155" s="5">
        <f>SUMPRODUCT(('01_Data'!$B155:$AW155&lt;&gt;"")*(1/(1+EXP(-(T155-'03_Lap_b'!$B$30:$AW$30)))))</f>
        <v/>
      </c>
      <c r="V155" s="5">
        <f>SUMPRODUCT(('01_Data'!$B155:$AW155&lt;&gt;"")*(1/(1+EXP(-(T155-'03_Lap_b'!$B$30:$AW$30))))^2)</f>
        <v/>
      </c>
      <c r="W155" s="5">
        <f>MEDIAN(-6,T155+(C155-U155)/MAX(U155-V155,0.000000001),6)</f>
        <v/>
      </c>
      <c r="X155" s="5">
        <f>SUMPRODUCT(('01_Data'!$B155:$AW155&lt;&gt;"")*(1/(1+EXP(-(W155-'03_Lap_b'!$B$35:$AW$35)))))</f>
        <v/>
      </c>
      <c r="Y155" s="5">
        <f>SUMPRODUCT(('01_Data'!$B155:$AW155&lt;&gt;"")*(1/(1+EXP(-(W155-'03_Lap_b'!$B$35:$AW$35))))^2)</f>
        <v/>
      </c>
      <c r="Z155" s="5">
        <f>MEDIAN(-6,W155+(C155-X155)/MAX(X155-Y155,0.000000001),6)</f>
        <v/>
      </c>
      <c r="AA155" s="5">
        <f>SUMPRODUCT(('01_Data'!$B155:$AW155&lt;&gt;"")*(1/(1+EXP(-(Z155-'03_Lap_b'!$B$40:$AW$40)))))</f>
        <v/>
      </c>
      <c r="AB155" s="5">
        <f>SUMPRODUCT(('01_Data'!$B155:$AW155&lt;&gt;"")*(1/(1+EXP(-(Z155-'03_Lap_b'!$B$40:$AW$40))))^2)</f>
        <v/>
      </c>
      <c r="AC155" s="5">
        <f>MEDIAN(-6,Z155+(C155-AA155)/MAX(AA155-AB155,0.000000001),6)</f>
        <v/>
      </c>
    </row>
    <row r="156">
      <c r="A156" t="n">
        <v>155</v>
      </c>
      <c r="B156">
        <f>'01_Data'!A156</f>
        <v/>
      </c>
      <c r="C156">
        <f>SUM('01_Data'!$B156:$AW156)</f>
        <v/>
      </c>
      <c r="D156">
        <f>COUNT('01_Data'!$B156:$AW156)</f>
        <v/>
      </c>
      <c r="E156" s="5">
        <f>MEDIAN(-6,LN((C156+0.3)/(D156-C156+0.3)),6)</f>
        <v/>
      </c>
      <c r="F156" s="5">
        <f>SUMPRODUCT(('01_Data'!$B156:$AW156&lt;&gt;"")*(1/(1+EXP(-(E156-'03_Lap_b'!$B$5:$AW$5)))))</f>
        <v/>
      </c>
      <c r="G156" s="5">
        <f>SUMPRODUCT(('01_Data'!$B156:$AW156&lt;&gt;"")*(1/(1+EXP(-(E156-'03_Lap_b'!$B$5:$AW$5))))^2)</f>
        <v/>
      </c>
      <c r="H156" s="5">
        <f>MEDIAN(-6,E156+(C156-F156)/MAX(F156-G156,0.000000001),6)</f>
        <v/>
      </c>
      <c r="I156" s="5">
        <f>SUMPRODUCT(('01_Data'!$B156:$AW156&lt;&gt;"")*(1/(1+EXP(-(H156-'03_Lap_b'!$B$10:$AW$10)))))</f>
        <v/>
      </c>
      <c r="J156" s="5">
        <f>SUMPRODUCT(('01_Data'!$B156:$AW156&lt;&gt;"")*(1/(1+EXP(-(H156-'03_Lap_b'!$B$10:$AW$10))))^2)</f>
        <v/>
      </c>
      <c r="K156" s="5">
        <f>MEDIAN(-6,H156+(C156-I156)/MAX(I156-J156,0.000000001),6)</f>
        <v/>
      </c>
      <c r="L156" s="5">
        <f>SUMPRODUCT(('01_Data'!$B156:$AW156&lt;&gt;"")*(1/(1+EXP(-(K156-'03_Lap_b'!$B$15:$AW$15)))))</f>
        <v/>
      </c>
      <c r="M156" s="5">
        <f>SUMPRODUCT(('01_Data'!$B156:$AW156&lt;&gt;"")*(1/(1+EXP(-(K156-'03_Lap_b'!$B$15:$AW$15))))^2)</f>
        <v/>
      </c>
      <c r="N156" s="5">
        <f>MEDIAN(-6,K156+(C156-L156)/MAX(L156-M156,0.000000001),6)</f>
        <v/>
      </c>
      <c r="O156" s="5">
        <f>SUMPRODUCT(('01_Data'!$B156:$AW156&lt;&gt;"")*(1/(1+EXP(-(N156-'03_Lap_b'!$B$20:$AW$20)))))</f>
        <v/>
      </c>
      <c r="P156" s="5">
        <f>SUMPRODUCT(('01_Data'!$B156:$AW156&lt;&gt;"")*(1/(1+EXP(-(N156-'03_Lap_b'!$B$20:$AW$20))))^2)</f>
        <v/>
      </c>
      <c r="Q156" s="5">
        <f>MEDIAN(-6,N156+(C156-O156)/MAX(O156-P156,0.000000001),6)</f>
        <v/>
      </c>
      <c r="R156" s="5">
        <f>SUMPRODUCT(('01_Data'!$B156:$AW156&lt;&gt;"")*(1/(1+EXP(-(Q156-'03_Lap_b'!$B$25:$AW$25)))))</f>
        <v/>
      </c>
      <c r="S156" s="5">
        <f>SUMPRODUCT(('01_Data'!$B156:$AW156&lt;&gt;"")*(1/(1+EXP(-(Q156-'03_Lap_b'!$B$25:$AW$25))))^2)</f>
        <v/>
      </c>
      <c r="T156" s="5">
        <f>MEDIAN(-6,Q156+(C156-R156)/MAX(R156-S156,0.000000001),6)</f>
        <v/>
      </c>
      <c r="U156" s="5">
        <f>SUMPRODUCT(('01_Data'!$B156:$AW156&lt;&gt;"")*(1/(1+EXP(-(T156-'03_Lap_b'!$B$30:$AW$30)))))</f>
        <v/>
      </c>
      <c r="V156" s="5">
        <f>SUMPRODUCT(('01_Data'!$B156:$AW156&lt;&gt;"")*(1/(1+EXP(-(T156-'03_Lap_b'!$B$30:$AW$30))))^2)</f>
        <v/>
      </c>
      <c r="W156" s="5">
        <f>MEDIAN(-6,T156+(C156-U156)/MAX(U156-V156,0.000000001),6)</f>
        <v/>
      </c>
      <c r="X156" s="5">
        <f>SUMPRODUCT(('01_Data'!$B156:$AW156&lt;&gt;"")*(1/(1+EXP(-(W156-'03_Lap_b'!$B$35:$AW$35)))))</f>
        <v/>
      </c>
      <c r="Y156" s="5">
        <f>SUMPRODUCT(('01_Data'!$B156:$AW156&lt;&gt;"")*(1/(1+EXP(-(W156-'03_Lap_b'!$B$35:$AW$35))))^2)</f>
        <v/>
      </c>
      <c r="Z156" s="5">
        <f>MEDIAN(-6,W156+(C156-X156)/MAX(X156-Y156,0.000000001),6)</f>
        <v/>
      </c>
      <c r="AA156" s="5">
        <f>SUMPRODUCT(('01_Data'!$B156:$AW156&lt;&gt;"")*(1/(1+EXP(-(Z156-'03_Lap_b'!$B$40:$AW$40)))))</f>
        <v/>
      </c>
      <c r="AB156" s="5">
        <f>SUMPRODUCT(('01_Data'!$B156:$AW156&lt;&gt;"")*(1/(1+EXP(-(Z156-'03_Lap_b'!$B$40:$AW$40))))^2)</f>
        <v/>
      </c>
      <c r="AC156" s="5">
        <f>MEDIAN(-6,Z156+(C156-AA156)/MAX(AA156-AB156,0.000000001),6)</f>
        <v/>
      </c>
    </row>
    <row r="157">
      <c r="A157" t="n">
        <v>156</v>
      </c>
      <c r="B157">
        <f>'01_Data'!A157</f>
        <v/>
      </c>
      <c r="C157">
        <f>SUM('01_Data'!$B157:$AW157)</f>
        <v/>
      </c>
      <c r="D157">
        <f>COUNT('01_Data'!$B157:$AW157)</f>
        <v/>
      </c>
      <c r="E157" s="5">
        <f>MEDIAN(-6,LN((C157+0.3)/(D157-C157+0.3)),6)</f>
        <v/>
      </c>
      <c r="F157" s="5">
        <f>SUMPRODUCT(('01_Data'!$B157:$AW157&lt;&gt;"")*(1/(1+EXP(-(E157-'03_Lap_b'!$B$5:$AW$5)))))</f>
        <v/>
      </c>
      <c r="G157" s="5">
        <f>SUMPRODUCT(('01_Data'!$B157:$AW157&lt;&gt;"")*(1/(1+EXP(-(E157-'03_Lap_b'!$B$5:$AW$5))))^2)</f>
        <v/>
      </c>
      <c r="H157" s="5">
        <f>MEDIAN(-6,E157+(C157-F157)/MAX(F157-G157,0.000000001),6)</f>
        <v/>
      </c>
      <c r="I157" s="5">
        <f>SUMPRODUCT(('01_Data'!$B157:$AW157&lt;&gt;"")*(1/(1+EXP(-(H157-'03_Lap_b'!$B$10:$AW$10)))))</f>
        <v/>
      </c>
      <c r="J157" s="5">
        <f>SUMPRODUCT(('01_Data'!$B157:$AW157&lt;&gt;"")*(1/(1+EXP(-(H157-'03_Lap_b'!$B$10:$AW$10))))^2)</f>
        <v/>
      </c>
      <c r="K157" s="5">
        <f>MEDIAN(-6,H157+(C157-I157)/MAX(I157-J157,0.000000001),6)</f>
        <v/>
      </c>
      <c r="L157" s="5">
        <f>SUMPRODUCT(('01_Data'!$B157:$AW157&lt;&gt;"")*(1/(1+EXP(-(K157-'03_Lap_b'!$B$15:$AW$15)))))</f>
        <v/>
      </c>
      <c r="M157" s="5">
        <f>SUMPRODUCT(('01_Data'!$B157:$AW157&lt;&gt;"")*(1/(1+EXP(-(K157-'03_Lap_b'!$B$15:$AW$15))))^2)</f>
        <v/>
      </c>
      <c r="N157" s="5">
        <f>MEDIAN(-6,K157+(C157-L157)/MAX(L157-M157,0.000000001),6)</f>
        <v/>
      </c>
      <c r="O157" s="5">
        <f>SUMPRODUCT(('01_Data'!$B157:$AW157&lt;&gt;"")*(1/(1+EXP(-(N157-'03_Lap_b'!$B$20:$AW$20)))))</f>
        <v/>
      </c>
      <c r="P157" s="5">
        <f>SUMPRODUCT(('01_Data'!$B157:$AW157&lt;&gt;"")*(1/(1+EXP(-(N157-'03_Lap_b'!$B$20:$AW$20))))^2)</f>
        <v/>
      </c>
      <c r="Q157" s="5">
        <f>MEDIAN(-6,N157+(C157-O157)/MAX(O157-P157,0.000000001),6)</f>
        <v/>
      </c>
      <c r="R157" s="5">
        <f>SUMPRODUCT(('01_Data'!$B157:$AW157&lt;&gt;"")*(1/(1+EXP(-(Q157-'03_Lap_b'!$B$25:$AW$25)))))</f>
        <v/>
      </c>
      <c r="S157" s="5">
        <f>SUMPRODUCT(('01_Data'!$B157:$AW157&lt;&gt;"")*(1/(1+EXP(-(Q157-'03_Lap_b'!$B$25:$AW$25))))^2)</f>
        <v/>
      </c>
      <c r="T157" s="5">
        <f>MEDIAN(-6,Q157+(C157-R157)/MAX(R157-S157,0.000000001),6)</f>
        <v/>
      </c>
      <c r="U157" s="5">
        <f>SUMPRODUCT(('01_Data'!$B157:$AW157&lt;&gt;"")*(1/(1+EXP(-(T157-'03_Lap_b'!$B$30:$AW$30)))))</f>
        <v/>
      </c>
      <c r="V157" s="5">
        <f>SUMPRODUCT(('01_Data'!$B157:$AW157&lt;&gt;"")*(1/(1+EXP(-(T157-'03_Lap_b'!$B$30:$AW$30))))^2)</f>
        <v/>
      </c>
      <c r="W157" s="5">
        <f>MEDIAN(-6,T157+(C157-U157)/MAX(U157-V157,0.000000001),6)</f>
        <v/>
      </c>
      <c r="X157" s="5">
        <f>SUMPRODUCT(('01_Data'!$B157:$AW157&lt;&gt;"")*(1/(1+EXP(-(W157-'03_Lap_b'!$B$35:$AW$35)))))</f>
        <v/>
      </c>
      <c r="Y157" s="5">
        <f>SUMPRODUCT(('01_Data'!$B157:$AW157&lt;&gt;"")*(1/(1+EXP(-(W157-'03_Lap_b'!$B$35:$AW$35))))^2)</f>
        <v/>
      </c>
      <c r="Z157" s="5">
        <f>MEDIAN(-6,W157+(C157-X157)/MAX(X157-Y157,0.000000001),6)</f>
        <v/>
      </c>
      <c r="AA157" s="5">
        <f>SUMPRODUCT(('01_Data'!$B157:$AW157&lt;&gt;"")*(1/(1+EXP(-(Z157-'03_Lap_b'!$B$40:$AW$40)))))</f>
        <v/>
      </c>
      <c r="AB157" s="5">
        <f>SUMPRODUCT(('01_Data'!$B157:$AW157&lt;&gt;"")*(1/(1+EXP(-(Z157-'03_Lap_b'!$B$40:$AW$40))))^2)</f>
        <v/>
      </c>
      <c r="AC157" s="5">
        <f>MEDIAN(-6,Z157+(C157-AA157)/MAX(AA157-AB157,0.000000001),6)</f>
        <v/>
      </c>
    </row>
    <row r="158">
      <c r="A158" t="n">
        <v>157</v>
      </c>
      <c r="B158">
        <f>'01_Data'!A158</f>
        <v/>
      </c>
      <c r="C158">
        <f>SUM('01_Data'!$B158:$AW158)</f>
        <v/>
      </c>
      <c r="D158">
        <f>COUNT('01_Data'!$B158:$AW158)</f>
        <v/>
      </c>
      <c r="E158" s="5">
        <f>MEDIAN(-6,LN((C158+0.3)/(D158-C158+0.3)),6)</f>
        <v/>
      </c>
      <c r="F158" s="5">
        <f>SUMPRODUCT(('01_Data'!$B158:$AW158&lt;&gt;"")*(1/(1+EXP(-(E158-'03_Lap_b'!$B$5:$AW$5)))))</f>
        <v/>
      </c>
      <c r="G158" s="5">
        <f>SUMPRODUCT(('01_Data'!$B158:$AW158&lt;&gt;"")*(1/(1+EXP(-(E158-'03_Lap_b'!$B$5:$AW$5))))^2)</f>
        <v/>
      </c>
      <c r="H158" s="5">
        <f>MEDIAN(-6,E158+(C158-F158)/MAX(F158-G158,0.000000001),6)</f>
        <v/>
      </c>
      <c r="I158" s="5">
        <f>SUMPRODUCT(('01_Data'!$B158:$AW158&lt;&gt;"")*(1/(1+EXP(-(H158-'03_Lap_b'!$B$10:$AW$10)))))</f>
        <v/>
      </c>
      <c r="J158" s="5">
        <f>SUMPRODUCT(('01_Data'!$B158:$AW158&lt;&gt;"")*(1/(1+EXP(-(H158-'03_Lap_b'!$B$10:$AW$10))))^2)</f>
        <v/>
      </c>
      <c r="K158" s="5">
        <f>MEDIAN(-6,H158+(C158-I158)/MAX(I158-J158,0.000000001),6)</f>
        <v/>
      </c>
      <c r="L158" s="5">
        <f>SUMPRODUCT(('01_Data'!$B158:$AW158&lt;&gt;"")*(1/(1+EXP(-(K158-'03_Lap_b'!$B$15:$AW$15)))))</f>
        <v/>
      </c>
      <c r="M158" s="5">
        <f>SUMPRODUCT(('01_Data'!$B158:$AW158&lt;&gt;"")*(1/(1+EXP(-(K158-'03_Lap_b'!$B$15:$AW$15))))^2)</f>
        <v/>
      </c>
      <c r="N158" s="5">
        <f>MEDIAN(-6,K158+(C158-L158)/MAX(L158-M158,0.000000001),6)</f>
        <v/>
      </c>
      <c r="O158" s="5">
        <f>SUMPRODUCT(('01_Data'!$B158:$AW158&lt;&gt;"")*(1/(1+EXP(-(N158-'03_Lap_b'!$B$20:$AW$20)))))</f>
        <v/>
      </c>
      <c r="P158" s="5">
        <f>SUMPRODUCT(('01_Data'!$B158:$AW158&lt;&gt;"")*(1/(1+EXP(-(N158-'03_Lap_b'!$B$20:$AW$20))))^2)</f>
        <v/>
      </c>
      <c r="Q158" s="5">
        <f>MEDIAN(-6,N158+(C158-O158)/MAX(O158-P158,0.000000001),6)</f>
        <v/>
      </c>
      <c r="R158" s="5">
        <f>SUMPRODUCT(('01_Data'!$B158:$AW158&lt;&gt;"")*(1/(1+EXP(-(Q158-'03_Lap_b'!$B$25:$AW$25)))))</f>
        <v/>
      </c>
      <c r="S158" s="5">
        <f>SUMPRODUCT(('01_Data'!$B158:$AW158&lt;&gt;"")*(1/(1+EXP(-(Q158-'03_Lap_b'!$B$25:$AW$25))))^2)</f>
        <v/>
      </c>
      <c r="T158" s="5">
        <f>MEDIAN(-6,Q158+(C158-R158)/MAX(R158-S158,0.000000001),6)</f>
        <v/>
      </c>
      <c r="U158" s="5">
        <f>SUMPRODUCT(('01_Data'!$B158:$AW158&lt;&gt;"")*(1/(1+EXP(-(T158-'03_Lap_b'!$B$30:$AW$30)))))</f>
        <v/>
      </c>
      <c r="V158" s="5">
        <f>SUMPRODUCT(('01_Data'!$B158:$AW158&lt;&gt;"")*(1/(1+EXP(-(T158-'03_Lap_b'!$B$30:$AW$30))))^2)</f>
        <v/>
      </c>
      <c r="W158" s="5">
        <f>MEDIAN(-6,T158+(C158-U158)/MAX(U158-V158,0.000000001),6)</f>
        <v/>
      </c>
      <c r="X158" s="5">
        <f>SUMPRODUCT(('01_Data'!$B158:$AW158&lt;&gt;"")*(1/(1+EXP(-(W158-'03_Lap_b'!$B$35:$AW$35)))))</f>
        <v/>
      </c>
      <c r="Y158" s="5">
        <f>SUMPRODUCT(('01_Data'!$B158:$AW158&lt;&gt;"")*(1/(1+EXP(-(W158-'03_Lap_b'!$B$35:$AW$35))))^2)</f>
        <v/>
      </c>
      <c r="Z158" s="5">
        <f>MEDIAN(-6,W158+(C158-X158)/MAX(X158-Y158,0.000000001),6)</f>
        <v/>
      </c>
      <c r="AA158" s="5">
        <f>SUMPRODUCT(('01_Data'!$B158:$AW158&lt;&gt;"")*(1/(1+EXP(-(Z158-'03_Lap_b'!$B$40:$AW$40)))))</f>
        <v/>
      </c>
      <c r="AB158" s="5">
        <f>SUMPRODUCT(('01_Data'!$B158:$AW158&lt;&gt;"")*(1/(1+EXP(-(Z158-'03_Lap_b'!$B$40:$AW$40))))^2)</f>
        <v/>
      </c>
      <c r="AC158" s="5">
        <f>MEDIAN(-6,Z158+(C158-AA158)/MAX(AA158-AB158,0.000000001),6)</f>
        <v/>
      </c>
    </row>
    <row r="159">
      <c r="A159" t="n">
        <v>158</v>
      </c>
      <c r="B159">
        <f>'01_Data'!A159</f>
        <v/>
      </c>
      <c r="C159">
        <f>SUM('01_Data'!$B159:$AW159)</f>
        <v/>
      </c>
      <c r="D159">
        <f>COUNT('01_Data'!$B159:$AW159)</f>
        <v/>
      </c>
      <c r="E159" s="5">
        <f>MEDIAN(-6,LN((C159+0.3)/(D159-C159+0.3)),6)</f>
        <v/>
      </c>
      <c r="F159" s="5">
        <f>SUMPRODUCT(('01_Data'!$B159:$AW159&lt;&gt;"")*(1/(1+EXP(-(E159-'03_Lap_b'!$B$5:$AW$5)))))</f>
        <v/>
      </c>
      <c r="G159" s="5">
        <f>SUMPRODUCT(('01_Data'!$B159:$AW159&lt;&gt;"")*(1/(1+EXP(-(E159-'03_Lap_b'!$B$5:$AW$5))))^2)</f>
        <v/>
      </c>
      <c r="H159" s="5">
        <f>MEDIAN(-6,E159+(C159-F159)/MAX(F159-G159,0.000000001),6)</f>
        <v/>
      </c>
      <c r="I159" s="5">
        <f>SUMPRODUCT(('01_Data'!$B159:$AW159&lt;&gt;"")*(1/(1+EXP(-(H159-'03_Lap_b'!$B$10:$AW$10)))))</f>
        <v/>
      </c>
      <c r="J159" s="5">
        <f>SUMPRODUCT(('01_Data'!$B159:$AW159&lt;&gt;"")*(1/(1+EXP(-(H159-'03_Lap_b'!$B$10:$AW$10))))^2)</f>
        <v/>
      </c>
      <c r="K159" s="5">
        <f>MEDIAN(-6,H159+(C159-I159)/MAX(I159-J159,0.000000001),6)</f>
        <v/>
      </c>
      <c r="L159" s="5">
        <f>SUMPRODUCT(('01_Data'!$B159:$AW159&lt;&gt;"")*(1/(1+EXP(-(K159-'03_Lap_b'!$B$15:$AW$15)))))</f>
        <v/>
      </c>
      <c r="M159" s="5">
        <f>SUMPRODUCT(('01_Data'!$B159:$AW159&lt;&gt;"")*(1/(1+EXP(-(K159-'03_Lap_b'!$B$15:$AW$15))))^2)</f>
        <v/>
      </c>
      <c r="N159" s="5">
        <f>MEDIAN(-6,K159+(C159-L159)/MAX(L159-M159,0.000000001),6)</f>
        <v/>
      </c>
      <c r="O159" s="5">
        <f>SUMPRODUCT(('01_Data'!$B159:$AW159&lt;&gt;"")*(1/(1+EXP(-(N159-'03_Lap_b'!$B$20:$AW$20)))))</f>
        <v/>
      </c>
      <c r="P159" s="5">
        <f>SUMPRODUCT(('01_Data'!$B159:$AW159&lt;&gt;"")*(1/(1+EXP(-(N159-'03_Lap_b'!$B$20:$AW$20))))^2)</f>
        <v/>
      </c>
      <c r="Q159" s="5">
        <f>MEDIAN(-6,N159+(C159-O159)/MAX(O159-P159,0.000000001),6)</f>
        <v/>
      </c>
      <c r="R159" s="5">
        <f>SUMPRODUCT(('01_Data'!$B159:$AW159&lt;&gt;"")*(1/(1+EXP(-(Q159-'03_Lap_b'!$B$25:$AW$25)))))</f>
        <v/>
      </c>
      <c r="S159" s="5">
        <f>SUMPRODUCT(('01_Data'!$B159:$AW159&lt;&gt;"")*(1/(1+EXP(-(Q159-'03_Lap_b'!$B$25:$AW$25))))^2)</f>
        <v/>
      </c>
      <c r="T159" s="5">
        <f>MEDIAN(-6,Q159+(C159-R159)/MAX(R159-S159,0.000000001),6)</f>
        <v/>
      </c>
      <c r="U159" s="5">
        <f>SUMPRODUCT(('01_Data'!$B159:$AW159&lt;&gt;"")*(1/(1+EXP(-(T159-'03_Lap_b'!$B$30:$AW$30)))))</f>
        <v/>
      </c>
      <c r="V159" s="5">
        <f>SUMPRODUCT(('01_Data'!$B159:$AW159&lt;&gt;"")*(1/(1+EXP(-(T159-'03_Lap_b'!$B$30:$AW$30))))^2)</f>
        <v/>
      </c>
      <c r="W159" s="5">
        <f>MEDIAN(-6,T159+(C159-U159)/MAX(U159-V159,0.000000001),6)</f>
        <v/>
      </c>
      <c r="X159" s="5">
        <f>SUMPRODUCT(('01_Data'!$B159:$AW159&lt;&gt;"")*(1/(1+EXP(-(W159-'03_Lap_b'!$B$35:$AW$35)))))</f>
        <v/>
      </c>
      <c r="Y159" s="5">
        <f>SUMPRODUCT(('01_Data'!$B159:$AW159&lt;&gt;"")*(1/(1+EXP(-(W159-'03_Lap_b'!$B$35:$AW$35))))^2)</f>
        <v/>
      </c>
      <c r="Z159" s="5">
        <f>MEDIAN(-6,W159+(C159-X159)/MAX(X159-Y159,0.000000001),6)</f>
        <v/>
      </c>
      <c r="AA159" s="5">
        <f>SUMPRODUCT(('01_Data'!$B159:$AW159&lt;&gt;"")*(1/(1+EXP(-(Z159-'03_Lap_b'!$B$40:$AW$40)))))</f>
        <v/>
      </c>
      <c r="AB159" s="5">
        <f>SUMPRODUCT(('01_Data'!$B159:$AW159&lt;&gt;"")*(1/(1+EXP(-(Z159-'03_Lap_b'!$B$40:$AW$40))))^2)</f>
        <v/>
      </c>
      <c r="AC159" s="5">
        <f>MEDIAN(-6,Z159+(C159-AA159)/MAX(AA159-AB159,0.000000001),6)</f>
        <v/>
      </c>
    </row>
    <row r="160">
      <c r="A160" t="n">
        <v>159</v>
      </c>
      <c r="B160">
        <f>'01_Data'!A160</f>
        <v/>
      </c>
      <c r="C160">
        <f>SUM('01_Data'!$B160:$AW160)</f>
        <v/>
      </c>
      <c r="D160">
        <f>COUNT('01_Data'!$B160:$AW160)</f>
        <v/>
      </c>
      <c r="E160" s="5">
        <f>MEDIAN(-6,LN((C160+0.3)/(D160-C160+0.3)),6)</f>
        <v/>
      </c>
      <c r="F160" s="5">
        <f>SUMPRODUCT(('01_Data'!$B160:$AW160&lt;&gt;"")*(1/(1+EXP(-(E160-'03_Lap_b'!$B$5:$AW$5)))))</f>
        <v/>
      </c>
      <c r="G160" s="5">
        <f>SUMPRODUCT(('01_Data'!$B160:$AW160&lt;&gt;"")*(1/(1+EXP(-(E160-'03_Lap_b'!$B$5:$AW$5))))^2)</f>
        <v/>
      </c>
      <c r="H160" s="5">
        <f>MEDIAN(-6,E160+(C160-F160)/MAX(F160-G160,0.000000001),6)</f>
        <v/>
      </c>
      <c r="I160" s="5">
        <f>SUMPRODUCT(('01_Data'!$B160:$AW160&lt;&gt;"")*(1/(1+EXP(-(H160-'03_Lap_b'!$B$10:$AW$10)))))</f>
        <v/>
      </c>
      <c r="J160" s="5">
        <f>SUMPRODUCT(('01_Data'!$B160:$AW160&lt;&gt;"")*(1/(1+EXP(-(H160-'03_Lap_b'!$B$10:$AW$10))))^2)</f>
        <v/>
      </c>
      <c r="K160" s="5">
        <f>MEDIAN(-6,H160+(C160-I160)/MAX(I160-J160,0.000000001),6)</f>
        <v/>
      </c>
      <c r="L160" s="5">
        <f>SUMPRODUCT(('01_Data'!$B160:$AW160&lt;&gt;"")*(1/(1+EXP(-(K160-'03_Lap_b'!$B$15:$AW$15)))))</f>
        <v/>
      </c>
      <c r="M160" s="5">
        <f>SUMPRODUCT(('01_Data'!$B160:$AW160&lt;&gt;"")*(1/(1+EXP(-(K160-'03_Lap_b'!$B$15:$AW$15))))^2)</f>
        <v/>
      </c>
      <c r="N160" s="5">
        <f>MEDIAN(-6,K160+(C160-L160)/MAX(L160-M160,0.000000001),6)</f>
        <v/>
      </c>
      <c r="O160" s="5">
        <f>SUMPRODUCT(('01_Data'!$B160:$AW160&lt;&gt;"")*(1/(1+EXP(-(N160-'03_Lap_b'!$B$20:$AW$20)))))</f>
        <v/>
      </c>
      <c r="P160" s="5">
        <f>SUMPRODUCT(('01_Data'!$B160:$AW160&lt;&gt;"")*(1/(1+EXP(-(N160-'03_Lap_b'!$B$20:$AW$20))))^2)</f>
        <v/>
      </c>
      <c r="Q160" s="5">
        <f>MEDIAN(-6,N160+(C160-O160)/MAX(O160-P160,0.000000001),6)</f>
        <v/>
      </c>
      <c r="R160" s="5">
        <f>SUMPRODUCT(('01_Data'!$B160:$AW160&lt;&gt;"")*(1/(1+EXP(-(Q160-'03_Lap_b'!$B$25:$AW$25)))))</f>
        <v/>
      </c>
      <c r="S160" s="5">
        <f>SUMPRODUCT(('01_Data'!$B160:$AW160&lt;&gt;"")*(1/(1+EXP(-(Q160-'03_Lap_b'!$B$25:$AW$25))))^2)</f>
        <v/>
      </c>
      <c r="T160" s="5">
        <f>MEDIAN(-6,Q160+(C160-R160)/MAX(R160-S160,0.000000001),6)</f>
        <v/>
      </c>
      <c r="U160" s="5">
        <f>SUMPRODUCT(('01_Data'!$B160:$AW160&lt;&gt;"")*(1/(1+EXP(-(T160-'03_Lap_b'!$B$30:$AW$30)))))</f>
        <v/>
      </c>
      <c r="V160" s="5">
        <f>SUMPRODUCT(('01_Data'!$B160:$AW160&lt;&gt;"")*(1/(1+EXP(-(T160-'03_Lap_b'!$B$30:$AW$30))))^2)</f>
        <v/>
      </c>
      <c r="W160" s="5">
        <f>MEDIAN(-6,T160+(C160-U160)/MAX(U160-V160,0.000000001),6)</f>
        <v/>
      </c>
      <c r="X160" s="5">
        <f>SUMPRODUCT(('01_Data'!$B160:$AW160&lt;&gt;"")*(1/(1+EXP(-(W160-'03_Lap_b'!$B$35:$AW$35)))))</f>
        <v/>
      </c>
      <c r="Y160" s="5">
        <f>SUMPRODUCT(('01_Data'!$B160:$AW160&lt;&gt;"")*(1/(1+EXP(-(W160-'03_Lap_b'!$B$35:$AW$35))))^2)</f>
        <v/>
      </c>
      <c r="Z160" s="5">
        <f>MEDIAN(-6,W160+(C160-X160)/MAX(X160-Y160,0.000000001),6)</f>
        <v/>
      </c>
      <c r="AA160" s="5">
        <f>SUMPRODUCT(('01_Data'!$B160:$AW160&lt;&gt;"")*(1/(1+EXP(-(Z160-'03_Lap_b'!$B$40:$AW$40)))))</f>
        <v/>
      </c>
      <c r="AB160" s="5">
        <f>SUMPRODUCT(('01_Data'!$B160:$AW160&lt;&gt;"")*(1/(1+EXP(-(Z160-'03_Lap_b'!$B$40:$AW$40))))^2)</f>
        <v/>
      </c>
      <c r="AC160" s="5">
        <f>MEDIAN(-6,Z160+(C160-AA160)/MAX(AA160-AB160,0.000000001),6)</f>
        <v/>
      </c>
    </row>
    <row r="161">
      <c r="A161" t="n">
        <v>160</v>
      </c>
      <c r="B161">
        <f>'01_Data'!A161</f>
        <v/>
      </c>
      <c r="C161">
        <f>SUM('01_Data'!$B161:$AW161)</f>
        <v/>
      </c>
      <c r="D161">
        <f>COUNT('01_Data'!$B161:$AW161)</f>
        <v/>
      </c>
      <c r="E161" s="5">
        <f>MEDIAN(-6,LN((C161+0.3)/(D161-C161+0.3)),6)</f>
        <v/>
      </c>
      <c r="F161" s="5">
        <f>SUMPRODUCT(('01_Data'!$B161:$AW161&lt;&gt;"")*(1/(1+EXP(-(E161-'03_Lap_b'!$B$5:$AW$5)))))</f>
        <v/>
      </c>
      <c r="G161" s="5">
        <f>SUMPRODUCT(('01_Data'!$B161:$AW161&lt;&gt;"")*(1/(1+EXP(-(E161-'03_Lap_b'!$B$5:$AW$5))))^2)</f>
        <v/>
      </c>
      <c r="H161" s="5">
        <f>MEDIAN(-6,E161+(C161-F161)/MAX(F161-G161,0.000000001),6)</f>
        <v/>
      </c>
      <c r="I161" s="5">
        <f>SUMPRODUCT(('01_Data'!$B161:$AW161&lt;&gt;"")*(1/(1+EXP(-(H161-'03_Lap_b'!$B$10:$AW$10)))))</f>
        <v/>
      </c>
      <c r="J161" s="5">
        <f>SUMPRODUCT(('01_Data'!$B161:$AW161&lt;&gt;"")*(1/(1+EXP(-(H161-'03_Lap_b'!$B$10:$AW$10))))^2)</f>
        <v/>
      </c>
      <c r="K161" s="5">
        <f>MEDIAN(-6,H161+(C161-I161)/MAX(I161-J161,0.000000001),6)</f>
        <v/>
      </c>
      <c r="L161" s="5">
        <f>SUMPRODUCT(('01_Data'!$B161:$AW161&lt;&gt;"")*(1/(1+EXP(-(K161-'03_Lap_b'!$B$15:$AW$15)))))</f>
        <v/>
      </c>
      <c r="M161" s="5">
        <f>SUMPRODUCT(('01_Data'!$B161:$AW161&lt;&gt;"")*(1/(1+EXP(-(K161-'03_Lap_b'!$B$15:$AW$15))))^2)</f>
        <v/>
      </c>
      <c r="N161" s="5">
        <f>MEDIAN(-6,K161+(C161-L161)/MAX(L161-M161,0.000000001),6)</f>
        <v/>
      </c>
      <c r="O161" s="5">
        <f>SUMPRODUCT(('01_Data'!$B161:$AW161&lt;&gt;"")*(1/(1+EXP(-(N161-'03_Lap_b'!$B$20:$AW$20)))))</f>
        <v/>
      </c>
      <c r="P161" s="5">
        <f>SUMPRODUCT(('01_Data'!$B161:$AW161&lt;&gt;"")*(1/(1+EXP(-(N161-'03_Lap_b'!$B$20:$AW$20))))^2)</f>
        <v/>
      </c>
      <c r="Q161" s="5">
        <f>MEDIAN(-6,N161+(C161-O161)/MAX(O161-P161,0.000000001),6)</f>
        <v/>
      </c>
      <c r="R161" s="5">
        <f>SUMPRODUCT(('01_Data'!$B161:$AW161&lt;&gt;"")*(1/(1+EXP(-(Q161-'03_Lap_b'!$B$25:$AW$25)))))</f>
        <v/>
      </c>
      <c r="S161" s="5">
        <f>SUMPRODUCT(('01_Data'!$B161:$AW161&lt;&gt;"")*(1/(1+EXP(-(Q161-'03_Lap_b'!$B$25:$AW$25))))^2)</f>
        <v/>
      </c>
      <c r="T161" s="5">
        <f>MEDIAN(-6,Q161+(C161-R161)/MAX(R161-S161,0.000000001),6)</f>
        <v/>
      </c>
      <c r="U161" s="5">
        <f>SUMPRODUCT(('01_Data'!$B161:$AW161&lt;&gt;"")*(1/(1+EXP(-(T161-'03_Lap_b'!$B$30:$AW$30)))))</f>
        <v/>
      </c>
      <c r="V161" s="5">
        <f>SUMPRODUCT(('01_Data'!$B161:$AW161&lt;&gt;"")*(1/(1+EXP(-(T161-'03_Lap_b'!$B$30:$AW$30))))^2)</f>
        <v/>
      </c>
      <c r="W161" s="5">
        <f>MEDIAN(-6,T161+(C161-U161)/MAX(U161-V161,0.000000001),6)</f>
        <v/>
      </c>
      <c r="X161" s="5">
        <f>SUMPRODUCT(('01_Data'!$B161:$AW161&lt;&gt;"")*(1/(1+EXP(-(W161-'03_Lap_b'!$B$35:$AW$35)))))</f>
        <v/>
      </c>
      <c r="Y161" s="5">
        <f>SUMPRODUCT(('01_Data'!$B161:$AW161&lt;&gt;"")*(1/(1+EXP(-(W161-'03_Lap_b'!$B$35:$AW$35))))^2)</f>
        <v/>
      </c>
      <c r="Z161" s="5">
        <f>MEDIAN(-6,W161+(C161-X161)/MAX(X161-Y161,0.000000001),6)</f>
        <v/>
      </c>
      <c r="AA161" s="5">
        <f>SUMPRODUCT(('01_Data'!$B161:$AW161&lt;&gt;"")*(1/(1+EXP(-(Z161-'03_Lap_b'!$B$40:$AW$40)))))</f>
        <v/>
      </c>
      <c r="AB161" s="5">
        <f>SUMPRODUCT(('01_Data'!$B161:$AW161&lt;&gt;"")*(1/(1+EXP(-(Z161-'03_Lap_b'!$B$40:$AW$40))))^2)</f>
        <v/>
      </c>
      <c r="AC161" s="5">
        <f>MEDIAN(-6,Z161+(C161-AA161)/MAX(AA161-AB161,0.000000001),6)</f>
        <v/>
      </c>
    </row>
    <row r="162">
      <c r="A162" t="n">
        <v>161</v>
      </c>
      <c r="B162">
        <f>'01_Data'!A162</f>
        <v/>
      </c>
      <c r="C162">
        <f>SUM('01_Data'!$B162:$AW162)</f>
        <v/>
      </c>
      <c r="D162">
        <f>COUNT('01_Data'!$B162:$AW162)</f>
        <v/>
      </c>
      <c r="E162" s="5">
        <f>MEDIAN(-6,LN((C162+0.3)/(D162-C162+0.3)),6)</f>
        <v/>
      </c>
      <c r="F162" s="5">
        <f>SUMPRODUCT(('01_Data'!$B162:$AW162&lt;&gt;"")*(1/(1+EXP(-(E162-'03_Lap_b'!$B$5:$AW$5)))))</f>
        <v/>
      </c>
      <c r="G162" s="5">
        <f>SUMPRODUCT(('01_Data'!$B162:$AW162&lt;&gt;"")*(1/(1+EXP(-(E162-'03_Lap_b'!$B$5:$AW$5))))^2)</f>
        <v/>
      </c>
      <c r="H162" s="5">
        <f>MEDIAN(-6,E162+(C162-F162)/MAX(F162-G162,0.000000001),6)</f>
        <v/>
      </c>
      <c r="I162" s="5">
        <f>SUMPRODUCT(('01_Data'!$B162:$AW162&lt;&gt;"")*(1/(1+EXP(-(H162-'03_Lap_b'!$B$10:$AW$10)))))</f>
        <v/>
      </c>
      <c r="J162" s="5">
        <f>SUMPRODUCT(('01_Data'!$B162:$AW162&lt;&gt;"")*(1/(1+EXP(-(H162-'03_Lap_b'!$B$10:$AW$10))))^2)</f>
        <v/>
      </c>
      <c r="K162" s="5">
        <f>MEDIAN(-6,H162+(C162-I162)/MAX(I162-J162,0.000000001),6)</f>
        <v/>
      </c>
      <c r="L162" s="5">
        <f>SUMPRODUCT(('01_Data'!$B162:$AW162&lt;&gt;"")*(1/(1+EXP(-(K162-'03_Lap_b'!$B$15:$AW$15)))))</f>
        <v/>
      </c>
      <c r="M162" s="5">
        <f>SUMPRODUCT(('01_Data'!$B162:$AW162&lt;&gt;"")*(1/(1+EXP(-(K162-'03_Lap_b'!$B$15:$AW$15))))^2)</f>
        <v/>
      </c>
      <c r="N162" s="5">
        <f>MEDIAN(-6,K162+(C162-L162)/MAX(L162-M162,0.000000001),6)</f>
        <v/>
      </c>
      <c r="O162" s="5">
        <f>SUMPRODUCT(('01_Data'!$B162:$AW162&lt;&gt;"")*(1/(1+EXP(-(N162-'03_Lap_b'!$B$20:$AW$20)))))</f>
        <v/>
      </c>
      <c r="P162" s="5">
        <f>SUMPRODUCT(('01_Data'!$B162:$AW162&lt;&gt;"")*(1/(1+EXP(-(N162-'03_Lap_b'!$B$20:$AW$20))))^2)</f>
        <v/>
      </c>
      <c r="Q162" s="5">
        <f>MEDIAN(-6,N162+(C162-O162)/MAX(O162-P162,0.000000001),6)</f>
        <v/>
      </c>
      <c r="R162" s="5">
        <f>SUMPRODUCT(('01_Data'!$B162:$AW162&lt;&gt;"")*(1/(1+EXP(-(Q162-'03_Lap_b'!$B$25:$AW$25)))))</f>
        <v/>
      </c>
      <c r="S162" s="5">
        <f>SUMPRODUCT(('01_Data'!$B162:$AW162&lt;&gt;"")*(1/(1+EXP(-(Q162-'03_Lap_b'!$B$25:$AW$25))))^2)</f>
        <v/>
      </c>
      <c r="T162" s="5">
        <f>MEDIAN(-6,Q162+(C162-R162)/MAX(R162-S162,0.000000001),6)</f>
        <v/>
      </c>
      <c r="U162" s="5">
        <f>SUMPRODUCT(('01_Data'!$B162:$AW162&lt;&gt;"")*(1/(1+EXP(-(T162-'03_Lap_b'!$B$30:$AW$30)))))</f>
        <v/>
      </c>
      <c r="V162" s="5">
        <f>SUMPRODUCT(('01_Data'!$B162:$AW162&lt;&gt;"")*(1/(1+EXP(-(T162-'03_Lap_b'!$B$30:$AW$30))))^2)</f>
        <v/>
      </c>
      <c r="W162" s="5">
        <f>MEDIAN(-6,T162+(C162-U162)/MAX(U162-V162,0.000000001),6)</f>
        <v/>
      </c>
      <c r="X162" s="5">
        <f>SUMPRODUCT(('01_Data'!$B162:$AW162&lt;&gt;"")*(1/(1+EXP(-(W162-'03_Lap_b'!$B$35:$AW$35)))))</f>
        <v/>
      </c>
      <c r="Y162" s="5">
        <f>SUMPRODUCT(('01_Data'!$B162:$AW162&lt;&gt;"")*(1/(1+EXP(-(W162-'03_Lap_b'!$B$35:$AW$35))))^2)</f>
        <v/>
      </c>
      <c r="Z162" s="5">
        <f>MEDIAN(-6,W162+(C162-X162)/MAX(X162-Y162,0.000000001),6)</f>
        <v/>
      </c>
      <c r="AA162" s="5">
        <f>SUMPRODUCT(('01_Data'!$B162:$AW162&lt;&gt;"")*(1/(1+EXP(-(Z162-'03_Lap_b'!$B$40:$AW$40)))))</f>
        <v/>
      </c>
      <c r="AB162" s="5">
        <f>SUMPRODUCT(('01_Data'!$B162:$AW162&lt;&gt;"")*(1/(1+EXP(-(Z162-'03_Lap_b'!$B$40:$AW$40))))^2)</f>
        <v/>
      </c>
      <c r="AC162" s="5">
        <f>MEDIAN(-6,Z162+(C162-AA162)/MAX(AA162-AB162,0.000000001),6)</f>
        <v/>
      </c>
    </row>
    <row r="163">
      <c r="A163" t="n">
        <v>162</v>
      </c>
      <c r="B163">
        <f>'01_Data'!A163</f>
        <v/>
      </c>
      <c r="C163">
        <f>SUM('01_Data'!$B163:$AW163)</f>
        <v/>
      </c>
      <c r="D163">
        <f>COUNT('01_Data'!$B163:$AW163)</f>
        <v/>
      </c>
      <c r="E163" s="5">
        <f>MEDIAN(-6,LN((C163+0.3)/(D163-C163+0.3)),6)</f>
        <v/>
      </c>
      <c r="F163" s="5">
        <f>SUMPRODUCT(('01_Data'!$B163:$AW163&lt;&gt;"")*(1/(1+EXP(-(E163-'03_Lap_b'!$B$5:$AW$5)))))</f>
        <v/>
      </c>
      <c r="G163" s="5">
        <f>SUMPRODUCT(('01_Data'!$B163:$AW163&lt;&gt;"")*(1/(1+EXP(-(E163-'03_Lap_b'!$B$5:$AW$5))))^2)</f>
        <v/>
      </c>
      <c r="H163" s="5">
        <f>MEDIAN(-6,E163+(C163-F163)/MAX(F163-G163,0.000000001),6)</f>
        <v/>
      </c>
      <c r="I163" s="5">
        <f>SUMPRODUCT(('01_Data'!$B163:$AW163&lt;&gt;"")*(1/(1+EXP(-(H163-'03_Lap_b'!$B$10:$AW$10)))))</f>
        <v/>
      </c>
      <c r="J163" s="5">
        <f>SUMPRODUCT(('01_Data'!$B163:$AW163&lt;&gt;"")*(1/(1+EXP(-(H163-'03_Lap_b'!$B$10:$AW$10))))^2)</f>
        <v/>
      </c>
      <c r="K163" s="5">
        <f>MEDIAN(-6,H163+(C163-I163)/MAX(I163-J163,0.000000001),6)</f>
        <v/>
      </c>
      <c r="L163" s="5">
        <f>SUMPRODUCT(('01_Data'!$B163:$AW163&lt;&gt;"")*(1/(1+EXP(-(K163-'03_Lap_b'!$B$15:$AW$15)))))</f>
        <v/>
      </c>
      <c r="M163" s="5">
        <f>SUMPRODUCT(('01_Data'!$B163:$AW163&lt;&gt;"")*(1/(1+EXP(-(K163-'03_Lap_b'!$B$15:$AW$15))))^2)</f>
        <v/>
      </c>
      <c r="N163" s="5">
        <f>MEDIAN(-6,K163+(C163-L163)/MAX(L163-M163,0.000000001),6)</f>
        <v/>
      </c>
      <c r="O163" s="5">
        <f>SUMPRODUCT(('01_Data'!$B163:$AW163&lt;&gt;"")*(1/(1+EXP(-(N163-'03_Lap_b'!$B$20:$AW$20)))))</f>
        <v/>
      </c>
      <c r="P163" s="5">
        <f>SUMPRODUCT(('01_Data'!$B163:$AW163&lt;&gt;"")*(1/(1+EXP(-(N163-'03_Lap_b'!$B$20:$AW$20))))^2)</f>
        <v/>
      </c>
      <c r="Q163" s="5">
        <f>MEDIAN(-6,N163+(C163-O163)/MAX(O163-P163,0.000000001),6)</f>
        <v/>
      </c>
      <c r="R163" s="5">
        <f>SUMPRODUCT(('01_Data'!$B163:$AW163&lt;&gt;"")*(1/(1+EXP(-(Q163-'03_Lap_b'!$B$25:$AW$25)))))</f>
        <v/>
      </c>
      <c r="S163" s="5">
        <f>SUMPRODUCT(('01_Data'!$B163:$AW163&lt;&gt;"")*(1/(1+EXP(-(Q163-'03_Lap_b'!$B$25:$AW$25))))^2)</f>
        <v/>
      </c>
      <c r="T163" s="5">
        <f>MEDIAN(-6,Q163+(C163-R163)/MAX(R163-S163,0.000000001),6)</f>
        <v/>
      </c>
      <c r="U163" s="5">
        <f>SUMPRODUCT(('01_Data'!$B163:$AW163&lt;&gt;"")*(1/(1+EXP(-(T163-'03_Lap_b'!$B$30:$AW$30)))))</f>
        <v/>
      </c>
      <c r="V163" s="5">
        <f>SUMPRODUCT(('01_Data'!$B163:$AW163&lt;&gt;"")*(1/(1+EXP(-(T163-'03_Lap_b'!$B$30:$AW$30))))^2)</f>
        <v/>
      </c>
      <c r="W163" s="5">
        <f>MEDIAN(-6,T163+(C163-U163)/MAX(U163-V163,0.000000001),6)</f>
        <v/>
      </c>
      <c r="X163" s="5">
        <f>SUMPRODUCT(('01_Data'!$B163:$AW163&lt;&gt;"")*(1/(1+EXP(-(W163-'03_Lap_b'!$B$35:$AW$35)))))</f>
        <v/>
      </c>
      <c r="Y163" s="5">
        <f>SUMPRODUCT(('01_Data'!$B163:$AW163&lt;&gt;"")*(1/(1+EXP(-(W163-'03_Lap_b'!$B$35:$AW$35))))^2)</f>
        <v/>
      </c>
      <c r="Z163" s="5">
        <f>MEDIAN(-6,W163+(C163-X163)/MAX(X163-Y163,0.000000001),6)</f>
        <v/>
      </c>
      <c r="AA163" s="5">
        <f>SUMPRODUCT(('01_Data'!$B163:$AW163&lt;&gt;"")*(1/(1+EXP(-(Z163-'03_Lap_b'!$B$40:$AW$40)))))</f>
        <v/>
      </c>
      <c r="AB163" s="5">
        <f>SUMPRODUCT(('01_Data'!$B163:$AW163&lt;&gt;"")*(1/(1+EXP(-(Z163-'03_Lap_b'!$B$40:$AW$40))))^2)</f>
        <v/>
      </c>
      <c r="AC163" s="5">
        <f>MEDIAN(-6,Z163+(C163-AA163)/MAX(AA163-AB163,0.000000001),6)</f>
        <v/>
      </c>
    </row>
    <row r="164">
      <c r="A164" t="n">
        <v>163</v>
      </c>
      <c r="B164">
        <f>'01_Data'!A164</f>
        <v/>
      </c>
      <c r="C164">
        <f>SUM('01_Data'!$B164:$AW164)</f>
        <v/>
      </c>
      <c r="D164">
        <f>COUNT('01_Data'!$B164:$AW164)</f>
        <v/>
      </c>
      <c r="E164" s="5">
        <f>MEDIAN(-6,LN((C164+0.3)/(D164-C164+0.3)),6)</f>
        <v/>
      </c>
      <c r="F164" s="5">
        <f>SUMPRODUCT(('01_Data'!$B164:$AW164&lt;&gt;"")*(1/(1+EXP(-(E164-'03_Lap_b'!$B$5:$AW$5)))))</f>
        <v/>
      </c>
      <c r="G164" s="5">
        <f>SUMPRODUCT(('01_Data'!$B164:$AW164&lt;&gt;"")*(1/(1+EXP(-(E164-'03_Lap_b'!$B$5:$AW$5))))^2)</f>
        <v/>
      </c>
      <c r="H164" s="5">
        <f>MEDIAN(-6,E164+(C164-F164)/MAX(F164-G164,0.000000001),6)</f>
        <v/>
      </c>
      <c r="I164" s="5">
        <f>SUMPRODUCT(('01_Data'!$B164:$AW164&lt;&gt;"")*(1/(1+EXP(-(H164-'03_Lap_b'!$B$10:$AW$10)))))</f>
        <v/>
      </c>
      <c r="J164" s="5">
        <f>SUMPRODUCT(('01_Data'!$B164:$AW164&lt;&gt;"")*(1/(1+EXP(-(H164-'03_Lap_b'!$B$10:$AW$10))))^2)</f>
        <v/>
      </c>
      <c r="K164" s="5">
        <f>MEDIAN(-6,H164+(C164-I164)/MAX(I164-J164,0.000000001),6)</f>
        <v/>
      </c>
      <c r="L164" s="5">
        <f>SUMPRODUCT(('01_Data'!$B164:$AW164&lt;&gt;"")*(1/(1+EXP(-(K164-'03_Lap_b'!$B$15:$AW$15)))))</f>
        <v/>
      </c>
      <c r="M164" s="5">
        <f>SUMPRODUCT(('01_Data'!$B164:$AW164&lt;&gt;"")*(1/(1+EXP(-(K164-'03_Lap_b'!$B$15:$AW$15))))^2)</f>
        <v/>
      </c>
      <c r="N164" s="5">
        <f>MEDIAN(-6,K164+(C164-L164)/MAX(L164-M164,0.000000001),6)</f>
        <v/>
      </c>
      <c r="O164" s="5">
        <f>SUMPRODUCT(('01_Data'!$B164:$AW164&lt;&gt;"")*(1/(1+EXP(-(N164-'03_Lap_b'!$B$20:$AW$20)))))</f>
        <v/>
      </c>
      <c r="P164" s="5">
        <f>SUMPRODUCT(('01_Data'!$B164:$AW164&lt;&gt;"")*(1/(1+EXP(-(N164-'03_Lap_b'!$B$20:$AW$20))))^2)</f>
        <v/>
      </c>
      <c r="Q164" s="5">
        <f>MEDIAN(-6,N164+(C164-O164)/MAX(O164-P164,0.000000001),6)</f>
        <v/>
      </c>
      <c r="R164" s="5">
        <f>SUMPRODUCT(('01_Data'!$B164:$AW164&lt;&gt;"")*(1/(1+EXP(-(Q164-'03_Lap_b'!$B$25:$AW$25)))))</f>
        <v/>
      </c>
      <c r="S164" s="5">
        <f>SUMPRODUCT(('01_Data'!$B164:$AW164&lt;&gt;"")*(1/(1+EXP(-(Q164-'03_Lap_b'!$B$25:$AW$25))))^2)</f>
        <v/>
      </c>
      <c r="T164" s="5">
        <f>MEDIAN(-6,Q164+(C164-R164)/MAX(R164-S164,0.000000001),6)</f>
        <v/>
      </c>
      <c r="U164" s="5">
        <f>SUMPRODUCT(('01_Data'!$B164:$AW164&lt;&gt;"")*(1/(1+EXP(-(T164-'03_Lap_b'!$B$30:$AW$30)))))</f>
        <v/>
      </c>
      <c r="V164" s="5">
        <f>SUMPRODUCT(('01_Data'!$B164:$AW164&lt;&gt;"")*(1/(1+EXP(-(T164-'03_Lap_b'!$B$30:$AW$30))))^2)</f>
        <v/>
      </c>
      <c r="W164" s="5">
        <f>MEDIAN(-6,T164+(C164-U164)/MAX(U164-V164,0.000000001),6)</f>
        <v/>
      </c>
      <c r="X164" s="5">
        <f>SUMPRODUCT(('01_Data'!$B164:$AW164&lt;&gt;"")*(1/(1+EXP(-(W164-'03_Lap_b'!$B$35:$AW$35)))))</f>
        <v/>
      </c>
      <c r="Y164" s="5">
        <f>SUMPRODUCT(('01_Data'!$B164:$AW164&lt;&gt;"")*(1/(1+EXP(-(W164-'03_Lap_b'!$B$35:$AW$35))))^2)</f>
        <v/>
      </c>
      <c r="Z164" s="5">
        <f>MEDIAN(-6,W164+(C164-X164)/MAX(X164-Y164,0.000000001),6)</f>
        <v/>
      </c>
      <c r="AA164" s="5">
        <f>SUMPRODUCT(('01_Data'!$B164:$AW164&lt;&gt;"")*(1/(1+EXP(-(Z164-'03_Lap_b'!$B$40:$AW$40)))))</f>
        <v/>
      </c>
      <c r="AB164" s="5">
        <f>SUMPRODUCT(('01_Data'!$B164:$AW164&lt;&gt;"")*(1/(1+EXP(-(Z164-'03_Lap_b'!$B$40:$AW$40))))^2)</f>
        <v/>
      </c>
      <c r="AC164" s="5">
        <f>MEDIAN(-6,Z164+(C164-AA164)/MAX(AA164-AB164,0.000000001),6)</f>
        <v/>
      </c>
    </row>
    <row r="165">
      <c r="A165" t="n">
        <v>164</v>
      </c>
      <c r="B165">
        <f>'01_Data'!A165</f>
        <v/>
      </c>
      <c r="C165">
        <f>SUM('01_Data'!$B165:$AW165)</f>
        <v/>
      </c>
      <c r="D165">
        <f>COUNT('01_Data'!$B165:$AW165)</f>
        <v/>
      </c>
      <c r="E165" s="5">
        <f>MEDIAN(-6,LN((C165+0.3)/(D165-C165+0.3)),6)</f>
        <v/>
      </c>
      <c r="F165" s="5">
        <f>SUMPRODUCT(('01_Data'!$B165:$AW165&lt;&gt;"")*(1/(1+EXP(-(E165-'03_Lap_b'!$B$5:$AW$5)))))</f>
        <v/>
      </c>
      <c r="G165" s="5">
        <f>SUMPRODUCT(('01_Data'!$B165:$AW165&lt;&gt;"")*(1/(1+EXP(-(E165-'03_Lap_b'!$B$5:$AW$5))))^2)</f>
        <v/>
      </c>
      <c r="H165" s="5">
        <f>MEDIAN(-6,E165+(C165-F165)/MAX(F165-G165,0.000000001),6)</f>
        <v/>
      </c>
      <c r="I165" s="5">
        <f>SUMPRODUCT(('01_Data'!$B165:$AW165&lt;&gt;"")*(1/(1+EXP(-(H165-'03_Lap_b'!$B$10:$AW$10)))))</f>
        <v/>
      </c>
      <c r="J165" s="5">
        <f>SUMPRODUCT(('01_Data'!$B165:$AW165&lt;&gt;"")*(1/(1+EXP(-(H165-'03_Lap_b'!$B$10:$AW$10))))^2)</f>
        <v/>
      </c>
      <c r="K165" s="5">
        <f>MEDIAN(-6,H165+(C165-I165)/MAX(I165-J165,0.000000001),6)</f>
        <v/>
      </c>
      <c r="L165" s="5">
        <f>SUMPRODUCT(('01_Data'!$B165:$AW165&lt;&gt;"")*(1/(1+EXP(-(K165-'03_Lap_b'!$B$15:$AW$15)))))</f>
        <v/>
      </c>
      <c r="M165" s="5">
        <f>SUMPRODUCT(('01_Data'!$B165:$AW165&lt;&gt;"")*(1/(1+EXP(-(K165-'03_Lap_b'!$B$15:$AW$15))))^2)</f>
        <v/>
      </c>
      <c r="N165" s="5">
        <f>MEDIAN(-6,K165+(C165-L165)/MAX(L165-M165,0.000000001),6)</f>
        <v/>
      </c>
      <c r="O165" s="5">
        <f>SUMPRODUCT(('01_Data'!$B165:$AW165&lt;&gt;"")*(1/(1+EXP(-(N165-'03_Lap_b'!$B$20:$AW$20)))))</f>
        <v/>
      </c>
      <c r="P165" s="5">
        <f>SUMPRODUCT(('01_Data'!$B165:$AW165&lt;&gt;"")*(1/(1+EXP(-(N165-'03_Lap_b'!$B$20:$AW$20))))^2)</f>
        <v/>
      </c>
      <c r="Q165" s="5">
        <f>MEDIAN(-6,N165+(C165-O165)/MAX(O165-P165,0.000000001),6)</f>
        <v/>
      </c>
      <c r="R165" s="5">
        <f>SUMPRODUCT(('01_Data'!$B165:$AW165&lt;&gt;"")*(1/(1+EXP(-(Q165-'03_Lap_b'!$B$25:$AW$25)))))</f>
        <v/>
      </c>
      <c r="S165" s="5">
        <f>SUMPRODUCT(('01_Data'!$B165:$AW165&lt;&gt;"")*(1/(1+EXP(-(Q165-'03_Lap_b'!$B$25:$AW$25))))^2)</f>
        <v/>
      </c>
      <c r="T165" s="5">
        <f>MEDIAN(-6,Q165+(C165-R165)/MAX(R165-S165,0.000000001),6)</f>
        <v/>
      </c>
      <c r="U165" s="5">
        <f>SUMPRODUCT(('01_Data'!$B165:$AW165&lt;&gt;"")*(1/(1+EXP(-(T165-'03_Lap_b'!$B$30:$AW$30)))))</f>
        <v/>
      </c>
      <c r="V165" s="5">
        <f>SUMPRODUCT(('01_Data'!$B165:$AW165&lt;&gt;"")*(1/(1+EXP(-(T165-'03_Lap_b'!$B$30:$AW$30))))^2)</f>
        <v/>
      </c>
      <c r="W165" s="5">
        <f>MEDIAN(-6,T165+(C165-U165)/MAX(U165-V165,0.000000001),6)</f>
        <v/>
      </c>
      <c r="X165" s="5">
        <f>SUMPRODUCT(('01_Data'!$B165:$AW165&lt;&gt;"")*(1/(1+EXP(-(W165-'03_Lap_b'!$B$35:$AW$35)))))</f>
        <v/>
      </c>
      <c r="Y165" s="5">
        <f>SUMPRODUCT(('01_Data'!$B165:$AW165&lt;&gt;"")*(1/(1+EXP(-(W165-'03_Lap_b'!$B$35:$AW$35))))^2)</f>
        <v/>
      </c>
      <c r="Z165" s="5">
        <f>MEDIAN(-6,W165+(C165-X165)/MAX(X165-Y165,0.000000001),6)</f>
        <v/>
      </c>
      <c r="AA165" s="5">
        <f>SUMPRODUCT(('01_Data'!$B165:$AW165&lt;&gt;"")*(1/(1+EXP(-(Z165-'03_Lap_b'!$B$40:$AW$40)))))</f>
        <v/>
      </c>
      <c r="AB165" s="5">
        <f>SUMPRODUCT(('01_Data'!$B165:$AW165&lt;&gt;"")*(1/(1+EXP(-(Z165-'03_Lap_b'!$B$40:$AW$40))))^2)</f>
        <v/>
      </c>
      <c r="AC165" s="5">
        <f>MEDIAN(-6,Z165+(C165-AA165)/MAX(AA165-AB165,0.000000001),6)</f>
        <v/>
      </c>
    </row>
    <row r="166">
      <c r="A166" t="n">
        <v>165</v>
      </c>
      <c r="B166">
        <f>'01_Data'!A166</f>
        <v/>
      </c>
      <c r="C166">
        <f>SUM('01_Data'!$B166:$AW166)</f>
        <v/>
      </c>
      <c r="D166">
        <f>COUNT('01_Data'!$B166:$AW166)</f>
        <v/>
      </c>
      <c r="E166" s="5">
        <f>MEDIAN(-6,LN((C166+0.3)/(D166-C166+0.3)),6)</f>
        <v/>
      </c>
      <c r="F166" s="5">
        <f>SUMPRODUCT(('01_Data'!$B166:$AW166&lt;&gt;"")*(1/(1+EXP(-(E166-'03_Lap_b'!$B$5:$AW$5)))))</f>
        <v/>
      </c>
      <c r="G166" s="5">
        <f>SUMPRODUCT(('01_Data'!$B166:$AW166&lt;&gt;"")*(1/(1+EXP(-(E166-'03_Lap_b'!$B$5:$AW$5))))^2)</f>
        <v/>
      </c>
      <c r="H166" s="5">
        <f>MEDIAN(-6,E166+(C166-F166)/MAX(F166-G166,0.000000001),6)</f>
        <v/>
      </c>
      <c r="I166" s="5">
        <f>SUMPRODUCT(('01_Data'!$B166:$AW166&lt;&gt;"")*(1/(1+EXP(-(H166-'03_Lap_b'!$B$10:$AW$10)))))</f>
        <v/>
      </c>
      <c r="J166" s="5">
        <f>SUMPRODUCT(('01_Data'!$B166:$AW166&lt;&gt;"")*(1/(1+EXP(-(H166-'03_Lap_b'!$B$10:$AW$10))))^2)</f>
        <v/>
      </c>
      <c r="K166" s="5">
        <f>MEDIAN(-6,H166+(C166-I166)/MAX(I166-J166,0.000000001),6)</f>
        <v/>
      </c>
      <c r="L166" s="5">
        <f>SUMPRODUCT(('01_Data'!$B166:$AW166&lt;&gt;"")*(1/(1+EXP(-(K166-'03_Lap_b'!$B$15:$AW$15)))))</f>
        <v/>
      </c>
      <c r="M166" s="5">
        <f>SUMPRODUCT(('01_Data'!$B166:$AW166&lt;&gt;"")*(1/(1+EXP(-(K166-'03_Lap_b'!$B$15:$AW$15))))^2)</f>
        <v/>
      </c>
      <c r="N166" s="5">
        <f>MEDIAN(-6,K166+(C166-L166)/MAX(L166-M166,0.000000001),6)</f>
        <v/>
      </c>
      <c r="O166" s="5">
        <f>SUMPRODUCT(('01_Data'!$B166:$AW166&lt;&gt;"")*(1/(1+EXP(-(N166-'03_Lap_b'!$B$20:$AW$20)))))</f>
        <v/>
      </c>
      <c r="P166" s="5">
        <f>SUMPRODUCT(('01_Data'!$B166:$AW166&lt;&gt;"")*(1/(1+EXP(-(N166-'03_Lap_b'!$B$20:$AW$20))))^2)</f>
        <v/>
      </c>
      <c r="Q166" s="5">
        <f>MEDIAN(-6,N166+(C166-O166)/MAX(O166-P166,0.000000001),6)</f>
        <v/>
      </c>
      <c r="R166" s="5">
        <f>SUMPRODUCT(('01_Data'!$B166:$AW166&lt;&gt;"")*(1/(1+EXP(-(Q166-'03_Lap_b'!$B$25:$AW$25)))))</f>
        <v/>
      </c>
      <c r="S166" s="5">
        <f>SUMPRODUCT(('01_Data'!$B166:$AW166&lt;&gt;"")*(1/(1+EXP(-(Q166-'03_Lap_b'!$B$25:$AW$25))))^2)</f>
        <v/>
      </c>
      <c r="T166" s="5">
        <f>MEDIAN(-6,Q166+(C166-R166)/MAX(R166-S166,0.000000001),6)</f>
        <v/>
      </c>
      <c r="U166" s="5">
        <f>SUMPRODUCT(('01_Data'!$B166:$AW166&lt;&gt;"")*(1/(1+EXP(-(T166-'03_Lap_b'!$B$30:$AW$30)))))</f>
        <v/>
      </c>
      <c r="V166" s="5">
        <f>SUMPRODUCT(('01_Data'!$B166:$AW166&lt;&gt;"")*(1/(1+EXP(-(T166-'03_Lap_b'!$B$30:$AW$30))))^2)</f>
        <v/>
      </c>
      <c r="W166" s="5">
        <f>MEDIAN(-6,T166+(C166-U166)/MAX(U166-V166,0.000000001),6)</f>
        <v/>
      </c>
      <c r="X166" s="5">
        <f>SUMPRODUCT(('01_Data'!$B166:$AW166&lt;&gt;"")*(1/(1+EXP(-(W166-'03_Lap_b'!$B$35:$AW$35)))))</f>
        <v/>
      </c>
      <c r="Y166" s="5">
        <f>SUMPRODUCT(('01_Data'!$B166:$AW166&lt;&gt;"")*(1/(1+EXP(-(W166-'03_Lap_b'!$B$35:$AW$35))))^2)</f>
        <v/>
      </c>
      <c r="Z166" s="5">
        <f>MEDIAN(-6,W166+(C166-X166)/MAX(X166-Y166,0.000000001),6)</f>
        <v/>
      </c>
      <c r="AA166" s="5">
        <f>SUMPRODUCT(('01_Data'!$B166:$AW166&lt;&gt;"")*(1/(1+EXP(-(Z166-'03_Lap_b'!$B$40:$AW$40)))))</f>
        <v/>
      </c>
      <c r="AB166" s="5">
        <f>SUMPRODUCT(('01_Data'!$B166:$AW166&lt;&gt;"")*(1/(1+EXP(-(Z166-'03_Lap_b'!$B$40:$AW$40))))^2)</f>
        <v/>
      </c>
      <c r="AC166" s="5">
        <f>MEDIAN(-6,Z166+(C166-AA166)/MAX(AA166-AB166,0.000000001),6)</f>
        <v/>
      </c>
    </row>
    <row r="167">
      <c r="A167" t="n">
        <v>166</v>
      </c>
      <c r="B167">
        <f>'01_Data'!A167</f>
        <v/>
      </c>
      <c r="C167">
        <f>SUM('01_Data'!$B167:$AW167)</f>
        <v/>
      </c>
      <c r="D167">
        <f>COUNT('01_Data'!$B167:$AW167)</f>
        <v/>
      </c>
      <c r="E167" s="5">
        <f>MEDIAN(-6,LN((C167+0.3)/(D167-C167+0.3)),6)</f>
        <v/>
      </c>
      <c r="F167" s="5">
        <f>SUMPRODUCT(('01_Data'!$B167:$AW167&lt;&gt;"")*(1/(1+EXP(-(E167-'03_Lap_b'!$B$5:$AW$5)))))</f>
        <v/>
      </c>
      <c r="G167" s="5">
        <f>SUMPRODUCT(('01_Data'!$B167:$AW167&lt;&gt;"")*(1/(1+EXP(-(E167-'03_Lap_b'!$B$5:$AW$5))))^2)</f>
        <v/>
      </c>
      <c r="H167" s="5">
        <f>MEDIAN(-6,E167+(C167-F167)/MAX(F167-G167,0.000000001),6)</f>
        <v/>
      </c>
      <c r="I167" s="5">
        <f>SUMPRODUCT(('01_Data'!$B167:$AW167&lt;&gt;"")*(1/(1+EXP(-(H167-'03_Lap_b'!$B$10:$AW$10)))))</f>
        <v/>
      </c>
      <c r="J167" s="5">
        <f>SUMPRODUCT(('01_Data'!$B167:$AW167&lt;&gt;"")*(1/(1+EXP(-(H167-'03_Lap_b'!$B$10:$AW$10))))^2)</f>
        <v/>
      </c>
      <c r="K167" s="5">
        <f>MEDIAN(-6,H167+(C167-I167)/MAX(I167-J167,0.000000001),6)</f>
        <v/>
      </c>
      <c r="L167" s="5">
        <f>SUMPRODUCT(('01_Data'!$B167:$AW167&lt;&gt;"")*(1/(1+EXP(-(K167-'03_Lap_b'!$B$15:$AW$15)))))</f>
        <v/>
      </c>
      <c r="M167" s="5">
        <f>SUMPRODUCT(('01_Data'!$B167:$AW167&lt;&gt;"")*(1/(1+EXP(-(K167-'03_Lap_b'!$B$15:$AW$15))))^2)</f>
        <v/>
      </c>
      <c r="N167" s="5">
        <f>MEDIAN(-6,K167+(C167-L167)/MAX(L167-M167,0.000000001),6)</f>
        <v/>
      </c>
      <c r="O167" s="5">
        <f>SUMPRODUCT(('01_Data'!$B167:$AW167&lt;&gt;"")*(1/(1+EXP(-(N167-'03_Lap_b'!$B$20:$AW$20)))))</f>
        <v/>
      </c>
      <c r="P167" s="5">
        <f>SUMPRODUCT(('01_Data'!$B167:$AW167&lt;&gt;"")*(1/(1+EXP(-(N167-'03_Lap_b'!$B$20:$AW$20))))^2)</f>
        <v/>
      </c>
      <c r="Q167" s="5">
        <f>MEDIAN(-6,N167+(C167-O167)/MAX(O167-P167,0.000000001),6)</f>
        <v/>
      </c>
      <c r="R167" s="5">
        <f>SUMPRODUCT(('01_Data'!$B167:$AW167&lt;&gt;"")*(1/(1+EXP(-(Q167-'03_Lap_b'!$B$25:$AW$25)))))</f>
        <v/>
      </c>
      <c r="S167" s="5">
        <f>SUMPRODUCT(('01_Data'!$B167:$AW167&lt;&gt;"")*(1/(1+EXP(-(Q167-'03_Lap_b'!$B$25:$AW$25))))^2)</f>
        <v/>
      </c>
      <c r="T167" s="5">
        <f>MEDIAN(-6,Q167+(C167-R167)/MAX(R167-S167,0.000000001),6)</f>
        <v/>
      </c>
      <c r="U167" s="5">
        <f>SUMPRODUCT(('01_Data'!$B167:$AW167&lt;&gt;"")*(1/(1+EXP(-(T167-'03_Lap_b'!$B$30:$AW$30)))))</f>
        <v/>
      </c>
      <c r="V167" s="5">
        <f>SUMPRODUCT(('01_Data'!$B167:$AW167&lt;&gt;"")*(1/(1+EXP(-(T167-'03_Lap_b'!$B$30:$AW$30))))^2)</f>
        <v/>
      </c>
      <c r="W167" s="5">
        <f>MEDIAN(-6,T167+(C167-U167)/MAX(U167-V167,0.000000001),6)</f>
        <v/>
      </c>
      <c r="X167" s="5">
        <f>SUMPRODUCT(('01_Data'!$B167:$AW167&lt;&gt;"")*(1/(1+EXP(-(W167-'03_Lap_b'!$B$35:$AW$35)))))</f>
        <v/>
      </c>
      <c r="Y167" s="5">
        <f>SUMPRODUCT(('01_Data'!$B167:$AW167&lt;&gt;"")*(1/(1+EXP(-(W167-'03_Lap_b'!$B$35:$AW$35))))^2)</f>
        <v/>
      </c>
      <c r="Z167" s="5">
        <f>MEDIAN(-6,W167+(C167-X167)/MAX(X167-Y167,0.000000001),6)</f>
        <v/>
      </c>
      <c r="AA167" s="5">
        <f>SUMPRODUCT(('01_Data'!$B167:$AW167&lt;&gt;"")*(1/(1+EXP(-(Z167-'03_Lap_b'!$B$40:$AW$40)))))</f>
        <v/>
      </c>
      <c r="AB167" s="5">
        <f>SUMPRODUCT(('01_Data'!$B167:$AW167&lt;&gt;"")*(1/(1+EXP(-(Z167-'03_Lap_b'!$B$40:$AW$40))))^2)</f>
        <v/>
      </c>
      <c r="AC167" s="5">
        <f>MEDIAN(-6,Z167+(C167-AA167)/MAX(AA167-AB167,0.000000001),6)</f>
        <v/>
      </c>
    </row>
    <row r="168">
      <c r="A168" t="n">
        <v>167</v>
      </c>
      <c r="B168">
        <f>'01_Data'!A168</f>
        <v/>
      </c>
      <c r="C168">
        <f>SUM('01_Data'!$B168:$AW168)</f>
        <v/>
      </c>
      <c r="D168">
        <f>COUNT('01_Data'!$B168:$AW168)</f>
        <v/>
      </c>
      <c r="E168" s="5">
        <f>MEDIAN(-6,LN((C168+0.3)/(D168-C168+0.3)),6)</f>
        <v/>
      </c>
      <c r="F168" s="5">
        <f>SUMPRODUCT(('01_Data'!$B168:$AW168&lt;&gt;"")*(1/(1+EXP(-(E168-'03_Lap_b'!$B$5:$AW$5)))))</f>
        <v/>
      </c>
      <c r="G168" s="5">
        <f>SUMPRODUCT(('01_Data'!$B168:$AW168&lt;&gt;"")*(1/(1+EXP(-(E168-'03_Lap_b'!$B$5:$AW$5))))^2)</f>
        <v/>
      </c>
      <c r="H168" s="5">
        <f>MEDIAN(-6,E168+(C168-F168)/MAX(F168-G168,0.000000001),6)</f>
        <v/>
      </c>
      <c r="I168" s="5">
        <f>SUMPRODUCT(('01_Data'!$B168:$AW168&lt;&gt;"")*(1/(1+EXP(-(H168-'03_Lap_b'!$B$10:$AW$10)))))</f>
        <v/>
      </c>
      <c r="J168" s="5">
        <f>SUMPRODUCT(('01_Data'!$B168:$AW168&lt;&gt;"")*(1/(1+EXP(-(H168-'03_Lap_b'!$B$10:$AW$10))))^2)</f>
        <v/>
      </c>
      <c r="K168" s="5">
        <f>MEDIAN(-6,H168+(C168-I168)/MAX(I168-J168,0.000000001),6)</f>
        <v/>
      </c>
      <c r="L168" s="5">
        <f>SUMPRODUCT(('01_Data'!$B168:$AW168&lt;&gt;"")*(1/(1+EXP(-(K168-'03_Lap_b'!$B$15:$AW$15)))))</f>
        <v/>
      </c>
      <c r="M168" s="5">
        <f>SUMPRODUCT(('01_Data'!$B168:$AW168&lt;&gt;"")*(1/(1+EXP(-(K168-'03_Lap_b'!$B$15:$AW$15))))^2)</f>
        <v/>
      </c>
      <c r="N168" s="5">
        <f>MEDIAN(-6,K168+(C168-L168)/MAX(L168-M168,0.000000001),6)</f>
        <v/>
      </c>
      <c r="O168" s="5">
        <f>SUMPRODUCT(('01_Data'!$B168:$AW168&lt;&gt;"")*(1/(1+EXP(-(N168-'03_Lap_b'!$B$20:$AW$20)))))</f>
        <v/>
      </c>
      <c r="P168" s="5">
        <f>SUMPRODUCT(('01_Data'!$B168:$AW168&lt;&gt;"")*(1/(1+EXP(-(N168-'03_Lap_b'!$B$20:$AW$20))))^2)</f>
        <v/>
      </c>
      <c r="Q168" s="5">
        <f>MEDIAN(-6,N168+(C168-O168)/MAX(O168-P168,0.000000001),6)</f>
        <v/>
      </c>
      <c r="R168" s="5">
        <f>SUMPRODUCT(('01_Data'!$B168:$AW168&lt;&gt;"")*(1/(1+EXP(-(Q168-'03_Lap_b'!$B$25:$AW$25)))))</f>
        <v/>
      </c>
      <c r="S168" s="5">
        <f>SUMPRODUCT(('01_Data'!$B168:$AW168&lt;&gt;"")*(1/(1+EXP(-(Q168-'03_Lap_b'!$B$25:$AW$25))))^2)</f>
        <v/>
      </c>
      <c r="T168" s="5">
        <f>MEDIAN(-6,Q168+(C168-R168)/MAX(R168-S168,0.000000001),6)</f>
        <v/>
      </c>
      <c r="U168" s="5">
        <f>SUMPRODUCT(('01_Data'!$B168:$AW168&lt;&gt;"")*(1/(1+EXP(-(T168-'03_Lap_b'!$B$30:$AW$30)))))</f>
        <v/>
      </c>
      <c r="V168" s="5">
        <f>SUMPRODUCT(('01_Data'!$B168:$AW168&lt;&gt;"")*(1/(1+EXP(-(T168-'03_Lap_b'!$B$30:$AW$30))))^2)</f>
        <v/>
      </c>
      <c r="W168" s="5">
        <f>MEDIAN(-6,T168+(C168-U168)/MAX(U168-V168,0.000000001),6)</f>
        <v/>
      </c>
      <c r="X168" s="5">
        <f>SUMPRODUCT(('01_Data'!$B168:$AW168&lt;&gt;"")*(1/(1+EXP(-(W168-'03_Lap_b'!$B$35:$AW$35)))))</f>
        <v/>
      </c>
      <c r="Y168" s="5">
        <f>SUMPRODUCT(('01_Data'!$B168:$AW168&lt;&gt;"")*(1/(1+EXP(-(W168-'03_Lap_b'!$B$35:$AW$35))))^2)</f>
        <v/>
      </c>
      <c r="Z168" s="5">
        <f>MEDIAN(-6,W168+(C168-X168)/MAX(X168-Y168,0.000000001),6)</f>
        <v/>
      </c>
      <c r="AA168" s="5">
        <f>SUMPRODUCT(('01_Data'!$B168:$AW168&lt;&gt;"")*(1/(1+EXP(-(Z168-'03_Lap_b'!$B$40:$AW$40)))))</f>
        <v/>
      </c>
      <c r="AB168" s="5">
        <f>SUMPRODUCT(('01_Data'!$B168:$AW168&lt;&gt;"")*(1/(1+EXP(-(Z168-'03_Lap_b'!$B$40:$AW$40))))^2)</f>
        <v/>
      </c>
      <c r="AC168" s="5">
        <f>MEDIAN(-6,Z168+(C168-AA168)/MAX(AA168-AB168,0.000000001),6)</f>
        <v/>
      </c>
    </row>
    <row r="169">
      <c r="A169" t="n">
        <v>168</v>
      </c>
      <c r="B169">
        <f>'01_Data'!A169</f>
        <v/>
      </c>
      <c r="C169">
        <f>SUM('01_Data'!$B169:$AW169)</f>
        <v/>
      </c>
      <c r="D169">
        <f>COUNT('01_Data'!$B169:$AW169)</f>
        <v/>
      </c>
      <c r="E169" s="5">
        <f>MEDIAN(-6,LN((C169+0.3)/(D169-C169+0.3)),6)</f>
        <v/>
      </c>
      <c r="F169" s="5">
        <f>SUMPRODUCT(('01_Data'!$B169:$AW169&lt;&gt;"")*(1/(1+EXP(-(E169-'03_Lap_b'!$B$5:$AW$5)))))</f>
        <v/>
      </c>
      <c r="G169" s="5">
        <f>SUMPRODUCT(('01_Data'!$B169:$AW169&lt;&gt;"")*(1/(1+EXP(-(E169-'03_Lap_b'!$B$5:$AW$5))))^2)</f>
        <v/>
      </c>
      <c r="H169" s="5">
        <f>MEDIAN(-6,E169+(C169-F169)/MAX(F169-G169,0.000000001),6)</f>
        <v/>
      </c>
      <c r="I169" s="5">
        <f>SUMPRODUCT(('01_Data'!$B169:$AW169&lt;&gt;"")*(1/(1+EXP(-(H169-'03_Lap_b'!$B$10:$AW$10)))))</f>
        <v/>
      </c>
      <c r="J169" s="5">
        <f>SUMPRODUCT(('01_Data'!$B169:$AW169&lt;&gt;"")*(1/(1+EXP(-(H169-'03_Lap_b'!$B$10:$AW$10))))^2)</f>
        <v/>
      </c>
      <c r="K169" s="5">
        <f>MEDIAN(-6,H169+(C169-I169)/MAX(I169-J169,0.000000001),6)</f>
        <v/>
      </c>
      <c r="L169" s="5">
        <f>SUMPRODUCT(('01_Data'!$B169:$AW169&lt;&gt;"")*(1/(1+EXP(-(K169-'03_Lap_b'!$B$15:$AW$15)))))</f>
        <v/>
      </c>
      <c r="M169" s="5">
        <f>SUMPRODUCT(('01_Data'!$B169:$AW169&lt;&gt;"")*(1/(1+EXP(-(K169-'03_Lap_b'!$B$15:$AW$15))))^2)</f>
        <v/>
      </c>
      <c r="N169" s="5">
        <f>MEDIAN(-6,K169+(C169-L169)/MAX(L169-M169,0.000000001),6)</f>
        <v/>
      </c>
      <c r="O169" s="5">
        <f>SUMPRODUCT(('01_Data'!$B169:$AW169&lt;&gt;"")*(1/(1+EXP(-(N169-'03_Lap_b'!$B$20:$AW$20)))))</f>
        <v/>
      </c>
      <c r="P169" s="5">
        <f>SUMPRODUCT(('01_Data'!$B169:$AW169&lt;&gt;"")*(1/(1+EXP(-(N169-'03_Lap_b'!$B$20:$AW$20))))^2)</f>
        <v/>
      </c>
      <c r="Q169" s="5">
        <f>MEDIAN(-6,N169+(C169-O169)/MAX(O169-P169,0.000000001),6)</f>
        <v/>
      </c>
      <c r="R169" s="5">
        <f>SUMPRODUCT(('01_Data'!$B169:$AW169&lt;&gt;"")*(1/(1+EXP(-(Q169-'03_Lap_b'!$B$25:$AW$25)))))</f>
        <v/>
      </c>
      <c r="S169" s="5">
        <f>SUMPRODUCT(('01_Data'!$B169:$AW169&lt;&gt;"")*(1/(1+EXP(-(Q169-'03_Lap_b'!$B$25:$AW$25))))^2)</f>
        <v/>
      </c>
      <c r="T169" s="5">
        <f>MEDIAN(-6,Q169+(C169-R169)/MAX(R169-S169,0.000000001),6)</f>
        <v/>
      </c>
      <c r="U169" s="5">
        <f>SUMPRODUCT(('01_Data'!$B169:$AW169&lt;&gt;"")*(1/(1+EXP(-(T169-'03_Lap_b'!$B$30:$AW$30)))))</f>
        <v/>
      </c>
      <c r="V169" s="5">
        <f>SUMPRODUCT(('01_Data'!$B169:$AW169&lt;&gt;"")*(1/(1+EXP(-(T169-'03_Lap_b'!$B$30:$AW$30))))^2)</f>
        <v/>
      </c>
      <c r="W169" s="5">
        <f>MEDIAN(-6,T169+(C169-U169)/MAX(U169-V169,0.000000001),6)</f>
        <v/>
      </c>
      <c r="X169" s="5">
        <f>SUMPRODUCT(('01_Data'!$B169:$AW169&lt;&gt;"")*(1/(1+EXP(-(W169-'03_Lap_b'!$B$35:$AW$35)))))</f>
        <v/>
      </c>
      <c r="Y169" s="5">
        <f>SUMPRODUCT(('01_Data'!$B169:$AW169&lt;&gt;"")*(1/(1+EXP(-(W169-'03_Lap_b'!$B$35:$AW$35))))^2)</f>
        <v/>
      </c>
      <c r="Z169" s="5">
        <f>MEDIAN(-6,W169+(C169-X169)/MAX(X169-Y169,0.000000001),6)</f>
        <v/>
      </c>
      <c r="AA169" s="5">
        <f>SUMPRODUCT(('01_Data'!$B169:$AW169&lt;&gt;"")*(1/(1+EXP(-(Z169-'03_Lap_b'!$B$40:$AW$40)))))</f>
        <v/>
      </c>
      <c r="AB169" s="5">
        <f>SUMPRODUCT(('01_Data'!$B169:$AW169&lt;&gt;"")*(1/(1+EXP(-(Z169-'03_Lap_b'!$B$40:$AW$40))))^2)</f>
        <v/>
      </c>
      <c r="AC169" s="5">
        <f>MEDIAN(-6,Z169+(C169-AA169)/MAX(AA169-AB169,0.000000001),6)</f>
        <v/>
      </c>
    </row>
    <row r="170">
      <c r="A170" t="n">
        <v>169</v>
      </c>
      <c r="B170">
        <f>'01_Data'!A170</f>
        <v/>
      </c>
      <c r="C170">
        <f>SUM('01_Data'!$B170:$AW170)</f>
        <v/>
      </c>
      <c r="D170">
        <f>COUNT('01_Data'!$B170:$AW170)</f>
        <v/>
      </c>
      <c r="E170" s="5">
        <f>MEDIAN(-6,LN((C170+0.3)/(D170-C170+0.3)),6)</f>
        <v/>
      </c>
      <c r="F170" s="5">
        <f>SUMPRODUCT(('01_Data'!$B170:$AW170&lt;&gt;"")*(1/(1+EXP(-(E170-'03_Lap_b'!$B$5:$AW$5)))))</f>
        <v/>
      </c>
      <c r="G170" s="5">
        <f>SUMPRODUCT(('01_Data'!$B170:$AW170&lt;&gt;"")*(1/(1+EXP(-(E170-'03_Lap_b'!$B$5:$AW$5))))^2)</f>
        <v/>
      </c>
      <c r="H170" s="5">
        <f>MEDIAN(-6,E170+(C170-F170)/MAX(F170-G170,0.000000001),6)</f>
        <v/>
      </c>
      <c r="I170" s="5">
        <f>SUMPRODUCT(('01_Data'!$B170:$AW170&lt;&gt;"")*(1/(1+EXP(-(H170-'03_Lap_b'!$B$10:$AW$10)))))</f>
        <v/>
      </c>
      <c r="J170" s="5">
        <f>SUMPRODUCT(('01_Data'!$B170:$AW170&lt;&gt;"")*(1/(1+EXP(-(H170-'03_Lap_b'!$B$10:$AW$10))))^2)</f>
        <v/>
      </c>
      <c r="K170" s="5">
        <f>MEDIAN(-6,H170+(C170-I170)/MAX(I170-J170,0.000000001),6)</f>
        <v/>
      </c>
      <c r="L170" s="5">
        <f>SUMPRODUCT(('01_Data'!$B170:$AW170&lt;&gt;"")*(1/(1+EXP(-(K170-'03_Lap_b'!$B$15:$AW$15)))))</f>
        <v/>
      </c>
      <c r="M170" s="5">
        <f>SUMPRODUCT(('01_Data'!$B170:$AW170&lt;&gt;"")*(1/(1+EXP(-(K170-'03_Lap_b'!$B$15:$AW$15))))^2)</f>
        <v/>
      </c>
      <c r="N170" s="5">
        <f>MEDIAN(-6,K170+(C170-L170)/MAX(L170-M170,0.000000001),6)</f>
        <v/>
      </c>
      <c r="O170" s="5">
        <f>SUMPRODUCT(('01_Data'!$B170:$AW170&lt;&gt;"")*(1/(1+EXP(-(N170-'03_Lap_b'!$B$20:$AW$20)))))</f>
        <v/>
      </c>
      <c r="P170" s="5">
        <f>SUMPRODUCT(('01_Data'!$B170:$AW170&lt;&gt;"")*(1/(1+EXP(-(N170-'03_Lap_b'!$B$20:$AW$20))))^2)</f>
        <v/>
      </c>
      <c r="Q170" s="5">
        <f>MEDIAN(-6,N170+(C170-O170)/MAX(O170-P170,0.000000001),6)</f>
        <v/>
      </c>
      <c r="R170" s="5">
        <f>SUMPRODUCT(('01_Data'!$B170:$AW170&lt;&gt;"")*(1/(1+EXP(-(Q170-'03_Lap_b'!$B$25:$AW$25)))))</f>
        <v/>
      </c>
      <c r="S170" s="5">
        <f>SUMPRODUCT(('01_Data'!$B170:$AW170&lt;&gt;"")*(1/(1+EXP(-(Q170-'03_Lap_b'!$B$25:$AW$25))))^2)</f>
        <v/>
      </c>
      <c r="T170" s="5">
        <f>MEDIAN(-6,Q170+(C170-R170)/MAX(R170-S170,0.000000001),6)</f>
        <v/>
      </c>
      <c r="U170" s="5">
        <f>SUMPRODUCT(('01_Data'!$B170:$AW170&lt;&gt;"")*(1/(1+EXP(-(T170-'03_Lap_b'!$B$30:$AW$30)))))</f>
        <v/>
      </c>
      <c r="V170" s="5">
        <f>SUMPRODUCT(('01_Data'!$B170:$AW170&lt;&gt;"")*(1/(1+EXP(-(T170-'03_Lap_b'!$B$30:$AW$30))))^2)</f>
        <v/>
      </c>
      <c r="W170" s="5">
        <f>MEDIAN(-6,T170+(C170-U170)/MAX(U170-V170,0.000000001),6)</f>
        <v/>
      </c>
      <c r="X170" s="5">
        <f>SUMPRODUCT(('01_Data'!$B170:$AW170&lt;&gt;"")*(1/(1+EXP(-(W170-'03_Lap_b'!$B$35:$AW$35)))))</f>
        <v/>
      </c>
      <c r="Y170" s="5">
        <f>SUMPRODUCT(('01_Data'!$B170:$AW170&lt;&gt;"")*(1/(1+EXP(-(W170-'03_Lap_b'!$B$35:$AW$35))))^2)</f>
        <v/>
      </c>
      <c r="Z170" s="5">
        <f>MEDIAN(-6,W170+(C170-X170)/MAX(X170-Y170,0.000000001),6)</f>
        <v/>
      </c>
      <c r="AA170" s="5">
        <f>SUMPRODUCT(('01_Data'!$B170:$AW170&lt;&gt;"")*(1/(1+EXP(-(Z170-'03_Lap_b'!$B$40:$AW$40)))))</f>
        <v/>
      </c>
      <c r="AB170" s="5">
        <f>SUMPRODUCT(('01_Data'!$B170:$AW170&lt;&gt;"")*(1/(1+EXP(-(Z170-'03_Lap_b'!$B$40:$AW$40))))^2)</f>
        <v/>
      </c>
      <c r="AC170" s="5">
        <f>MEDIAN(-6,Z170+(C170-AA170)/MAX(AA170-AB170,0.000000001),6)</f>
        <v/>
      </c>
    </row>
    <row r="171">
      <c r="A171" t="n">
        <v>170</v>
      </c>
      <c r="B171">
        <f>'01_Data'!A171</f>
        <v/>
      </c>
      <c r="C171">
        <f>SUM('01_Data'!$B171:$AW171)</f>
        <v/>
      </c>
      <c r="D171">
        <f>COUNT('01_Data'!$B171:$AW171)</f>
        <v/>
      </c>
      <c r="E171" s="5">
        <f>MEDIAN(-6,LN((C171+0.3)/(D171-C171+0.3)),6)</f>
        <v/>
      </c>
      <c r="F171" s="5">
        <f>SUMPRODUCT(('01_Data'!$B171:$AW171&lt;&gt;"")*(1/(1+EXP(-(E171-'03_Lap_b'!$B$5:$AW$5)))))</f>
        <v/>
      </c>
      <c r="G171" s="5">
        <f>SUMPRODUCT(('01_Data'!$B171:$AW171&lt;&gt;"")*(1/(1+EXP(-(E171-'03_Lap_b'!$B$5:$AW$5))))^2)</f>
        <v/>
      </c>
      <c r="H171" s="5">
        <f>MEDIAN(-6,E171+(C171-F171)/MAX(F171-G171,0.000000001),6)</f>
        <v/>
      </c>
      <c r="I171" s="5">
        <f>SUMPRODUCT(('01_Data'!$B171:$AW171&lt;&gt;"")*(1/(1+EXP(-(H171-'03_Lap_b'!$B$10:$AW$10)))))</f>
        <v/>
      </c>
      <c r="J171" s="5">
        <f>SUMPRODUCT(('01_Data'!$B171:$AW171&lt;&gt;"")*(1/(1+EXP(-(H171-'03_Lap_b'!$B$10:$AW$10))))^2)</f>
        <v/>
      </c>
      <c r="K171" s="5">
        <f>MEDIAN(-6,H171+(C171-I171)/MAX(I171-J171,0.000000001),6)</f>
        <v/>
      </c>
      <c r="L171" s="5">
        <f>SUMPRODUCT(('01_Data'!$B171:$AW171&lt;&gt;"")*(1/(1+EXP(-(K171-'03_Lap_b'!$B$15:$AW$15)))))</f>
        <v/>
      </c>
      <c r="M171" s="5">
        <f>SUMPRODUCT(('01_Data'!$B171:$AW171&lt;&gt;"")*(1/(1+EXP(-(K171-'03_Lap_b'!$B$15:$AW$15))))^2)</f>
        <v/>
      </c>
      <c r="N171" s="5">
        <f>MEDIAN(-6,K171+(C171-L171)/MAX(L171-M171,0.000000001),6)</f>
        <v/>
      </c>
      <c r="O171" s="5">
        <f>SUMPRODUCT(('01_Data'!$B171:$AW171&lt;&gt;"")*(1/(1+EXP(-(N171-'03_Lap_b'!$B$20:$AW$20)))))</f>
        <v/>
      </c>
      <c r="P171" s="5">
        <f>SUMPRODUCT(('01_Data'!$B171:$AW171&lt;&gt;"")*(1/(1+EXP(-(N171-'03_Lap_b'!$B$20:$AW$20))))^2)</f>
        <v/>
      </c>
      <c r="Q171" s="5">
        <f>MEDIAN(-6,N171+(C171-O171)/MAX(O171-P171,0.000000001),6)</f>
        <v/>
      </c>
      <c r="R171" s="5">
        <f>SUMPRODUCT(('01_Data'!$B171:$AW171&lt;&gt;"")*(1/(1+EXP(-(Q171-'03_Lap_b'!$B$25:$AW$25)))))</f>
        <v/>
      </c>
      <c r="S171" s="5">
        <f>SUMPRODUCT(('01_Data'!$B171:$AW171&lt;&gt;"")*(1/(1+EXP(-(Q171-'03_Lap_b'!$B$25:$AW$25))))^2)</f>
        <v/>
      </c>
      <c r="T171" s="5">
        <f>MEDIAN(-6,Q171+(C171-R171)/MAX(R171-S171,0.000000001),6)</f>
        <v/>
      </c>
      <c r="U171" s="5">
        <f>SUMPRODUCT(('01_Data'!$B171:$AW171&lt;&gt;"")*(1/(1+EXP(-(T171-'03_Lap_b'!$B$30:$AW$30)))))</f>
        <v/>
      </c>
      <c r="V171" s="5">
        <f>SUMPRODUCT(('01_Data'!$B171:$AW171&lt;&gt;"")*(1/(1+EXP(-(T171-'03_Lap_b'!$B$30:$AW$30))))^2)</f>
        <v/>
      </c>
      <c r="W171" s="5">
        <f>MEDIAN(-6,T171+(C171-U171)/MAX(U171-V171,0.000000001),6)</f>
        <v/>
      </c>
      <c r="X171" s="5">
        <f>SUMPRODUCT(('01_Data'!$B171:$AW171&lt;&gt;"")*(1/(1+EXP(-(W171-'03_Lap_b'!$B$35:$AW$35)))))</f>
        <v/>
      </c>
      <c r="Y171" s="5">
        <f>SUMPRODUCT(('01_Data'!$B171:$AW171&lt;&gt;"")*(1/(1+EXP(-(W171-'03_Lap_b'!$B$35:$AW$35))))^2)</f>
        <v/>
      </c>
      <c r="Z171" s="5">
        <f>MEDIAN(-6,W171+(C171-X171)/MAX(X171-Y171,0.000000001),6)</f>
        <v/>
      </c>
      <c r="AA171" s="5">
        <f>SUMPRODUCT(('01_Data'!$B171:$AW171&lt;&gt;"")*(1/(1+EXP(-(Z171-'03_Lap_b'!$B$40:$AW$40)))))</f>
        <v/>
      </c>
      <c r="AB171" s="5">
        <f>SUMPRODUCT(('01_Data'!$B171:$AW171&lt;&gt;"")*(1/(1+EXP(-(Z171-'03_Lap_b'!$B$40:$AW$40))))^2)</f>
        <v/>
      </c>
      <c r="AC171" s="5">
        <f>MEDIAN(-6,Z171+(C171-AA171)/MAX(AA171-AB171,0.000000001),6)</f>
        <v/>
      </c>
    </row>
    <row r="172">
      <c r="A172" t="n">
        <v>171</v>
      </c>
      <c r="B172">
        <f>'01_Data'!A172</f>
        <v/>
      </c>
      <c r="C172">
        <f>SUM('01_Data'!$B172:$AW172)</f>
        <v/>
      </c>
      <c r="D172">
        <f>COUNT('01_Data'!$B172:$AW172)</f>
        <v/>
      </c>
      <c r="E172" s="5">
        <f>MEDIAN(-6,LN((C172+0.3)/(D172-C172+0.3)),6)</f>
        <v/>
      </c>
      <c r="F172" s="5">
        <f>SUMPRODUCT(('01_Data'!$B172:$AW172&lt;&gt;"")*(1/(1+EXP(-(E172-'03_Lap_b'!$B$5:$AW$5)))))</f>
        <v/>
      </c>
      <c r="G172" s="5">
        <f>SUMPRODUCT(('01_Data'!$B172:$AW172&lt;&gt;"")*(1/(1+EXP(-(E172-'03_Lap_b'!$B$5:$AW$5))))^2)</f>
        <v/>
      </c>
      <c r="H172" s="5">
        <f>MEDIAN(-6,E172+(C172-F172)/MAX(F172-G172,0.000000001),6)</f>
        <v/>
      </c>
      <c r="I172" s="5">
        <f>SUMPRODUCT(('01_Data'!$B172:$AW172&lt;&gt;"")*(1/(1+EXP(-(H172-'03_Lap_b'!$B$10:$AW$10)))))</f>
        <v/>
      </c>
      <c r="J172" s="5">
        <f>SUMPRODUCT(('01_Data'!$B172:$AW172&lt;&gt;"")*(1/(1+EXP(-(H172-'03_Lap_b'!$B$10:$AW$10))))^2)</f>
        <v/>
      </c>
      <c r="K172" s="5">
        <f>MEDIAN(-6,H172+(C172-I172)/MAX(I172-J172,0.000000001),6)</f>
        <v/>
      </c>
      <c r="L172" s="5">
        <f>SUMPRODUCT(('01_Data'!$B172:$AW172&lt;&gt;"")*(1/(1+EXP(-(K172-'03_Lap_b'!$B$15:$AW$15)))))</f>
        <v/>
      </c>
      <c r="M172" s="5">
        <f>SUMPRODUCT(('01_Data'!$B172:$AW172&lt;&gt;"")*(1/(1+EXP(-(K172-'03_Lap_b'!$B$15:$AW$15))))^2)</f>
        <v/>
      </c>
      <c r="N172" s="5">
        <f>MEDIAN(-6,K172+(C172-L172)/MAX(L172-M172,0.000000001),6)</f>
        <v/>
      </c>
      <c r="O172" s="5">
        <f>SUMPRODUCT(('01_Data'!$B172:$AW172&lt;&gt;"")*(1/(1+EXP(-(N172-'03_Lap_b'!$B$20:$AW$20)))))</f>
        <v/>
      </c>
      <c r="P172" s="5">
        <f>SUMPRODUCT(('01_Data'!$B172:$AW172&lt;&gt;"")*(1/(1+EXP(-(N172-'03_Lap_b'!$B$20:$AW$20))))^2)</f>
        <v/>
      </c>
      <c r="Q172" s="5">
        <f>MEDIAN(-6,N172+(C172-O172)/MAX(O172-P172,0.000000001),6)</f>
        <v/>
      </c>
      <c r="R172" s="5">
        <f>SUMPRODUCT(('01_Data'!$B172:$AW172&lt;&gt;"")*(1/(1+EXP(-(Q172-'03_Lap_b'!$B$25:$AW$25)))))</f>
        <v/>
      </c>
      <c r="S172" s="5">
        <f>SUMPRODUCT(('01_Data'!$B172:$AW172&lt;&gt;"")*(1/(1+EXP(-(Q172-'03_Lap_b'!$B$25:$AW$25))))^2)</f>
        <v/>
      </c>
      <c r="T172" s="5">
        <f>MEDIAN(-6,Q172+(C172-R172)/MAX(R172-S172,0.000000001),6)</f>
        <v/>
      </c>
      <c r="U172" s="5">
        <f>SUMPRODUCT(('01_Data'!$B172:$AW172&lt;&gt;"")*(1/(1+EXP(-(T172-'03_Lap_b'!$B$30:$AW$30)))))</f>
        <v/>
      </c>
      <c r="V172" s="5">
        <f>SUMPRODUCT(('01_Data'!$B172:$AW172&lt;&gt;"")*(1/(1+EXP(-(T172-'03_Lap_b'!$B$30:$AW$30))))^2)</f>
        <v/>
      </c>
      <c r="W172" s="5">
        <f>MEDIAN(-6,T172+(C172-U172)/MAX(U172-V172,0.000000001),6)</f>
        <v/>
      </c>
      <c r="X172" s="5">
        <f>SUMPRODUCT(('01_Data'!$B172:$AW172&lt;&gt;"")*(1/(1+EXP(-(W172-'03_Lap_b'!$B$35:$AW$35)))))</f>
        <v/>
      </c>
      <c r="Y172" s="5">
        <f>SUMPRODUCT(('01_Data'!$B172:$AW172&lt;&gt;"")*(1/(1+EXP(-(W172-'03_Lap_b'!$B$35:$AW$35))))^2)</f>
        <v/>
      </c>
      <c r="Z172" s="5">
        <f>MEDIAN(-6,W172+(C172-X172)/MAX(X172-Y172,0.000000001),6)</f>
        <v/>
      </c>
      <c r="AA172" s="5">
        <f>SUMPRODUCT(('01_Data'!$B172:$AW172&lt;&gt;"")*(1/(1+EXP(-(Z172-'03_Lap_b'!$B$40:$AW$40)))))</f>
        <v/>
      </c>
      <c r="AB172" s="5">
        <f>SUMPRODUCT(('01_Data'!$B172:$AW172&lt;&gt;"")*(1/(1+EXP(-(Z172-'03_Lap_b'!$B$40:$AW$40))))^2)</f>
        <v/>
      </c>
      <c r="AC172" s="5">
        <f>MEDIAN(-6,Z172+(C172-AA172)/MAX(AA172-AB172,0.000000001),6)</f>
        <v/>
      </c>
    </row>
    <row r="173">
      <c r="A173" t="n">
        <v>172</v>
      </c>
      <c r="B173">
        <f>'01_Data'!A173</f>
        <v/>
      </c>
      <c r="C173">
        <f>SUM('01_Data'!$B173:$AW173)</f>
        <v/>
      </c>
      <c r="D173">
        <f>COUNT('01_Data'!$B173:$AW173)</f>
        <v/>
      </c>
      <c r="E173" s="5">
        <f>MEDIAN(-6,LN((C173+0.3)/(D173-C173+0.3)),6)</f>
        <v/>
      </c>
      <c r="F173" s="5">
        <f>SUMPRODUCT(('01_Data'!$B173:$AW173&lt;&gt;"")*(1/(1+EXP(-(E173-'03_Lap_b'!$B$5:$AW$5)))))</f>
        <v/>
      </c>
      <c r="G173" s="5">
        <f>SUMPRODUCT(('01_Data'!$B173:$AW173&lt;&gt;"")*(1/(1+EXP(-(E173-'03_Lap_b'!$B$5:$AW$5))))^2)</f>
        <v/>
      </c>
      <c r="H173" s="5">
        <f>MEDIAN(-6,E173+(C173-F173)/MAX(F173-G173,0.000000001),6)</f>
        <v/>
      </c>
      <c r="I173" s="5">
        <f>SUMPRODUCT(('01_Data'!$B173:$AW173&lt;&gt;"")*(1/(1+EXP(-(H173-'03_Lap_b'!$B$10:$AW$10)))))</f>
        <v/>
      </c>
      <c r="J173" s="5">
        <f>SUMPRODUCT(('01_Data'!$B173:$AW173&lt;&gt;"")*(1/(1+EXP(-(H173-'03_Lap_b'!$B$10:$AW$10))))^2)</f>
        <v/>
      </c>
      <c r="K173" s="5">
        <f>MEDIAN(-6,H173+(C173-I173)/MAX(I173-J173,0.000000001),6)</f>
        <v/>
      </c>
      <c r="L173" s="5">
        <f>SUMPRODUCT(('01_Data'!$B173:$AW173&lt;&gt;"")*(1/(1+EXP(-(K173-'03_Lap_b'!$B$15:$AW$15)))))</f>
        <v/>
      </c>
      <c r="M173" s="5">
        <f>SUMPRODUCT(('01_Data'!$B173:$AW173&lt;&gt;"")*(1/(1+EXP(-(K173-'03_Lap_b'!$B$15:$AW$15))))^2)</f>
        <v/>
      </c>
      <c r="N173" s="5">
        <f>MEDIAN(-6,K173+(C173-L173)/MAX(L173-M173,0.000000001),6)</f>
        <v/>
      </c>
      <c r="O173" s="5">
        <f>SUMPRODUCT(('01_Data'!$B173:$AW173&lt;&gt;"")*(1/(1+EXP(-(N173-'03_Lap_b'!$B$20:$AW$20)))))</f>
        <v/>
      </c>
      <c r="P173" s="5">
        <f>SUMPRODUCT(('01_Data'!$B173:$AW173&lt;&gt;"")*(1/(1+EXP(-(N173-'03_Lap_b'!$B$20:$AW$20))))^2)</f>
        <v/>
      </c>
      <c r="Q173" s="5">
        <f>MEDIAN(-6,N173+(C173-O173)/MAX(O173-P173,0.000000001),6)</f>
        <v/>
      </c>
      <c r="R173" s="5">
        <f>SUMPRODUCT(('01_Data'!$B173:$AW173&lt;&gt;"")*(1/(1+EXP(-(Q173-'03_Lap_b'!$B$25:$AW$25)))))</f>
        <v/>
      </c>
      <c r="S173" s="5">
        <f>SUMPRODUCT(('01_Data'!$B173:$AW173&lt;&gt;"")*(1/(1+EXP(-(Q173-'03_Lap_b'!$B$25:$AW$25))))^2)</f>
        <v/>
      </c>
      <c r="T173" s="5">
        <f>MEDIAN(-6,Q173+(C173-R173)/MAX(R173-S173,0.000000001),6)</f>
        <v/>
      </c>
      <c r="U173" s="5">
        <f>SUMPRODUCT(('01_Data'!$B173:$AW173&lt;&gt;"")*(1/(1+EXP(-(T173-'03_Lap_b'!$B$30:$AW$30)))))</f>
        <v/>
      </c>
      <c r="V173" s="5">
        <f>SUMPRODUCT(('01_Data'!$B173:$AW173&lt;&gt;"")*(1/(1+EXP(-(T173-'03_Lap_b'!$B$30:$AW$30))))^2)</f>
        <v/>
      </c>
      <c r="W173" s="5">
        <f>MEDIAN(-6,T173+(C173-U173)/MAX(U173-V173,0.000000001),6)</f>
        <v/>
      </c>
      <c r="X173" s="5">
        <f>SUMPRODUCT(('01_Data'!$B173:$AW173&lt;&gt;"")*(1/(1+EXP(-(W173-'03_Lap_b'!$B$35:$AW$35)))))</f>
        <v/>
      </c>
      <c r="Y173" s="5">
        <f>SUMPRODUCT(('01_Data'!$B173:$AW173&lt;&gt;"")*(1/(1+EXP(-(W173-'03_Lap_b'!$B$35:$AW$35))))^2)</f>
        <v/>
      </c>
      <c r="Z173" s="5">
        <f>MEDIAN(-6,W173+(C173-X173)/MAX(X173-Y173,0.000000001),6)</f>
        <v/>
      </c>
      <c r="AA173" s="5">
        <f>SUMPRODUCT(('01_Data'!$B173:$AW173&lt;&gt;"")*(1/(1+EXP(-(Z173-'03_Lap_b'!$B$40:$AW$40)))))</f>
        <v/>
      </c>
      <c r="AB173" s="5">
        <f>SUMPRODUCT(('01_Data'!$B173:$AW173&lt;&gt;"")*(1/(1+EXP(-(Z173-'03_Lap_b'!$B$40:$AW$40))))^2)</f>
        <v/>
      </c>
      <c r="AC173" s="5">
        <f>MEDIAN(-6,Z173+(C173-AA173)/MAX(AA173-AB173,0.000000001),6)</f>
        <v/>
      </c>
    </row>
    <row r="174">
      <c r="A174" t="n">
        <v>173</v>
      </c>
      <c r="B174">
        <f>'01_Data'!A174</f>
        <v/>
      </c>
      <c r="C174">
        <f>SUM('01_Data'!$B174:$AW174)</f>
        <v/>
      </c>
      <c r="D174">
        <f>COUNT('01_Data'!$B174:$AW174)</f>
        <v/>
      </c>
      <c r="E174" s="5">
        <f>MEDIAN(-6,LN((C174+0.3)/(D174-C174+0.3)),6)</f>
        <v/>
      </c>
      <c r="F174" s="5">
        <f>SUMPRODUCT(('01_Data'!$B174:$AW174&lt;&gt;"")*(1/(1+EXP(-(E174-'03_Lap_b'!$B$5:$AW$5)))))</f>
        <v/>
      </c>
      <c r="G174" s="5">
        <f>SUMPRODUCT(('01_Data'!$B174:$AW174&lt;&gt;"")*(1/(1+EXP(-(E174-'03_Lap_b'!$B$5:$AW$5))))^2)</f>
        <v/>
      </c>
      <c r="H174" s="5">
        <f>MEDIAN(-6,E174+(C174-F174)/MAX(F174-G174,0.000000001),6)</f>
        <v/>
      </c>
      <c r="I174" s="5">
        <f>SUMPRODUCT(('01_Data'!$B174:$AW174&lt;&gt;"")*(1/(1+EXP(-(H174-'03_Lap_b'!$B$10:$AW$10)))))</f>
        <v/>
      </c>
      <c r="J174" s="5">
        <f>SUMPRODUCT(('01_Data'!$B174:$AW174&lt;&gt;"")*(1/(1+EXP(-(H174-'03_Lap_b'!$B$10:$AW$10))))^2)</f>
        <v/>
      </c>
      <c r="K174" s="5">
        <f>MEDIAN(-6,H174+(C174-I174)/MAX(I174-J174,0.000000001),6)</f>
        <v/>
      </c>
      <c r="L174" s="5">
        <f>SUMPRODUCT(('01_Data'!$B174:$AW174&lt;&gt;"")*(1/(1+EXP(-(K174-'03_Lap_b'!$B$15:$AW$15)))))</f>
        <v/>
      </c>
      <c r="M174" s="5">
        <f>SUMPRODUCT(('01_Data'!$B174:$AW174&lt;&gt;"")*(1/(1+EXP(-(K174-'03_Lap_b'!$B$15:$AW$15))))^2)</f>
        <v/>
      </c>
      <c r="N174" s="5">
        <f>MEDIAN(-6,K174+(C174-L174)/MAX(L174-M174,0.000000001),6)</f>
        <v/>
      </c>
      <c r="O174" s="5">
        <f>SUMPRODUCT(('01_Data'!$B174:$AW174&lt;&gt;"")*(1/(1+EXP(-(N174-'03_Lap_b'!$B$20:$AW$20)))))</f>
        <v/>
      </c>
      <c r="P174" s="5">
        <f>SUMPRODUCT(('01_Data'!$B174:$AW174&lt;&gt;"")*(1/(1+EXP(-(N174-'03_Lap_b'!$B$20:$AW$20))))^2)</f>
        <v/>
      </c>
      <c r="Q174" s="5">
        <f>MEDIAN(-6,N174+(C174-O174)/MAX(O174-P174,0.000000001),6)</f>
        <v/>
      </c>
      <c r="R174" s="5">
        <f>SUMPRODUCT(('01_Data'!$B174:$AW174&lt;&gt;"")*(1/(1+EXP(-(Q174-'03_Lap_b'!$B$25:$AW$25)))))</f>
        <v/>
      </c>
      <c r="S174" s="5">
        <f>SUMPRODUCT(('01_Data'!$B174:$AW174&lt;&gt;"")*(1/(1+EXP(-(Q174-'03_Lap_b'!$B$25:$AW$25))))^2)</f>
        <v/>
      </c>
      <c r="T174" s="5">
        <f>MEDIAN(-6,Q174+(C174-R174)/MAX(R174-S174,0.000000001),6)</f>
        <v/>
      </c>
      <c r="U174" s="5">
        <f>SUMPRODUCT(('01_Data'!$B174:$AW174&lt;&gt;"")*(1/(1+EXP(-(T174-'03_Lap_b'!$B$30:$AW$30)))))</f>
        <v/>
      </c>
      <c r="V174" s="5">
        <f>SUMPRODUCT(('01_Data'!$B174:$AW174&lt;&gt;"")*(1/(1+EXP(-(T174-'03_Lap_b'!$B$30:$AW$30))))^2)</f>
        <v/>
      </c>
      <c r="W174" s="5">
        <f>MEDIAN(-6,T174+(C174-U174)/MAX(U174-V174,0.000000001),6)</f>
        <v/>
      </c>
      <c r="X174" s="5">
        <f>SUMPRODUCT(('01_Data'!$B174:$AW174&lt;&gt;"")*(1/(1+EXP(-(W174-'03_Lap_b'!$B$35:$AW$35)))))</f>
        <v/>
      </c>
      <c r="Y174" s="5">
        <f>SUMPRODUCT(('01_Data'!$B174:$AW174&lt;&gt;"")*(1/(1+EXP(-(W174-'03_Lap_b'!$B$35:$AW$35))))^2)</f>
        <v/>
      </c>
      <c r="Z174" s="5">
        <f>MEDIAN(-6,W174+(C174-X174)/MAX(X174-Y174,0.000000001),6)</f>
        <v/>
      </c>
      <c r="AA174" s="5">
        <f>SUMPRODUCT(('01_Data'!$B174:$AW174&lt;&gt;"")*(1/(1+EXP(-(Z174-'03_Lap_b'!$B$40:$AW$40)))))</f>
        <v/>
      </c>
      <c r="AB174" s="5">
        <f>SUMPRODUCT(('01_Data'!$B174:$AW174&lt;&gt;"")*(1/(1+EXP(-(Z174-'03_Lap_b'!$B$40:$AW$40))))^2)</f>
        <v/>
      </c>
      <c r="AC174" s="5">
        <f>MEDIAN(-6,Z174+(C174-AA174)/MAX(AA174-AB174,0.000000001),6)</f>
        <v/>
      </c>
    </row>
    <row r="175">
      <c r="A175" t="n">
        <v>174</v>
      </c>
      <c r="B175">
        <f>'01_Data'!A175</f>
        <v/>
      </c>
      <c r="C175">
        <f>SUM('01_Data'!$B175:$AW175)</f>
        <v/>
      </c>
      <c r="D175">
        <f>COUNT('01_Data'!$B175:$AW175)</f>
        <v/>
      </c>
      <c r="E175" s="5">
        <f>MEDIAN(-6,LN((C175+0.3)/(D175-C175+0.3)),6)</f>
        <v/>
      </c>
      <c r="F175" s="5">
        <f>SUMPRODUCT(('01_Data'!$B175:$AW175&lt;&gt;"")*(1/(1+EXP(-(E175-'03_Lap_b'!$B$5:$AW$5)))))</f>
        <v/>
      </c>
      <c r="G175" s="5">
        <f>SUMPRODUCT(('01_Data'!$B175:$AW175&lt;&gt;"")*(1/(1+EXP(-(E175-'03_Lap_b'!$B$5:$AW$5))))^2)</f>
        <v/>
      </c>
      <c r="H175" s="5">
        <f>MEDIAN(-6,E175+(C175-F175)/MAX(F175-G175,0.000000001),6)</f>
        <v/>
      </c>
      <c r="I175" s="5">
        <f>SUMPRODUCT(('01_Data'!$B175:$AW175&lt;&gt;"")*(1/(1+EXP(-(H175-'03_Lap_b'!$B$10:$AW$10)))))</f>
        <v/>
      </c>
      <c r="J175" s="5">
        <f>SUMPRODUCT(('01_Data'!$B175:$AW175&lt;&gt;"")*(1/(1+EXP(-(H175-'03_Lap_b'!$B$10:$AW$10))))^2)</f>
        <v/>
      </c>
      <c r="K175" s="5">
        <f>MEDIAN(-6,H175+(C175-I175)/MAX(I175-J175,0.000000001),6)</f>
        <v/>
      </c>
      <c r="L175" s="5">
        <f>SUMPRODUCT(('01_Data'!$B175:$AW175&lt;&gt;"")*(1/(1+EXP(-(K175-'03_Lap_b'!$B$15:$AW$15)))))</f>
        <v/>
      </c>
      <c r="M175" s="5">
        <f>SUMPRODUCT(('01_Data'!$B175:$AW175&lt;&gt;"")*(1/(1+EXP(-(K175-'03_Lap_b'!$B$15:$AW$15))))^2)</f>
        <v/>
      </c>
      <c r="N175" s="5">
        <f>MEDIAN(-6,K175+(C175-L175)/MAX(L175-M175,0.000000001),6)</f>
        <v/>
      </c>
      <c r="O175" s="5">
        <f>SUMPRODUCT(('01_Data'!$B175:$AW175&lt;&gt;"")*(1/(1+EXP(-(N175-'03_Lap_b'!$B$20:$AW$20)))))</f>
        <v/>
      </c>
      <c r="P175" s="5">
        <f>SUMPRODUCT(('01_Data'!$B175:$AW175&lt;&gt;"")*(1/(1+EXP(-(N175-'03_Lap_b'!$B$20:$AW$20))))^2)</f>
        <v/>
      </c>
      <c r="Q175" s="5">
        <f>MEDIAN(-6,N175+(C175-O175)/MAX(O175-P175,0.000000001),6)</f>
        <v/>
      </c>
      <c r="R175" s="5">
        <f>SUMPRODUCT(('01_Data'!$B175:$AW175&lt;&gt;"")*(1/(1+EXP(-(Q175-'03_Lap_b'!$B$25:$AW$25)))))</f>
        <v/>
      </c>
      <c r="S175" s="5">
        <f>SUMPRODUCT(('01_Data'!$B175:$AW175&lt;&gt;"")*(1/(1+EXP(-(Q175-'03_Lap_b'!$B$25:$AW$25))))^2)</f>
        <v/>
      </c>
      <c r="T175" s="5">
        <f>MEDIAN(-6,Q175+(C175-R175)/MAX(R175-S175,0.000000001),6)</f>
        <v/>
      </c>
      <c r="U175" s="5">
        <f>SUMPRODUCT(('01_Data'!$B175:$AW175&lt;&gt;"")*(1/(1+EXP(-(T175-'03_Lap_b'!$B$30:$AW$30)))))</f>
        <v/>
      </c>
      <c r="V175" s="5">
        <f>SUMPRODUCT(('01_Data'!$B175:$AW175&lt;&gt;"")*(1/(1+EXP(-(T175-'03_Lap_b'!$B$30:$AW$30))))^2)</f>
        <v/>
      </c>
      <c r="W175" s="5">
        <f>MEDIAN(-6,T175+(C175-U175)/MAX(U175-V175,0.000000001),6)</f>
        <v/>
      </c>
      <c r="X175" s="5">
        <f>SUMPRODUCT(('01_Data'!$B175:$AW175&lt;&gt;"")*(1/(1+EXP(-(W175-'03_Lap_b'!$B$35:$AW$35)))))</f>
        <v/>
      </c>
      <c r="Y175" s="5">
        <f>SUMPRODUCT(('01_Data'!$B175:$AW175&lt;&gt;"")*(1/(1+EXP(-(W175-'03_Lap_b'!$B$35:$AW$35))))^2)</f>
        <v/>
      </c>
      <c r="Z175" s="5">
        <f>MEDIAN(-6,W175+(C175-X175)/MAX(X175-Y175,0.000000001),6)</f>
        <v/>
      </c>
      <c r="AA175" s="5">
        <f>SUMPRODUCT(('01_Data'!$B175:$AW175&lt;&gt;"")*(1/(1+EXP(-(Z175-'03_Lap_b'!$B$40:$AW$40)))))</f>
        <v/>
      </c>
      <c r="AB175" s="5">
        <f>SUMPRODUCT(('01_Data'!$B175:$AW175&lt;&gt;"")*(1/(1+EXP(-(Z175-'03_Lap_b'!$B$40:$AW$40))))^2)</f>
        <v/>
      </c>
      <c r="AC175" s="5">
        <f>MEDIAN(-6,Z175+(C175-AA175)/MAX(AA175-AB175,0.000000001),6)</f>
        <v/>
      </c>
    </row>
    <row r="176">
      <c r="A176" t="n">
        <v>175</v>
      </c>
      <c r="B176">
        <f>'01_Data'!A176</f>
        <v/>
      </c>
      <c r="C176">
        <f>SUM('01_Data'!$B176:$AW176)</f>
        <v/>
      </c>
      <c r="D176">
        <f>COUNT('01_Data'!$B176:$AW176)</f>
        <v/>
      </c>
      <c r="E176" s="5">
        <f>MEDIAN(-6,LN((C176+0.3)/(D176-C176+0.3)),6)</f>
        <v/>
      </c>
      <c r="F176" s="5">
        <f>SUMPRODUCT(('01_Data'!$B176:$AW176&lt;&gt;"")*(1/(1+EXP(-(E176-'03_Lap_b'!$B$5:$AW$5)))))</f>
        <v/>
      </c>
      <c r="G176" s="5">
        <f>SUMPRODUCT(('01_Data'!$B176:$AW176&lt;&gt;"")*(1/(1+EXP(-(E176-'03_Lap_b'!$B$5:$AW$5))))^2)</f>
        <v/>
      </c>
      <c r="H176" s="5">
        <f>MEDIAN(-6,E176+(C176-F176)/MAX(F176-G176,0.000000001),6)</f>
        <v/>
      </c>
      <c r="I176" s="5">
        <f>SUMPRODUCT(('01_Data'!$B176:$AW176&lt;&gt;"")*(1/(1+EXP(-(H176-'03_Lap_b'!$B$10:$AW$10)))))</f>
        <v/>
      </c>
      <c r="J176" s="5">
        <f>SUMPRODUCT(('01_Data'!$B176:$AW176&lt;&gt;"")*(1/(1+EXP(-(H176-'03_Lap_b'!$B$10:$AW$10))))^2)</f>
        <v/>
      </c>
      <c r="K176" s="5">
        <f>MEDIAN(-6,H176+(C176-I176)/MAX(I176-J176,0.000000001),6)</f>
        <v/>
      </c>
      <c r="L176" s="5">
        <f>SUMPRODUCT(('01_Data'!$B176:$AW176&lt;&gt;"")*(1/(1+EXP(-(K176-'03_Lap_b'!$B$15:$AW$15)))))</f>
        <v/>
      </c>
      <c r="M176" s="5">
        <f>SUMPRODUCT(('01_Data'!$B176:$AW176&lt;&gt;"")*(1/(1+EXP(-(K176-'03_Lap_b'!$B$15:$AW$15))))^2)</f>
        <v/>
      </c>
      <c r="N176" s="5">
        <f>MEDIAN(-6,K176+(C176-L176)/MAX(L176-M176,0.000000001),6)</f>
        <v/>
      </c>
      <c r="O176" s="5">
        <f>SUMPRODUCT(('01_Data'!$B176:$AW176&lt;&gt;"")*(1/(1+EXP(-(N176-'03_Lap_b'!$B$20:$AW$20)))))</f>
        <v/>
      </c>
      <c r="P176" s="5">
        <f>SUMPRODUCT(('01_Data'!$B176:$AW176&lt;&gt;"")*(1/(1+EXP(-(N176-'03_Lap_b'!$B$20:$AW$20))))^2)</f>
        <v/>
      </c>
      <c r="Q176" s="5">
        <f>MEDIAN(-6,N176+(C176-O176)/MAX(O176-P176,0.000000001),6)</f>
        <v/>
      </c>
      <c r="R176" s="5">
        <f>SUMPRODUCT(('01_Data'!$B176:$AW176&lt;&gt;"")*(1/(1+EXP(-(Q176-'03_Lap_b'!$B$25:$AW$25)))))</f>
        <v/>
      </c>
      <c r="S176" s="5">
        <f>SUMPRODUCT(('01_Data'!$B176:$AW176&lt;&gt;"")*(1/(1+EXP(-(Q176-'03_Lap_b'!$B$25:$AW$25))))^2)</f>
        <v/>
      </c>
      <c r="T176" s="5">
        <f>MEDIAN(-6,Q176+(C176-R176)/MAX(R176-S176,0.000000001),6)</f>
        <v/>
      </c>
      <c r="U176" s="5">
        <f>SUMPRODUCT(('01_Data'!$B176:$AW176&lt;&gt;"")*(1/(1+EXP(-(T176-'03_Lap_b'!$B$30:$AW$30)))))</f>
        <v/>
      </c>
      <c r="V176" s="5">
        <f>SUMPRODUCT(('01_Data'!$B176:$AW176&lt;&gt;"")*(1/(1+EXP(-(T176-'03_Lap_b'!$B$30:$AW$30))))^2)</f>
        <v/>
      </c>
      <c r="W176" s="5">
        <f>MEDIAN(-6,T176+(C176-U176)/MAX(U176-V176,0.000000001),6)</f>
        <v/>
      </c>
      <c r="X176" s="5">
        <f>SUMPRODUCT(('01_Data'!$B176:$AW176&lt;&gt;"")*(1/(1+EXP(-(W176-'03_Lap_b'!$B$35:$AW$35)))))</f>
        <v/>
      </c>
      <c r="Y176" s="5">
        <f>SUMPRODUCT(('01_Data'!$B176:$AW176&lt;&gt;"")*(1/(1+EXP(-(W176-'03_Lap_b'!$B$35:$AW$35))))^2)</f>
        <v/>
      </c>
      <c r="Z176" s="5">
        <f>MEDIAN(-6,W176+(C176-X176)/MAX(X176-Y176,0.000000001),6)</f>
        <v/>
      </c>
      <c r="AA176" s="5">
        <f>SUMPRODUCT(('01_Data'!$B176:$AW176&lt;&gt;"")*(1/(1+EXP(-(Z176-'03_Lap_b'!$B$40:$AW$40)))))</f>
        <v/>
      </c>
      <c r="AB176" s="5">
        <f>SUMPRODUCT(('01_Data'!$B176:$AW176&lt;&gt;"")*(1/(1+EXP(-(Z176-'03_Lap_b'!$B$40:$AW$40))))^2)</f>
        <v/>
      </c>
      <c r="AC176" s="5">
        <f>MEDIAN(-6,Z176+(C176-AA176)/MAX(AA176-AB176,0.000000001),6)</f>
        <v/>
      </c>
    </row>
    <row r="177">
      <c r="A177" t="n">
        <v>176</v>
      </c>
      <c r="B177">
        <f>'01_Data'!A177</f>
        <v/>
      </c>
      <c r="C177">
        <f>SUM('01_Data'!$B177:$AW177)</f>
        <v/>
      </c>
      <c r="D177">
        <f>COUNT('01_Data'!$B177:$AW177)</f>
        <v/>
      </c>
      <c r="E177" s="5">
        <f>MEDIAN(-6,LN((C177+0.3)/(D177-C177+0.3)),6)</f>
        <v/>
      </c>
      <c r="F177" s="5">
        <f>SUMPRODUCT(('01_Data'!$B177:$AW177&lt;&gt;"")*(1/(1+EXP(-(E177-'03_Lap_b'!$B$5:$AW$5)))))</f>
        <v/>
      </c>
      <c r="G177" s="5">
        <f>SUMPRODUCT(('01_Data'!$B177:$AW177&lt;&gt;"")*(1/(1+EXP(-(E177-'03_Lap_b'!$B$5:$AW$5))))^2)</f>
        <v/>
      </c>
      <c r="H177" s="5">
        <f>MEDIAN(-6,E177+(C177-F177)/MAX(F177-G177,0.000000001),6)</f>
        <v/>
      </c>
      <c r="I177" s="5">
        <f>SUMPRODUCT(('01_Data'!$B177:$AW177&lt;&gt;"")*(1/(1+EXP(-(H177-'03_Lap_b'!$B$10:$AW$10)))))</f>
        <v/>
      </c>
      <c r="J177" s="5">
        <f>SUMPRODUCT(('01_Data'!$B177:$AW177&lt;&gt;"")*(1/(1+EXP(-(H177-'03_Lap_b'!$B$10:$AW$10))))^2)</f>
        <v/>
      </c>
      <c r="K177" s="5">
        <f>MEDIAN(-6,H177+(C177-I177)/MAX(I177-J177,0.000000001),6)</f>
        <v/>
      </c>
      <c r="L177" s="5">
        <f>SUMPRODUCT(('01_Data'!$B177:$AW177&lt;&gt;"")*(1/(1+EXP(-(K177-'03_Lap_b'!$B$15:$AW$15)))))</f>
        <v/>
      </c>
      <c r="M177" s="5">
        <f>SUMPRODUCT(('01_Data'!$B177:$AW177&lt;&gt;"")*(1/(1+EXP(-(K177-'03_Lap_b'!$B$15:$AW$15))))^2)</f>
        <v/>
      </c>
      <c r="N177" s="5">
        <f>MEDIAN(-6,K177+(C177-L177)/MAX(L177-M177,0.000000001),6)</f>
        <v/>
      </c>
      <c r="O177" s="5">
        <f>SUMPRODUCT(('01_Data'!$B177:$AW177&lt;&gt;"")*(1/(1+EXP(-(N177-'03_Lap_b'!$B$20:$AW$20)))))</f>
        <v/>
      </c>
      <c r="P177" s="5">
        <f>SUMPRODUCT(('01_Data'!$B177:$AW177&lt;&gt;"")*(1/(1+EXP(-(N177-'03_Lap_b'!$B$20:$AW$20))))^2)</f>
        <v/>
      </c>
      <c r="Q177" s="5">
        <f>MEDIAN(-6,N177+(C177-O177)/MAX(O177-P177,0.000000001),6)</f>
        <v/>
      </c>
      <c r="R177" s="5">
        <f>SUMPRODUCT(('01_Data'!$B177:$AW177&lt;&gt;"")*(1/(1+EXP(-(Q177-'03_Lap_b'!$B$25:$AW$25)))))</f>
        <v/>
      </c>
      <c r="S177" s="5">
        <f>SUMPRODUCT(('01_Data'!$B177:$AW177&lt;&gt;"")*(1/(1+EXP(-(Q177-'03_Lap_b'!$B$25:$AW$25))))^2)</f>
        <v/>
      </c>
      <c r="T177" s="5">
        <f>MEDIAN(-6,Q177+(C177-R177)/MAX(R177-S177,0.000000001),6)</f>
        <v/>
      </c>
      <c r="U177" s="5">
        <f>SUMPRODUCT(('01_Data'!$B177:$AW177&lt;&gt;"")*(1/(1+EXP(-(T177-'03_Lap_b'!$B$30:$AW$30)))))</f>
        <v/>
      </c>
      <c r="V177" s="5">
        <f>SUMPRODUCT(('01_Data'!$B177:$AW177&lt;&gt;"")*(1/(1+EXP(-(T177-'03_Lap_b'!$B$30:$AW$30))))^2)</f>
        <v/>
      </c>
      <c r="W177" s="5">
        <f>MEDIAN(-6,T177+(C177-U177)/MAX(U177-V177,0.000000001),6)</f>
        <v/>
      </c>
      <c r="X177" s="5">
        <f>SUMPRODUCT(('01_Data'!$B177:$AW177&lt;&gt;"")*(1/(1+EXP(-(W177-'03_Lap_b'!$B$35:$AW$35)))))</f>
        <v/>
      </c>
      <c r="Y177" s="5">
        <f>SUMPRODUCT(('01_Data'!$B177:$AW177&lt;&gt;"")*(1/(1+EXP(-(W177-'03_Lap_b'!$B$35:$AW$35))))^2)</f>
        <v/>
      </c>
      <c r="Z177" s="5">
        <f>MEDIAN(-6,W177+(C177-X177)/MAX(X177-Y177,0.000000001),6)</f>
        <v/>
      </c>
      <c r="AA177" s="5">
        <f>SUMPRODUCT(('01_Data'!$B177:$AW177&lt;&gt;"")*(1/(1+EXP(-(Z177-'03_Lap_b'!$B$40:$AW$40)))))</f>
        <v/>
      </c>
      <c r="AB177" s="5">
        <f>SUMPRODUCT(('01_Data'!$B177:$AW177&lt;&gt;"")*(1/(1+EXP(-(Z177-'03_Lap_b'!$B$40:$AW$40))))^2)</f>
        <v/>
      </c>
      <c r="AC177" s="5">
        <f>MEDIAN(-6,Z177+(C177-AA177)/MAX(AA177-AB177,0.000000001),6)</f>
        <v/>
      </c>
    </row>
    <row r="178">
      <c r="A178" t="n">
        <v>177</v>
      </c>
      <c r="B178">
        <f>'01_Data'!A178</f>
        <v/>
      </c>
      <c r="C178">
        <f>SUM('01_Data'!$B178:$AW178)</f>
        <v/>
      </c>
      <c r="D178">
        <f>COUNT('01_Data'!$B178:$AW178)</f>
        <v/>
      </c>
      <c r="E178" s="5">
        <f>MEDIAN(-6,LN((C178+0.3)/(D178-C178+0.3)),6)</f>
        <v/>
      </c>
      <c r="F178" s="5">
        <f>SUMPRODUCT(('01_Data'!$B178:$AW178&lt;&gt;"")*(1/(1+EXP(-(E178-'03_Lap_b'!$B$5:$AW$5)))))</f>
        <v/>
      </c>
      <c r="G178" s="5">
        <f>SUMPRODUCT(('01_Data'!$B178:$AW178&lt;&gt;"")*(1/(1+EXP(-(E178-'03_Lap_b'!$B$5:$AW$5))))^2)</f>
        <v/>
      </c>
      <c r="H178" s="5">
        <f>MEDIAN(-6,E178+(C178-F178)/MAX(F178-G178,0.000000001),6)</f>
        <v/>
      </c>
      <c r="I178" s="5">
        <f>SUMPRODUCT(('01_Data'!$B178:$AW178&lt;&gt;"")*(1/(1+EXP(-(H178-'03_Lap_b'!$B$10:$AW$10)))))</f>
        <v/>
      </c>
      <c r="J178" s="5">
        <f>SUMPRODUCT(('01_Data'!$B178:$AW178&lt;&gt;"")*(1/(1+EXP(-(H178-'03_Lap_b'!$B$10:$AW$10))))^2)</f>
        <v/>
      </c>
      <c r="K178" s="5">
        <f>MEDIAN(-6,H178+(C178-I178)/MAX(I178-J178,0.000000001),6)</f>
        <v/>
      </c>
      <c r="L178" s="5">
        <f>SUMPRODUCT(('01_Data'!$B178:$AW178&lt;&gt;"")*(1/(1+EXP(-(K178-'03_Lap_b'!$B$15:$AW$15)))))</f>
        <v/>
      </c>
      <c r="M178" s="5">
        <f>SUMPRODUCT(('01_Data'!$B178:$AW178&lt;&gt;"")*(1/(1+EXP(-(K178-'03_Lap_b'!$B$15:$AW$15))))^2)</f>
        <v/>
      </c>
      <c r="N178" s="5">
        <f>MEDIAN(-6,K178+(C178-L178)/MAX(L178-M178,0.000000001),6)</f>
        <v/>
      </c>
      <c r="O178" s="5">
        <f>SUMPRODUCT(('01_Data'!$B178:$AW178&lt;&gt;"")*(1/(1+EXP(-(N178-'03_Lap_b'!$B$20:$AW$20)))))</f>
        <v/>
      </c>
      <c r="P178" s="5">
        <f>SUMPRODUCT(('01_Data'!$B178:$AW178&lt;&gt;"")*(1/(1+EXP(-(N178-'03_Lap_b'!$B$20:$AW$20))))^2)</f>
        <v/>
      </c>
      <c r="Q178" s="5">
        <f>MEDIAN(-6,N178+(C178-O178)/MAX(O178-P178,0.000000001),6)</f>
        <v/>
      </c>
      <c r="R178" s="5">
        <f>SUMPRODUCT(('01_Data'!$B178:$AW178&lt;&gt;"")*(1/(1+EXP(-(Q178-'03_Lap_b'!$B$25:$AW$25)))))</f>
        <v/>
      </c>
      <c r="S178" s="5">
        <f>SUMPRODUCT(('01_Data'!$B178:$AW178&lt;&gt;"")*(1/(1+EXP(-(Q178-'03_Lap_b'!$B$25:$AW$25))))^2)</f>
        <v/>
      </c>
      <c r="T178" s="5">
        <f>MEDIAN(-6,Q178+(C178-R178)/MAX(R178-S178,0.000000001),6)</f>
        <v/>
      </c>
      <c r="U178" s="5">
        <f>SUMPRODUCT(('01_Data'!$B178:$AW178&lt;&gt;"")*(1/(1+EXP(-(T178-'03_Lap_b'!$B$30:$AW$30)))))</f>
        <v/>
      </c>
      <c r="V178" s="5">
        <f>SUMPRODUCT(('01_Data'!$B178:$AW178&lt;&gt;"")*(1/(1+EXP(-(T178-'03_Lap_b'!$B$30:$AW$30))))^2)</f>
        <v/>
      </c>
      <c r="W178" s="5">
        <f>MEDIAN(-6,T178+(C178-U178)/MAX(U178-V178,0.000000001),6)</f>
        <v/>
      </c>
      <c r="X178" s="5">
        <f>SUMPRODUCT(('01_Data'!$B178:$AW178&lt;&gt;"")*(1/(1+EXP(-(W178-'03_Lap_b'!$B$35:$AW$35)))))</f>
        <v/>
      </c>
      <c r="Y178" s="5">
        <f>SUMPRODUCT(('01_Data'!$B178:$AW178&lt;&gt;"")*(1/(1+EXP(-(W178-'03_Lap_b'!$B$35:$AW$35))))^2)</f>
        <v/>
      </c>
      <c r="Z178" s="5">
        <f>MEDIAN(-6,W178+(C178-X178)/MAX(X178-Y178,0.000000001),6)</f>
        <v/>
      </c>
      <c r="AA178" s="5">
        <f>SUMPRODUCT(('01_Data'!$B178:$AW178&lt;&gt;"")*(1/(1+EXP(-(Z178-'03_Lap_b'!$B$40:$AW$40)))))</f>
        <v/>
      </c>
      <c r="AB178" s="5">
        <f>SUMPRODUCT(('01_Data'!$B178:$AW178&lt;&gt;"")*(1/(1+EXP(-(Z178-'03_Lap_b'!$B$40:$AW$40))))^2)</f>
        <v/>
      </c>
      <c r="AC178" s="5">
        <f>MEDIAN(-6,Z178+(C178-AA178)/MAX(AA178-AB178,0.000000001),6)</f>
        <v/>
      </c>
    </row>
    <row r="179">
      <c r="A179" t="n">
        <v>178</v>
      </c>
      <c r="B179">
        <f>'01_Data'!A179</f>
        <v/>
      </c>
      <c r="C179">
        <f>SUM('01_Data'!$B179:$AW179)</f>
        <v/>
      </c>
      <c r="D179">
        <f>COUNT('01_Data'!$B179:$AW179)</f>
        <v/>
      </c>
      <c r="E179" s="5">
        <f>MEDIAN(-6,LN((C179+0.3)/(D179-C179+0.3)),6)</f>
        <v/>
      </c>
      <c r="F179" s="5">
        <f>SUMPRODUCT(('01_Data'!$B179:$AW179&lt;&gt;"")*(1/(1+EXP(-(E179-'03_Lap_b'!$B$5:$AW$5)))))</f>
        <v/>
      </c>
      <c r="G179" s="5">
        <f>SUMPRODUCT(('01_Data'!$B179:$AW179&lt;&gt;"")*(1/(1+EXP(-(E179-'03_Lap_b'!$B$5:$AW$5))))^2)</f>
        <v/>
      </c>
      <c r="H179" s="5">
        <f>MEDIAN(-6,E179+(C179-F179)/MAX(F179-G179,0.000000001),6)</f>
        <v/>
      </c>
      <c r="I179" s="5">
        <f>SUMPRODUCT(('01_Data'!$B179:$AW179&lt;&gt;"")*(1/(1+EXP(-(H179-'03_Lap_b'!$B$10:$AW$10)))))</f>
        <v/>
      </c>
      <c r="J179" s="5">
        <f>SUMPRODUCT(('01_Data'!$B179:$AW179&lt;&gt;"")*(1/(1+EXP(-(H179-'03_Lap_b'!$B$10:$AW$10))))^2)</f>
        <v/>
      </c>
      <c r="K179" s="5">
        <f>MEDIAN(-6,H179+(C179-I179)/MAX(I179-J179,0.000000001),6)</f>
        <v/>
      </c>
      <c r="L179" s="5">
        <f>SUMPRODUCT(('01_Data'!$B179:$AW179&lt;&gt;"")*(1/(1+EXP(-(K179-'03_Lap_b'!$B$15:$AW$15)))))</f>
        <v/>
      </c>
      <c r="M179" s="5">
        <f>SUMPRODUCT(('01_Data'!$B179:$AW179&lt;&gt;"")*(1/(1+EXP(-(K179-'03_Lap_b'!$B$15:$AW$15))))^2)</f>
        <v/>
      </c>
      <c r="N179" s="5">
        <f>MEDIAN(-6,K179+(C179-L179)/MAX(L179-M179,0.000000001),6)</f>
        <v/>
      </c>
      <c r="O179" s="5">
        <f>SUMPRODUCT(('01_Data'!$B179:$AW179&lt;&gt;"")*(1/(1+EXP(-(N179-'03_Lap_b'!$B$20:$AW$20)))))</f>
        <v/>
      </c>
      <c r="P179" s="5">
        <f>SUMPRODUCT(('01_Data'!$B179:$AW179&lt;&gt;"")*(1/(1+EXP(-(N179-'03_Lap_b'!$B$20:$AW$20))))^2)</f>
        <v/>
      </c>
      <c r="Q179" s="5">
        <f>MEDIAN(-6,N179+(C179-O179)/MAX(O179-P179,0.000000001),6)</f>
        <v/>
      </c>
      <c r="R179" s="5">
        <f>SUMPRODUCT(('01_Data'!$B179:$AW179&lt;&gt;"")*(1/(1+EXP(-(Q179-'03_Lap_b'!$B$25:$AW$25)))))</f>
        <v/>
      </c>
      <c r="S179" s="5">
        <f>SUMPRODUCT(('01_Data'!$B179:$AW179&lt;&gt;"")*(1/(1+EXP(-(Q179-'03_Lap_b'!$B$25:$AW$25))))^2)</f>
        <v/>
      </c>
      <c r="T179" s="5">
        <f>MEDIAN(-6,Q179+(C179-R179)/MAX(R179-S179,0.000000001),6)</f>
        <v/>
      </c>
      <c r="U179" s="5">
        <f>SUMPRODUCT(('01_Data'!$B179:$AW179&lt;&gt;"")*(1/(1+EXP(-(T179-'03_Lap_b'!$B$30:$AW$30)))))</f>
        <v/>
      </c>
      <c r="V179" s="5">
        <f>SUMPRODUCT(('01_Data'!$B179:$AW179&lt;&gt;"")*(1/(1+EXP(-(T179-'03_Lap_b'!$B$30:$AW$30))))^2)</f>
        <v/>
      </c>
      <c r="W179" s="5">
        <f>MEDIAN(-6,T179+(C179-U179)/MAX(U179-V179,0.000000001),6)</f>
        <v/>
      </c>
      <c r="X179" s="5">
        <f>SUMPRODUCT(('01_Data'!$B179:$AW179&lt;&gt;"")*(1/(1+EXP(-(W179-'03_Lap_b'!$B$35:$AW$35)))))</f>
        <v/>
      </c>
      <c r="Y179" s="5">
        <f>SUMPRODUCT(('01_Data'!$B179:$AW179&lt;&gt;"")*(1/(1+EXP(-(W179-'03_Lap_b'!$B$35:$AW$35))))^2)</f>
        <v/>
      </c>
      <c r="Z179" s="5">
        <f>MEDIAN(-6,W179+(C179-X179)/MAX(X179-Y179,0.000000001),6)</f>
        <v/>
      </c>
      <c r="AA179" s="5">
        <f>SUMPRODUCT(('01_Data'!$B179:$AW179&lt;&gt;"")*(1/(1+EXP(-(Z179-'03_Lap_b'!$B$40:$AW$40)))))</f>
        <v/>
      </c>
      <c r="AB179" s="5">
        <f>SUMPRODUCT(('01_Data'!$B179:$AW179&lt;&gt;"")*(1/(1+EXP(-(Z179-'03_Lap_b'!$B$40:$AW$40))))^2)</f>
        <v/>
      </c>
      <c r="AC179" s="5">
        <f>MEDIAN(-6,Z179+(C179-AA179)/MAX(AA179-AB179,0.000000001),6)</f>
        <v/>
      </c>
    </row>
    <row r="180">
      <c r="A180" t="n">
        <v>179</v>
      </c>
      <c r="B180">
        <f>'01_Data'!A180</f>
        <v/>
      </c>
      <c r="C180">
        <f>SUM('01_Data'!$B180:$AW180)</f>
        <v/>
      </c>
      <c r="D180">
        <f>COUNT('01_Data'!$B180:$AW180)</f>
        <v/>
      </c>
      <c r="E180" s="5">
        <f>MEDIAN(-6,LN((C180+0.3)/(D180-C180+0.3)),6)</f>
        <v/>
      </c>
      <c r="F180" s="5">
        <f>SUMPRODUCT(('01_Data'!$B180:$AW180&lt;&gt;"")*(1/(1+EXP(-(E180-'03_Lap_b'!$B$5:$AW$5)))))</f>
        <v/>
      </c>
      <c r="G180" s="5">
        <f>SUMPRODUCT(('01_Data'!$B180:$AW180&lt;&gt;"")*(1/(1+EXP(-(E180-'03_Lap_b'!$B$5:$AW$5))))^2)</f>
        <v/>
      </c>
      <c r="H180" s="5">
        <f>MEDIAN(-6,E180+(C180-F180)/MAX(F180-G180,0.000000001),6)</f>
        <v/>
      </c>
      <c r="I180" s="5">
        <f>SUMPRODUCT(('01_Data'!$B180:$AW180&lt;&gt;"")*(1/(1+EXP(-(H180-'03_Lap_b'!$B$10:$AW$10)))))</f>
        <v/>
      </c>
      <c r="J180" s="5">
        <f>SUMPRODUCT(('01_Data'!$B180:$AW180&lt;&gt;"")*(1/(1+EXP(-(H180-'03_Lap_b'!$B$10:$AW$10))))^2)</f>
        <v/>
      </c>
      <c r="K180" s="5">
        <f>MEDIAN(-6,H180+(C180-I180)/MAX(I180-J180,0.000000001),6)</f>
        <v/>
      </c>
      <c r="L180" s="5">
        <f>SUMPRODUCT(('01_Data'!$B180:$AW180&lt;&gt;"")*(1/(1+EXP(-(K180-'03_Lap_b'!$B$15:$AW$15)))))</f>
        <v/>
      </c>
      <c r="M180" s="5">
        <f>SUMPRODUCT(('01_Data'!$B180:$AW180&lt;&gt;"")*(1/(1+EXP(-(K180-'03_Lap_b'!$B$15:$AW$15))))^2)</f>
        <v/>
      </c>
      <c r="N180" s="5">
        <f>MEDIAN(-6,K180+(C180-L180)/MAX(L180-M180,0.000000001),6)</f>
        <v/>
      </c>
      <c r="O180" s="5">
        <f>SUMPRODUCT(('01_Data'!$B180:$AW180&lt;&gt;"")*(1/(1+EXP(-(N180-'03_Lap_b'!$B$20:$AW$20)))))</f>
        <v/>
      </c>
      <c r="P180" s="5">
        <f>SUMPRODUCT(('01_Data'!$B180:$AW180&lt;&gt;"")*(1/(1+EXP(-(N180-'03_Lap_b'!$B$20:$AW$20))))^2)</f>
        <v/>
      </c>
      <c r="Q180" s="5">
        <f>MEDIAN(-6,N180+(C180-O180)/MAX(O180-P180,0.000000001),6)</f>
        <v/>
      </c>
      <c r="R180" s="5">
        <f>SUMPRODUCT(('01_Data'!$B180:$AW180&lt;&gt;"")*(1/(1+EXP(-(Q180-'03_Lap_b'!$B$25:$AW$25)))))</f>
        <v/>
      </c>
      <c r="S180" s="5">
        <f>SUMPRODUCT(('01_Data'!$B180:$AW180&lt;&gt;"")*(1/(1+EXP(-(Q180-'03_Lap_b'!$B$25:$AW$25))))^2)</f>
        <v/>
      </c>
      <c r="T180" s="5">
        <f>MEDIAN(-6,Q180+(C180-R180)/MAX(R180-S180,0.000000001),6)</f>
        <v/>
      </c>
      <c r="U180" s="5">
        <f>SUMPRODUCT(('01_Data'!$B180:$AW180&lt;&gt;"")*(1/(1+EXP(-(T180-'03_Lap_b'!$B$30:$AW$30)))))</f>
        <v/>
      </c>
      <c r="V180" s="5">
        <f>SUMPRODUCT(('01_Data'!$B180:$AW180&lt;&gt;"")*(1/(1+EXP(-(T180-'03_Lap_b'!$B$30:$AW$30))))^2)</f>
        <v/>
      </c>
      <c r="W180" s="5">
        <f>MEDIAN(-6,T180+(C180-U180)/MAX(U180-V180,0.000000001),6)</f>
        <v/>
      </c>
      <c r="X180" s="5">
        <f>SUMPRODUCT(('01_Data'!$B180:$AW180&lt;&gt;"")*(1/(1+EXP(-(W180-'03_Lap_b'!$B$35:$AW$35)))))</f>
        <v/>
      </c>
      <c r="Y180" s="5">
        <f>SUMPRODUCT(('01_Data'!$B180:$AW180&lt;&gt;"")*(1/(1+EXP(-(W180-'03_Lap_b'!$B$35:$AW$35))))^2)</f>
        <v/>
      </c>
      <c r="Z180" s="5">
        <f>MEDIAN(-6,W180+(C180-X180)/MAX(X180-Y180,0.000000001),6)</f>
        <v/>
      </c>
      <c r="AA180" s="5">
        <f>SUMPRODUCT(('01_Data'!$B180:$AW180&lt;&gt;"")*(1/(1+EXP(-(Z180-'03_Lap_b'!$B$40:$AW$40)))))</f>
        <v/>
      </c>
      <c r="AB180" s="5">
        <f>SUMPRODUCT(('01_Data'!$B180:$AW180&lt;&gt;"")*(1/(1+EXP(-(Z180-'03_Lap_b'!$B$40:$AW$40))))^2)</f>
        <v/>
      </c>
      <c r="AC180" s="5">
        <f>MEDIAN(-6,Z180+(C180-AA180)/MAX(AA180-AB180,0.000000001),6)</f>
        <v/>
      </c>
    </row>
    <row r="181">
      <c r="A181" t="n">
        <v>180</v>
      </c>
      <c r="B181">
        <f>'01_Data'!A181</f>
        <v/>
      </c>
      <c r="C181">
        <f>SUM('01_Data'!$B181:$AW181)</f>
        <v/>
      </c>
      <c r="D181">
        <f>COUNT('01_Data'!$B181:$AW181)</f>
        <v/>
      </c>
      <c r="E181" s="5">
        <f>MEDIAN(-6,LN((C181+0.3)/(D181-C181+0.3)),6)</f>
        <v/>
      </c>
      <c r="F181" s="5">
        <f>SUMPRODUCT(('01_Data'!$B181:$AW181&lt;&gt;"")*(1/(1+EXP(-(E181-'03_Lap_b'!$B$5:$AW$5)))))</f>
        <v/>
      </c>
      <c r="G181" s="5">
        <f>SUMPRODUCT(('01_Data'!$B181:$AW181&lt;&gt;"")*(1/(1+EXP(-(E181-'03_Lap_b'!$B$5:$AW$5))))^2)</f>
        <v/>
      </c>
      <c r="H181" s="5">
        <f>MEDIAN(-6,E181+(C181-F181)/MAX(F181-G181,0.000000001),6)</f>
        <v/>
      </c>
      <c r="I181" s="5">
        <f>SUMPRODUCT(('01_Data'!$B181:$AW181&lt;&gt;"")*(1/(1+EXP(-(H181-'03_Lap_b'!$B$10:$AW$10)))))</f>
        <v/>
      </c>
      <c r="J181" s="5">
        <f>SUMPRODUCT(('01_Data'!$B181:$AW181&lt;&gt;"")*(1/(1+EXP(-(H181-'03_Lap_b'!$B$10:$AW$10))))^2)</f>
        <v/>
      </c>
      <c r="K181" s="5">
        <f>MEDIAN(-6,H181+(C181-I181)/MAX(I181-J181,0.000000001),6)</f>
        <v/>
      </c>
      <c r="L181" s="5">
        <f>SUMPRODUCT(('01_Data'!$B181:$AW181&lt;&gt;"")*(1/(1+EXP(-(K181-'03_Lap_b'!$B$15:$AW$15)))))</f>
        <v/>
      </c>
      <c r="M181" s="5">
        <f>SUMPRODUCT(('01_Data'!$B181:$AW181&lt;&gt;"")*(1/(1+EXP(-(K181-'03_Lap_b'!$B$15:$AW$15))))^2)</f>
        <v/>
      </c>
      <c r="N181" s="5">
        <f>MEDIAN(-6,K181+(C181-L181)/MAX(L181-M181,0.000000001),6)</f>
        <v/>
      </c>
      <c r="O181" s="5">
        <f>SUMPRODUCT(('01_Data'!$B181:$AW181&lt;&gt;"")*(1/(1+EXP(-(N181-'03_Lap_b'!$B$20:$AW$20)))))</f>
        <v/>
      </c>
      <c r="P181" s="5">
        <f>SUMPRODUCT(('01_Data'!$B181:$AW181&lt;&gt;"")*(1/(1+EXP(-(N181-'03_Lap_b'!$B$20:$AW$20))))^2)</f>
        <v/>
      </c>
      <c r="Q181" s="5">
        <f>MEDIAN(-6,N181+(C181-O181)/MAX(O181-P181,0.000000001),6)</f>
        <v/>
      </c>
      <c r="R181" s="5">
        <f>SUMPRODUCT(('01_Data'!$B181:$AW181&lt;&gt;"")*(1/(1+EXP(-(Q181-'03_Lap_b'!$B$25:$AW$25)))))</f>
        <v/>
      </c>
      <c r="S181" s="5">
        <f>SUMPRODUCT(('01_Data'!$B181:$AW181&lt;&gt;"")*(1/(1+EXP(-(Q181-'03_Lap_b'!$B$25:$AW$25))))^2)</f>
        <v/>
      </c>
      <c r="T181" s="5">
        <f>MEDIAN(-6,Q181+(C181-R181)/MAX(R181-S181,0.000000001),6)</f>
        <v/>
      </c>
      <c r="U181" s="5">
        <f>SUMPRODUCT(('01_Data'!$B181:$AW181&lt;&gt;"")*(1/(1+EXP(-(T181-'03_Lap_b'!$B$30:$AW$30)))))</f>
        <v/>
      </c>
      <c r="V181" s="5">
        <f>SUMPRODUCT(('01_Data'!$B181:$AW181&lt;&gt;"")*(1/(1+EXP(-(T181-'03_Lap_b'!$B$30:$AW$30))))^2)</f>
        <v/>
      </c>
      <c r="W181" s="5">
        <f>MEDIAN(-6,T181+(C181-U181)/MAX(U181-V181,0.000000001),6)</f>
        <v/>
      </c>
      <c r="X181" s="5">
        <f>SUMPRODUCT(('01_Data'!$B181:$AW181&lt;&gt;"")*(1/(1+EXP(-(W181-'03_Lap_b'!$B$35:$AW$35)))))</f>
        <v/>
      </c>
      <c r="Y181" s="5">
        <f>SUMPRODUCT(('01_Data'!$B181:$AW181&lt;&gt;"")*(1/(1+EXP(-(W181-'03_Lap_b'!$B$35:$AW$35))))^2)</f>
        <v/>
      </c>
      <c r="Z181" s="5">
        <f>MEDIAN(-6,W181+(C181-X181)/MAX(X181-Y181,0.000000001),6)</f>
        <v/>
      </c>
      <c r="AA181" s="5">
        <f>SUMPRODUCT(('01_Data'!$B181:$AW181&lt;&gt;"")*(1/(1+EXP(-(Z181-'03_Lap_b'!$B$40:$AW$40)))))</f>
        <v/>
      </c>
      <c r="AB181" s="5">
        <f>SUMPRODUCT(('01_Data'!$B181:$AW181&lt;&gt;"")*(1/(1+EXP(-(Z181-'03_Lap_b'!$B$40:$AW$40))))^2)</f>
        <v/>
      </c>
      <c r="AC181" s="5">
        <f>MEDIAN(-6,Z181+(C181-AA181)/MAX(AA181-AB181,0.000000001),6)</f>
        <v/>
      </c>
    </row>
    <row r="182">
      <c r="A182" t="n">
        <v>181</v>
      </c>
      <c r="B182">
        <f>'01_Data'!A182</f>
        <v/>
      </c>
      <c r="C182">
        <f>SUM('01_Data'!$B182:$AW182)</f>
        <v/>
      </c>
      <c r="D182">
        <f>COUNT('01_Data'!$B182:$AW182)</f>
        <v/>
      </c>
      <c r="E182" s="5">
        <f>MEDIAN(-6,LN((C182+0.3)/(D182-C182+0.3)),6)</f>
        <v/>
      </c>
      <c r="F182" s="5">
        <f>SUMPRODUCT(('01_Data'!$B182:$AW182&lt;&gt;"")*(1/(1+EXP(-(E182-'03_Lap_b'!$B$5:$AW$5)))))</f>
        <v/>
      </c>
      <c r="G182" s="5">
        <f>SUMPRODUCT(('01_Data'!$B182:$AW182&lt;&gt;"")*(1/(1+EXP(-(E182-'03_Lap_b'!$B$5:$AW$5))))^2)</f>
        <v/>
      </c>
      <c r="H182" s="5">
        <f>MEDIAN(-6,E182+(C182-F182)/MAX(F182-G182,0.000000001),6)</f>
        <v/>
      </c>
      <c r="I182" s="5">
        <f>SUMPRODUCT(('01_Data'!$B182:$AW182&lt;&gt;"")*(1/(1+EXP(-(H182-'03_Lap_b'!$B$10:$AW$10)))))</f>
        <v/>
      </c>
      <c r="J182" s="5">
        <f>SUMPRODUCT(('01_Data'!$B182:$AW182&lt;&gt;"")*(1/(1+EXP(-(H182-'03_Lap_b'!$B$10:$AW$10))))^2)</f>
        <v/>
      </c>
      <c r="K182" s="5">
        <f>MEDIAN(-6,H182+(C182-I182)/MAX(I182-J182,0.000000001),6)</f>
        <v/>
      </c>
      <c r="L182" s="5">
        <f>SUMPRODUCT(('01_Data'!$B182:$AW182&lt;&gt;"")*(1/(1+EXP(-(K182-'03_Lap_b'!$B$15:$AW$15)))))</f>
        <v/>
      </c>
      <c r="M182" s="5">
        <f>SUMPRODUCT(('01_Data'!$B182:$AW182&lt;&gt;"")*(1/(1+EXP(-(K182-'03_Lap_b'!$B$15:$AW$15))))^2)</f>
        <v/>
      </c>
      <c r="N182" s="5">
        <f>MEDIAN(-6,K182+(C182-L182)/MAX(L182-M182,0.000000001),6)</f>
        <v/>
      </c>
      <c r="O182" s="5">
        <f>SUMPRODUCT(('01_Data'!$B182:$AW182&lt;&gt;"")*(1/(1+EXP(-(N182-'03_Lap_b'!$B$20:$AW$20)))))</f>
        <v/>
      </c>
      <c r="P182" s="5">
        <f>SUMPRODUCT(('01_Data'!$B182:$AW182&lt;&gt;"")*(1/(1+EXP(-(N182-'03_Lap_b'!$B$20:$AW$20))))^2)</f>
        <v/>
      </c>
      <c r="Q182" s="5">
        <f>MEDIAN(-6,N182+(C182-O182)/MAX(O182-P182,0.000000001),6)</f>
        <v/>
      </c>
      <c r="R182" s="5">
        <f>SUMPRODUCT(('01_Data'!$B182:$AW182&lt;&gt;"")*(1/(1+EXP(-(Q182-'03_Lap_b'!$B$25:$AW$25)))))</f>
        <v/>
      </c>
      <c r="S182" s="5">
        <f>SUMPRODUCT(('01_Data'!$B182:$AW182&lt;&gt;"")*(1/(1+EXP(-(Q182-'03_Lap_b'!$B$25:$AW$25))))^2)</f>
        <v/>
      </c>
      <c r="T182" s="5">
        <f>MEDIAN(-6,Q182+(C182-R182)/MAX(R182-S182,0.000000001),6)</f>
        <v/>
      </c>
      <c r="U182" s="5">
        <f>SUMPRODUCT(('01_Data'!$B182:$AW182&lt;&gt;"")*(1/(1+EXP(-(T182-'03_Lap_b'!$B$30:$AW$30)))))</f>
        <v/>
      </c>
      <c r="V182" s="5">
        <f>SUMPRODUCT(('01_Data'!$B182:$AW182&lt;&gt;"")*(1/(1+EXP(-(T182-'03_Lap_b'!$B$30:$AW$30))))^2)</f>
        <v/>
      </c>
      <c r="W182" s="5">
        <f>MEDIAN(-6,T182+(C182-U182)/MAX(U182-V182,0.000000001),6)</f>
        <v/>
      </c>
      <c r="X182" s="5">
        <f>SUMPRODUCT(('01_Data'!$B182:$AW182&lt;&gt;"")*(1/(1+EXP(-(W182-'03_Lap_b'!$B$35:$AW$35)))))</f>
        <v/>
      </c>
      <c r="Y182" s="5">
        <f>SUMPRODUCT(('01_Data'!$B182:$AW182&lt;&gt;"")*(1/(1+EXP(-(W182-'03_Lap_b'!$B$35:$AW$35))))^2)</f>
        <v/>
      </c>
      <c r="Z182" s="5">
        <f>MEDIAN(-6,W182+(C182-X182)/MAX(X182-Y182,0.000000001),6)</f>
        <v/>
      </c>
      <c r="AA182" s="5">
        <f>SUMPRODUCT(('01_Data'!$B182:$AW182&lt;&gt;"")*(1/(1+EXP(-(Z182-'03_Lap_b'!$B$40:$AW$40)))))</f>
        <v/>
      </c>
      <c r="AB182" s="5">
        <f>SUMPRODUCT(('01_Data'!$B182:$AW182&lt;&gt;"")*(1/(1+EXP(-(Z182-'03_Lap_b'!$B$40:$AW$40))))^2)</f>
        <v/>
      </c>
      <c r="AC182" s="5">
        <f>MEDIAN(-6,Z182+(C182-AA182)/MAX(AA182-AB182,0.000000001),6)</f>
        <v/>
      </c>
    </row>
    <row r="183">
      <c r="A183" t="n">
        <v>182</v>
      </c>
      <c r="B183">
        <f>'01_Data'!A183</f>
        <v/>
      </c>
      <c r="C183">
        <f>SUM('01_Data'!$B183:$AW183)</f>
        <v/>
      </c>
      <c r="D183">
        <f>COUNT('01_Data'!$B183:$AW183)</f>
        <v/>
      </c>
      <c r="E183" s="5">
        <f>MEDIAN(-6,LN((C183+0.3)/(D183-C183+0.3)),6)</f>
        <v/>
      </c>
      <c r="F183" s="5">
        <f>SUMPRODUCT(('01_Data'!$B183:$AW183&lt;&gt;"")*(1/(1+EXP(-(E183-'03_Lap_b'!$B$5:$AW$5)))))</f>
        <v/>
      </c>
      <c r="G183" s="5">
        <f>SUMPRODUCT(('01_Data'!$B183:$AW183&lt;&gt;"")*(1/(1+EXP(-(E183-'03_Lap_b'!$B$5:$AW$5))))^2)</f>
        <v/>
      </c>
      <c r="H183" s="5">
        <f>MEDIAN(-6,E183+(C183-F183)/MAX(F183-G183,0.000000001),6)</f>
        <v/>
      </c>
      <c r="I183" s="5">
        <f>SUMPRODUCT(('01_Data'!$B183:$AW183&lt;&gt;"")*(1/(1+EXP(-(H183-'03_Lap_b'!$B$10:$AW$10)))))</f>
        <v/>
      </c>
      <c r="J183" s="5">
        <f>SUMPRODUCT(('01_Data'!$B183:$AW183&lt;&gt;"")*(1/(1+EXP(-(H183-'03_Lap_b'!$B$10:$AW$10))))^2)</f>
        <v/>
      </c>
      <c r="K183" s="5">
        <f>MEDIAN(-6,H183+(C183-I183)/MAX(I183-J183,0.000000001),6)</f>
        <v/>
      </c>
      <c r="L183" s="5">
        <f>SUMPRODUCT(('01_Data'!$B183:$AW183&lt;&gt;"")*(1/(1+EXP(-(K183-'03_Lap_b'!$B$15:$AW$15)))))</f>
        <v/>
      </c>
      <c r="M183" s="5">
        <f>SUMPRODUCT(('01_Data'!$B183:$AW183&lt;&gt;"")*(1/(1+EXP(-(K183-'03_Lap_b'!$B$15:$AW$15))))^2)</f>
        <v/>
      </c>
      <c r="N183" s="5">
        <f>MEDIAN(-6,K183+(C183-L183)/MAX(L183-M183,0.000000001),6)</f>
        <v/>
      </c>
      <c r="O183" s="5">
        <f>SUMPRODUCT(('01_Data'!$B183:$AW183&lt;&gt;"")*(1/(1+EXP(-(N183-'03_Lap_b'!$B$20:$AW$20)))))</f>
        <v/>
      </c>
      <c r="P183" s="5">
        <f>SUMPRODUCT(('01_Data'!$B183:$AW183&lt;&gt;"")*(1/(1+EXP(-(N183-'03_Lap_b'!$B$20:$AW$20))))^2)</f>
        <v/>
      </c>
      <c r="Q183" s="5">
        <f>MEDIAN(-6,N183+(C183-O183)/MAX(O183-P183,0.000000001),6)</f>
        <v/>
      </c>
      <c r="R183" s="5">
        <f>SUMPRODUCT(('01_Data'!$B183:$AW183&lt;&gt;"")*(1/(1+EXP(-(Q183-'03_Lap_b'!$B$25:$AW$25)))))</f>
        <v/>
      </c>
      <c r="S183" s="5">
        <f>SUMPRODUCT(('01_Data'!$B183:$AW183&lt;&gt;"")*(1/(1+EXP(-(Q183-'03_Lap_b'!$B$25:$AW$25))))^2)</f>
        <v/>
      </c>
      <c r="T183" s="5">
        <f>MEDIAN(-6,Q183+(C183-R183)/MAX(R183-S183,0.000000001),6)</f>
        <v/>
      </c>
      <c r="U183" s="5">
        <f>SUMPRODUCT(('01_Data'!$B183:$AW183&lt;&gt;"")*(1/(1+EXP(-(T183-'03_Lap_b'!$B$30:$AW$30)))))</f>
        <v/>
      </c>
      <c r="V183" s="5">
        <f>SUMPRODUCT(('01_Data'!$B183:$AW183&lt;&gt;"")*(1/(1+EXP(-(T183-'03_Lap_b'!$B$30:$AW$30))))^2)</f>
        <v/>
      </c>
      <c r="W183" s="5">
        <f>MEDIAN(-6,T183+(C183-U183)/MAX(U183-V183,0.000000001),6)</f>
        <v/>
      </c>
      <c r="X183" s="5">
        <f>SUMPRODUCT(('01_Data'!$B183:$AW183&lt;&gt;"")*(1/(1+EXP(-(W183-'03_Lap_b'!$B$35:$AW$35)))))</f>
        <v/>
      </c>
      <c r="Y183" s="5">
        <f>SUMPRODUCT(('01_Data'!$B183:$AW183&lt;&gt;"")*(1/(1+EXP(-(W183-'03_Lap_b'!$B$35:$AW$35))))^2)</f>
        <v/>
      </c>
      <c r="Z183" s="5">
        <f>MEDIAN(-6,W183+(C183-X183)/MAX(X183-Y183,0.000000001),6)</f>
        <v/>
      </c>
      <c r="AA183" s="5">
        <f>SUMPRODUCT(('01_Data'!$B183:$AW183&lt;&gt;"")*(1/(1+EXP(-(Z183-'03_Lap_b'!$B$40:$AW$40)))))</f>
        <v/>
      </c>
      <c r="AB183" s="5">
        <f>SUMPRODUCT(('01_Data'!$B183:$AW183&lt;&gt;"")*(1/(1+EXP(-(Z183-'03_Lap_b'!$B$40:$AW$40))))^2)</f>
        <v/>
      </c>
      <c r="AC183" s="5">
        <f>MEDIAN(-6,Z183+(C183-AA183)/MAX(AA183-AB183,0.000000001),6)</f>
        <v/>
      </c>
    </row>
    <row r="184">
      <c r="A184" t="n">
        <v>183</v>
      </c>
      <c r="B184">
        <f>'01_Data'!A184</f>
        <v/>
      </c>
      <c r="C184">
        <f>SUM('01_Data'!$B184:$AW184)</f>
        <v/>
      </c>
      <c r="D184">
        <f>COUNT('01_Data'!$B184:$AW184)</f>
        <v/>
      </c>
      <c r="E184" s="5">
        <f>MEDIAN(-6,LN((C184+0.3)/(D184-C184+0.3)),6)</f>
        <v/>
      </c>
      <c r="F184" s="5">
        <f>SUMPRODUCT(('01_Data'!$B184:$AW184&lt;&gt;"")*(1/(1+EXP(-(E184-'03_Lap_b'!$B$5:$AW$5)))))</f>
        <v/>
      </c>
      <c r="G184" s="5">
        <f>SUMPRODUCT(('01_Data'!$B184:$AW184&lt;&gt;"")*(1/(1+EXP(-(E184-'03_Lap_b'!$B$5:$AW$5))))^2)</f>
        <v/>
      </c>
      <c r="H184" s="5">
        <f>MEDIAN(-6,E184+(C184-F184)/MAX(F184-G184,0.000000001),6)</f>
        <v/>
      </c>
      <c r="I184" s="5">
        <f>SUMPRODUCT(('01_Data'!$B184:$AW184&lt;&gt;"")*(1/(1+EXP(-(H184-'03_Lap_b'!$B$10:$AW$10)))))</f>
        <v/>
      </c>
      <c r="J184" s="5">
        <f>SUMPRODUCT(('01_Data'!$B184:$AW184&lt;&gt;"")*(1/(1+EXP(-(H184-'03_Lap_b'!$B$10:$AW$10))))^2)</f>
        <v/>
      </c>
      <c r="K184" s="5">
        <f>MEDIAN(-6,H184+(C184-I184)/MAX(I184-J184,0.000000001),6)</f>
        <v/>
      </c>
      <c r="L184" s="5">
        <f>SUMPRODUCT(('01_Data'!$B184:$AW184&lt;&gt;"")*(1/(1+EXP(-(K184-'03_Lap_b'!$B$15:$AW$15)))))</f>
        <v/>
      </c>
      <c r="M184" s="5">
        <f>SUMPRODUCT(('01_Data'!$B184:$AW184&lt;&gt;"")*(1/(1+EXP(-(K184-'03_Lap_b'!$B$15:$AW$15))))^2)</f>
        <v/>
      </c>
      <c r="N184" s="5">
        <f>MEDIAN(-6,K184+(C184-L184)/MAX(L184-M184,0.000000001),6)</f>
        <v/>
      </c>
      <c r="O184" s="5">
        <f>SUMPRODUCT(('01_Data'!$B184:$AW184&lt;&gt;"")*(1/(1+EXP(-(N184-'03_Lap_b'!$B$20:$AW$20)))))</f>
        <v/>
      </c>
      <c r="P184" s="5">
        <f>SUMPRODUCT(('01_Data'!$B184:$AW184&lt;&gt;"")*(1/(1+EXP(-(N184-'03_Lap_b'!$B$20:$AW$20))))^2)</f>
        <v/>
      </c>
      <c r="Q184" s="5">
        <f>MEDIAN(-6,N184+(C184-O184)/MAX(O184-P184,0.000000001),6)</f>
        <v/>
      </c>
      <c r="R184" s="5">
        <f>SUMPRODUCT(('01_Data'!$B184:$AW184&lt;&gt;"")*(1/(1+EXP(-(Q184-'03_Lap_b'!$B$25:$AW$25)))))</f>
        <v/>
      </c>
      <c r="S184" s="5">
        <f>SUMPRODUCT(('01_Data'!$B184:$AW184&lt;&gt;"")*(1/(1+EXP(-(Q184-'03_Lap_b'!$B$25:$AW$25))))^2)</f>
        <v/>
      </c>
      <c r="T184" s="5">
        <f>MEDIAN(-6,Q184+(C184-R184)/MAX(R184-S184,0.000000001),6)</f>
        <v/>
      </c>
      <c r="U184" s="5">
        <f>SUMPRODUCT(('01_Data'!$B184:$AW184&lt;&gt;"")*(1/(1+EXP(-(T184-'03_Lap_b'!$B$30:$AW$30)))))</f>
        <v/>
      </c>
      <c r="V184" s="5">
        <f>SUMPRODUCT(('01_Data'!$B184:$AW184&lt;&gt;"")*(1/(1+EXP(-(T184-'03_Lap_b'!$B$30:$AW$30))))^2)</f>
        <v/>
      </c>
      <c r="W184" s="5">
        <f>MEDIAN(-6,T184+(C184-U184)/MAX(U184-V184,0.000000001),6)</f>
        <v/>
      </c>
      <c r="X184" s="5">
        <f>SUMPRODUCT(('01_Data'!$B184:$AW184&lt;&gt;"")*(1/(1+EXP(-(W184-'03_Lap_b'!$B$35:$AW$35)))))</f>
        <v/>
      </c>
      <c r="Y184" s="5">
        <f>SUMPRODUCT(('01_Data'!$B184:$AW184&lt;&gt;"")*(1/(1+EXP(-(W184-'03_Lap_b'!$B$35:$AW$35))))^2)</f>
        <v/>
      </c>
      <c r="Z184" s="5">
        <f>MEDIAN(-6,W184+(C184-X184)/MAX(X184-Y184,0.000000001),6)</f>
        <v/>
      </c>
      <c r="AA184" s="5">
        <f>SUMPRODUCT(('01_Data'!$B184:$AW184&lt;&gt;"")*(1/(1+EXP(-(Z184-'03_Lap_b'!$B$40:$AW$40)))))</f>
        <v/>
      </c>
      <c r="AB184" s="5">
        <f>SUMPRODUCT(('01_Data'!$B184:$AW184&lt;&gt;"")*(1/(1+EXP(-(Z184-'03_Lap_b'!$B$40:$AW$40))))^2)</f>
        <v/>
      </c>
      <c r="AC184" s="5">
        <f>MEDIAN(-6,Z184+(C184-AA184)/MAX(AA184-AB184,0.000000001),6)</f>
        <v/>
      </c>
    </row>
    <row r="185">
      <c r="A185" t="n">
        <v>184</v>
      </c>
      <c r="B185">
        <f>'01_Data'!A185</f>
        <v/>
      </c>
      <c r="C185">
        <f>SUM('01_Data'!$B185:$AW185)</f>
        <v/>
      </c>
      <c r="D185">
        <f>COUNT('01_Data'!$B185:$AW185)</f>
        <v/>
      </c>
      <c r="E185" s="5">
        <f>MEDIAN(-6,LN((C185+0.3)/(D185-C185+0.3)),6)</f>
        <v/>
      </c>
      <c r="F185" s="5">
        <f>SUMPRODUCT(('01_Data'!$B185:$AW185&lt;&gt;"")*(1/(1+EXP(-(E185-'03_Lap_b'!$B$5:$AW$5)))))</f>
        <v/>
      </c>
      <c r="G185" s="5">
        <f>SUMPRODUCT(('01_Data'!$B185:$AW185&lt;&gt;"")*(1/(1+EXP(-(E185-'03_Lap_b'!$B$5:$AW$5))))^2)</f>
        <v/>
      </c>
      <c r="H185" s="5">
        <f>MEDIAN(-6,E185+(C185-F185)/MAX(F185-G185,0.000000001),6)</f>
        <v/>
      </c>
      <c r="I185" s="5">
        <f>SUMPRODUCT(('01_Data'!$B185:$AW185&lt;&gt;"")*(1/(1+EXP(-(H185-'03_Lap_b'!$B$10:$AW$10)))))</f>
        <v/>
      </c>
      <c r="J185" s="5">
        <f>SUMPRODUCT(('01_Data'!$B185:$AW185&lt;&gt;"")*(1/(1+EXP(-(H185-'03_Lap_b'!$B$10:$AW$10))))^2)</f>
        <v/>
      </c>
      <c r="K185" s="5">
        <f>MEDIAN(-6,H185+(C185-I185)/MAX(I185-J185,0.000000001),6)</f>
        <v/>
      </c>
      <c r="L185" s="5">
        <f>SUMPRODUCT(('01_Data'!$B185:$AW185&lt;&gt;"")*(1/(1+EXP(-(K185-'03_Lap_b'!$B$15:$AW$15)))))</f>
        <v/>
      </c>
      <c r="M185" s="5">
        <f>SUMPRODUCT(('01_Data'!$B185:$AW185&lt;&gt;"")*(1/(1+EXP(-(K185-'03_Lap_b'!$B$15:$AW$15))))^2)</f>
        <v/>
      </c>
      <c r="N185" s="5">
        <f>MEDIAN(-6,K185+(C185-L185)/MAX(L185-M185,0.000000001),6)</f>
        <v/>
      </c>
      <c r="O185" s="5">
        <f>SUMPRODUCT(('01_Data'!$B185:$AW185&lt;&gt;"")*(1/(1+EXP(-(N185-'03_Lap_b'!$B$20:$AW$20)))))</f>
        <v/>
      </c>
      <c r="P185" s="5">
        <f>SUMPRODUCT(('01_Data'!$B185:$AW185&lt;&gt;"")*(1/(1+EXP(-(N185-'03_Lap_b'!$B$20:$AW$20))))^2)</f>
        <v/>
      </c>
      <c r="Q185" s="5">
        <f>MEDIAN(-6,N185+(C185-O185)/MAX(O185-P185,0.000000001),6)</f>
        <v/>
      </c>
      <c r="R185" s="5">
        <f>SUMPRODUCT(('01_Data'!$B185:$AW185&lt;&gt;"")*(1/(1+EXP(-(Q185-'03_Lap_b'!$B$25:$AW$25)))))</f>
        <v/>
      </c>
      <c r="S185" s="5">
        <f>SUMPRODUCT(('01_Data'!$B185:$AW185&lt;&gt;"")*(1/(1+EXP(-(Q185-'03_Lap_b'!$B$25:$AW$25))))^2)</f>
        <v/>
      </c>
      <c r="T185" s="5">
        <f>MEDIAN(-6,Q185+(C185-R185)/MAX(R185-S185,0.000000001),6)</f>
        <v/>
      </c>
      <c r="U185" s="5">
        <f>SUMPRODUCT(('01_Data'!$B185:$AW185&lt;&gt;"")*(1/(1+EXP(-(T185-'03_Lap_b'!$B$30:$AW$30)))))</f>
        <v/>
      </c>
      <c r="V185" s="5">
        <f>SUMPRODUCT(('01_Data'!$B185:$AW185&lt;&gt;"")*(1/(1+EXP(-(T185-'03_Lap_b'!$B$30:$AW$30))))^2)</f>
        <v/>
      </c>
      <c r="W185" s="5">
        <f>MEDIAN(-6,T185+(C185-U185)/MAX(U185-V185,0.000000001),6)</f>
        <v/>
      </c>
      <c r="X185" s="5">
        <f>SUMPRODUCT(('01_Data'!$B185:$AW185&lt;&gt;"")*(1/(1+EXP(-(W185-'03_Lap_b'!$B$35:$AW$35)))))</f>
        <v/>
      </c>
      <c r="Y185" s="5">
        <f>SUMPRODUCT(('01_Data'!$B185:$AW185&lt;&gt;"")*(1/(1+EXP(-(W185-'03_Lap_b'!$B$35:$AW$35))))^2)</f>
        <v/>
      </c>
      <c r="Z185" s="5">
        <f>MEDIAN(-6,W185+(C185-X185)/MAX(X185-Y185,0.000000001),6)</f>
        <v/>
      </c>
      <c r="AA185" s="5">
        <f>SUMPRODUCT(('01_Data'!$B185:$AW185&lt;&gt;"")*(1/(1+EXP(-(Z185-'03_Lap_b'!$B$40:$AW$40)))))</f>
        <v/>
      </c>
      <c r="AB185" s="5">
        <f>SUMPRODUCT(('01_Data'!$B185:$AW185&lt;&gt;"")*(1/(1+EXP(-(Z185-'03_Lap_b'!$B$40:$AW$40))))^2)</f>
        <v/>
      </c>
      <c r="AC185" s="5">
        <f>MEDIAN(-6,Z185+(C185-AA185)/MAX(AA185-AB185,0.000000001),6)</f>
        <v/>
      </c>
    </row>
    <row r="186">
      <c r="A186" t="n">
        <v>185</v>
      </c>
      <c r="B186">
        <f>'01_Data'!A186</f>
        <v/>
      </c>
      <c r="C186">
        <f>SUM('01_Data'!$B186:$AW186)</f>
        <v/>
      </c>
      <c r="D186">
        <f>COUNT('01_Data'!$B186:$AW186)</f>
        <v/>
      </c>
      <c r="E186" s="5">
        <f>MEDIAN(-6,LN((C186+0.3)/(D186-C186+0.3)),6)</f>
        <v/>
      </c>
      <c r="F186" s="5">
        <f>SUMPRODUCT(('01_Data'!$B186:$AW186&lt;&gt;"")*(1/(1+EXP(-(E186-'03_Lap_b'!$B$5:$AW$5)))))</f>
        <v/>
      </c>
      <c r="G186" s="5">
        <f>SUMPRODUCT(('01_Data'!$B186:$AW186&lt;&gt;"")*(1/(1+EXP(-(E186-'03_Lap_b'!$B$5:$AW$5))))^2)</f>
        <v/>
      </c>
      <c r="H186" s="5">
        <f>MEDIAN(-6,E186+(C186-F186)/MAX(F186-G186,0.000000001),6)</f>
        <v/>
      </c>
      <c r="I186" s="5">
        <f>SUMPRODUCT(('01_Data'!$B186:$AW186&lt;&gt;"")*(1/(1+EXP(-(H186-'03_Lap_b'!$B$10:$AW$10)))))</f>
        <v/>
      </c>
      <c r="J186" s="5">
        <f>SUMPRODUCT(('01_Data'!$B186:$AW186&lt;&gt;"")*(1/(1+EXP(-(H186-'03_Lap_b'!$B$10:$AW$10))))^2)</f>
        <v/>
      </c>
      <c r="K186" s="5">
        <f>MEDIAN(-6,H186+(C186-I186)/MAX(I186-J186,0.000000001),6)</f>
        <v/>
      </c>
      <c r="L186" s="5">
        <f>SUMPRODUCT(('01_Data'!$B186:$AW186&lt;&gt;"")*(1/(1+EXP(-(K186-'03_Lap_b'!$B$15:$AW$15)))))</f>
        <v/>
      </c>
      <c r="M186" s="5">
        <f>SUMPRODUCT(('01_Data'!$B186:$AW186&lt;&gt;"")*(1/(1+EXP(-(K186-'03_Lap_b'!$B$15:$AW$15))))^2)</f>
        <v/>
      </c>
      <c r="N186" s="5">
        <f>MEDIAN(-6,K186+(C186-L186)/MAX(L186-M186,0.000000001),6)</f>
        <v/>
      </c>
      <c r="O186" s="5">
        <f>SUMPRODUCT(('01_Data'!$B186:$AW186&lt;&gt;"")*(1/(1+EXP(-(N186-'03_Lap_b'!$B$20:$AW$20)))))</f>
        <v/>
      </c>
      <c r="P186" s="5">
        <f>SUMPRODUCT(('01_Data'!$B186:$AW186&lt;&gt;"")*(1/(1+EXP(-(N186-'03_Lap_b'!$B$20:$AW$20))))^2)</f>
        <v/>
      </c>
      <c r="Q186" s="5">
        <f>MEDIAN(-6,N186+(C186-O186)/MAX(O186-P186,0.000000001),6)</f>
        <v/>
      </c>
      <c r="R186" s="5">
        <f>SUMPRODUCT(('01_Data'!$B186:$AW186&lt;&gt;"")*(1/(1+EXP(-(Q186-'03_Lap_b'!$B$25:$AW$25)))))</f>
        <v/>
      </c>
      <c r="S186" s="5">
        <f>SUMPRODUCT(('01_Data'!$B186:$AW186&lt;&gt;"")*(1/(1+EXP(-(Q186-'03_Lap_b'!$B$25:$AW$25))))^2)</f>
        <v/>
      </c>
      <c r="T186" s="5">
        <f>MEDIAN(-6,Q186+(C186-R186)/MAX(R186-S186,0.000000001),6)</f>
        <v/>
      </c>
      <c r="U186" s="5">
        <f>SUMPRODUCT(('01_Data'!$B186:$AW186&lt;&gt;"")*(1/(1+EXP(-(T186-'03_Lap_b'!$B$30:$AW$30)))))</f>
        <v/>
      </c>
      <c r="V186" s="5">
        <f>SUMPRODUCT(('01_Data'!$B186:$AW186&lt;&gt;"")*(1/(1+EXP(-(T186-'03_Lap_b'!$B$30:$AW$30))))^2)</f>
        <v/>
      </c>
      <c r="W186" s="5">
        <f>MEDIAN(-6,T186+(C186-U186)/MAX(U186-V186,0.000000001),6)</f>
        <v/>
      </c>
      <c r="X186" s="5">
        <f>SUMPRODUCT(('01_Data'!$B186:$AW186&lt;&gt;"")*(1/(1+EXP(-(W186-'03_Lap_b'!$B$35:$AW$35)))))</f>
        <v/>
      </c>
      <c r="Y186" s="5">
        <f>SUMPRODUCT(('01_Data'!$B186:$AW186&lt;&gt;"")*(1/(1+EXP(-(W186-'03_Lap_b'!$B$35:$AW$35))))^2)</f>
        <v/>
      </c>
      <c r="Z186" s="5">
        <f>MEDIAN(-6,W186+(C186-X186)/MAX(X186-Y186,0.000000001),6)</f>
        <v/>
      </c>
      <c r="AA186" s="5">
        <f>SUMPRODUCT(('01_Data'!$B186:$AW186&lt;&gt;"")*(1/(1+EXP(-(Z186-'03_Lap_b'!$B$40:$AW$40)))))</f>
        <v/>
      </c>
      <c r="AB186" s="5">
        <f>SUMPRODUCT(('01_Data'!$B186:$AW186&lt;&gt;"")*(1/(1+EXP(-(Z186-'03_Lap_b'!$B$40:$AW$40))))^2)</f>
        <v/>
      </c>
      <c r="AC186" s="5">
        <f>MEDIAN(-6,Z186+(C186-AA186)/MAX(AA186-AB186,0.000000001),6)</f>
        <v/>
      </c>
    </row>
    <row r="187">
      <c r="A187" t="n">
        <v>186</v>
      </c>
      <c r="B187">
        <f>'01_Data'!A187</f>
        <v/>
      </c>
      <c r="C187">
        <f>SUM('01_Data'!$B187:$AW187)</f>
        <v/>
      </c>
      <c r="D187">
        <f>COUNT('01_Data'!$B187:$AW187)</f>
        <v/>
      </c>
      <c r="E187" s="5">
        <f>MEDIAN(-6,LN((C187+0.3)/(D187-C187+0.3)),6)</f>
        <v/>
      </c>
      <c r="F187" s="5">
        <f>SUMPRODUCT(('01_Data'!$B187:$AW187&lt;&gt;"")*(1/(1+EXP(-(E187-'03_Lap_b'!$B$5:$AW$5)))))</f>
        <v/>
      </c>
      <c r="G187" s="5">
        <f>SUMPRODUCT(('01_Data'!$B187:$AW187&lt;&gt;"")*(1/(1+EXP(-(E187-'03_Lap_b'!$B$5:$AW$5))))^2)</f>
        <v/>
      </c>
      <c r="H187" s="5">
        <f>MEDIAN(-6,E187+(C187-F187)/MAX(F187-G187,0.000000001),6)</f>
        <v/>
      </c>
      <c r="I187" s="5">
        <f>SUMPRODUCT(('01_Data'!$B187:$AW187&lt;&gt;"")*(1/(1+EXP(-(H187-'03_Lap_b'!$B$10:$AW$10)))))</f>
        <v/>
      </c>
      <c r="J187" s="5">
        <f>SUMPRODUCT(('01_Data'!$B187:$AW187&lt;&gt;"")*(1/(1+EXP(-(H187-'03_Lap_b'!$B$10:$AW$10))))^2)</f>
        <v/>
      </c>
      <c r="K187" s="5">
        <f>MEDIAN(-6,H187+(C187-I187)/MAX(I187-J187,0.000000001),6)</f>
        <v/>
      </c>
      <c r="L187" s="5">
        <f>SUMPRODUCT(('01_Data'!$B187:$AW187&lt;&gt;"")*(1/(1+EXP(-(K187-'03_Lap_b'!$B$15:$AW$15)))))</f>
        <v/>
      </c>
      <c r="M187" s="5">
        <f>SUMPRODUCT(('01_Data'!$B187:$AW187&lt;&gt;"")*(1/(1+EXP(-(K187-'03_Lap_b'!$B$15:$AW$15))))^2)</f>
        <v/>
      </c>
      <c r="N187" s="5">
        <f>MEDIAN(-6,K187+(C187-L187)/MAX(L187-M187,0.000000001),6)</f>
        <v/>
      </c>
      <c r="O187" s="5">
        <f>SUMPRODUCT(('01_Data'!$B187:$AW187&lt;&gt;"")*(1/(1+EXP(-(N187-'03_Lap_b'!$B$20:$AW$20)))))</f>
        <v/>
      </c>
      <c r="P187" s="5">
        <f>SUMPRODUCT(('01_Data'!$B187:$AW187&lt;&gt;"")*(1/(1+EXP(-(N187-'03_Lap_b'!$B$20:$AW$20))))^2)</f>
        <v/>
      </c>
      <c r="Q187" s="5">
        <f>MEDIAN(-6,N187+(C187-O187)/MAX(O187-P187,0.000000001),6)</f>
        <v/>
      </c>
      <c r="R187" s="5">
        <f>SUMPRODUCT(('01_Data'!$B187:$AW187&lt;&gt;"")*(1/(1+EXP(-(Q187-'03_Lap_b'!$B$25:$AW$25)))))</f>
        <v/>
      </c>
      <c r="S187" s="5">
        <f>SUMPRODUCT(('01_Data'!$B187:$AW187&lt;&gt;"")*(1/(1+EXP(-(Q187-'03_Lap_b'!$B$25:$AW$25))))^2)</f>
        <v/>
      </c>
      <c r="T187" s="5">
        <f>MEDIAN(-6,Q187+(C187-R187)/MAX(R187-S187,0.000000001),6)</f>
        <v/>
      </c>
      <c r="U187" s="5">
        <f>SUMPRODUCT(('01_Data'!$B187:$AW187&lt;&gt;"")*(1/(1+EXP(-(T187-'03_Lap_b'!$B$30:$AW$30)))))</f>
        <v/>
      </c>
      <c r="V187" s="5">
        <f>SUMPRODUCT(('01_Data'!$B187:$AW187&lt;&gt;"")*(1/(1+EXP(-(T187-'03_Lap_b'!$B$30:$AW$30))))^2)</f>
        <v/>
      </c>
      <c r="W187" s="5">
        <f>MEDIAN(-6,T187+(C187-U187)/MAX(U187-V187,0.000000001),6)</f>
        <v/>
      </c>
      <c r="X187" s="5">
        <f>SUMPRODUCT(('01_Data'!$B187:$AW187&lt;&gt;"")*(1/(1+EXP(-(W187-'03_Lap_b'!$B$35:$AW$35)))))</f>
        <v/>
      </c>
      <c r="Y187" s="5">
        <f>SUMPRODUCT(('01_Data'!$B187:$AW187&lt;&gt;"")*(1/(1+EXP(-(W187-'03_Lap_b'!$B$35:$AW$35))))^2)</f>
        <v/>
      </c>
      <c r="Z187" s="5">
        <f>MEDIAN(-6,W187+(C187-X187)/MAX(X187-Y187,0.000000001),6)</f>
        <v/>
      </c>
      <c r="AA187" s="5">
        <f>SUMPRODUCT(('01_Data'!$B187:$AW187&lt;&gt;"")*(1/(1+EXP(-(Z187-'03_Lap_b'!$B$40:$AW$40)))))</f>
        <v/>
      </c>
      <c r="AB187" s="5">
        <f>SUMPRODUCT(('01_Data'!$B187:$AW187&lt;&gt;"")*(1/(1+EXP(-(Z187-'03_Lap_b'!$B$40:$AW$40))))^2)</f>
        <v/>
      </c>
      <c r="AC187" s="5">
        <f>MEDIAN(-6,Z187+(C187-AA187)/MAX(AA187-AB187,0.000000001),6)</f>
        <v/>
      </c>
    </row>
    <row r="188">
      <c r="A188" t="n">
        <v>187</v>
      </c>
      <c r="B188">
        <f>'01_Data'!A188</f>
        <v/>
      </c>
      <c r="C188">
        <f>SUM('01_Data'!$B188:$AW188)</f>
        <v/>
      </c>
      <c r="D188">
        <f>COUNT('01_Data'!$B188:$AW188)</f>
        <v/>
      </c>
      <c r="E188" s="5">
        <f>MEDIAN(-6,LN((C188+0.3)/(D188-C188+0.3)),6)</f>
        <v/>
      </c>
      <c r="F188" s="5">
        <f>SUMPRODUCT(('01_Data'!$B188:$AW188&lt;&gt;"")*(1/(1+EXP(-(E188-'03_Lap_b'!$B$5:$AW$5)))))</f>
        <v/>
      </c>
      <c r="G188" s="5">
        <f>SUMPRODUCT(('01_Data'!$B188:$AW188&lt;&gt;"")*(1/(1+EXP(-(E188-'03_Lap_b'!$B$5:$AW$5))))^2)</f>
        <v/>
      </c>
      <c r="H188" s="5">
        <f>MEDIAN(-6,E188+(C188-F188)/MAX(F188-G188,0.000000001),6)</f>
        <v/>
      </c>
      <c r="I188" s="5">
        <f>SUMPRODUCT(('01_Data'!$B188:$AW188&lt;&gt;"")*(1/(1+EXP(-(H188-'03_Lap_b'!$B$10:$AW$10)))))</f>
        <v/>
      </c>
      <c r="J188" s="5">
        <f>SUMPRODUCT(('01_Data'!$B188:$AW188&lt;&gt;"")*(1/(1+EXP(-(H188-'03_Lap_b'!$B$10:$AW$10))))^2)</f>
        <v/>
      </c>
      <c r="K188" s="5">
        <f>MEDIAN(-6,H188+(C188-I188)/MAX(I188-J188,0.000000001),6)</f>
        <v/>
      </c>
      <c r="L188" s="5">
        <f>SUMPRODUCT(('01_Data'!$B188:$AW188&lt;&gt;"")*(1/(1+EXP(-(K188-'03_Lap_b'!$B$15:$AW$15)))))</f>
        <v/>
      </c>
      <c r="M188" s="5">
        <f>SUMPRODUCT(('01_Data'!$B188:$AW188&lt;&gt;"")*(1/(1+EXP(-(K188-'03_Lap_b'!$B$15:$AW$15))))^2)</f>
        <v/>
      </c>
      <c r="N188" s="5">
        <f>MEDIAN(-6,K188+(C188-L188)/MAX(L188-M188,0.000000001),6)</f>
        <v/>
      </c>
      <c r="O188" s="5">
        <f>SUMPRODUCT(('01_Data'!$B188:$AW188&lt;&gt;"")*(1/(1+EXP(-(N188-'03_Lap_b'!$B$20:$AW$20)))))</f>
        <v/>
      </c>
      <c r="P188" s="5">
        <f>SUMPRODUCT(('01_Data'!$B188:$AW188&lt;&gt;"")*(1/(1+EXP(-(N188-'03_Lap_b'!$B$20:$AW$20))))^2)</f>
        <v/>
      </c>
      <c r="Q188" s="5">
        <f>MEDIAN(-6,N188+(C188-O188)/MAX(O188-P188,0.000000001),6)</f>
        <v/>
      </c>
      <c r="R188" s="5">
        <f>SUMPRODUCT(('01_Data'!$B188:$AW188&lt;&gt;"")*(1/(1+EXP(-(Q188-'03_Lap_b'!$B$25:$AW$25)))))</f>
        <v/>
      </c>
      <c r="S188" s="5">
        <f>SUMPRODUCT(('01_Data'!$B188:$AW188&lt;&gt;"")*(1/(1+EXP(-(Q188-'03_Lap_b'!$B$25:$AW$25))))^2)</f>
        <v/>
      </c>
      <c r="T188" s="5">
        <f>MEDIAN(-6,Q188+(C188-R188)/MAX(R188-S188,0.000000001),6)</f>
        <v/>
      </c>
      <c r="U188" s="5">
        <f>SUMPRODUCT(('01_Data'!$B188:$AW188&lt;&gt;"")*(1/(1+EXP(-(T188-'03_Lap_b'!$B$30:$AW$30)))))</f>
        <v/>
      </c>
      <c r="V188" s="5">
        <f>SUMPRODUCT(('01_Data'!$B188:$AW188&lt;&gt;"")*(1/(1+EXP(-(T188-'03_Lap_b'!$B$30:$AW$30))))^2)</f>
        <v/>
      </c>
      <c r="W188" s="5">
        <f>MEDIAN(-6,T188+(C188-U188)/MAX(U188-V188,0.000000001),6)</f>
        <v/>
      </c>
      <c r="X188" s="5">
        <f>SUMPRODUCT(('01_Data'!$B188:$AW188&lt;&gt;"")*(1/(1+EXP(-(W188-'03_Lap_b'!$B$35:$AW$35)))))</f>
        <v/>
      </c>
      <c r="Y188" s="5">
        <f>SUMPRODUCT(('01_Data'!$B188:$AW188&lt;&gt;"")*(1/(1+EXP(-(W188-'03_Lap_b'!$B$35:$AW$35))))^2)</f>
        <v/>
      </c>
      <c r="Z188" s="5">
        <f>MEDIAN(-6,W188+(C188-X188)/MAX(X188-Y188,0.000000001),6)</f>
        <v/>
      </c>
      <c r="AA188" s="5">
        <f>SUMPRODUCT(('01_Data'!$B188:$AW188&lt;&gt;"")*(1/(1+EXP(-(Z188-'03_Lap_b'!$B$40:$AW$40)))))</f>
        <v/>
      </c>
      <c r="AB188" s="5">
        <f>SUMPRODUCT(('01_Data'!$B188:$AW188&lt;&gt;"")*(1/(1+EXP(-(Z188-'03_Lap_b'!$B$40:$AW$40))))^2)</f>
        <v/>
      </c>
      <c r="AC188" s="5">
        <f>MEDIAN(-6,Z188+(C188-AA188)/MAX(AA188-AB188,0.000000001),6)</f>
        <v/>
      </c>
    </row>
    <row r="189">
      <c r="A189" t="n">
        <v>188</v>
      </c>
      <c r="B189">
        <f>'01_Data'!A189</f>
        <v/>
      </c>
      <c r="C189">
        <f>SUM('01_Data'!$B189:$AW189)</f>
        <v/>
      </c>
      <c r="D189">
        <f>COUNT('01_Data'!$B189:$AW189)</f>
        <v/>
      </c>
      <c r="E189" s="5">
        <f>MEDIAN(-6,LN((C189+0.3)/(D189-C189+0.3)),6)</f>
        <v/>
      </c>
      <c r="F189" s="5">
        <f>SUMPRODUCT(('01_Data'!$B189:$AW189&lt;&gt;"")*(1/(1+EXP(-(E189-'03_Lap_b'!$B$5:$AW$5)))))</f>
        <v/>
      </c>
      <c r="G189" s="5">
        <f>SUMPRODUCT(('01_Data'!$B189:$AW189&lt;&gt;"")*(1/(1+EXP(-(E189-'03_Lap_b'!$B$5:$AW$5))))^2)</f>
        <v/>
      </c>
      <c r="H189" s="5">
        <f>MEDIAN(-6,E189+(C189-F189)/MAX(F189-G189,0.000000001),6)</f>
        <v/>
      </c>
      <c r="I189" s="5">
        <f>SUMPRODUCT(('01_Data'!$B189:$AW189&lt;&gt;"")*(1/(1+EXP(-(H189-'03_Lap_b'!$B$10:$AW$10)))))</f>
        <v/>
      </c>
      <c r="J189" s="5">
        <f>SUMPRODUCT(('01_Data'!$B189:$AW189&lt;&gt;"")*(1/(1+EXP(-(H189-'03_Lap_b'!$B$10:$AW$10))))^2)</f>
        <v/>
      </c>
      <c r="K189" s="5">
        <f>MEDIAN(-6,H189+(C189-I189)/MAX(I189-J189,0.000000001),6)</f>
        <v/>
      </c>
      <c r="L189" s="5">
        <f>SUMPRODUCT(('01_Data'!$B189:$AW189&lt;&gt;"")*(1/(1+EXP(-(K189-'03_Lap_b'!$B$15:$AW$15)))))</f>
        <v/>
      </c>
      <c r="M189" s="5">
        <f>SUMPRODUCT(('01_Data'!$B189:$AW189&lt;&gt;"")*(1/(1+EXP(-(K189-'03_Lap_b'!$B$15:$AW$15))))^2)</f>
        <v/>
      </c>
      <c r="N189" s="5">
        <f>MEDIAN(-6,K189+(C189-L189)/MAX(L189-M189,0.000000001),6)</f>
        <v/>
      </c>
      <c r="O189" s="5">
        <f>SUMPRODUCT(('01_Data'!$B189:$AW189&lt;&gt;"")*(1/(1+EXP(-(N189-'03_Lap_b'!$B$20:$AW$20)))))</f>
        <v/>
      </c>
      <c r="P189" s="5">
        <f>SUMPRODUCT(('01_Data'!$B189:$AW189&lt;&gt;"")*(1/(1+EXP(-(N189-'03_Lap_b'!$B$20:$AW$20))))^2)</f>
        <v/>
      </c>
      <c r="Q189" s="5">
        <f>MEDIAN(-6,N189+(C189-O189)/MAX(O189-P189,0.000000001),6)</f>
        <v/>
      </c>
      <c r="R189" s="5">
        <f>SUMPRODUCT(('01_Data'!$B189:$AW189&lt;&gt;"")*(1/(1+EXP(-(Q189-'03_Lap_b'!$B$25:$AW$25)))))</f>
        <v/>
      </c>
      <c r="S189" s="5">
        <f>SUMPRODUCT(('01_Data'!$B189:$AW189&lt;&gt;"")*(1/(1+EXP(-(Q189-'03_Lap_b'!$B$25:$AW$25))))^2)</f>
        <v/>
      </c>
      <c r="T189" s="5">
        <f>MEDIAN(-6,Q189+(C189-R189)/MAX(R189-S189,0.000000001),6)</f>
        <v/>
      </c>
      <c r="U189" s="5">
        <f>SUMPRODUCT(('01_Data'!$B189:$AW189&lt;&gt;"")*(1/(1+EXP(-(T189-'03_Lap_b'!$B$30:$AW$30)))))</f>
        <v/>
      </c>
      <c r="V189" s="5">
        <f>SUMPRODUCT(('01_Data'!$B189:$AW189&lt;&gt;"")*(1/(1+EXP(-(T189-'03_Lap_b'!$B$30:$AW$30))))^2)</f>
        <v/>
      </c>
      <c r="W189" s="5">
        <f>MEDIAN(-6,T189+(C189-U189)/MAX(U189-V189,0.000000001),6)</f>
        <v/>
      </c>
      <c r="X189" s="5">
        <f>SUMPRODUCT(('01_Data'!$B189:$AW189&lt;&gt;"")*(1/(1+EXP(-(W189-'03_Lap_b'!$B$35:$AW$35)))))</f>
        <v/>
      </c>
      <c r="Y189" s="5">
        <f>SUMPRODUCT(('01_Data'!$B189:$AW189&lt;&gt;"")*(1/(1+EXP(-(W189-'03_Lap_b'!$B$35:$AW$35))))^2)</f>
        <v/>
      </c>
      <c r="Z189" s="5">
        <f>MEDIAN(-6,W189+(C189-X189)/MAX(X189-Y189,0.000000001),6)</f>
        <v/>
      </c>
      <c r="AA189" s="5">
        <f>SUMPRODUCT(('01_Data'!$B189:$AW189&lt;&gt;"")*(1/(1+EXP(-(Z189-'03_Lap_b'!$B$40:$AW$40)))))</f>
        <v/>
      </c>
      <c r="AB189" s="5">
        <f>SUMPRODUCT(('01_Data'!$B189:$AW189&lt;&gt;"")*(1/(1+EXP(-(Z189-'03_Lap_b'!$B$40:$AW$40))))^2)</f>
        <v/>
      </c>
      <c r="AC189" s="5">
        <f>MEDIAN(-6,Z189+(C189-AA189)/MAX(AA189-AB189,0.000000001),6)</f>
        <v/>
      </c>
    </row>
    <row r="190">
      <c r="A190" t="n">
        <v>189</v>
      </c>
      <c r="B190">
        <f>'01_Data'!A190</f>
        <v/>
      </c>
      <c r="C190">
        <f>SUM('01_Data'!$B190:$AW190)</f>
        <v/>
      </c>
      <c r="D190">
        <f>COUNT('01_Data'!$B190:$AW190)</f>
        <v/>
      </c>
      <c r="E190" s="5">
        <f>MEDIAN(-6,LN((C190+0.3)/(D190-C190+0.3)),6)</f>
        <v/>
      </c>
      <c r="F190" s="5">
        <f>SUMPRODUCT(('01_Data'!$B190:$AW190&lt;&gt;"")*(1/(1+EXP(-(E190-'03_Lap_b'!$B$5:$AW$5)))))</f>
        <v/>
      </c>
      <c r="G190" s="5">
        <f>SUMPRODUCT(('01_Data'!$B190:$AW190&lt;&gt;"")*(1/(1+EXP(-(E190-'03_Lap_b'!$B$5:$AW$5))))^2)</f>
        <v/>
      </c>
      <c r="H190" s="5">
        <f>MEDIAN(-6,E190+(C190-F190)/MAX(F190-G190,0.000000001),6)</f>
        <v/>
      </c>
      <c r="I190" s="5">
        <f>SUMPRODUCT(('01_Data'!$B190:$AW190&lt;&gt;"")*(1/(1+EXP(-(H190-'03_Lap_b'!$B$10:$AW$10)))))</f>
        <v/>
      </c>
      <c r="J190" s="5">
        <f>SUMPRODUCT(('01_Data'!$B190:$AW190&lt;&gt;"")*(1/(1+EXP(-(H190-'03_Lap_b'!$B$10:$AW$10))))^2)</f>
        <v/>
      </c>
      <c r="K190" s="5">
        <f>MEDIAN(-6,H190+(C190-I190)/MAX(I190-J190,0.000000001),6)</f>
        <v/>
      </c>
      <c r="L190" s="5">
        <f>SUMPRODUCT(('01_Data'!$B190:$AW190&lt;&gt;"")*(1/(1+EXP(-(K190-'03_Lap_b'!$B$15:$AW$15)))))</f>
        <v/>
      </c>
      <c r="M190" s="5">
        <f>SUMPRODUCT(('01_Data'!$B190:$AW190&lt;&gt;"")*(1/(1+EXP(-(K190-'03_Lap_b'!$B$15:$AW$15))))^2)</f>
        <v/>
      </c>
      <c r="N190" s="5">
        <f>MEDIAN(-6,K190+(C190-L190)/MAX(L190-M190,0.000000001),6)</f>
        <v/>
      </c>
      <c r="O190" s="5">
        <f>SUMPRODUCT(('01_Data'!$B190:$AW190&lt;&gt;"")*(1/(1+EXP(-(N190-'03_Lap_b'!$B$20:$AW$20)))))</f>
        <v/>
      </c>
      <c r="P190" s="5">
        <f>SUMPRODUCT(('01_Data'!$B190:$AW190&lt;&gt;"")*(1/(1+EXP(-(N190-'03_Lap_b'!$B$20:$AW$20))))^2)</f>
        <v/>
      </c>
      <c r="Q190" s="5">
        <f>MEDIAN(-6,N190+(C190-O190)/MAX(O190-P190,0.000000001),6)</f>
        <v/>
      </c>
      <c r="R190" s="5">
        <f>SUMPRODUCT(('01_Data'!$B190:$AW190&lt;&gt;"")*(1/(1+EXP(-(Q190-'03_Lap_b'!$B$25:$AW$25)))))</f>
        <v/>
      </c>
      <c r="S190" s="5">
        <f>SUMPRODUCT(('01_Data'!$B190:$AW190&lt;&gt;"")*(1/(1+EXP(-(Q190-'03_Lap_b'!$B$25:$AW$25))))^2)</f>
        <v/>
      </c>
      <c r="T190" s="5">
        <f>MEDIAN(-6,Q190+(C190-R190)/MAX(R190-S190,0.000000001),6)</f>
        <v/>
      </c>
      <c r="U190" s="5">
        <f>SUMPRODUCT(('01_Data'!$B190:$AW190&lt;&gt;"")*(1/(1+EXP(-(T190-'03_Lap_b'!$B$30:$AW$30)))))</f>
        <v/>
      </c>
      <c r="V190" s="5">
        <f>SUMPRODUCT(('01_Data'!$B190:$AW190&lt;&gt;"")*(1/(1+EXP(-(T190-'03_Lap_b'!$B$30:$AW$30))))^2)</f>
        <v/>
      </c>
      <c r="W190" s="5">
        <f>MEDIAN(-6,T190+(C190-U190)/MAX(U190-V190,0.000000001),6)</f>
        <v/>
      </c>
      <c r="X190" s="5">
        <f>SUMPRODUCT(('01_Data'!$B190:$AW190&lt;&gt;"")*(1/(1+EXP(-(W190-'03_Lap_b'!$B$35:$AW$35)))))</f>
        <v/>
      </c>
      <c r="Y190" s="5">
        <f>SUMPRODUCT(('01_Data'!$B190:$AW190&lt;&gt;"")*(1/(1+EXP(-(W190-'03_Lap_b'!$B$35:$AW$35))))^2)</f>
        <v/>
      </c>
      <c r="Z190" s="5">
        <f>MEDIAN(-6,W190+(C190-X190)/MAX(X190-Y190,0.000000001),6)</f>
        <v/>
      </c>
      <c r="AA190" s="5">
        <f>SUMPRODUCT(('01_Data'!$B190:$AW190&lt;&gt;"")*(1/(1+EXP(-(Z190-'03_Lap_b'!$B$40:$AW$40)))))</f>
        <v/>
      </c>
      <c r="AB190" s="5">
        <f>SUMPRODUCT(('01_Data'!$B190:$AW190&lt;&gt;"")*(1/(1+EXP(-(Z190-'03_Lap_b'!$B$40:$AW$40))))^2)</f>
        <v/>
      </c>
      <c r="AC190" s="5">
        <f>MEDIAN(-6,Z190+(C190-AA190)/MAX(AA190-AB190,0.000000001),6)</f>
        <v/>
      </c>
    </row>
    <row r="191">
      <c r="A191" t="n">
        <v>190</v>
      </c>
      <c r="B191">
        <f>'01_Data'!A191</f>
        <v/>
      </c>
      <c r="C191">
        <f>SUM('01_Data'!$B191:$AW191)</f>
        <v/>
      </c>
      <c r="D191">
        <f>COUNT('01_Data'!$B191:$AW191)</f>
        <v/>
      </c>
      <c r="E191" s="5">
        <f>MEDIAN(-6,LN((C191+0.3)/(D191-C191+0.3)),6)</f>
        <v/>
      </c>
      <c r="F191" s="5">
        <f>SUMPRODUCT(('01_Data'!$B191:$AW191&lt;&gt;"")*(1/(1+EXP(-(E191-'03_Lap_b'!$B$5:$AW$5)))))</f>
        <v/>
      </c>
      <c r="G191" s="5">
        <f>SUMPRODUCT(('01_Data'!$B191:$AW191&lt;&gt;"")*(1/(1+EXP(-(E191-'03_Lap_b'!$B$5:$AW$5))))^2)</f>
        <v/>
      </c>
      <c r="H191" s="5">
        <f>MEDIAN(-6,E191+(C191-F191)/MAX(F191-G191,0.000000001),6)</f>
        <v/>
      </c>
      <c r="I191" s="5">
        <f>SUMPRODUCT(('01_Data'!$B191:$AW191&lt;&gt;"")*(1/(1+EXP(-(H191-'03_Lap_b'!$B$10:$AW$10)))))</f>
        <v/>
      </c>
      <c r="J191" s="5">
        <f>SUMPRODUCT(('01_Data'!$B191:$AW191&lt;&gt;"")*(1/(1+EXP(-(H191-'03_Lap_b'!$B$10:$AW$10))))^2)</f>
        <v/>
      </c>
      <c r="K191" s="5">
        <f>MEDIAN(-6,H191+(C191-I191)/MAX(I191-J191,0.000000001),6)</f>
        <v/>
      </c>
      <c r="L191" s="5">
        <f>SUMPRODUCT(('01_Data'!$B191:$AW191&lt;&gt;"")*(1/(1+EXP(-(K191-'03_Lap_b'!$B$15:$AW$15)))))</f>
        <v/>
      </c>
      <c r="M191" s="5">
        <f>SUMPRODUCT(('01_Data'!$B191:$AW191&lt;&gt;"")*(1/(1+EXP(-(K191-'03_Lap_b'!$B$15:$AW$15))))^2)</f>
        <v/>
      </c>
      <c r="N191" s="5">
        <f>MEDIAN(-6,K191+(C191-L191)/MAX(L191-M191,0.000000001),6)</f>
        <v/>
      </c>
      <c r="O191" s="5">
        <f>SUMPRODUCT(('01_Data'!$B191:$AW191&lt;&gt;"")*(1/(1+EXP(-(N191-'03_Lap_b'!$B$20:$AW$20)))))</f>
        <v/>
      </c>
      <c r="P191" s="5">
        <f>SUMPRODUCT(('01_Data'!$B191:$AW191&lt;&gt;"")*(1/(1+EXP(-(N191-'03_Lap_b'!$B$20:$AW$20))))^2)</f>
        <v/>
      </c>
      <c r="Q191" s="5">
        <f>MEDIAN(-6,N191+(C191-O191)/MAX(O191-P191,0.000000001),6)</f>
        <v/>
      </c>
      <c r="R191" s="5">
        <f>SUMPRODUCT(('01_Data'!$B191:$AW191&lt;&gt;"")*(1/(1+EXP(-(Q191-'03_Lap_b'!$B$25:$AW$25)))))</f>
        <v/>
      </c>
      <c r="S191" s="5">
        <f>SUMPRODUCT(('01_Data'!$B191:$AW191&lt;&gt;"")*(1/(1+EXP(-(Q191-'03_Lap_b'!$B$25:$AW$25))))^2)</f>
        <v/>
      </c>
      <c r="T191" s="5">
        <f>MEDIAN(-6,Q191+(C191-R191)/MAX(R191-S191,0.000000001),6)</f>
        <v/>
      </c>
      <c r="U191" s="5">
        <f>SUMPRODUCT(('01_Data'!$B191:$AW191&lt;&gt;"")*(1/(1+EXP(-(T191-'03_Lap_b'!$B$30:$AW$30)))))</f>
        <v/>
      </c>
      <c r="V191" s="5">
        <f>SUMPRODUCT(('01_Data'!$B191:$AW191&lt;&gt;"")*(1/(1+EXP(-(T191-'03_Lap_b'!$B$30:$AW$30))))^2)</f>
        <v/>
      </c>
      <c r="W191" s="5">
        <f>MEDIAN(-6,T191+(C191-U191)/MAX(U191-V191,0.000000001),6)</f>
        <v/>
      </c>
      <c r="X191" s="5">
        <f>SUMPRODUCT(('01_Data'!$B191:$AW191&lt;&gt;"")*(1/(1+EXP(-(W191-'03_Lap_b'!$B$35:$AW$35)))))</f>
        <v/>
      </c>
      <c r="Y191" s="5">
        <f>SUMPRODUCT(('01_Data'!$B191:$AW191&lt;&gt;"")*(1/(1+EXP(-(W191-'03_Lap_b'!$B$35:$AW$35))))^2)</f>
        <v/>
      </c>
      <c r="Z191" s="5">
        <f>MEDIAN(-6,W191+(C191-X191)/MAX(X191-Y191,0.000000001),6)</f>
        <v/>
      </c>
      <c r="AA191" s="5">
        <f>SUMPRODUCT(('01_Data'!$B191:$AW191&lt;&gt;"")*(1/(1+EXP(-(Z191-'03_Lap_b'!$B$40:$AW$40)))))</f>
        <v/>
      </c>
      <c r="AB191" s="5">
        <f>SUMPRODUCT(('01_Data'!$B191:$AW191&lt;&gt;"")*(1/(1+EXP(-(Z191-'03_Lap_b'!$B$40:$AW$40))))^2)</f>
        <v/>
      </c>
      <c r="AC191" s="5">
        <f>MEDIAN(-6,Z191+(C191-AA191)/MAX(AA191-AB191,0.000000001),6)</f>
        <v/>
      </c>
    </row>
    <row r="192">
      <c r="A192" t="n">
        <v>191</v>
      </c>
      <c r="B192">
        <f>'01_Data'!A192</f>
        <v/>
      </c>
      <c r="C192">
        <f>SUM('01_Data'!$B192:$AW192)</f>
        <v/>
      </c>
      <c r="D192">
        <f>COUNT('01_Data'!$B192:$AW192)</f>
        <v/>
      </c>
      <c r="E192" s="5">
        <f>MEDIAN(-6,LN((C192+0.3)/(D192-C192+0.3)),6)</f>
        <v/>
      </c>
      <c r="F192" s="5">
        <f>SUMPRODUCT(('01_Data'!$B192:$AW192&lt;&gt;"")*(1/(1+EXP(-(E192-'03_Lap_b'!$B$5:$AW$5)))))</f>
        <v/>
      </c>
      <c r="G192" s="5">
        <f>SUMPRODUCT(('01_Data'!$B192:$AW192&lt;&gt;"")*(1/(1+EXP(-(E192-'03_Lap_b'!$B$5:$AW$5))))^2)</f>
        <v/>
      </c>
      <c r="H192" s="5">
        <f>MEDIAN(-6,E192+(C192-F192)/MAX(F192-G192,0.000000001),6)</f>
        <v/>
      </c>
      <c r="I192" s="5">
        <f>SUMPRODUCT(('01_Data'!$B192:$AW192&lt;&gt;"")*(1/(1+EXP(-(H192-'03_Lap_b'!$B$10:$AW$10)))))</f>
        <v/>
      </c>
      <c r="J192" s="5">
        <f>SUMPRODUCT(('01_Data'!$B192:$AW192&lt;&gt;"")*(1/(1+EXP(-(H192-'03_Lap_b'!$B$10:$AW$10))))^2)</f>
        <v/>
      </c>
      <c r="K192" s="5">
        <f>MEDIAN(-6,H192+(C192-I192)/MAX(I192-J192,0.000000001),6)</f>
        <v/>
      </c>
      <c r="L192" s="5">
        <f>SUMPRODUCT(('01_Data'!$B192:$AW192&lt;&gt;"")*(1/(1+EXP(-(K192-'03_Lap_b'!$B$15:$AW$15)))))</f>
        <v/>
      </c>
      <c r="M192" s="5">
        <f>SUMPRODUCT(('01_Data'!$B192:$AW192&lt;&gt;"")*(1/(1+EXP(-(K192-'03_Lap_b'!$B$15:$AW$15))))^2)</f>
        <v/>
      </c>
      <c r="N192" s="5">
        <f>MEDIAN(-6,K192+(C192-L192)/MAX(L192-M192,0.000000001),6)</f>
        <v/>
      </c>
      <c r="O192" s="5">
        <f>SUMPRODUCT(('01_Data'!$B192:$AW192&lt;&gt;"")*(1/(1+EXP(-(N192-'03_Lap_b'!$B$20:$AW$20)))))</f>
        <v/>
      </c>
      <c r="P192" s="5">
        <f>SUMPRODUCT(('01_Data'!$B192:$AW192&lt;&gt;"")*(1/(1+EXP(-(N192-'03_Lap_b'!$B$20:$AW$20))))^2)</f>
        <v/>
      </c>
      <c r="Q192" s="5">
        <f>MEDIAN(-6,N192+(C192-O192)/MAX(O192-P192,0.000000001),6)</f>
        <v/>
      </c>
      <c r="R192" s="5">
        <f>SUMPRODUCT(('01_Data'!$B192:$AW192&lt;&gt;"")*(1/(1+EXP(-(Q192-'03_Lap_b'!$B$25:$AW$25)))))</f>
        <v/>
      </c>
      <c r="S192" s="5">
        <f>SUMPRODUCT(('01_Data'!$B192:$AW192&lt;&gt;"")*(1/(1+EXP(-(Q192-'03_Lap_b'!$B$25:$AW$25))))^2)</f>
        <v/>
      </c>
      <c r="T192" s="5">
        <f>MEDIAN(-6,Q192+(C192-R192)/MAX(R192-S192,0.000000001),6)</f>
        <v/>
      </c>
      <c r="U192" s="5">
        <f>SUMPRODUCT(('01_Data'!$B192:$AW192&lt;&gt;"")*(1/(1+EXP(-(T192-'03_Lap_b'!$B$30:$AW$30)))))</f>
        <v/>
      </c>
      <c r="V192" s="5">
        <f>SUMPRODUCT(('01_Data'!$B192:$AW192&lt;&gt;"")*(1/(1+EXP(-(T192-'03_Lap_b'!$B$30:$AW$30))))^2)</f>
        <v/>
      </c>
      <c r="W192" s="5">
        <f>MEDIAN(-6,T192+(C192-U192)/MAX(U192-V192,0.000000001),6)</f>
        <v/>
      </c>
      <c r="X192" s="5">
        <f>SUMPRODUCT(('01_Data'!$B192:$AW192&lt;&gt;"")*(1/(1+EXP(-(W192-'03_Lap_b'!$B$35:$AW$35)))))</f>
        <v/>
      </c>
      <c r="Y192" s="5">
        <f>SUMPRODUCT(('01_Data'!$B192:$AW192&lt;&gt;"")*(1/(1+EXP(-(W192-'03_Lap_b'!$B$35:$AW$35))))^2)</f>
        <v/>
      </c>
      <c r="Z192" s="5">
        <f>MEDIAN(-6,W192+(C192-X192)/MAX(X192-Y192,0.000000001),6)</f>
        <v/>
      </c>
      <c r="AA192" s="5">
        <f>SUMPRODUCT(('01_Data'!$B192:$AW192&lt;&gt;"")*(1/(1+EXP(-(Z192-'03_Lap_b'!$B$40:$AW$40)))))</f>
        <v/>
      </c>
      <c r="AB192" s="5">
        <f>SUMPRODUCT(('01_Data'!$B192:$AW192&lt;&gt;"")*(1/(1+EXP(-(Z192-'03_Lap_b'!$B$40:$AW$40))))^2)</f>
        <v/>
      </c>
      <c r="AC192" s="5">
        <f>MEDIAN(-6,Z192+(C192-AA192)/MAX(AA192-AB192,0.000000001),6)</f>
        <v/>
      </c>
    </row>
    <row r="193">
      <c r="A193" t="n">
        <v>192</v>
      </c>
      <c r="B193">
        <f>'01_Data'!A193</f>
        <v/>
      </c>
      <c r="C193">
        <f>SUM('01_Data'!$B193:$AW193)</f>
        <v/>
      </c>
      <c r="D193">
        <f>COUNT('01_Data'!$B193:$AW193)</f>
        <v/>
      </c>
      <c r="E193" s="5">
        <f>MEDIAN(-6,LN((C193+0.3)/(D193-C193+0.3)),6)</f>
        <v/>
      </c>
      <c r="F193" s="5">
        <f>SUMPRODUCT(('01_Data'!$B193:$AW193&lt;&gt;"")*(1/(1+EXP(-(E193-'03_Lap_b'!$B$5:$AW$5)))))</f>
        <v/>
      </c>
      <c r="G193" s="5">
        <f>SUMPRODUCT(('01_Data'!$B193:$AW193&lt;&gt;"")*(1/(1+EXP(-(E193-'03_Lap_b'!$B$5:$AW$5))))^2)</f>
        <v/>
      </c>
      <c r="H193" s="5">
        <f>MEDIAN(-6,E193+(C193-F193)/MAX(F193-G193,0.000000001),6)</f>
        <v/>
      </c>
      <c r="I193" s="5">
        <f>SUMPRODUCT(('01_Data'!$B193:$AW193&lt;&gt;"")*(1/(1+EXP(-(H193-'03_Lap_b'!$B$10:$AW$10)))))</f>
        <v/>
      </c>
      <c r="J193" s="5">
        <f>SUMPRODUCT(('01_Data'!$B193:$AW193&lt;&gt;"")*(1/(1+EXP(-(H193-'03_Lap_b'!$B$10:$AW$10))))^2)</f>
        <v/>
      </c>
      <c r="K193" s="5">
        <f>MEDIAN(-6,H193+(C193-I193)/MAX(I193-J193,0.000000001),6)</f>
        <v/>
      </c>
      <c r="L193" s="5">
        <f>SUMPRODUCT(('01_Data'!$B193:$AW193&lt;&gt;"")*(1/(1+EXP(-(K193-'03_Lap_b'!$B$15:$AW$15)))))</f>
        <v/>
      </c>
      <c r="M193" s="5">
        <f>SUMPRODUCT(('01_Data'!$B193:$AW193&lt;&gt;"")*(1/(1+EXP(-(K193-'03_Lap_b'!$B$15:$AW$15))))^2)</f>
        <v/>
      </c>
      <c r="N193" s="5">
        <f>MEDIAN(-6,K193+(C193-L193)/MAX(L193-M193,0.000000001),6)</f>
        <v/>
      </c>
      <c r="O193" s="5">
        <f>SUMPRODUCT(('01_Data'!$B193:$AW193&lt;&gt;"")*(1/(1+EXP(-(N193-'03_Lap_b'!$B$20:$AW$20)))))</f>
        <v/>
      </c>
      <c r="P193" s="5">
        <f>SUMPRODUCT(('01_Data'!$B193:$AW193&lt;&gt;"")*(1/(1+EXP(-(N193-'03_Lap_b'!$B$20:$AW$20))))^2)</f>
        <v/>
      </c>
      <c r="Q193" s="5">
        <f>MEDIAN(-6,N193+(C193-O193)/MAX(O193-P193,0.000000001),6)</f>
        <v/>
      </c>
      <c r="R193" s="5">
        <f>SUMPRODUCT(('01_Data'!$B193:$AW193&lt;&gt;"")*(1/(1+EXP(-(Q193-'03_Lap_b'!$B$25:$AW$25)))))</f>
        <v/>
      </c>
      <c r="S193" s="5">
        <f>SUMPRODUCT(('01_Data'!$B193:$AW193&lt;&gt;"")*(1/(1+EXP(-(Q193-'03_Lap_b'!$B$25:$AW$25))))^2)</f>
        <v/>
      </c>
      <c r="T193" s="5">
        <f>MEDIAN(-6,Q193+(C193-R193)/MAX(R193-S193,0.000000001),6)</f>
        <v/>
      </c>
      <c r="U193" s="5">
        <f>SUMPRODUCT(('01_Data'!$B193:$AW193&lt;&gt;"")*(1/(1+EXP(-(T193-'03_Lap_b'!$B$30:$AW$30)))))</f>
        <v/>
      </c>
      <c r="V193" s="5">
        <f>SUMPRODUCT(('01_Data'!$B193:$AW193&lt;&gt;"")*(1/(1+EXP(-(T193-'03_Lap_b'!$B$30:$AW$30))))^2)</f>
        <v/>
      </c>
      <c r="W193" s="5">
        <f>MEDIAN(-6,T193+(C193-U193)/MAX(U193-V193,0.000000001),6)</f>
        <v/>
      </c>
      <c r="X193" s="5">
        <f>SUMPRODUCT(('01_Data'!$B193:$AW193&lt;&gt;"")*(1/(1+EXP(-(W193-'03_Lap_b'!$B$35:$AW$35)))))</f>
        <v/>
      </c>
      <c r="Y193" s="5">
        <f>SUMPRODUCT(('01_Data'!$B193:$AW193&lt;&gt;"")*(1/(1+EXP(-(W193-'03_Lap_b'!$B$35:$AW$35))))^2)</f>
        <v/>
      </c>
      <c r="Z193" s="5">
        <f>MEDIAN(-6,W193+(C193-X193)/MAX(X193-Y193,0.000000001),6)</f>
        <v/>
      </c>
      <c r="AA193" s="5">
        <f>SUMPRODUCT(('01_Data'!$B193:$AW193&lt;&gt;"")*(1/(1+EXP(-(Z193-'03_Lap_b'!$B$40:$AW$40)))))</f>
        <v/>
      </c>
      <c r="AB193" s="5">
        <f>SUMPRODUCT(('01_Data'!$B193:$AW193&lt;&gt;"")*(1/(1+EXP(-(Z193-'03_Lap_b'!$B$40:$AW$40))))^2)</f>
        <v/>
      </c>
      <c r="AC193" s="5">
        <f>MEDIAN(-6,Z193+(C193-AA193)/MAX(AA193-AB193,0.000000001),6)</f>
        <v/>
      </c>
    </row>
    <row r="194">
      <c r="A194" t="n">
        <v>193</v>
      </c>
      <c r="B194">
        <f>'01_Data'!A194</f>
        <v/>
      </c>
      <c r="C194">
        <f>SUM('01_Data'!$B194:$AW194)</f>
        <v/>
      </c>
      <c r="D194">
        <f>COUNT('01_Data'!$B194:$AW194)</f>
        <v/>
      </c>
      <c r="E194" s="5">
        <f>MEDIAN(-6,LN((C194+0.3)/(D194-C194+0.3)),6)</f>
        <v/>
      </c>
      <c r="F194" s="5">
        <f>SUMPRODUCT(('01_Data'!$B194:$AW194&lt;&gt;"")*(1/(1+EXP(-(E194-'03_Lap_b'!$B$5:$AW$5)))))</f>
        <v/>
      </c>
      <c r="G194" s="5">
        <f>SUMPRODUCT(('01_Data'!$B194:$AW194&lt;&gt;"")*(1/(1+EXP(-(E194-'03_Lap_b'!$B$5:$AW$5))))^2)</f>
        <v/>
      </c>
      <c r="H194" s="5">
        <f>MEDIAN(-6,E194+(C194-F194)/MAX(F194-G194,0.000000001),6)</f>
        <v/>
      </c>
      <c r="I194" s="5">
        <f>SUMPRODUCT(('01_Data'!$B194:$AW194&lt;&gt;"")*(1/(1+EXP(-(H194-'03_Lap_b'!$B$10:$AW$10)))))</f>
        <v/>
      </c>
      <c r="J194" s="5">
        <f>SUMPRODUCT(('01_Data'!$B194:$AW194&lt;&gt;"")*(1/(1+EXP(-(H194-'03_Lap_b'!$B$10:$AW$10))))^2)</f>
        <v/>
      </c>
      <c r="K194" s="5">
        <f>MEDIAN(-6,H194+(C194-I194)/MAX(I194-J194,0.000000001),6)</f>
        <v/>
      </c>
      <c r="L194" s="5">
        <f>SUMPRODUCT(('01_Data'!$B194:$AW194&lt;&gt;"")*(1/(1+EXP(-(K194-'03_Lap_b'!$B$15:$AW$15)))))</f>
        <v/>
      </c>
      <c r="M194" s="5">
        <f>SUMPRODUCT(('01_Data'!$B194:$AW194&lt;&gt;"")*(1/(1+EXP(-(K194-'03_Lap_b'!$B$15:$AW$15))))^2)</f>
        <v/>
      </c>
      <c r="N194" s="5">
        <f>MEDIAN(-6,K194+(C194-L194)/MAX(L194-M194,0.000000001),6)</f>
        <v/>
      </c>
      <c r="O194" s="5">
        <f>SUMPRODUCT(('01_Data'!$B194:$AW194&lt;&gt;"")*(1/(1+EXP(-(N194-'03_Lap_b'!$B$20:$AW$20)))))</f>
        <v/>
      </c>
      <c r="P194" s="5">
        <f>SUMPRODUCT(('01_Data'!$B194:$AW194&lt;&gt;"")*(1/(1+EXP(-(N194-'03_Lap_b'!$B$20:$AW$20))))^2)</f>
        <v/>
      </c>
      <c r="Q194" s="5">
        <f>MEDIAN(-6,N194+(C194-O194)/MAX(O194-P194,0.000000001),6)</f>
        <v/>
      </c>
      <c r="R194" s="5">
        <f>SUMPRODUCT(('01_Data'!$B194:$AW194&lt;&gt;"")*(1/(1+EXP(-(Q194-'03_Lap_b'!$B$25:$AW$25)))))</f>
        <v/>
      </c>
      <c r="S194" s="5">
        <f>SUMPRODUCT(('01_Data'!$B194:$AW194&lt;&gt;"")*(1/(1+EXP(-(Q194-'03_Lap_b'!$B$25:$AW$25))))^2)</f>
        <v/>
      </c>
      <c r="T194" s="5">
        <f>MEDIAN(-6,Q194+(C194-R194)/MAX(R194-S194,0.000000001),6)</f>
        <v/>
      </c>
      <c r="U194" s="5">
        <f>SUMPRODUCT(('01_Data'!$B194:$AW194&lt;&gt;"")*(1/(1+EXP(-(T194-'03_Lap_b'!$B$30:$AW$30)))))</f>
        <v/>
      </c>
      <c r="V194" s="5">
        <f>SUMPRODUCT(('01_Data'!$B194:$AW194&lt;&gt;"")*(1/(1+EXP(-(T194-'03_Lap_b'!$B$30:$AW$30))))^2)</f>
        <v/>
      </c>
      <c r="W194" s="5">
        <f>MEDIAN(-6,T194+(C194-U194)/MAX(U194-V194,0.000000001),6)</f>
        <v/>
      </c>
      <c r="X194" s="5">
        <f>SUMPRODUCT(('01_Data'!$B194:$AW194&lt;&gt;"")*(1/(1+EXP(-(W194-'03_Lap_b'!$B$35:$AW$35)))))</f>
        <v/>
      </c>
      <c r="Y194" s="5">
        <f>SUMPRODUCT(('01_Data'!$B194:$AW194&lt;&gt;"")*(1/(1+EXP(-(W194-'03_Lap_b'!$B$35:$AW$35))))^2)</f>
        <v/>
      </c>
      <c r="Z194" s="5">
        <f>MEDIAN(-6,W194+(C194-X194)/MAX(X194-Y194,0.000000001),6)</f>
        <v/>
      </c>
      <c r="AA194" s="5">
        <f>SUMPRODUCT(('01_Data'!$B194:$AW194&lt;&gt;"")*(1/(1+EXP(-(Z194-'03_Lap_b'!$B$40:$AW$40)))))</f>
        <v/>
      </c>
      <c r="AB194" s="5">
        <f>SUMPRODUCT(('01_Data'!$B194:$AW194&lt;&gt;"")*(1/(1+EXP(-(Z194-'03_Lap_b'!$B$40:$AW$40))))^2)</f>
        <v/>
      </c>
      <c r="AC194" s="5">
        <f>MEDIAN(-6,Z194+(C194-AA194)/MAX(AA194-AB194,0.000000001),6)</f>
        <v/>
      </c>
    </row>
    <row r="195">
      <c r="A195" t="n">
        <v>194</v>
      </c>
      <c r="B195">
        <f>'01_Data'!A195</f>
        <v/>
      </c>
      <c r="C195">
        <f>SUM('01_Data'!$B195:$AW195)</f>
        <v/>
      </c>
      <c r="D195">
        <f>COUNT('01_Data'!$B195:$AW195)</f>
        <v/>
      </c>
      <c r="E195" s="5">
        <f>MEDIAN(-6,LN((C195+0.3)/(D195-C195+0.3)),6)</f>
        <v/>
      </c>
      <c r="F195" s="5">
        <f>SUMPRODUCT(('01_Data'!$B195:$AW195&lt;&gt;"")*(1/(1+EXP(-(E195-'03_Lap_b'!$B$5:$AW$5)))))</f>
        <v/>
      </c>
      <c r="G195" s="5">
        <f>SUMPRODUCT(('01_Data'!$B195:$AW195&lt;&gt;"")*(1/(1+EXP(-(E195-'03_Lap_b'!$B$5:$AW$5))))^2)</f>
        <v/>
      </c>
      <c r="H195" s="5">
        <f>MEDIAN(-6,E195+(C195-F195)/MAX(F195-G195,0.000000001),6)</f>
        <v/>
      </c>
      <c r="I195" s="5">
        <f>SUMPRODUCT(('01_Data'!$B195:$AW195&lt;&gt;"")*(1/(1+EXP(-(H195-'03_Lap_b'!$B$10:$AW$10)))))</f>
        <v/>
      </c>
      <c r="J195" s="5">
        <f>SUMPRODUCT(('01_Data'!$B195:$AW195&lt;&gt;"")*(1/(1+EXP(-(H195-'03_Lap_b'!$B$10:$AW$10))))^2)</f>
        <v/>
      </c>
      <c r="K195" s="5">
        <f>MEDIAN(-6,H195+(C195-I195)/MAX(I195-J195,0.000000001),6)</f>
        <v/>
      </c>
      <c r="L195" s="5">
        <f>SUMPRODUCT(('01_Data'!$B195:$AW195&lt;&gt;"")*(1/(1+EXP(-(K195-'03_Lap_b'!$B$15:$AW$15)))))</f>
        <v/>
      </c>
      <c r="M195" s="5">
        <f>SUMPRODUCT(('01_Data'!$B195:$AW195&lt;&gt;"")*(1/(1+EXP(-(K195-'03_Lap_b'!$B$15:$AW$15))))^2)</f>
        <v/>
      </c>
      <c r="N195" s="5">
        <f>MEDIAN(-6,K195+(C195-L195)/MAX(L195-M195,0.000000001),6)</f>
        <v/>
      </c>
      <c r="O195" s="5">
        <f>SUMPRODUCT(('01_Data'!$B195:$AW195&lt;&gt;"")*(1/(1+EXP(-(N195-'03_Lap_b'!$B$20:$AW$20)))))</f>
        <v/>
      </c>
      <c r="P195" s="5">
        <f>SUMPRODUCT(('01_Data'!$B195:$AW195&lt;&gt;"")*(1/(1+EXP(-(N195-'03_Lap_b'!$B$20:$AW$20))))^2)</f>
        <v/>
      </c>
      <c r="Q195" s="5">
        <f>MEDIAN(-6,N195+(C195-O195)/MAX(O195-P195,0.000000001),6)</f>
        <v/>
      </c>
      <c r="R195" s="5">
        <f>SUMPRODUCT(('01_Data'!$B195:$AW195&lt;&gt;"")*(1/(1+EXP(-(Q195-'03_Lap_b'!$B$25:$AW$25)))))</f>
        <v/>
      </c>
      <c r="S195" s="5">
        <f>SUMPRODUCT(('01_Data'!$B195:$AW195&lt;&gt;"")*(1/(1+EXP(-(Q195-'03_Lap_b'!$B$25:$AW$25))))^2)</f>
        <v/>
      </c>
      <c r="T195" s="5">
        <f>MEDIAN(-6,Q195+(C195-R195)/MAX(R195-S195,0.000000001),6)</f>
        <v/>
      </c>
      <c r="U195" s="5">
        <f>SUMPRODUCT(('01_Data'!$B195:$AW195&lt;&gt;"")*(1/(1+EXP(-(T195-'03_Lap_b'!$B$30:$AW$30)))))</f>
        <v/>
      </c>
      <c r="V195" s="5">
        <f>SUMPRODUCT(('01_Data'!$B195:$AW195&lt;&gt;"")*(1/(1+EXP(-(T195-'03_Lap_b'!$B$30:$AW$30))))^2)</f>
        <v/>
      </c>
      <c r="W195" s="5">
        <f>MEDIAN(-6,T195+(C195-U195)/MAX(U195-V195,0.000000001),6)</f>
        <v/>
      </c>
      <c r="X195" s="5">
        <f>SUMPRODUCT(('01_Data'!$B195:$AW195&lt;&gt;"")*(1/(1+EXP(-(W195-'03_Lap_b'!$B$35:$AW$35)))))</f>
        <v/>
      </c>
      <c r="Y195" s="5">
        <f>SUMPRODUCT(('01_Data'!$B195:$AW195&lt;&gt;"")*(1/(1+EXP(-(W195-'03_Lap_b'!$B$35:$AW$35))))^2)</f>
        <v/>
      </c>
      <c r="Z195" s="5">
        <f>MEDIAN(-6,W195+(C195-X195)/MAX(X195-Y195,0.000000001),6)</f>
        <v/>
      </c>
      <c r="AA195" s="5">
        <f>SUMPRODUCT(('01_Data'!$B195:$AW195&lt;&gt;"")*(1/(1+EXP(-(Z195-'03_Lap_b'!$B$40:$AW$40)))))</f>
        <v/>
      </c>
      <c r="AB195" s="5">
        <f>SUMPRODUCT(('01_Data'!$B195:$AW195&lt;&gt;"")*(1/(1+EXP(-(Z195-'03_Lap_b'!$B$40:$AW$40))))^2)</f>
        <v/>
      </c>
      <c r="AC195" s="5">
        <f>MEDIAN(-6,Z195+(C195-AA195)/MAX(AA195-AB195,0.000000001),6)</f>
        <v/>
      </c>
    </row>
    <row r="196">
      <c r="A196" t="n">
        <v>195</v>
      </c>
      <c r="B196">
        <f>'01_Data'!A196</f>
        <v/>
      </c>
      <c r="C196">
        <f>SUM('01_Data'!$B196:$AW196)</f>
        <v/>
      </c>
      <c r="D196">
        <f>COUNT('01_Data'!$B196:$AW196)</f>
        <v/>
      </c>
      <c r="E196" s="5">
        <f>MEDIAN(-6,LN((C196+0.3)/(D196-C196+0.3)),6)</f>
        <v/>
      </c>
      <c r="F196" s="5">
        <f>SUMPRODUCT(('01_Data'!$B196:$AW196&lt;&gt;"")*(1/(1+EXP(-(E196-'03_Lap_b'!$B$5:$AW$5)))))</f>
        <v/>
      </c>
      <c r="G196" s="5">
        <f>SUMPRODUCT(('01_Data'!$B196:$AW196&lt;&gt;"")*(1/(1+EXP(-(E196-'03_Lap_b'!$B$5:$AW$5))))^2)</f>
        <v/>
      </c>
      <c r="H196" s="5">
        <f>MEDIAN(-6,E196+(C196-F196)/MAX(F196-G196,0.000000001),6)</f>
        <v/>
      </c>
      <c r="I196" s="5">
        <f>SUMPRODUCT(('01_Data'!$B196:$AW196&lt;&gt;"")*(1/(1+EXP(-(H196-'03_Lap_b'!$B$10:$AW$10)))))</f>
        <v/>
      </c>
      <c r="J196" s="5">
        <f>SUMPRODUCT(('01_Data'!$B196:$AW196&lt;&gt;"")*(1/(1+EXP(-(H196-'03_Lap_b'!$B$10:$AW$10))))^2)</f>
        <v/>
      </c>
      <c r="K196" s="5">
        <f>MEDIAN(-6,H196+(C196-I196)/MAX(I196-J196,0.000000001),6)</f>
        <v/>
      </c>
      <c r="L196" s="5">
        <f>SUMPRODUCT(('01_Data'!$B196:$AW196&lt;&gt;"")*(1/(1+EXP(-(K196-'03_Lap_b'!$B$15:$AW$15)))))</f>
        <v/>
      </c>
      <c r="M196" s="5">
        <f>SUMPRODUCT(('01_Data'!$B196:$AW196&lt;&gt;"")*(1/(1+EXP(-(K196-'03_Lap_b'!$B$15:$AW$15))))^2)</f>
        <v/>
      </c>
      <c r="N196" s="5">
        <f>MEDIAN(-6,K196+(C196-L196)/MAX(L196-M196,0.000000001),6)</f>
        <v/>
      </c>
      <c r="O196" s="5">
        <f>SUMPRODUCT(('01_Data'!$B196:$AW196&lt;&gt;"")*(1/(1+EXP(-(N196-'03_Lap_b'!$B$20:$AW$20)))))</f>
        <v/>
      </c>
      <c r="P196" s="5">
        <f>SUMPRODUCT(('01_Data'!$B196:$AW196&lt;&gt;"")*(1/(1+EXP(-(N196-'03_Lap_b'!$B$20:$AW$20))))^2)</f>
        <v/>
      </c>
      <c r="Q196" s="5">
        <f>MEDIAN(-6,N196+(C196-O196)/MAX(O196-P196,0.000000001),6)</f>
        <v/>
      </c>
      <c r="R196" s="5">
        <f>SUMPRODUCT(('01_Data'!$B196:$AW196&lt;&gt;"")*(1/(1+EXP(-(Q196-'03_Lap_b'!$B$25:$AW$25)))))</f>
        <v/>
      </c>
      <c r="S196" s="5">
        <f>SUMPRODUCT(('01_Data'!$B196:$AW196&lt;&gt;"")*(1/(1+EXP(-(Q196-'03_Lap_b'!$B$25:$AW$25))))^2)</f>
        <v/>
      </c>
      <c r="T196" s="5">
        <f>MEDIAN(-6,Q196+(C196-R196)/MAX(R196-S196,0.000000001),6)</f>
        <v/>
      </c>
      <c r="U196" s="5">
        <f>SUMPRODUCT(('01_Data'!$B196:$AW196&lt;&gt;"")*(1/(1+EXP(-(T196-'03_Lap_b'!$B$30:$AW$30)))))</f>
        <v/>
      </c>
      <c r="V196" s="5">
        <f>SUMPRODUCT(('01_Data'!$B196:$AW196&lt;&gt;"")*(1/(1+EXP(-(T196-'03_Lap_b'!$B$30:$AW$30))))^2)</f>
        <v/>
      </c>
      <c r="W196" s="5">
        <f>MEDIAN(-6,T196+(C196-U196)/MAX(U196-V196,0.000000001),6)</f>
        <v/>
      </c>
      <c r="X196" s="5">
        <f>SUMPRODUCT(('01_Data'!$B196:$AW196&lt;&gt;"")*(1/(1+EXP(-(W196-'03_Lap_b'!$B$35:$AW$35)))))</f>
        <v/>
      </c>
      <c r="Y196" s="5">
        <f>SUMPRODUCT(('01_Data'!$B196:$AW196&lt;&gt;"")*(1/(1+EXP(-(W196-'03_Lap_b'!$B$35:$AW$35))))^2)</f>
        <v/>
      </c>
      <c r="Z196" s="5">
        <f>MEDIAN(-6,W196+(C196-X196)/MAX(X196-Y196,0.000000001),6)</f>
        <v/>
      </c>
      <c r="AA196" s="5">
        <f>SUMPRODUCT(('01_Data'!$B196:$AW196&lt;&gt;"")*(1/(1+EXP(-(Z196-'03_Lap_b'!$B$40:$AW$40)))))</f>
        <v/>
      </c>
      <c r="AB196" s="5">
        <f>SUMPRODUCT(('01_Data'!$B196:$AW196&lt;&gt;"")*(1/(1+EXP(-(Z196-'03_Lap_b'!$B$40:$AW$40))))^2)</f>
        <v/>
      </c>
      <c r="AC196" s="5">
        <f>MEDIAN(-6,Z196+(C196-AA196)/MAX(AA196-AB196,0.000000001),6)</f>
        <v/>
      </c>
    </row>
    <row r="197">
      <c r="A197" t="n">
        <v>196</v>
      </c>
      <c r="B197">
        <f>'01_Data'!A197</f>
        <v/>
      </c>
      <c r="C197">
        <f>SUM('01_Data'!$B197:$AW197)</f>
        <v/>
      </c>
      <c r="D197">
        <f>COUNT('01_Data'!$B197:$AW197)</f>
        <v/>
      </c>
      <c r="E197" s="5">
        <f>MEDIAN(-6,LN((C197+0.3)/(D197-C197+0.3)),6)</f>
        <v/>
      </c>
      <c r="F197" s="5">
        <f>SUMPRODUCT(('01_Data'!$B197:$AW197&lt;&gt;"")*(1/(1+EXP(-(E197-'03_Lap_b'!$B$5:$AW$5)))))</f>
        <v/>
      </c>
      <c r="G197" s="5">
        <f>SUMPRODUCT(('01_Data'!$B197:$AW197&lt;&gt;"")*(1/(1+EXP(-(E197-'03_Lap_b'!$B$5:$AW$5))))^2)</f>
        <v/>
      </c>
      <c r="H197" s="5">
        <f>MEDIAN(-6,E197+(C197-F197)/MAX(F197-G197,0.000000001),6)</f>
        <v/>
      </c>
      <c r="I197" s="5">
        <f>SUMPRODUCT(('01_Data'!$B197:$AW197&lt;&gt;"")*(1/(1+EXP(-(H197-'03_Lap_b'!$B$10:$AW$10)))))</f>
        <v/>
      </c>
      <c r="J197" s="5">
        <f>SUMPRODUCT(('01_Data'!$B197:$AW197&lt;&gt;"")*(1/(1+EXP(-(H197-'03_Lap_b'!$B$10:$AW$10))))^2)</f>
        <v/>
      </c>
      <c r="K197" s="5">
        <f>MEDIAN(-6,H197+(C197-I197)/MAX(I197-J197,0.000000001),6)</f>
        <v/>
      </c>
      <c r="L197" s="5">
        <f>SUMPRODUCT(('01_Data'!$B197:$AW197&lt;&gt;"")*(1/(1+EXP(-(K197-'03_Lap_b'!$B$15:$AW$15)))))</f>
        <v/>
      </c>
      <c r="M197" s="5">
        <f>SUMPRODUCT(('01_Data'!$B197:$AW197&lt;&gt;"")*(1/(1+EXP(-(K197-'03_Lap_b'!$B$15:$AW$15))))^2)</f>
        <v/>
      </c>
      <c r="N197" s="5">
        <f>MEDIAN(-6,K197+(C197-L197)/MAX(L197-M197,0.000000001),6)</f>
        <v/>
      </c>
      <c r="O197" s="5">
        <f>SUMPRODUCT(('01_Data'!$B197:$AW197&lt;&gt;"")*(1/(1+EXP(-(N197-'03_Lap_b'!$B$20:$AW$20)))))</f>
        <v/>
      </c>
      <c r="P197" s="5">
        <f>SUMPRODUCT(('01_Data'!$B197:$AW197&lt;&gt;"")*(1/(1+EXP(-(N197-'03_Lap_b'!$B$20:$AW$20))))^2)</f>
        <v/>
      </c>
      <c r="Q197" s="5">
        <f>MEDIAN(-6,N197+(C197-O197)/MAX(O197-P197,0.000000001),6)</f>
        <v/>
      </c>
      <c r="R197" s="5">
        <f>SUMPRODUCT(('01_Data'!$B197:$AW197&lt;&gt;"")*(1/(1+EXP(-(Q197-'03_Lap_b'!$B$25:$AW$25)))))</f>
        <v/>
      </c>
      <c r="S197" s="5">
        <f>SUMPRODUCT(('01_Data'!$B197:$AW197&lt;&gt;"")*(1/(1+EXP(-(Q197-'03_Lap_b'!$B$25:$AW$25))))^2)</f>
        <v/>
      </c>
      <c r="T197" s="5">
        <f>MEDIAN(-6,Q197+(C197-R197)/MAX(R197-S197,0.000000001),6)</f>
        <v/>
      </c>
      <c r="U197" s="5">
        <f>SUMPRODUCT(('01_Data'!$B197:$AW197&lt;&gt;"")*(1/(1+EXP(-(T197-'03_Lap_b'!$B$30:$AW$30)))))</f>
        <v/>
      </c>
      <c r="V197" s="5">
        <f>SUMPRODUCT(('01_Data'!$B197:$AW197&lt;&gt;"")*(1/(1+EXP(-(T197-'03_Lap_b'!$B$30:$AW$30))))^2)</f>
        <v/>
      </c>
      <c r="W197" s="5">
        <f>MEDIAN(-6,T197+(C197-U197)/MAX(U197-V197,0.000000001),6)</f>
        <v/>
      </c>
      <c r="X197" s="5">
        <f>SUMPRODUCT(('01_Data'!$B197:$AW197&lt;&gt;"")*(1/(1+EXP(-(W197-'03_Lap_b'!$B$35:$AW$35)))))</f>
        <v/>
      </c>
      <c r="Y197" s="5">
        <f>SUMPRODUCT(('01_Data'!$B197:$AW197&lt;&gt;"")*(1/(1+EXP(-(W197-'03_Lap_b'!$B$35:$AW$35))))^2)</f>
        <v/>
      </c>
      <c r="Z197" s="5">
        <f>MEDIAN(-6,W197+(C197-X197)/MAX(X197-Y197,0.000000001),6)</f>
        <v/>
      </c>
      <c r="AA197" s="5">
        <f>SUMPRODUCT(('01_Data'!$B197:$AW197&lt;&gt;"")*(1/(1+EXP(-(Z197-'03_Lap_b'!$B$40:$AW$40)))))</f>
        <v/>
      </c>
      <c r="AB197" s="5">
        <f>SUMPRODUCT(('01_Data'!$B197:$AW197&lt;&gt;"")*(1/(1+EXP(-(Z197-'03_Lap_b'!$B$40:$AW$40))))^2)</f>
        <v/>
      </c>
      <c r="AC197" s="5">
        <f>MEDIAN(-6,Z197+(C197-AA197)/MAX(AA197-AB197,0.000000001),6)</f>
        <v/>
      </c>
    </row>
    <row r="198">
      <c r="A198" t="n">
        <v>197</v>
      </c>
      <c r="B198">
        <f>'01_Data'!A198</f>
        <v/>
      </c>
      <c r="C198">
        <f>SUM('01_Data'!$B198:$AW198)</f>
        <v/>
      </c>
      <c r="D198">
        <f>COUNT('01_Data'!$B198:$AW198)</f>
        <v/>
      </c>
      <c r="E198" s="5">
        <f>MEDIAN(-6,LN((C198+0.3)/(D198-C198+0.3)),6)</f>
        <v/>
      </c>
      <c r="F198" s="5">
        <f>SUMPRODUCT(('01_Data'!$B198:$AW198&lt;&gt;"")*(1/(1+EXP(-(E198-'03_Lap_b'!$B$5:$AW$5)))))</f>
        <v/>
      </c>
      <c r="G198" s="5">
        <f>SUMPRODUCT(('01_Data'!$B198:$AW198&lt;&gt;"")*(1/(1+EXP(-(E198-'03_Lap_b'!$B$5:$AW$5))))^2)</f>
        <v/>
      </c>
      <c r="H198" s="5">
        <f>MEDIAN(-6,E198+(C198-F198)/MAX(F198-G198,0.000000001),6)</f>
        <v/>
      </c>
      <c r="I198" s="5">
        <f>SUMPRODUCT(('01_Data'!$B198:$AW198&lt;&gt;"")*(1/(1+EXP(-(H198-'03_Lap_b'!$B$10:$AW$10)))))</f>
        <v/>
      </c>
      <c r="J198" s="5">
        <f>SUMPRODUCT(('01_Data'!$B198:$AW198&lt;&gt;"")*(1/(1+EXP(-(H198-'03_Lap_b'!$B$10:$AW$10))))^2)</f>
        <v/>
      </c>
      <c r="K198" s="5">
        <f>MEDIAN(-6,H198+(C198-I198)/MAX(I198-J198,0.000000001),6)</f>
        <v/>
      </c>
      <c r="L198" s="5">
        <f>SUMPRODUCT(('01_Data'!$B198:$AW198&lt;&gt;"")*(1/(1+EXP(-(K198-'03_Lap_b'!$B$15:$AW$15)))))</f>
        <v/>
      </c>
      <c r="M198" s="5">
        <f>SUMPRODUCT(('01_Data'!$B198:$AW198&lt;&gt;"")*(1/(1+EXP(-(K198-'03_Lap_b'!$B$15:$AW$15))))^2)</f>
        <v/>
      </c>
      <c r="N198" s="5">
        <f>MEDIAN(-6,K198+(C198-L198)/MAX(L198-M198,0.000000001),6)</f>
        <v/>
      </c>
      <c r="O198" s="5">
        <f>SUMPRODUCT(('01_Data'!$B198:$AW198&lt;&gt;"")*(1/(1+EXP(-(N198-'03_Lap_b'!$B$20:$AW$20)))))</f>
        <v/>
      </c>
      <c r="P198" s="5">
        <f>SUMPRODUCT(('01_Data'!$B198:$AW198&lt;&gt;"")*(1/(1+EXP(-(N198-'03_Lap_b'!$B$20:$AW$20))))^2)</f>
        <v/>
      </c>
      <c r="Q198" s="5">
        <f>MEDIAN(-6,N198+(C198-O198)/MAX(O198-P198,0.000000001),6)</f>
        <v/>
      </c>
      <c r="R198" s="5">
        <f>SUMPRODUCT(('01_Data'!$B198:$AW198&lt;&gt;"")*(1/(1+EXP(-(Q198-'03_Lap_b'!$B$25:$AW$25)))))</f>
        <v/>
      </c>
      <c r="S198" s="5">
        <f>SUMPRODUCT(('01_Data'!$B198:$AW198&lt;&gt;"")*(1/(1+EXP(-(Q198-'03_Lap_b'!$B$25:$AW$25))))^2)</f>
        <v/>
      </c>
      <c r="T198" s="5">
        <f>MEDIAN(-6,Q198+(C198-R198)/MAX(R198-S198,0.000000001),6)</f>
        <v/>
      </c>
      <c r="U198" s="5">
        <f>SUMPRODUCT(('01_Data'!$B198:$AW198&lt;&gt;"")*(1/(1+EXP(-(T198-'03_Lap_b'!$B$30:$AW$30)))))</f>
        <v/>
      </c>
      <c r="V198" s="5">
        <f>SUMPRODUCT(('01_Data'!$B198:$AW198&lt;&gt;"")*(1/(1+EXP(-(T198-'03_Lap_b'!$B$30:$AW$30))))^2)</f>
        <v/>
      </c>
      <c r="W198" s="5">
        <f>MEDIAN(-6,T198+(C198-U198)/MAX(U198-V198,0.000000001),6)</f>
        <v/>
      </c>
      <c r="X198" s="5">
        <f>SUMPRODUCT(('01_Data'!$B198:$AW198&lt;&gt;"")*(1/(1+EXP(-(W198-'03_Lap_b'!$B$35:$AW$35)))))</f>
        <v/>
      </c>
      <c r="Y198" s="5">
        <f>SUMPRODUCT(('01_Data'!$B198:$AW198&lt;&gt;"")*(1/(1+EXP(-(W198-'03_Lap_b'!$B$35:$AW$35))))^2)</f>
        <v/>
      </c>
      <c r="Z198" s="5">
        <f>MEDIAN(-6,W198+(C198-X198)/MAX(X198-Y198,0.000000001),6)</f>
        <v/>
      </c>
      <c r="AA198" s="5">
        <f>SUMPRODUCT(('01_Data'!$B198:$AW198&lt;&gt;"")*(1/(1+EXP(-(Z198-'03_Lap_b'!$B$40:$AW$40)))))</f>
        <v/>
      </c>
      <c r="AB198" s="5">
        <f>SUMPRODUCT(('01_Data'!$B198:$AW198&lt;&gt;"")*(1/(1+EXP(-(Z198-'03_Lap_b'!$B$40:$AW$40))))^2)</f>
        <v/>
      </c>
      <c r="AC198" s="5">
        <f>MEDIAN(-6,Z198+(C198-AA198)/MAX(AA198-AB198,0.000000001),6)</f>
        <v/>
      </c>
    </row>
    <row r="199">
      <c r="A199" t="n">
        <v>198</v>
      </c>
      <c r="B199">
        <f>'01_Data'!A199</f>
        <v/>
      </c>
      <c r="C199">
        <f>SUM('01_Data'!$B199:$AW199)</f>
        <v/>
      </c>
      <c r="D199">
        <f>COUNT('01_Data'!$B199:$AW199)</f>
        <v/>
      </c>
      <c r="E199" s="5">
        <f>MEDIAN(-6,LN((C199+0.3)/(D199-C199+0.3)),6)</f>
        <v/>
      </c>
      <c r="F199" s="5">
        <f>SUMPRODUCT(('01_Data'!$B199:$AW199&lt;&gt;"")*(1/(1+EXP(-(E199-'03_Lap_b'!$B$5:$AW$5)))))</f>
        <v/>
      </c>
      <c r="G199" s="5">
        <f>SUMPRODUCT(('01_Data'!$B199:$AW199&lt;&gt;"")*(1/(1+EXP(-(E199-'03_Lap_b'!$B$5:$AW$5))))^2)</f>
        <v/>
      </c>
      <c r="H199" s="5">
        <f>MEDIAN(-6,E199+(C199-F199)/MAX(F199-G199,0.000000001),6)</f>
        <v/>
      </c>
      <c r="I199" s="5">
        <f>SUMPRODUCT(('01_Data'!$B199:$AW199&lt;&gt;"")*(1/(1+EXP(-(H199-'03_Lap_b'!$B$10:$AW$10)))))</f>
        <v/>
      </c>
      <c r="J199" s="5">
        <f>SUMPRODUCT(('01_Data'!$B199:$AW199&lt;&gt;"")*(1/(1+EXP(-(H199-'03_Lap_b'!$B$10:$AW$10))))^2)</f>
        <v/>
      </c>
      <c r="K199" s="5">
        <f>MEDIAN(-6,H199+(C199-I199)/MAX(I199-J199,0.000000001),6)</f>
        <v/>
      </c>
      <c r="L199" s="5">
        <f>SUMPRODUCT(('01_Data'!$B199:$AW199&lt;&gt;"")*(1/(1+EXP(-(K199-'03_Lap_b'!$B$15:$AW$15)))))</f>
        <v/>
      </c>
      <c r="M199" s="5">
        <f>SUMPRODUCT(('01_Data'!$B199:$AW199&lt;&gt;"")*(1/(1+EXP(-(K199-'03_Lap_b'!$B$15:$AW$15))))^2)</f>
        <v/>
      </c>
      <c r="N199" s="5">
        <f>MEDIAN(-6,K199+(C199-L199)/MAX(L199-M199,0.000000001),6)</f>
        <v/>
      </c>
      <c r="O199" s="5">
        <f>SUMPRODUCT(('01_Data'!$B199:$AW199&lt;&gt;"")*(1/(1+EXP(-(N199-'03_Lap_b'!$B$20:$AW$20)))))</f>
        <v/>
      </c>
      <c r="P199" s="5">
        <f>SUMPRODUCT(('01_Data'!$B199:$AW199&lt;&gt;"")*(1/(1+EXP(-(N199-'03_Lap_b'!$B$20:$AW$20))))^2)</f>
        <v/>
      </c>
      <c r="Q199" s="5">
        <f>MEDIAN(-6,N199+(C199-O199)/MAX(O199-P199,0.000000001),6)</f>
        <v/>
      </c>
      <c r="R199" s="5">
        <f>SUMPRODUCT(('01_Data'!$B199:$AW199&lt;&gt;"")*(1/(1+EXP(-(Q199-'03_Lap_b'!$B$25:$AW$25)))))</f>
        <v/>
      </c>
      <c r="S199" s="5">
        <f>SUMPRODUCT(('01_Data'!$B199:$AW199&lt;&gt;"")*(1/(1+EXP(-(Q199-'03_Lap_b'!$B$25:$AW$25))))^2)</f>
        <v/>
      </c>
      <c r="T199" s="5">
        <f>MEDIAN(-6,Q199+(C199-R199)/MAX(R199-S199,0.000000001),6)</f>
        <v/>
      </c>
      <c r="U199" s="5">
        <f>SUMPRODUCT(('01_Data'!$B199:$AW199&lt;&gt;"")*(1/(1+EXP(-(T199-'03_Lap_b'!$B$30:$AW$30)))))</f>
        <v/>
      </c>
      <c r="V199" s="5">
        <f>SUMPRODUCT(('01_Data'!$B199:$AW199&lt;&gt;"")*(1/(1+EXP(-(T199-'03_Lap_b'!$B$30:$AW$30))))^2)</f>
        <v/>
      </c>
      <c r="W199" s="5">
        <f>MEDIAN(-6,T199+(C199-U199)/MAX(U199-V199,0.000000001),6)</f>
        <v/>
      </c>
      <c r="X199" s="5">
        <f>SUMPRODUCT(('01_Data'!$B199:$AW199&lt;&gt;"")*(1/(1+EXP(-(W199-'03_Lap_b'!$B$35:$AW$35)))))</f>
        <v/>
      </c>
      <c r="Y199" s="5">
        <f>SUMPRODUCT(('01_Data'!$B199:$AW199&lt;&gt;"")*(1/(1+EXP(-(W199-'03_Lap_b'!$B$35:$AW$35))))^2)</f>
        <v/>
      </c>
      <c r="Z199" s="5">
        <f>MEDIAN(-6,W199+(C199-X199)/MAX(X199-Y199,0.000000001),6)</f>
        <v/>
      </c>
      <c r="AA199" s="5">
        <f>SUMPRODUCT(('01_Data'!$B199:$AW199&lt;&gt;"")*(1/(1+EXP(-(Z199-'03_Lap_b'!$B$40:$AW$40)))))</f>
        <v/>
      </c>
      <c r="AB199" s="5">
        <f>SUMPRODUCT(('01_Data'!$B199:$AW199&lt;&gt;"")*(1/(1+EXP(-(Z199-'03_Lap_b'!$B$40:$AW$40))))^2)</f>
        <v/>
      </c>
      <c r="AC199" s="5">
        <f>MEDIAN(-6,Z199+(C199-AA199)/MAX(AA199-AB199,0.000000001),6)</f>
        <v/>
      </c>
    </row>
    <row r="200">
      <c r="A200" t="n">
        <v>199</v>
      </c>
      <c r="B200">
        <f>'01_Data'!A200</f>
        <v/>
      </c>
      <c r="C200">
        <f>SUM('01_Data'!$B200:$AW200)</f>
        <v/>
      </c>
      <c r="D200">
        <f>COUNT('01_Data'!$B200:$AW200)</f>
        <v/>
      </c>
      <c r="E200" s="5">
        <f>MEDIAN(-6,LN((C200+0.3)/(D200-C200+0.3)),6)</f>
        <v/>
      </c>
      <c r="F200" s="5">
        <f>SUMPRODUCT(('01_Data'!$B200:$AW200&lt;&gt;"")*(1/(1+EXP(-(E200-'03_Lap_b'!$B$5:$AW$5)))))</f>
        <v/>
      </c>
      <c r="G200" s="5">
        <f>SUMPRODUCT(('01_Data'!$B200:$AW200&lt;&gt;"")*(1/(1+EXP(-(E200-'03_Lap_b'!$B$5:$AW$5))))^2)</f>
        <v/>
      </c>
      <c r="H200" s="5">
        <f>MEDIAN(-6,E200+(C200-F200)/MAX(F200-G200,0.000000001),6)</f>
        <v/>
      </c>
      <c r="I200" s="5">
        <f>SUMPRODUCT(('01_Data'!$B200:$AW200&lt;&gt;"")*(1/(1+EXP(-(H200-'03_Lap_b'!$B$10:$AW$10)))))</f>
        <v/>
      </c>
      <c r="J200" s="5">
        <f>SUMPRODUCT(('01_Data'!$B200:$AW200&lt;&gt;"")*(1/(1+EXP(-(H200-'03_Lap_b'!$B$10:$AW$10))))^2)</f>
        <v/>
      </c>
      <c r="K200" s="5">
        <f>MEDIAN(-6,H200+(C200-I200)/MAX(I200-J200,0.000000001),6)</f>
        <v/>
      </c>
      <c r="L200" s="5">
        <f>SUMPRODUCT(('01_Data'!$B200:$AW200&lt;&gt;"")*(1/(1+EXP(-(K200-'03_Lap_b'!$B$15:$AW$15)))))</f>
        <v/>
      </c>
      <c r="M200" s="5">
        <f>SUMPRODUCT(('01_Data'!$B200:$AW200&lt;&gt;"")*(1/(1+EXP(-(K200-'03_Lap_b'!$B$15:$AW$15))))^2)</f>
        <v/>
      </c>
      <c r="N200" s="5">
        <f>MEDIAN(-6,K200+(C200-L200)/MAX(L200-M200,0.000000001),6)</f>
        <v/>
      </c>
      <c r="O200" s="5">
        <f>SUMPRODUCT(('01_Data'!$B200:$AW200&lt;&gt;"")*(1/(1+EXP(-(N200-'03_Lap_b'!$B$20:$AW$20)))))</f>
        <v/>
      </c>
      <c r="P200" s="5">
        <f>SUMPRODUCT(('01_Data'!$B200:$AW200&lt;&gt;"")*(1/(1+EXP(-(N200-'03_Lap_b'!$B$20:$AW$20))))^2)</f>
        <v/>
      </c>
      <c r="Q200" s="5">
        <f>MEDIAN(-6,N200+(C200-O200)/MAX(O200-P200,0.000000001),6)</f>
        <v/>
      </c>
      <c r="R200" s="5">
        <f>SUMPRODUCT(('01_Data'!$B200:$AW200&lt;&gt;"")*(1/(1+EXP(-(Q200-'03_Lap_b'!$B$25:$AW$25)))))</f>
        <v/>
      </c>
      <c r="S200" s="5">
        <f>SUMPRODUCT(('01_Data'!$B200:$AW200&lt;&gt;"")*(1/(1+EXP(-(Q200-'03_Lap_b'!$B$25:$AW$25))))^2)</f>
        <v/>
      </c>
      <c r="T200" s="5">
        <f>MEDIAN(-6,Q200+(C200-R200)/MAX(R200-S200,0.000000001),6)</f>
        <v/>
      </c>
      <c r="U200" s="5">
        <f>SUMPRODUCT(('01_Data'!$B200:$AW200&lt;&gt;"")*(1/(1+EXP(-(T200-'03_Lap_b'!$B$30:$AW$30)))))</f>
        <v/>
      </c>
      <c r="V200" s="5">
        <f>SUMPRODUCT(('01_Data'!$B200:$AW200&lt;&gt;"")*(1/(1+EXP(-(T200-'03_Lap_b'!$B$30:$AW$30))))^2)</f>
        <v/>
      </c>
      <c r="W200" s="5">
        <f>MEDIAN(-6,T200+(C200-U200)/MAX(U200-V200,0.000000001),6)</f>
        <v/>
      </c>
      <c r="X200" s="5">
        <f>SUMPRODUCT(('01_Data'!$B200:$AW200&lt;&gt;"")*(1/(1+EXP(-(W200-'03_Lap_b'!$B$35:$AW$35)))))</f>
        <v/>
      </c>
      <c r="Y200" s="5">
        <f>SUMPRODUCT(('01_Data'!$B200:$AW200&lt;&gt;"")*(1/(1+EXP(-(W200-'03_Lap_b'!$B$35:$AW$35))))^2)</f>
        <v/>
      </c>
      <c r="Z200" s="5">
        <f>MEDIAN(-6,W200+(C200-X200)/MAX(X200-Y200,0.000000001),6)</f>
        <v/>
      </c>
      <c r="AA200" s="5">
        <f>SUMPRODUCT(('01_Data'!$B200:$AW200&lt;&gt;"")*(1/(1+EXP(-(Z200-'03_Lap_b'!$B$40:$AW$40)))))</f>
        <v/>
      </c>
      <c r="AB200" s="5">
        <f>SUMPRODUCT(('01_Data'!$B200:$AW200&lt;&gt;"")*(1/(1+EXP(-(Z200-'03_Lap_b'!$B$40:$AW$40))))^2)</f>
        <v/>
      </c>
      <c r="AC200" s="5">
        <f>MEDIAN(-6,Z200+(C200-AA200)/MAX(AA200-AB200,0.000000001),6)</f>
        <v/>
      </c>
    </row>
    <row r="201">
      <c r="A201" t="n">
        <v>200</v>
      </c>
      <c r="B201">
        <f>'01_Data'!A201</f>
        <v/>
      </c>
      <c r="C201">
        <f>SUM('01_Data'!$B201:$AW201)</f>
        <v/>
      </c>
      <c r="D201">
        <f>COUNT('01_Data'!$B201:$AW201)</f>
        <v/>
      </c>
      <c r="E201" s="5">
        <f>MEDIAN(-6,LN((C201+0.3)/(D201-C201+0.3)),6)</f>
        <v/>
      </c>
      <c r="F201" s="5">
        <f>SUMPRODUCT(('01_Data'!$B201:$AW201&lt;&gt;"")*(1/(1+EXP(-(E201-'03_Lap_b'!$B$5:$AW$5)))))</f>
        <v/>
      </c>
      <c r="G201" s="5">
        <f>SUMPRODUCT(('01_Data'!$B201:$AW201&lt;&gt;"")*(1/(1+EXP(-(E201-'03_Lap_b'!$B$5:$AW$5))))^2)</f>
        <v/>
      </c>
      <c r="H201" s="5">
        <f>MEDIAN(-6,E201+(C201-F201)/MAX(F201-G201,0.000000001),6)</f>
        <v/>
      </c>
      <c r="I201" s="5">
        <f>SUMPRODUCT(('01_Data'!$B201:$AW201&lt;&gt;"")*(1/(1+EXP(-(H201-'03_Lap_b'!$B$10:$AW$10)))))</f>
        <v/>
      </c>
      <c r="J201" s="5">
        <f>SUMPRODUCT(('01_Data'!$B201:$AW201&lt;&gt;"")*(1/(1+EXP(-(H201-'03_Lap_b'!$B$10:$AW$10))))^2)</f>
        <v/>
      </c>
      <c r="K201" s="5">
        <f>MEDIAN(-6,H201+(C201-I201)/MAX(I201-J201,0.000000001),6)</f>
        <v/>
      </c>
      <c r="L201" s="5">
        <f>SUMPRODUCT(('01_Data'!$B201:$AW201&lt;&gt;"")*(1/(1+EXP(-(K201-'03_Lap_b'!$B$15:$AW$15)))))</f>
        <v/>
      </c>
      <c r="M201" s="5">
        <f>SUMPRODUCT(('01_Data'!$B201:$AW201&lt;&gt;"")*(1/(1+EXP(-(K201-'03_Lap_b'!$B$15:$AW$15))))^2)</f>
        <v/>
      </c>
      <c r="N201" s="5">
        <f>MEDIAN(-6,K201+(C201-L201)/MAX(L201-M201,0.000000001),6)</f>
        <v/>
      </c>
      <c r="O201" s="5">
        <f>SUMPRODUCT(('01_Data'!$B201:$AW201&lt;&gt;"")*(1/(1+EXP(-(N201-'03_Lap_b'!$B$20:$AW$20)))))</f>
        <v/>
      </c>
      <c r="P201" s="5">
        <f>SUMPRODUCT(('01_Data'!$B201:$AW201&lt;&gt;"")*(1/(1+EXP(-(N201-'03_Lap_b'!$B$20:$AW$20))))^2)</f>
        <v/>
      </c>
      <c r="Q201" s="5">
        <f>MEDIAN(-6,N201+(C201-O201)/MAX(O201-P201,0.000000001),6)</f>
        <v/>
      </c>
      <c r="R201" s="5">
        <f>SUMPRODUCT(('01_Data'!$B201:$AW201&lt;&gt;"")*(1/(1+EXP(-(Q201-'03_Lap_b'!$B$25:$AW$25)))))</f>
        <v/>
      </c>
      <c r="S201" s="5">
        <f>SUMPRODUCT(('01_Data'!$B201:$AW201&lt;&gt;"")*(1/(1+EXP(-(Q201-'03_Lap_b'!$B$25:$AW$25))))^2)</f>
        <v/>
      </c>
      <c r="T201" s="5">
        <f>MEDIAN(-6,Q201+(C201-R201)/MAX(R201-S201,0.000000001),6)</f>
        <v/>
      </c>
      <c r="U201" s="5">
        <f>SUMPRODUCT(('01_Data'!$B201:$AW201&lt;&gt;"")*(1/(1+EXP(-(T201-'03_Lap_b'!$B$30:$AW$30)))))</f>
        <v/>
      </c>
      <c r="V201" s="5">
        <f>SUMPRODUCT(('01_Data'!$B201:$AW201&lt;&gt;"")*(1/(1+EXP(-(T201-'03_Lap_b'!$B$30:$AW$30))))^2)</f>
        <v/>
      </c>
      <c r="W201" s="5">
        <f>MEDIAN(-6,T201+(C201-U201)/MAX(U201-V201,0.000000001),6)</f>
        <v/>
      </c>
      <c r="X201" s="5">
        <f>SUMPRODUCT(('01_Data'!$B201:$AW201&lt;&gt;"")*(1/(1+EXP(-(W201-'03_Lap_b'!$B$35:$AW$35)))))</f>
        <v/>
      </c>
      <c r="Y201" s="5">
        <f>SUMPRODUCT(('01_Data'!$B201:$AW201&lt;&gt;"")*(1/(1+EXP(-(W201-'03_Lap_b'!$B$35:$AW$35))))^2)</f>
        <v/>
      </c>
      <c r="Z201" s="5">
        <f>MEDIAN(-6,W201+(C201-X201)/MAX(X201-Y201,0.000000001),6)</f>
        <v/>
      </c>
      <c r="AA201" s="5">
        <f>SUMPRODUCT(('01_Data'!$B201:$AW201&lt;&gt;"")*(1/(1+EXP(-(Z201-'03_Lap_b'!$B$40:$AW$40)))))</f>
        <v/>
      </c>
      <c r="AB201" s="5">
        <f>SUMPRODUCT(('01_Data'!$B201:$AW201&lt;&gt;"")*(1/(1+EXP(-(Z201-'03_Lap_b'!$B$40:$AW$40))))^2)</f>
        <v/>
      </c>
      <c r="AC201" s="5">
        <f>MEDIAN(-6,Z201+(C201-AA201)/MAX(AA201-AB201,0.000000001),6)</f>
        <v/>
      </c>
    </row>
    <row r="202">
      <c r="A202" t="n">
        <v>201</v>
      </c>
      <c r="B202">
        <f>'01_Data'!A202</f>
        <v/>
      </c>
      <c r="C202">
        <f>SUM('01_Data'!$B202:$AW202)</f>
        <v/>
      </c>
      <c r="D202">
        <f>COUNT('01_Data'!$B202:$AW202)</f>
        <v/>
      </c>
      <c r="E202" s="5">
        <f>MEDIAN(-6,LN((C202+0.3)/(D202-C202+0.3)),6)</f>
        <v/>
      </c>
      <c r="F202" s="5">
        <f>SUMPRODUCT(('01_Data'!$B202:$AW202&lt;&gt;"")*(1/(1+EXP(-(E202-'03_Lap_b'!$B$5:$AW$5)))))</f>
        <v/>
      </c>
      <c r="G202" s="5">
        <f>SUMPRODUCT(('01_Data'!$B202:$AW202&lt;&gt;"")*(1/(1+EXP(-(E202-'03_Lap_b'!$B$5:$AW$5))))^2)</f>
        <v/>
      </c>
      <c r="H202" s="5">
        <f>MEDIAN(-6,E202+(C202-F202)/MAX(F202-G202,0.000000001),6)</f>
        <v/>
      </c>
      <c r="I202" s="5">
        <f>SUMPRODUCT(('01_Data'!$B202:$AW202&lt;&gt;"")*(1/(1+EXP(-(H202-'03_Lap_b'!$B$10:$AW$10)))))</f>
        <v/>
      </c>
      <c r="J202" s="5">
        <f>SUMPRODUCT(('01_Data'!$B202:$AW202&lt;&gt;"")*(1/(1+EXP(-(H202-'03_Lap_b'!$B$10:$AW$10))))^2)</f>
        <v/>
      </c>
      <c r="K202" s="5">
        <f>MEDIAN(-6,H202+(C202-I202)/MAX(I202-J202,0.000000001),6)</f>
        <v/>
      </c>
      <c r="L202" s="5">
        <f>SUMPRODUCT(('01_Data'!$B202:$AW202&lt;&gt;"")*(1/(1+EXP(-(K202-'03_Lap_b'!$B$15:$AW$15)))))</f>
        <v/>
      </c>
      <c r="M202" s="5">
        <f>SUMPRODUCT(('01_Data'!$B202:$AW202&lt;&gt;"")*(1/(1+EXP(-(K202-'03_Lap_b'!$B$15:$AW$15))))^2)</f>
        <v/>
      </c>
      <c r="N202" s="5">
        <f>MEDIAN(-6,K202+(C202-L202)/MAX(L202-M202,0.000000001),6)</f>
        <v/>
      </c>
      <c r="O202" s="5">
        <f>SUMPRODUCT(('01_Data'!$B202:$AW202&lt;&gt;"")*(1/(1+EXP(-(N202-'03_Lap_b'!$B$20:$AW$20)))))</f>
        <v/>
      </c>
      <c r="P202" s="5">
        <f>SUMPRODUCT(('01_Data'!$B202:$AW202&lt;&gt;"")*(1/(1+EXP(-(N202-'03_Lap_b'!$B$20:$AW$20))))^2)</f>
        <v/>
      </c>
      <c r="Q202" s="5">
        <f>MEDIAN(-6,N202+(C202-O202)/MAX(O202-P202,0.000000001),6)</f>
        <v/>
      </c>
      <c r="R202" s="5">
        <f>SUMPRODUCT(('01_Data'!$B202:$AW202&lt;&gt;"")*(1/(1+EXP(-(Q202-'03_Lap_b'!$B$25:$AW$25)))))</f>
        <v/>
      </c>
      <c r="S202" s="5">
        <f>SUMPRODUCT(('01_Data'!$B202:$AW202&lt;&gt;"")*(1/(1+EXP(-(Q202-'03_Lap_b'!$B$25:$AW$25))))^2)</f>
        <v/>
      </c>
      <c r="T202" s="5">
        <f>MEDIAN(-6,Q202+(C202-R202)/MAX(R202-S202,0.000000001),6)</f>
        <v/>
      </c>
      <c r="U202" s="5">
        <f>SUMPRODUCT(('01_Data'!$B202:$AW202&lt;&gt;"")*(1/(1+EXP(-(T202-'03_Lap_b'!$B$30:$AW$30)))))</f>
        <v/>
      </c>
      <c r="V202" s="5">
        <f>SUMPRODUCT(('01_Data'!$B202:$AW202&lt;&gt;"")*(1/(1+EXP(-(T202-'03_Lap_b'!$B$30:$AW$30))))^2)</f>
        <v/>
      </c>
      <c r="W202" s="5">
        <f>MEDIAN(-6,T202+(C202-U202)/MAX(U202-V202,0.000000001),6)</f>
        <v/>
      </c>
      <c r="X202" s="5">
        <f>SUMPRODUCT(('01_Data'!$B202:$AW202&lt;&gt;"")*(1/(1+EXP(-(W202-'03_Lap_b'!$B$35:$AW$35)))))</f>
        <v/>
      </c>
      <c r="Y202" s="5">
        <f>SUMPRODUCT(('01_Data'!$B202:$AW202&lt;&gt;"")*(1/(1+EXP(-(W202-'03_Lap_b'!$B$35:$AW$35))))^2)</f>
        <v/>
      </c>
      <c r="Z202" s="5">
        <f>MEDIAN(-6,W202+(C202-X202)/MAX(X202-Y202,0.000000001),6)</f>
        <v/>
      </c>
      <c r="AA202" s="5">
        <f>SUMPRODUCT(('01_Data'!$B202:$AW202&lt;&gt;"")*(1/(1+EXP(-(Z202-'03_Lap_b'!$B$40:$AW$40)))))</f>
        <v/>
      </c>
      <c r="AB202" s="5">
        <f>SUMPRODUCT(('01_Data'!$B202:$AW202&lt;&gt;"")*(1/(1+EXP(-(Z202-'03_Lap_b'!$B$40:$AW$40))))^2)</f>
        <v/>
      </c>
      <c r="AC202" s="5">
        <f>MEDIAN(-6,Z202+(C202-AA202)/MAX(AA202-AB202,0.000000001),6)</f>
        <v/>
      </c>
    </row>
    <row r="203">
      <c r="A203" t="n">
        <v>202</v>
      </c>
      <c r="B203">
        <f>'01_Data'!A203</f>
        <v/>
      </c>
      <c r="C203">
        <f>SUM('01_Data'!$B203:$AW203)</f>
        <v/>
      </c>
      <c r="D203">
        <f>COUNT('01_Data'!$B203:$AW203)</f>
        <v/>
      </c>
      <c r="E203" s="5">
        <f>MEDIAN(-6,LN((C203+0.3)/(D203-C203+0.3)),6)</f>
        <v/>
      </c>
      <c r="F203" s="5">
        <f>SUMPRODUCT(('01_Data'!$B203:$AW203&lt;&gt;"")*(1/(1+EXP(-(E203-'03_Lap_b'!$B$5:$AW$5)))))</f>
        <v/>
      </c>
      <c r="G203" s="5">
        <f>SUMPRODUCT(('01_Data'!$B203:$AW203&lt;&gt;"")*(1/(1+EXP(-(E203-'03_Lap_b'!$B$5:$AW$5))))^2)</f>
        <v/>
      </c>
      <c r="H203" s="5">
        <f>MEDIAN(-6,E203+(C203-F203)/MAX(F203-G203,0.000000001),6)</f>
        <v/>
      </c>
      <c r="I203" s="5">
        <f>SUMPRODUCT(('01_Data'!$B203:$AW203&lt;&gt;"")*(1/(1+EXP(-(H203-'03_Lap_b'!$B$10:$AW$10)))))</f>
        <v/>
      </c>
      <c r="J203" s="5">
        <f>SUMPRODUCT(('01_Data'!$B203:$AW203&lt;&gt;"")*(1/(1+EXP(-(H203-'03_Lap_b'!$B$10:$AW$10))))^2)</f>
        <v/>
      </c>
      <c r="K203" s="5">
        <f>MEDIAN(-6,H203+(C203-I203)/MAX(I203-J203,0.000000001),6)</f>
        <v/>
      </c>
      <c r="L203" s="5">
        <f>SUMPRODUCT(('01_Data'!$B203:$AW203&lt;&gt;"")*(1/(1+EXP(-(K203-'03_Lap_b'!$B$15:$AW$15)))))</f>
        <v/>
      </c>
      <c r="M203" s="5">
        <f>SUMPRODUCT(('01_Data'!$B203:$AW203&lt;&gt;"")*(1/(1+EXP(-(K203-'03_Lap_b'!$B$15:$AW$15))))^2)</f>
        <v/>
      </c>
      <c r="N203" s="5">
        <f>MEDIAN(-6,K203+(C203-L203)/MAX(L203-M203,0.000000001),6)</f>
        <v/>
      </c>
      <c r="O203" s="5">
        <f>SUMPRODUCT(('01_Data'!$B203:$AW203&lt;&gt;"")*(1/(1+EXP(-(N203-'03_Lap_b'!$B$20:$AW$20)))))</f>
        <v/>
      </c>
      <c r="P203" s="5">
        <f>SUMPRODUCT(('01_Data'!$B203:$AW203&lt;&gt;"")*(1/(1+EXP(-(N203-'03_Lap_b'!$B$20:$AW$20))))^2)</f>
        <v/>
      </c>
      <c r="Q203" s="5">
        <f>MEDIAN(-6,N203+(C203-O203)/MAX(O203-P203,0.000000001),6)</f>
        <v/>
      </c>
      <c r="R203" s="5">
        <f>SUMPRODUCT(('01_Data'!$B203:$AW203&lt;&gt;"")*(1/(1+EXP(-(Q203-'03_Lap_b'!$B$25:$AW$25)))))</f>
        <v/>
      </c>
      <c r="S203" s="5">
        <f>SUMPRODUCT(('01_Data'!$B203:$AW203&lt;&gt;"")*(1/(1+EXP(-(Q203-'03_Lap_b'!$B$25:$AW$25))))^2)</f>
        <v/>
      </c>
      <c r="T203" s="5">
        <f>MEDIAN(-6,Q203+(C203-R203)/MAX(R203-S203,0.000000001),6)</f>
        <v/>
      </c>
      <c r="U203" s="5">
        <f>SUMPRODUCT(('01_Data'!$B203:$AW203&lt;&gt;"")*(1/(1+EXP(-(T203-'03_Lap_b'!$B$30:$AW$30)))))</f>
        <v/>
      </c>
      <c r="V203" s="5">
        <f>SUMPRODUCT(('01_Data'!$B203:$AW203&lt;&gt;"")*(1/(1+EXP(-(T203-'03_Lap_b'!$B$30:$AW$30))))^2)</f>
        <v/>
      </c>
      <c r="W203" s="5">
        <f>MEDIAN(-6,T203+(C203-U203)/MAX(U203-V203,0.000000001),6)</f>
        <v/>
      </c>
      <c r="X203" s="5">
        <f>SUMPRODUCT(('01_Data'!$B203:$AW203&lt;&gt;"")*(1/(1+EXP(-(W203-'03_Lap_b'!$B$35:$AW$35)))))</f>
        <v/>
      </c>
      <c r="Y203" s="5">
        <f>SUMPRODUCT(('01_Data'!$B203:$AW203&lt;&gt;"")*(1/(1+EXP(-(W203-'03_Lap_b'!$B$35:$AW$35))))^2)</f>
        <v/>
      </c>
      <c r="Z203" s="5">
        <f>MEDIAN(-6,W203+(C203-X203)/MAX(X203-Y203,0.000000001),6)</f>
        <v/>
      </c>
      <c r="AA203" s="5">
        <f>SUMPRODUCT(('01_Data'!$B203:$AW203&lt;&gt;"")*(1/(1+EXP(-(Z203-'03_Lap_b'!$B$40:$AW$40)))))</f>
        <v/>
      </c>
      <c r="AB203" s="5">
        <f>SUMPRODUCT(('01_Data'!$B203:$AW203&lt;&gt;"")*(1/(1+EXP(-(Z203-'03_Lap_b'!$B$40:$AW$40))))^2)</f>
        <v/>
      </c>
      <c r="AC203" s="5">
        <f>MEDIAN(-6,Z203+(C203-AA203)/MAX(AA203-AB203,0.000000001),6)</f>
        <v/>
      </c>
    </row>
    <row r="204">
      <c r="A204" t="n">
        <v>203</v>
      </c>
      <c r="B204">
        <f>'01_Data'!A204</f>
        <v/>
      </c>
      <c r="C204">
        <f>SUM('01_Data'!$B204:$AW204)</f>
        <v/>
      </c>
      <c r="D204">
        <f>COUNT('01_Data'!$B204:$AW204)</f>
        <v/>
      </c>
      <c r="E204" s="5">
        <f>MEDIAN(-6,LN((C204+0.3)/(D204-C204+0.3)),6)</f>
        <v/>
      </c>
      <c r="F204" s="5">
        <f>SUMPRODUCT(('01_Data'!$B204:$AW204&lt;&gt;"")*(1/(1+EXP(-(E204-'03_Lap_b'!$B$5:$AW$5)))))</f>
        <v/>
      </c>
      <c r="G204" s="5">
        <f>SUMPRODUCT(('01_Data'!$B204:$AW204&lt;&gt;"")*(1/(1+EXP(-(E204-'03_Lap_b'!$B$5:$AW$5))))^2)</f>
        <v/>
      </c>
      <c r="H204" s="5">
        <f>MEDIAN(-6,E204+(C204-F204)/MAX(F204-G204,0.000000001),6)</f>
        <v/>
      </c>
      <c r="I204" s="5">
        <f>SUMPRODUCT(('01_Data'!$B204:$AW204&lt;&gt;"")*(1/(1+EXP(-(H204-'03_Lap_b'!$B$10:$AW$10)))))</f>
        <v/>
      </c>
      <c r="J204" s="5">
        <f>SUMPRODUCT(('01_Data'!$B204:$AW204&lt;&gt;"")*(1/(1+EXP(-(H204-'03_Lap_b'!$B$10:$AW$10))))^2)</f>
        <v/>
      </c>
      <c r="K204" s="5">
        <f>MEDIAN(-6,H204+(C204-I204)/MAX(I204-J204,0.000000001),6)</f>
        <v/>
      </c>
      <c r="L204" s="5">
        <f>SUMPRODUCT(('01_Data'!$B204:$AW204&lt;&gt;"")*(1/(1+EXP(-(K204-'03_Lap_b'!$B$15:$AW$15)))))</f>
        <v/>
      </c>
      <c r="M204" s="5">
        <f>SUMPRODUCT(('01_Data'!$B204:$AW204&lt;&gt;"")*(1/(1+EXP(-(K204-'03_Lap_b'!$B$15:$AW$15))))^2)</f>
        <v/>
      </c>
      <c r="N204" s="5">
        <f>MEDIAN(-6,K204+(C204-L204)/MAX(L204-M204,0.000000001),6)</f>
        <v/>
      </c>
      <c r="O204" s="5">
        <f>SUMPRODUCT(('01_Data'!$B204:$AW204&lt;&gt;"")*(1/(1+EXP(-(N204-'03_Lap_b'!$B$20:$AW$20)))))</f>
        <v/>
      </c>
      <c r="P204" s="5">
        <f>SUMPRODUCT(('01_Data'!$B204:$AW204&lt;&gt;"")*(1/(1+EXP(-(N204-'03_Lap_b'!$B$20:$AW$20))))^2)</f>
        <v/>
      </c>
      <c r="Q204" s="5">
        <f>MEDIAN(-6,N204+(C204-O204)/MAX(O204-P204,0.000000001),6)</f>
        <v/>
      </c>
      <c r="R204" s="5">
        <f>SUMPRODUCT(('01_Data'!$B204:$AW204&lt;&gt;"")*(1/(1+EXP(-(Q204-'03_Lap_b'!$B$25:$AW$25)))))</f>
        <v/>
      </c>
      <c r="S204" s="5">
        <f>SUMPRODUCT(('01_Data'!$B204:$AW204&lt;&gt;"")*(1/(1+EXP(-(Q204-'03_Lap_b'!$B$25:$AW$25))))^2)</f>
        <v/>
      </c>
      <c r="T204" s="5">
        <f>MEDIAN(-6,Q204+(C204-R204)/MAX(R204-S204,0.000000001),6)</f>
        <v/>
      </c>
      <c r="U204" s="5">
        <f>SUMPRODUCT(('01_Data'!$B204:$AW204&lt;&gt;"")*(1/(1+EXP(-(T204-'03_Lap_b'!$B$30:$AW$30)))))</f>
        <v/>
      </c>
      <c r="V204" s="5">
        <f>SUMPRODUCT(('01_Data'!$B204:$AW204&lt;&gt;"")*(1/(1+EXP(-(T204-'03_Lap_b'!$B$30:$AW$30))))^2)</f>
        <v/>
      </c>
      <c r="W204" s="5">
        <f>MEDIAN(-6,T204+(C204-U204)/MAX(U204-V204,0.000000001),6)</f>
        <v/>
      </c>
      <c r="X204" s="5">
        <f>SUMPRODUCT(('01_Data'!$B204:$AW204&lt;&gt;"")*(1/(1+EXP(-(W204-'03_Lap_b'!$B$35:$AW$35)))))</f>
        <v/>
      </c>
      <c r="Y204" s="5">
        <f>SUMPRODUCT(('01_Data'!$B204:$AW204&lt;&gt;"")*(1/(1+EXP(-(W204-'03_Lap_b'!$B$35:$AW$35))))^2)</f>
        <v/>
      </c>
      <c r="Z204" s="5">
        <f>MEDIAN(-6,W204+(C204-X204)/MAX(X204-Y204,0.000000001),6)</f>
        <v/>
      </c>
      <c r="AA204" s="5">
        <f>SUMPRODUCT(('01_Data'!$B204:$AW204&lt;&gt;"")*(1/(1+EXP(-(Z204-'03_Lap_b'!$B$40:$AW$40)))))</f>
        <v/>
      </c>
      <c r="AB204" s="5">
        <f>SUMPRODUCT(('01_Data'!$B204:$AW204&lt;&gt;"")*(1/(1+EXP(-(Z204-'03_Lap_b'!$B$40:$AW$40))))^2)</f>
        <v/>
      </c>
      <c r="AC204" s="5">
        <f>MEDIAN(-6,Z204+(C204-AA204)/MAX(AA204-AB204,0.000000001),6)</f>
        <v/>
      </c>
    </row>
    <row r="205">
      <c r="A205" t="n">
        <v>204</v>
      </c>
      <c r="B205">
        <f>'01_Data'!A205</f>
        <v/>
      </c>
      <c r="C205">
        <f>SUM('01_Data'!$B205:$AW205)</f>
        <v/>
      </c>
      <c r="D205">
        <f>COUNT('01_Data'!$B205:$AW205)</f>
        <v/>
      </c>
      <c r="E205" s="5">
        <f>MEDIAN(-6,LN((C205+0.3)/(D205-C205+0.3)),6)</f>
        <v/>
      </c>
      <c r="F205" s="5">
        <f>SUMPRODUCT(('01_Data'!$B205:$AW205&lt;&gt;"")*(1/(1+EXP(-(E205-'03_Lap_b'!$B$5:$AW$5)))))</f>
        <v/>
      </c>
      <c r="G205" s="5">
        <f>SUMPRODUCT(('01_Data'!$B205:$AW205&lt;&gt;"")*(1/(1+EXP(-(E205-'03_Lap_b'!$B$5:$AW$5))))^2)</f>
        <v/>
      </c>
      <c r="H205" s="5">
        <f>MEDIAN(-6,E205+(C205-F205)/MAX(F205-G205,0.000000001),6)</f>
        <v/>
      </c>
      <c r="I205" s="5">
        <f>SUMPRODUCT(('01_Data'!$B205:$AW205&lt;&gt;"")*(1/(1+EXP(-(H205-'03_Lap_b'!$B$10:$AW$10)))))</f>
        <v/>
      </c>
      <c r="J205" s="5">
        <f>SUMPRODUCT(('01_Data'!$B205:$AW205&lt;&gt;"")*(1/(1+EXP(-(H205-'03_Lap_b'!$B$10:$AW$10))))^2)</f>
        <v/>
      </c>
      <c r="K205" s="5">
        <f>MEDIAN(-6,H205+(C205-I205)/MAX(I205-J205,0.000000001),6)</f>
        <v/>
      </c>
      <c r="L205" s="5">
        <f>SUMPRODUCT(('01_Data'!$B205:$AW205&lt;&gt;"")*(1/(1+EXP(-(K205-'03_Lap_b'!$B$15:$AW$15)))))</f>
        <v/>
      </c>
      <c r="M205" s="5">
        <f>SUMPRODUCT(('01_Data'!$B205:$AW205&lt;&gt;"")*(1/(1+EXP(-(K205-'03_Lap_b'!$B$15:$AW$15))))^2)</f>
        <v/>
      </c>
      <c r="N205" s="5">
        <f>MEDIAN(-6,K205+(C205-L205)/MAX(L205-M205,0.000000001),6)</f>
        <v/>
      </c>
      <c r="O205" s="5">
        <f>SUMPRODUCT(('01_Data'!$B205:$AW205&lt;&gt;"")*(1/(1+EXP(-(N205-'03_Lap_b'!$B$20:$AW$20)))))</f>
        <v/>
      </c>
      <c r="P205" s="5">
        <f>SUMPRODUCT(('01_Data'!$B205:$AW205&lt;&gt;"")*(1/(1+EXP(-(N205-'03_Lap_b'!$B$20:$AW$20))))^2)</f>
        <v/>
      </c>
      <c r="Q205" s="5">
        <f>MEDIAN(-6,N205+(C205-O205)/MAX(O205-P205,0.000000001),6)</f>
        <v/>
      </c>
      <c r="R205" s="5">
        <f>SUMPRODUCT(('01_Data'!$B205:$AW205&lt;&gt;"")*(1/(1+EXP(-(Q205-'03_Lap_b'!$B$25:$AW$25)))))</f>
        <v/>
      </c>
      <c r="S205" s="5">
        <f>SUMPRODUCT(('01_Data'!$B205:$AW205&lt;&gt;"")*(1/(1+EXP(-(Q205-'03_Lap_b'!$B$25:$AW$25))))^2)</f>
        <v/>
      </c>
      <c r="T205" s="5">
        <f>MEDIAN(-6,Q205+(C205-R205)/MAX(R205-S205,0.000000001),6)</f>
        <v/>
      </c>
      <c r="U205" s="5">
        <f>SUMPRODUCT(('01_Data'!$B205:$AW205&lt;&gt;"")*(1/(1+EXP(-(T205-'03_Lap_b'!$B$30:$AW$30)))))</f>
        <v/>
      </c>
      <c r="V205" s="5">
        <f>SUMPRODUCT(('01_Data'!$B205:$AW205&lt;&gt;"")*(1/(1+EXP(-(T205-'03_Lap_b'!$B$30:$AW$30))))^2)</f>
        <v/>
      </c>
      <c r="W205" s="5">
        <f>MEDIAN(-6,T205+(C205-U205)/MAX(U205-V205,0.000000001),6)</f>
        <v/>
      </c>
      <c r="X205" s="5">
        <f>SUMPRODUCT(('01_Data'!$B205:$AW205&lt;&gt;"")*(1/(1+EXP(-(W205-'03_Lap_b'!$B$35:$AW$35)))))</f>
        <v/>
      </c>
      <c r="Y205" s="5">
        <f>SUMPRODUCT(('01_Data'!$B205:$AW205&lt;&gt;"")*(1/(1+EXP(-(W205-'03_Lap_b'!$B$35:$AW$35))))^2)</f>
        <v/>
      </c>
      <c r="Z205" s="5">
        <f>MEDIAN(-6,W205+(C205-X205)/MAX(X205-Y205,0.000000001),6)</f>
        <v/>
      </c>
      <c r="AA205" s="5">
        <f>SUMPRODUCT(('01_Data'!$B205:$AW205&lt;&gt;"")*(1/(1+EXP(-(Z205-'03_Lap_b'!$B$40:$AW$40)))))</f>
        <v/>
      </c>
      <c r="AB205" s="5">
        <f>SUMPRODUCT(('01_Data'!$B205:$AW205&lt;&gt;"")*(1/(1+EXP(-(Z205-'03_Lap_b'!$B$40:$AW$40))))^2)</f>
        <v/>
      </c>
      <c r="AC205" s="5">
        <f>MEDIAN(-6,Z205+(C205-AA205)/MAX(AA205-AB205,0.000000001),6)</f>
        <v/>
      </c>
    </row>
    <row r="206">
      <c r="A206" t="n">
        <v>205</v>
      </c>
      <c r="B206">
        <f>'01_Data'!A206</f>
        <v/>
      </c>
      <c r="C206">
        <f>SUM('01_Data'!$B206:$AW206)</f>
        <v/>
      </c>
      <c r="D206">
        <f>COUNT('01_Data'!$B206:$AW206)</f>
        <v/>
      </c>
      <c r="E206" s="5">
        <f>MEDIAN(-6,LN((C206+0.3)/(D206-C206+0.3)),6)</f>
        <v/>
      </c>
      <c r="F206" s="5">
        <f>SUMPRODUCT(('01_Data'!$B206:$AW206&lt;&gt;"")*(1/(1+EXP(-(E206-'03_Lap_b'!$B$5:$AW$5)))))</f>
        <v/>
      </c>
      <c r="G206" s="5">
        <f>SUMPRODUCT(('01_Data'!$B206:$AW206&lt;&gt;"")*(1/(1+EXP(-(E206-'03_Lap_b'!$B$5:$AW$5))))^2)</f>
        <v/>
      </c>
      <c r="H206" s="5">
        <f>MEDIAN(-6,E206+(C206-F206)/MAX(F206-G206,0.000000001),6)</f>
        <v/>
      </c>
      <c r="I206" s="5">
        <f>SUMPRODUCT(('01_Data'!$B206:$AW206&lt;&gt;"")*(1/(1+EXP(-(H206-'03_Lap_b'!$B$10:$AW$10)))))</f>
        <v/>
      </c>
      <c r="J206" s="5">
        <f>SUMPRODUCT(('01_Data'!$B206:$AW206&lt;&gt;"")*(1/(1+EXP(-(H206-'03_Lap_b'!$B$10:$AW$10))))^2)</f>
        <v/>
      </c>
      <c r="K206" s="5">
        <f>MEDIAN(-6,H206+(C206-I206)/MAX(I206-J206,0.000000001),6)</f>
        <v/>
      </c>
      <c r="L206" s="5">
        <f>SUMPRODUCT(('01_Data'!$B206:$AW206&lt;&gt;"")*(1/(1+EXP(-(K206-'03_Lap_b'!$B$15:$AW$15)))))</f>
        <v/>
      </c>
      <c r="M206" s="5">
        <f>SUMPRODUCT(('01_Data'!$B206:$AW206&lt;&gt;"")*(1/(1+EXP(-(K206-'03_Lap_b'!$B$15:$AW$15))))^2)</f>
        <v/>
      </c>
      <c r="N206" s="5">
        <f>MEDIAN(-6,K206+(C206-L206)/MAX(L206-M206,0.000000001),6)</f>
        <v/>
      </c>
      <c r="O206" s="5">
        <f>SUMPRODUCT(('01_Data'!$B206:$AW206&lt;&gt;"")*(1/(1+EXP(-(N206-'03_Lap_b'!$B$20:$AW$20)))))</f>
        <v/>
      </c>
      <c r="P206" s="5">
        <f>SUMPRODUCT(('01_Data'!$B206:$AW206&lt;&gt;"")*(1/(1+EXP(-(N206-'03_Lap_b'!$B$20:$AW$20))))^2)</f>
        <v/>
      </c>
      <c r="Q206" s="5">
        <f>MEDIAN(-6,N206+(C206-O206)/MAX(O206-P206,0.000000001),6)</f>
        <v/>
      </c>
      <c r="R206" s="5">
        <f>SUMPRODUCT(('01_Data'!$B206:$AW206&lt;&gt;"")*(1/(1+EXP(-(Q206-'03_Lap_b'!$B$25:$AW$25)))))</f>
        <v/>
      </c>
      <c r="S206" s="5">
        <f>SUMPRODUCT(('01_Data'!$B206:$AW206&lt;&gt;"")*(1/(1+EXP(-(Q206-'03_Lap_b'!$B$25:$AW$25))))^2)</f>
        <v/>
      </c>
      <c r="T206" s="5">
        <f>MEDIAN(-6,Q206+(C206-R206)/MAX(R206-S206,0.000000001),6)</f>
        <v/>
      </c>
      <c r="U206" s="5">
        <f>SUMPRODUCT(('01_Data'!$B206:$AW206&lt;&gt;"")*(1/(1+EXP(-(T206-'03_Lap_b'!$B$30:$AW$30)))))</f>
        <v/>
      </c>
      <c r="V206" s="5">
        <f>SUMPRODUCT(('01_Data'!$B206:$AW206&lt;&gt;"")*(1/(1+EXP(-(T206-'03_Lap_b'!$B$30:$AW$30))))^2)</f>
        <v/>
      </c>
      <c r="W206" s="5">
        <f>MEDIAN(-6,T206+(C206-U206)/MAX(U206-V206,0.000000001),6)</f>
        <v/>
      </c>
      <c r="X206" s="5">
        <f>SUMPRODUCT(('01_Data'!$B206:$AW206&lt;&gt;"")*(1/(1+EXP(-(W206-'03_Lap_b'!$B$35:$AW$35)))))</f>
        <v/>
      </c>
      <c r="Y206" s="5">
        <f>SUMPRODUCT(('01_Data'!$B206:$AW206&lt;&gt;"")*(1/(1+EXP(-(W206-'03_Lap_b'!$B$35:$AW$35))))^2)</f>
        <v/>
      </c>
      <c r="Z206" s="5">
        <f>MEDIAN(-6,W206+(C206-X206)/MAX(X206-Y206,0.000000001),6)</f>
        <v/>
      </c>
      <c r="AA206" s="5">
        <f>SUMPRODUCT(('01_Data'!$B206:$AW206&lt;&gt;"")*(1/(1+EXP(-(Z206-'03_Lap_b'!$B$40:$AW$40)))))</f>
        <v/>
      </c>
      <c r="AB206" s="5">
        <f>SUMPRODUCT(('01_Data'!$B206:$AW206&lt;&gt;"")*(1/(1+EXP(-(Z206-'03_Lap_b'!$B$40:$AW$40))))^2)</f>
        <v/>
      </c>
      <c r="AC206" s="5">
        <f>MEDIAN(-6,Z206+(C206-AA206)/MAX(AA206-AB206,0.000000001),6)</f>
        <v/>
      </c>
    </row>
    <row r="207">
      <c r="A207" t="n">
        <v>206</v>
      </c>
      <c r="B207">
        <f>'01_Data'!A207</f>
        <v/>
      </c>
      <c r="C207">
        <f>SUM('01_Data'!$B207:$AW207)</f>
        <v/>
      </c>
      <c r="D207">
        <f>COUNT('01_Data'!$B207:$AW207)</f>
        <v/>
      </c>
      <c r="E207" s="5">
        <f>MEDIAN(-6,LN((C207+0.3)/(D207-C207+0.3)),6)</f>
        <v/>
      </c>
      <c r="F207" s="5">
        <f>SUMPRODUCT(('01_Data'!$B207:$AW207&lt;&gt;"")*(1/(1+EXP(-(E207-'03_Lap_b'!$B$5:$AW$5)))))</f>
        <v/>
      </c>
      <c r="G207" s="5">
        <f>SUMPRODUCT(('01_Data'!$B207:$AW207&lt;&gt;"")*(1/(1+EXP(-(E207-'03_Lap_b'!$B$5:$AW$5))))^2)</f>
        <v/>
      </c>
      <c r="H207" s="5">
        <f>MEDIAN(-6,E207+(C207-F207)/MAX(F207-G207,0.000000001),6)</f>
        <v/>
      </c>
      <c r="I207" s="5">
        <f>SUMPRODUCT(('01_Data'!$B207:$AW207&lt;&gt;"")*(1/(1+EXP(-(H207-'03_Lap_b'!$B$10:$AW$10)))))</f>
        <v/>
      </c>
      <c r="J207" s="5">
        <f>SUMPRODUCT(('01_Data'!$B207:$AW207&lt;&gt;"")*(1/(1+EXP(-(H207-'03_Lap_b'!$B$10:$AW$10))))^2)</f>
        <v/>
      </c>
      <c r="K207" s="5">
        <f>MEDIAN(-6,H207+(C207-I207)/MAX(I207-J207,0.000000001),6)</f>
        <v/>
      </c>
      <c r="L207" s="5">
        <f>SUMPRODUCT(('01_Data'!$B207:$AW207&lt;&gt;"")*(1/(1+EXP(-(K207-'03_Lap_b'!$B$15:$AW$15)))))</f>
        <v/>
      </c>
      <c r="M207" s="5">
        <f>SUMPRODUCT(('01_Data'!$B207:$AW207&lt;&gt;"")*(1/(1+EXP(-(K207-'03_Lap_b'!$B$15:$AW$15))))^2)</f>
        <v/>
      </c>
      <c r="N207" s="5">
        <f>MEDIAN(-6,K207+(C207-L207)/MAX(L207-M207,0.000000001),6)</f>
        <v/>
      </c>
      <c r="O207" s="5">
        <f>SUMPRODUCT(('01_Data'!$B207:$AW207&lt;&gt;"")*(1/(1+EXP(-(N207-'03_Lap_b'!$B$20:$AW$20)))))</f>
        <v/>
      </c>
      <c r="P207" s="5">
        <f>SUMPRODUCT(('01_Data'!$B207:$AW207&lt;&gt;"")*(1/(1+EXP(-(N207-'03_Lap_b'!$B$20:$AW$20))))^2)</f>
        <v/>
      </c>
      <c r="Q207" s="5">
        <f>MEDIAN(-6,N207+(C207-O207)/MAX(O207-P207,0.000000001),6)</f>
        <v/>
      </c>
      <c r="R207" s="5">
        <f>SUMPRODUCT(('01_Data'!$B207:$AW207&lt;&gt;"")*(1/(1+EXP(-(Q207-'03_Lap_b'!$B$25:$AW$25)))))</f>
        <v/>
      </c>
      <c r="S207" s="5">
        <f>SUMPRODUCT(('01_Data'!$B207:$AW207&lt;&gt;"")*(1/(1+EXP(-(Q207-'03_Lap_b'!$B$25:$AW$25))))^2)</f>
        <v/>
      </c>
      <c r="T207" s="5">
        <f>MEDIAN(-6,Q207+(C207-R207)/MAX(R207-S207,0.000000001),6)</f>
        <v/>
      </c>
      <c r="U207" s="5">
        <f>SUMPRODUCT(('01_Data'!$B207:$AW207&lt;&gt;"")*(1/(1+EXP(-(T207-'03_Lap_b'!$B$30:$AW$30)))))</f>
        <v/>
      </c>
      <c r="V207" s="5">
        <f>SUMPRODUCT(('01_Data'!$B207:$AW207&lt;&gt;"")*(1/(1+EXP(-(T207-'03_Lap_b'!$B$30:$AW$30))))^2)</f>
        <v/>
      </c>
      <c r="W207" s="5">
        <f>MEDIAN(-6,T207+(C207-U207)/MAX(U207-V207,0.000000001),6)</f>
        <v/>
      </c>
      <c r="X207" s="5">
        <f>SUMPRODUCT(('01_Data'!$B207:$AW207&lt;&gt;"")*(1/(1+EXP(-(W207-'03_Lap_b'!$B$35:$AW$35)))))</f>
        <v/>
      </c>
      <c r="Y207" s="5">
        <f>SUMPRODUCT(('01_Data'!$B207:$AW207&lt;&gt;"")*(1/(1+EXP(-(W207-'03_Lap_b'!$B$35:$AW$35))))^2)</f>
        <v/>
      </c>
      <c r="Z207" s="5">
        <f>MEDIAN(-6,W207+(C207-X207)/MAX(X207-Y207,0.000000001),6)</f>
        <v/>
      </c>
      <c r="AA207" s="5">
        <f>SUMPRODUCT(('01_Data'!$B207:$AW207&lt;&gt;"")*(1/(1+EXP(-(Z207-'03_Lap_b'!$B$40:$AW$40)))))</f>
        <v/>
      </c>
      <c r="AB207" s="5">
        <f>SUMPRODUCT(('01_Data'!$B207:$AW207&lt;&gt;"")*(1/(1+EXP(-(Z207-'03_Lap_b'!$B$40:$AW$40))))^2)</f>
        <v/>
      </c>
      <c r="AC207" s="5">
        <f>MEDIAN(-6,Z207+(C207-AA207)/MAX(AA207-AB207,0.000000001),6)</f>
        <v/>
      </c>
    </row>
    <row r="208">
      <c r="A208" t="n">
        <v>207</v>
      </c>
      <c r="B208">
        <f>'01_Data'!A208</f>
        <v/>
      </c>
      <c r="C208">
        <f>SUM('01_Data'!$B208:$AW208)</f>
        <v/>
      </c>
      <c r="D208">
        <f>COUNT('01_Data'!$B208:$AW208)</f>
        <v/>
      </c>
      <c r="E208" s="5">
        <f>MEDIAN(-6,LN((C208+0.3)/(D208-C208+0.3)),6)</f>
        <v/>
      </c>
      <c r="F208" s="5">
        <f>SUMPRODUCT(('01_Data'!$B208:$AW208&lt;&gt;"")*(1/(1+EXP(-(E208-'03_Lap_b'!$B$5:$AW$5)))))</f>
        <v/>
      </c>
      <c r="G208" s="5">
        <f>SUMPRODUCT(('01_Data'!$B208:$AW208&lt;&gt;"")*(1/(1+EXP(-(E208-'03_Lap_b'!$B$5:$AW$5))))^2)</f>
        <v/>
      </c>
      <c r="H208" s="5">
        <f>MEDIAN(-6,E208+(C208-F208)/MAX(F208-G208,0.000000001),6)</f>
        <v/>
      </c>
      <c r="I208" s="5">
        <f>SUMPRODUCT(('01_Data'!$B208:$AW208&lt;&gt;"")*(1/(1+EXP(-(H208-'03_Lap_b'!$B$10:$AW$10)))))</f>
        <v/>
      </c>
      <c r="J208" s="5">
        <f>SUMPRODUCT(('01_Data'!$B208:$AW208&lt;&gt;"")*(1/(1+EXP(-(H208-'03_Lap_b'!$B$10:$AW$10))))^2)</f>
        <v/>
      </c>
      <c r="K208" s="5">
        <f>MEDIAN(-6,H208+(C208-I208)/MAX(I208-J208,0.000000001),6)</f>
        <v/>
      </c>
      <c r="L208" s="5">
        <f>SUMPRODUCT(('01_Data'!$B208:$AW208&lt;&gt;"")*(1/(1+EXP(-(K208-'03_Lap_b'!$B$15:$AW$15)))))</f>
        <v/>
      </c>
      <c r="M208" s="5">
        <f>SUMPRODUCT(('01_Data'!$B208:$AW208&lt;&gt;"")*(1/(1+EXP(-(K208-'03_Lap_b'!$B$15:$AW$15))))^2)</f>
        <v/>
      </c>
      <c r="N208" s="5">
        <f>MEDIAN(-6,K208+(C208-L208)/MAX(L208-M208,0.000000001),6)</f>
        <v/>
      </c>
      <c r="O208" s="5">
        <f>SUMPRODUCT(('01_Data'!$B208:$AW208&lt;&gt;"")*(1/(1+EXP(-(N208-'03_Lap_b'!$B$20:$AW$20)))))</f>
        <v/>
      </c>
      <c r="P208" s="5">
        <f>SUMPRODUCT(('01_Data'!$B208:$AW208&lt;&gt;"")*(1/(1+EXP(-(N208-'03_Lap_b'!$B$20:$AW$20))))^2)</f>
        <v/>
      </c>
      <c r="Q208" s="5">
        <f>MEDIAN(-6,N208+(C208-O208)/MAX(O208-P208,0.000000001),6)</f>
        <v/>
      </c>
      <c r="R208" s="5">
        <f>SUMPRODUCT(('01_Data'!$B208:$AW208&lt;&gt;"")*(1/(1+EXP(-(Q208-'03_Lap_b'!$B$25:$AW$25)))))</f>
        <v/>
      </c>
      <c r="S208" s="5">
        <f>SUMPRODUCT(('01_Data'!$B208:$AW208&lt;&gt;"")*(1/(1+EXP(-(Q208-'03_Lap_b'!$B$25:$AW$25))))^2)</f>
        <v/>
      </c>
      <c r="T208" s="5">
        <f>MEDIAN(-6,Q208+(C208-R208)/MAX(R208-S208,0.000000001),6)</f>
        <v/>
      </c>
      <c r="U208" s="5">
        <f>SUMPRODUCT(('01_Data'!$B208:$AW208&lt;&gt;"")*(1/(1+EXP(-(T208-'03_Lap_b'!$B$30:$AW$30)))))</f>
        <v/>
      </c>
      <c r="V208" s="5">
        <f>SUMPRODUCT(('01_Data'!$B208:$AW208&lt;&gt;"")*(1/(1+EXP(-(T208-'03_Lap_b'!$B$30:$AW$30))))^2)</f>
        <v/>
      </c>
      <c r="W208" s="5">
        <f>MEDIAN(-6,T208+(C208-U208)/MAX(U208-V208,0.000000001),6)</f>
        <v/>
      </c>
      <c r="X208" s="5">
        <f>SUMPRODUCT(('01_Data'!$B208:$AW208&lt;&gt;"")*(1/(1+EXP(-(W208-'03_Lap_b'!$B$35:$AW$35)))))</f>
        <v/>
      </c>
      <c r="Y208" s="5">
        <f>SUMPRODUCT(('01_Data'!$B208:$AW208&lt;&gt;"")*(1/(1+EXP(-(W208-'03_Lap_b'!$B$35:$AW$35))))^2)</f>
        <v/>
      </c>
      <c r="Z208" s="5">
        <f>MEDIAN(-6,W208+(C208-X208)/MAX(X208-Y208,0.000000001),6)</f>
        <v/>
      </c>
      <c r="AA208" s="5">
        <f>SUMPRODUCT(('01_Data'!$B208:$AW208&lt;&gt;"")*(1/(1+EXP(-(Z208-'03_Lap_b'!$B$40:$AW$40)))))</f>
        <v/>
      </c>
      <c r="AB208" s="5">
        <f>SUMPRODUCT(('01_Data'!$B208:$AW208&lt;&gt;"")*(1/(1+EXP(-(Z208-'03_Lap_b'!$B$40:$AW$40))))^2)</f>
        <v/>
      </c>
      <c r="AC208" s="5">
        <f>MEDIAN(-6,Z208+(C208-AA208)/MAX(AA208-AB208,0.000000001),6)</f>
        <v/>
      </c>
    </row>
    <row r="209">
      <c r="A209" t="n">
        <v>208</v>
      </c>
      <c r="B209">
        <f>'01_Data'!A209</f>
        <v/>
      </c>
      <c r="C209">
        <f>SUM('01_Data'!$B209:$AW209)</f>
        <v/>
      </c>
      <c r="D209">
        <f>COUNT('01_Data'!$B209:$AW209)</f>
        <v/>
      </c>
      <c r="E209" s="5">
        <f>MEDIAN(-6,LN((C209+0.3)/(D209-C209+0.3)),6)</f>
        <v/>
      </c>
      <c r="F209" s="5">
        <f>SUMPRODUCT(('01_Data'!$B209:$AW209&lt;&gt;"")*(1/(1+EXP(-(E209-'03_Lap_b'!$B$5:$AW$5)))))</f>
        <v/>
      </c>
      <c r="G209" s="5">
        <f>SUMPRODUCT(('01_Data'!$B209:$AW209&lt;&gt;"")*(1/(1+EXP(-(E209-'03_Lap_b'!$B$5:$AW$5))))^2)</f>
        <v/>
      </c>
      <c r="H209" s="5">
        <f>MEDIAN(-6,E209+(C209-F209)/MAX(F209-G209,0.000000001),6)</f>
        <v/>
      </c>
      <c r="I209" s="5">
        <f>SUMPRODUCT(('01_Data'!$B209:$AW209&lt;&gt;"")*(1/(1+EXP(-(H209-'03_Lap_b'!$B$10:$AW$10)))))</f>
        <v/>
      </c>
      <c r="J209" s="5">
        <f>SUMPRODUCT(('01_Data'!$B209:$AW209&lt;&gt;"")*(1/(1+EXP(-(H209-'03_Lap_b'!$B$10:$AW$10))))^2)</f>
        <v/>
      </c>
      <c r="K209" s="5">
        <f>MEDIAN(-6,H209+(C209-I209)/MAX(I209-J209,0.000000001),6)</f>
        <v/>
      </c>
      <c r="L209" s="5">
        <f>SUMPRODUCT(('01_Data'!$B209:$AW209&lt;&gt;"")*(1/(1+EXP(-(K209-'03_Lap_b'!$B$15:$AW$15)))))</f>
        <v/>
      </c>
      <c r="M209" s="5">
        <f>SUMPRODUCT(('01_Data'!$B209:$AW209&lt;&gt;"")*(1/(1+EXP(-(K209-'03_Lap_b'!$B$15:$AW$15))))^2)</f>
        <v/>
      </c>
      <c r="N209" s="5">
        <f>MEDIAN(-6,K209+(C209-L209)/MAX(L209-M209,0.000000001),6)</f>
        <v/>
      </c>
      <c r="O209" s="5">
        <f>SUMPRODUCT(('01_Data'!$B209:$AW209&lt;&gt;"")*(1/(1+EXP(-(N209-'03_Lap_b'!$B$20:$AW$20)))))</f>
        <v/>
      </c>
      <c r="P209" s="5">
        <f>SUMPRODUCT(('01_Data'!$B209:$AW209&lt;&gt;"")*(1/(1+EXP(-(N209-'03_Lap_b'!$B$20:$AW$20))))^2)</f>
        <v/>
      </c>
      <c r="Q209" s="5">
        <f>MEDIAN(-6,N209+(C209-O209)/MAX(O209-P209,0.000000001),6)</f>
        <v/>
      </c>
      <c r="R209" s="5">
        <f>SUMPRODUCT(('01_Data'!$B209:$AW209&lt;&gt;"")*(1/(1+EXP(-(Q209-'03_Lap_b'!$B$25:$AW$25)))))</f>
        <v/>
      </c>
      <c r="S209" s="5">
        <f>SUMPRODUCT(('01_Data'!$B209:$AW209&lt;&gt;"")*(1/(1+EXP(-(Q209-'03_Lap_b'!$B$25:$AW$25))))^2)</f>
        <v/>
      </c>
      <c r="T209" s="5">
        <f>MEDIAN(-6,Q209+(C209-R209)/MAX(R209-S209,0.000000001),6)</f>
        <v/>
      </c>
      <c r="U209" s="5">
        <f>SUMPRODUCT(('01_Data'!$B209:$AW209&lt;&gt;"")*(1/(1+EXP(-(T209-'03_Lap_b'!$B$30:$AW$30)))))</f>
        <v/>
      </c>
      <c r="V209" s="5">
        <f>SUMPRODUCT(('01_Data'!$B209:$AW209&lt;&gt;"")*(1/(1+EXP(-(T209-'03_Lap_b'!$B$30:$AW$30))))^2)</f>
        <v/>
      </c>
      <c r="W209" s="5">
        <f>MEDIAN(-6,T209+(C209-U209)/MAX(U209-V209,0.000000001),6)</f>
        <v/>
      </c>
      <c r="X209" s="5">
        <f>SUMPRODUCT(('01_Data'!$B209:$AW209&lt;&gt;"")*(1/(1+EXP(-(W209-'03_Lap_b'!$B$35:$AW$35)))))</f>
        <v/>
      </c>
      <c r="Y209" s="5">
        <f>SUMPRODUCT(('01_Data'!$B209:$AW209&lt;&gt;"")*(1/(1+EXP(-(W209-'03_Lap_b'!$B$35:$AW$35))))^2)</f>
        <v/>
      </c>
      <c r="Z209" s="5">
        <f>MEDIAN(-6,W209+(C209-X209)/MAX(X209-Y209,0.000000001),6)</f>
        <v/>
      </c>
      <c r="AA209" s="5">
        <f>SUMPRODUCT(('01_Data'!$B209:$AW209&lt;&gt;"")*(1/(1+EXP(-(Z209-'03_Lap_b'!$B$40:$AW$40)))))</f>
        <v/>
      </c>
      <c r="AB209" s="5">
        <f>SUMPRODUCT(('01_Data'!$B209:$AW209&lt;&gt;"")*(1/(1+EXP(-(Z209-'03_Lap_b'!$B$40:$AW$40))))^2)</f>
        <v/>
      </c>
      <c r="AC209" s="5">
        <f>MEDIAN(-6,Z209+(C209-AA209)/MAX(AA209-AB209,0.000000001),6)</f>
        <v/>
      </c>
    </row>
    <row r="210">
      <c r="A210" t="n">
        <v>209</v>
      </c>
      <c r="B210">
        <f>'01_Data'!A210</f>
        <v/>
      </c>
      <c r="C210">
        <f>SUM('01_Data'!$B210:$AW210)</f>
        <v/>
      </c>
      <c r="D210">
        <f>COUNT('01_Data'!$B210:$AW210)</f>
        <v/>
      </c>
      <c r="E210" s="5">
        <f>MEDIAN(-6,LN((C210+0.3)/(D210-C210+0.3)),6)</f>
        <v/>
      </c>
      <c r="F210" s="5">
        <f>SUMPRODUCT(('01_Data'!$B210:$AW210&lt;&gt;"")*(1/(1+EXP(-(E210-'03_Lap_b'!$B$5:$AW$5)))))</f>
        <v/>
      </c>
      <c r="G210" s="5">
        <f>SUMPRODUCT(('01_Data'!$B210:$AW210&lt;&gt;"")*(1/(1+EXP(-(E210-'03_Lap_b'!$B$5:$AW$5))))^2)</f>
        <v/>
      </c>
      <c r="H210" s="5">
        <f>MEDIAN(-6,E210+(C210-F210)/MAX(F210-G210,0.000000001),6)</f>
        <v/>
      </c>
      <c r="I210" s="5">
        <f>SUMPRODUCT(('01_Data'!$B210:$AW210&lt;&gt;"")*(1/(1+EXP(-(H210-'03_Lap_b'!$B$10:$AW$10)))))</f>
        <v/>
      </c>
      <c r="J210" s="5">
        <f>SUMPRODUCT(('01_Data'!$B210:$AW210&lt;&gt;"")*(1/(1+EXP(-(H210-'03_Lap_b'!$B$10:$AW$10))))^2)</f>
        <v/>
      </c>
      <c r="K210" s="5">
        <f>MEDIAN(-6,H210+(C210-I210)/MAX(I210-J210,0.000000001),6)</f>
        <v/>
      </c>
      <c r="L210" s="5">
        <f>SUMPRODUCT(('01_Data'!$B210:$AW210&lt;&gt;"")*(1/(1+EXP(-(K210-'03_Lap_b'!$B$15:$AW$15)))))</f>
        <v/>
      </c>
      <c r="M210" s="5">
        <f>SUMPRODUCT(('01_Data'!$B210:$AW210&lt;&gt;"")*(1/(1+EXP(-(K210-'03_Lap_b'!$B$15:$AW$15))))^2)</f>
        <v/>
      </c>
      <c r="N210" s="5">
        <f>MEDIAN(-6,K210+(C210-L210)/MAX(L210-M210,0.000000001),6)</f>
        <v/>
      </c>
      <c r="O210" s="5">
        <f>SUMPRODUCT(('01_Data'!$B210:$AW210&lt;&gt;"")*(1/(1+EXP(-(N210-'03_Lap_b'!$B$20:$AW$20)))))</f>
        <v/>
      </c>
      <c r="P210" s="5">
        <f>SUMPRODUCT(('01_Data'!$B210:$AW210&lt;&gt;"")*(1/(1+EXP(-(N210-'03_Lap_b'!$B$20:$AW$20))))^2)</f>
        <v/>
      </c>
      <c r="Q210" s="5">
        <f>MEDIAN(-6,N210+(C210-O210)/MAX(O210-P210,0.000000001),6)</f>
        <v/>
      </c>
      <c r="R210" s="5">
        <f>SUMPRODUCT(('01_Data'!$B210:$AW210&lt;&gt;"")*(1/(1+EXP(-(Q210-'03_Lap_b'!$B$25:$AW$25)))))</f>
        <v/>
      </c>
      <c r="S210" s="5">
        <f>SUMPRODUCT(('01_Data'!$B210:$AW210&lt;&gt;"")*(1/(1+EXP(-(Q210-'03_Lap_b'!$B$25:$AW$25))))^2)</f>
        <v/>
      </c>
      <c r="T210" s="5">
        <f>MEDIAN(-6,Q210+(C210-R210)/MAX(R210-S210,0.000000001),6)</f>
        <v/>
      </c>
      <c r="U210" s="5">
        <f>SUMPRODUCT(('01_Data'!$B210:$AW210&lt;&gt;"")*(1/(1+EXP(-(T210-'03_Lap_b'!$B$30:$AW$30)))))</f>
        <v/>
      </c>
      <c r="V210" s="5">
        <f>SUMPRODUCT(('01_Data'!$B210:$AW210&lt;&gt;"")*(1/(1+EXP(-(T210-'03_Lap_b'!$B$30:$AW$30))))^2)</f>
        <v/>
      </c>
      <c r="W210" s="5">
        <f>MEDIAN(-6,T210+(C210-U210)/MAX(U210-V210,0.000000001),6)</f>
        <v/>
      </c>
      <c r="X210" s="5">
        <f>SUMPRODUCT(('01_Data'!$B210:$AW210&lt;&gt;"")*(1/(1+EXP(-(W210-'03_Lap_b'!$B$35:$AW$35)))))</f>
        <v/>
      </c>
      <c r="Y210" s="5">
        <f>SUMPRODUCT(('01_Data'!$B210:$AW210&lt;&gt;"")*(1/(1+EXP(-(W210-'03_Lap_b'!$B$35:$AW$35))))^2)</f>
        <v/>
      </c>
      <c r="Z210" s="5">
        <f>MEDIAN(-6,W210+(C210-X210)/MAX(X210-Y210,0.000000001),6)</f>
        <v/>
      </c>
      <c r="AA210" s="5">
        <f>SUMPRODUCT(('01_Data'!$B210:$AW210&lt;&gt;"")*(1/(1+EXP(-(Z210-'03_Lap_b'!$B$40:$AW$40)))))</f>
        <v/>
      </c>
      <c r="AB210" s="5">
        <f>SUMPRODUCT(('01_Data'!$B210:$AW210&lt;&gt;"")*(1/(1+EXP(-(Z210-'03_Lap_b'!$B$40:$AW$40))))^2)</f>
        <v/>
      </c>
      <c r="AC210" s="5">
        <f>MEDIAN(-6,Z210+(C210-AA210)/MAX(AA210-AB210,0.000000001),6)</f>
        <v/>
      </c>
    </row>
    <row r="211">
      <c r="A211" t="n">
        <v>210</v>
      </c>
      <c r="B211">
        <f>'01_Data'!A211</f>
        <v/>
      </c>
      <c r="C211">
        <f>SUM('01_Data'!$B211:$AW211)</f>
        <v/>
      </c>
      <c r="D211">
        <f>COUNT('01_Data'!$B211:$AW211)</f>
        <v/>
      </c>
      <c r="E211" s="5">
        <f>MEDIAN(-6,LN((C211+0.3)/(D211-C211+0.3)),6)</f>
        <v/>
      </c>
      <c r="F211" s="5">
        <f>SUMPRODUCT(('01_Data'!$B211:$AW211&lt;&gt;"")*(1/(1+EXP(-(E211-'03_Lap_b'!$B$5:$AW$5)))))</f>
        <v/>
      </c>
      <c r="G211" s="5">
        <f>SUMPRODUCT(('01_Data'!$B211:$AW211&lt;&gt;"")*(1/(1+EXP(-(E211-'03_Lap_b'!$B$5:$AW$5))))^2)</f>
        <v/>
      </c>
      <c r="H211" s="5">
        <f>MEDIAN(-6,E211+(C211-F211)/MAX(F211-G211,0.000000001),6)</f>
        <v/>
      </c>
      <c r="I211" s="5">
        <f>SUMPRODUCT(('01_Data'!$B211:$AW211&lt;&gt;"")*(1/(1+EXP(-(H211-'03_Lap_b'!$B$10:$AW$10)))))</f>
        <v/>
      </c>
      <c r="J211" s="5">
        <f>SUMPRODUCT(('01_Data'!$B211:$AW211&lt;&gt;"")*(1/(1+EXP(-(H211-'03_Lap_b'!$B$10:$AW$10))))^2)</f>
        <v/>
      </c>
      <c r="K211" s="5">
        <f>MEDIAN(-6,H211+(C211-I211)/MAX(I211-J211,0.000000001),6)</f>
        <v/>
      </c>
      <c r="L211" s="5">
        <f>SUMPRODUCT(('01_Data'!$B211:$AW211&lt;&gt;"")*(1/(1+EXP(-(K211-'03_Lap_b'!$B$15:$AW$15)))))</f>
        <v/>
      </c>
      <c r="M211" s="5">
        <f>SUMPRODUCT(('01_Data'!$B211:$AW211&lt;&gt;"")*(1/(1+EXP(-(K211-'03_Lap_b'!$B$15:$AW$15))))^2)</f>
        <v/>
      </c>
      <c r="N211" s="5">
        <f>MEDIAN(-6,K211+(C211-L211)/MAX(L211-M211,0.000000001),6)</f>
        <v/>
      </c>
      <c r="O211" s="5">
        <f>SUMPRODUCT(('01_Data'!$B211:$AW211&lt;&gt;"")*(1/(1+EXP(-(N211-'03_Lap_b'!$B$20:$AW$20)))))</f>
        <v/>
      </c>
      <c r="P211" s="5">
        <f>SUMPRODUCT(('01_Data'!$B211:$AW211&lt;&gt;"")*(1/(1+EXP(-(N211-'03_Lap_b'!$B$20:$AW$20))))^2)</f>
        <v/>
      </c>
      <c r="Q211" s="5">
        <f>MEDIAN(-6,N211+(C211-O211)/MAX(O211-P211,0.000000001),6)</f>
        <v/>
      </c>
      <c r="R211" s="5">
        <f>SUMPRODUCT(('01_Data'!$B211:$AW211&lt;&gt;"")*(1/(1+EXP(-(Q211-'03_Lap_b'!$B$25:$AW$25)))))</f>
        <v/>
      </c>
      <c r="S211" s="5">
        <f>SUMPRODUCT(('01_Data'!$B211:$AW211&lt;&gt;"")*(1/(1+EXP(-(Q211-'03_Lap_b'!$B$25:$AW$25))))^2)</f>
        <v/>
      </c>
      <c r="T211" s="5">
        <f>MEDIAN(-6,Q211+(C211-R211)/MAX(R211-S211,0.000000001),6)</f>
        <v/>
      </c>
      <c r="U211" s="5">
        <f>SUMPRODUCT(('01_Data'!$B211:$AW211&lt;&gt;"")*(1/(1+EXP(-(T211-'03_Lap_b'!$B$30:$AW$30)))))</f>
        <v/>
      </c>
      <c r="V211" s="5">
        <f>SUMPRODUCT(('01_Data'!$B211:$AW211&lt;&gt;"")*(1/(1+EXP(-(T211-'03_Lap_b'!$B$30:$AW$30))))^2)</f>
        <v/>
      </c>
      <c r="W211" s="5">
        <f>MEDIAN(-6,T211+(C211-U211)/MAX(U211-V211,0.000000001),6)</f>
        <v/>
      </c>
      <c r="X211" s="5">
        <f>SUMPRODUCT(('01_Data'!$B211:$AW211&lt;&gt;"")*(1/(1+EXP(-(W211-'03_Lap_b'!$B$35:$AW$35)))))</f>
        <v/>
      </c>
      <c r="Y211" s="5">
        <f>SUMPRODUCT(('01_Data'!$B211:$AW211&lt;&gt;"")*(1/(1+EXP(-(W211-'03_Lap_b'!$B$35:$AW$35))))^2)</f>
        <v/>
      </c>
      <c r="Z211" s="5">
        <f>MEDIAN(-6,W211+(C211-X211)/MAX(X211-Y211,0.000000001),6)</f>
        <v/>
      </c>
      <c r="AA211" s="5">
        <f>SUMPRODUCT(('01_Data'!$B211:$AW211&lt;&gt;"")*(1/(1+EXP(-(Z211-'03_Lap_b'!$B$40:$AW$40)))))</f>
        <v/>
      </c>
      <c r="AB211" s="5">
        <f>SUMPRODUCT(('01_Data'!$B211:$AW211&lt;&gt;"")*(1/(1+EXP(-(Z211-'03_Lap_b'!$B$40:$AW$40))))^2)</f>
        <v/>
      </c>
      <c r="AC211" s="5">
        <f>MEDIAN(-6,Z211+(C211-AA211)/MAX(AA211-AB211,0.000000001),6)</f>
        <v/>
      </c>
    </row>
    <row r="212">
      <c r="A212" t="n">
        <v>211</v>
      </c>
      <c r="B212">
        <f>'01_Data'!A212</f>
        <v/>
      </c>
      <c r="C212">
        <f>SUM('01_Data'!$B212:$AW212)</f>
        <v/>
      </c>
      <c r="D212">
        <f>COUNT('01_Data'!$B212:$AW212)</f>
        <v/>
      </c>
      <c r="E212" s="5">
        <f>MEDIAN(-6,LN((C212+0.3)/(D212-C212+0.3)),6)</f>
        <v/>
      </c>
      <c r="F212" s="5">
        <f>SUMPRODUCT(('01_Data'!$B212:$AW212&lt;&gt;"")*(1/(1+EXP(-(E212-'03_Lap_b'!$B$5:$AW$5)))))</f>
        <v/>
      </c>
      <c r="G212" s="5">
        <f>SUMPRODUCT(('01_Data'!$B212:$AW212&lt;&gt;"")*(1/(1+EXP(-(E212-'03_Lap_b'!$B$5:$AW$5))))^2)</f>
        <v/>
      </c>
      <c r="H212" s="5">
        <f>MEDIAN(-6,E212+(C212-F212)/MAX(F212-G212,0.000000001),6)</f>
        <v/>
      </c>
      <c r="I212" s="5">
        <f>SUMPRODUCT(('01_Data'!$B212:$AW212&lt;&gt;"")*(1/(1+EXP(-(H212-'03_Lap_b'!$B$10:$AW$10)))))</f>
        <v/>
      </c>
      <c r="J212" s="5">
        <f>SUMPRODUCT(('01_Data'!$B212:$AW212&lt;&gt;"")*(1/(1+EXP(-(H212-'03_Lap_b'!$B$10:$AW$10))))^2)</f>
        <v/>
      </c>
      <c r="K212" s="5">
        <f>MEDIAN(-6,H212+(C212-I212)/MAX(I212-J212,0.000000001),6)</f>
        <v/>
      </c>
      <c r="L212" s="5">
        <f>SUMPRODUCT(('01_Data'!$B212:$AW212&lt;&gt;"")*(1/(1+EXP(-(K212-'03_Lap_b'!$B$15:$AW$15)))))</f>
        <v/>
      </c>
      <c r="M212" s="5">
        <f>SUMPRODUCT(('01_Data'!$B212:$AW212&lt;&gt;"")*(1/(1+EXP(-(K212-'03_Lap_b'!$B$15:$AW$15))))^2)</f>
        <v/>
      </c>
      <c r="N212" s="5">
        <f>MEDIAN(-6,K212+(C212-L212)/MAX(L212-M212,0.000000001),6)</f>
        <v/>
      </c>
      <c r="O212" s="5">
        <f>SUMPRODUCT(('01_Data'!$B212:$AW212&lt;&gt;"")*(1/(1+EXP(-(N212-'03_Lap_b'!$B$20:$AW$20)))))</f>
        <v/>
      </c>
      <c r="P212" s="5">
        <f>SUMPRODUCT(('01_Data'!$B212:$AW212&lt;&gt;"")*(1/(1+EXP(-(N212-'03_Lap_b'!$B$20:$AW$20))))^2)</f>
        <v/>
      </c>
      <c r="Q212" s="5">
        <f>MEDIAN(-6,N212+(C212-O212)/MAX(O212-P212,0.000000001),6)</f>
        <v/>
      </c>
      <c r="R212" s="5">
        <f>SUMPRODUCT(('01_Data'!$B212:$AW212&lt;&gt;"")*(1/(1+EXP(-(Q212-'03_Lap_b'!$B$25:$AW$25)))))</f>
        <v/>
      </c>
      <c r="S212" s="5">
        <f>SUMPRODUCT(('01_Data'!$B212:$AW212&lt;&gt;"")*(1/(1+EXP(-(Q212-'03_Lap_b'!$B$25:$AW$25))))^2)</f>
        <v/>
      </c>
      <c r="T212" s="5">
        <f>MEDIAN(-6,Q212+(C212-R212)/MAX(R212-S212,0.000000001),6)</f>
        <v/>
      </c>
      <c r="U212" s="5">
        <f>SUMPRODUCT(('01_Data'!$B212:$AW212&lt;&gt;"")*(1/(1+EXP(-(T212-'03_Lap_b'!$B$30:$AW$30)))))</f>
        <v/>
      </c>
      <c r="V212" s="5">
        <f>SUMPRODUCT(('01_Data'!$B212:$AW212&lt;&gt;"")*(1/(1+EXP(-(T212-'03_Lap_b'!$B$30:$AW$30))))^2)</f>
        <v/>
      </c>
      <c r="W212" s="5">
        <f>MEDIAN(-6,T212+(C212-U212)/MAX(U212-V212,0.000000001),6)</f>
        <v/>
      </c>
      <c r="X212" s="5">
        <f>SUMPRODUCT(('01_Data'!$B212:$AW212&lt;&gt;"")*(1/(1+EXP(-(W212-'03_Lap_b'!$B$35:$AW$35)))))</f>
        <v/>
      </c>
      <c r="Y212" s="5">
        <f>SUMPRODUCT(('01_Data'!$B212:$AW212&lt;&gt;"")*(1/(1+EXP(-(W212-'03_Lap_b'!$B$35:$AW$35))))^2)</f>
        <v/>
      </c>
      <c r="Z212" s="5">
        <f>MEDIAN(-6,W212+(C212-X212)/MAX(X212-Y212,0.000000001),6)</f>
        <v/>
      </c>
      <c r="AA212" s="5">
        <f>SUMPRODUCT(('01_Data'!$B212:$AW212&lt;&gt;"")*(1/(1+EXP(-(Z212-'03_Lap_b'!$B$40:$AW$40)))))</f>
        <v/>
      </c>
      <c r="AB212" s="5">
        <f>SUMPRODUCT(('01_Data'!$B212:$AW212&lt;&gt;"")*(1/(1+EXP(-(Z212-'03_Lap_b'!$B$40:$AW$40))))^2)</f>
        <v/>
      </c>
      <c r="AC212" s="5">
        <f>MEDIAN(-6,Z212+(C212-AA212)/MAX(AA212-AB212,0.000000001),6)</f>
        <v/>
      </c>
    </row>
    <row r="213">
      <c r="A213" t="n">
        <v>212</v>
      </c>
      <c r="B213">
        <f>'01_Data'!A213</f>
        <v/>
      </c>
      <c r="C213">
        <f>SUM('01_Data'!$B213:$AW213)</f>
        <v/>
      </c>
      <c r="D213">
        <f>COUNT('01_Data'!$B213:$AW213)</f>
        <v/>
      </c>
      <c r="E213" s="5">
        <f>MEDIAN(-6,LN((C213+0.3)/(D213-C213+0.3)),6)</f>
        <v/>
      </c>
      <c r="F213" s="5">
        <f>SUMPRODUCT(('01_Data'!$B213:$AW213&lt;&gt;"")*(1/(1+EXP(-(E213-'03_Lap_b'!$B$5:$AW$5)))))</f>
        <v/>
      </c>
      <c r="G213" s="5">
        <f>SUMPRODUCT(('01_Data'!$B213:$AW213&lt;&gt;"")*(1/(1+EXP(-(E213-'03_Lap_b'!$B$5:$AW$5))))^2)</f>
        <v/>
      </c>
      <c r="H213" s="5">
        <f>MEDIAN(-6,E213+(C213-F213)/MAX(F213-G213,0.000000001),6)</f>
        <v/>
      </c>
      <c r="I213" s="5">
        <f>SUMPRODUCT(('01_Data'!$B213:$AW213&lt;&gt;"")*(1/(1+EXP(-(H213-'03_Lap_b'!$B$10:$AW$10)))))</f>
        <v/>
      </c>
      <c r="J213" s="5">
        <f>SUMPRODUCT(('01_Data'!$B213:$AW213&lt;&gt;"")*(1/(1+EXP(-(H213-'03_Lap_b'!$B$10:$AW$10))))^2)</f>
        <v/>
      </c>
      <c r="K213" s="5">
        <f>MEDIAN(-6,H213+(C213-I213)/MAX(I213-J213,0.000000001),6)</f>
        <v/>
      </c>
      <c r="L213" s="5">
        <f>SUMPRODUCT(('01_Data'!$B213:$AW213&lt;&gt;"")*(1/(1+EXP(-(K213-'03_Lap_b'!$B$15:$AW$15)))))</f>
        <v/>
      </c>
      <c r="M213" s="5">
        <f>SUMPRODUCT(('01_Data'!$B213:$AW213&lt;&gt;"")*(1/(1+EXP(-(K213-'03_Lap_b'!$B$15:$AW$15))))^2)</f>
        <v/>
      </c>
      <c r="N213" s="5">
        <f>MEDIAN(-6,K213+(C213-L213)/MAX(L213-M213,0.000000001),6)</f>
        <v/>
      </c>
      <c r="O213" s="5">
        <f>SUMPRODUCT(('01_Data'!$B213:$AW213&lt;&gt;"")*(1/(1+EXP(-(N213-'03_Lap_b'!$B$20:$AW$20)))))</f>
        <v/>
      </c>
      <c r="P213" s="5">
        <f>SUMPRODUCT(('01_Data'!$B213:$AW213&lt;&gt;"")*(1/(1+EXP(-(N213-'03_Lap_b'!$B$20:$AW$20))))^2)</f>
        <v/>
      </c>
      <c r="Q213" s="5">
        <f>MEDIAN(-6,N213+(C213-O213)/MAX(O213-P213,0.000000001),6)</f>
        <v/>
      </c>
      <c r="R213" s="5">
        <f>SUMPRODUCT(('01_Data'!$B213:$AW213&lt;&gt;"")*(1/(1+EXP(-(Q213-'03_Lap_b'!$B$25:$AW$25)))))</f>
        <v/>
      </c>
      <c r="S213" s="5">
        <f>SUMPRODUCT(('01_Data'!$B213:$AW213&lt;&gt;"")*(1/(1+EXP(-(Q213-'03_Lap_b'!$B$25:$AW$25))))^2)</f>
        <v/>
      </c>
      <c r="T213" s="5">
        <f>MEDIAN(-6,Q213+(C213-R213)/MAX(R213-S213,0.000000001),6)</f>
        <v/>
      </c>
      <c r="U213" s="5">
        <f>SUMPRODUCT(('01_Data'!$B213:$AW213&lt;&gt;"")*(1/(1+EXP(-(T213-'03_Lap_b'!$B$30:$AW$30)))))</f>
        <v/>
      </c>
      <c r="V213" s="5">
        <f>SUMPRODUCT(('01_Data'!$B213:$AW213&lt;&gt;"")*(1/(1+EXP(-(T213-'03_Lap_b'!$B$30:$AW$30))))^2)</f>
        <v/>
      </c>
      <c r="W213" s="5">
        <f>MEDIAN(-6,T213+(C213-U213)/MAX(U213-V213,0.000000001),6)</f>
        <v/>
      </c>
      <c r="X213" s="5">
        <f>SUMPRODUCT(('01_Data'!$B213:$AW213&lt;&gt;"")*(1/(1+EXP(-(W213-'03_Lap_b'!$B$35:$AW$35)))))</f>
        <v/>
      </c>
      <c r="Y213" s="5">
        <f>SUMPRODUCT(('01_Data'!$B213:$AW213&lt;&gt;"")*(1/(1+EXP(-(W213-'03_Lap_b'!$B$35:$AW$35))))^2)</f>
        <v/>
      </c>
      <c r="Z213" s="5">
        <f>MEDIAN(-6,W213+(C213-X213)/MAX(X213-Y213,0.000000001),6)</f>
        <v/>
      </c>
      <c r="AA213" s="5">
        <f>SUMPRODUCT(('01_Data'!$B213:$AW213&lt;&gt;"")*(1/(1+EXP(-(Z213-'03_Lap_b'!$B$40:$AW$40)))))</f>
        <v/>
      </c>
      <c r="AB213" s="5">
        <f>SUMPRODUCT(('01_Data'!$B213:$AW213&lt;&gt;"")*(1/(1+EXP(-(Z213-'03_Lap_b'!$B$40:$AW$40))))^2)</f>
        <v/>
      </c>
      <c r="AC213" s="5">
        <f>MEDIAN(-6,Z213+(C213-AA213)/MAX(AA213-AB213,0.000000001),6)</f>
        <v/>
      </c>
    </row>
    <row r="214">
      <c r="A214" t="n">
        <v>213</v>
      </c>
      <c r="B214">
        <f>'01_Data'!A214</f>
        <v/>
      </c>
      <c r="C214">
        <f>SUM('01_Data'!$B214:$AW214)</f>
        <v/>
      </c>
      <c r="D214">
        <f>COUNT('01_Data'!$B214:$AW214)</f>
        <v/>
      </c>
      <c r="E214" s="5">
        <f>MEDIAN(-6,LN((C214+0.3)/(D214-C214+0.3)),6)</f>
        <v/>
      </c>
      <c r="F214" s="5">
        <f>SUMPRODUCT(('01_Data'!$B214:$AW214&lt;&gt;"")*(1/(1+EXP(-(E214-'03_Lap_b'!$B$5:$AW$5)))))</f>
        <v/>
      </c>
      <c r="G214" s="5">
        <f>SUMPRODUCT(('01_Data'!$B214:$AW214&lt;&gt;"")*(1/(1+EXP(-(E214-'03_Lap_b'!$B$5:$AW$5))))^2)</f>
        <v/>
      </c>
      <c r="H214" s="5">
        <f>MEDIAN(-6,E214+(C214-F214)/MAX(F214-G214,0.000000001),6)</f>
        <v/>
      </c>
      <c r="I214" s="5">
        <f>SUMPRODUCT(('01_Data'!$B214:$AW214&lt;&gt;"")*(1/(1+EXP(-(H214-'03_Lap_b'!$B$10:$AW$10)))))</f>
        <v/>
      </c>
      <c r="J214" s="5">
        <f>SUMPRODUCT(('01_Data'!$B214:$AW214&lt;&gt;"")*(1/(1+EXP(-(H214-'03_Lap_b'!$B$10:$AW$10))))^2)</f>
        <v/>
      </c>
      <c r="K214" s="5">
        <f>MEDIAN(-6,H214+(C214-I214)/MAX(I214-J214,0.000000001),6)</f>
        <v/>
      </c>
      <c r="L214" s="5">
        <f>SUMPRODUCT(('01_Data'!$B214:$AW214&lt;&gt;"")*(1/(1+EXP(-(K214-'03_Lap_b'!$B$15:$AW$15)))))</f>
        <v/>
      </c>
      <c r="M214" s="5">
        <f>SUMPRODUCT(('01_Data'!$B214:$AW214&lt;&gt;"")*(1/(1+EXP(-(K214-'03_Lap_b'!$B$15:$AW$15))))^2)</f>
        <v/>
      </c>
      <c r="N214" s="5">
        <f>MEDIAN(-6,K214+(C214-L214)/MAX(L214-M214,0.000000001),6)</f>
        <v/>
      </c>
      <c r="O214" s="5">
        <f>SUMPRODUCT(('01_Data'!$B214:$AW214&lt;&gt;"")*(1/(1+EXP(-(N214-'03_Lap_b'!$B$20:$AW$20)))))</f>
        <v/>
      </c>
      <c r="P214" s="5">
        <f>SUMPRODUCT(('01_Data'!$B214:$AW214&lt;&gt;"")*(1/(1+EXP(-(N214-'03_Lap_b'!$B$20:$AW$20))))^2)</f>
        <v/>
      </c>
      <c r="Q214" s="5">
        <f>MEDIAN(-6,N214+(C214-O214)/MAX(O214-P214,0.000000001),6)</f>
        <v/>
      </c>
      <c r="R214" s="5">
        <f>SUMPRODUCT(('01_Data'!$B214:$AW214&lt;&gt;"")*(1/(1+EXP(-(Q214-'03_Lap_b'!$B$25:$AW$25)))))</f>
        <v/>
      </c>
      <c r="S214" s="5">
        <f>SUMPRODUCT(('01_Data'!$B214:$AW214&lt;&gt;"")*(1/(1+EXP(-(Q214-'03_Lap_b'!$B$25:$AW$25))))^2)</f>
        <v/>
      </c>
      <c r="T214" s="5">
        <f>MEDIAN(-6,Q214+(C214-R214)/MAX(R214-S214,0.000000001),6)</f>
        <v/>
      </c>
      <c r="U214" s="5">
        <f>SUMPRODUCT(('01_Data'!$B214:$AW214&lt;&gt;"")*(1/(1+EXP(-(T214-'03_Lap_b'!$B$30:$AW$30)))))</f>
        <v/>
      </c>
      <c r="V214" s="5">
        <f>SUMPRODUCT(('01_Data'!$B214:$AW214&lt;&gt;"")*(1/(1+EXP(-(T214-'03_Lap_b'!$B$30:$AW$30))))^2)</f>
        <v/>
      </c>
      <c r="W214" s="5">
        <f>MEDIAN(-6,T214+(C214-U214)/MAX(U214-V214,0.000000001),6)</f>
        <v/>
      </c>
      <c r="X214" s="5">
        <f>SUMPRODUCT(('01_Data'!$B214:$AW214&lt;&gt;"")*(1/(1+EXP(-(W214-'03_Lap_b'!$B$35:$AW$35)))))</f>
        <v/>
      </c>
      <c r="Y214" s="5">
        <f>SUMPRODUCT(('01_Data'!$B214:$AW214&lt;&gt;"")*(1/(1+EXP(-(W214-'03_Lap_b'!$B$35:$AW$35))))^2)</f>
        <v/>
      </c>
      <c r="Z214" s="5">
        <f>MEDIAN(-6,W214+(C214-X214)/MAX(X214-Y214,0.000000001),6)</f>
        <v/>
      </c>
      <c r="AA214" s="5">
        <f>SUMPRODUCT(('01_Data'!$B214:$AW214&lt;&gt;"")*(1/(1+EXP(-(Z214-'03_Lap_b'!$B$40:$AW$40)))))</f>
        <v/>
      </c>
      <c r="AB214" s="5">
        <f>SUMPRODUCT(('01_Data'!$B214:$AW214&lt;&gt;"")*(1/(1+EXP(-(Z214-'03_Lap_b'!$B$40:$AW$40))))^2)</f>
        <v/>
      </c>
      <c r="AC214" s="5">
        <f>MEDIAN(-6,Z214+(C214-AA214)/MAX(AA214-AB214,0.000000001),6)</f>
        <v/>
      </c>
    </row>
    <row r="215">
      <c r="A215" t="n">
        <v>214</v>
      </c>
      <c r="B215">
        <f>'01_Data'!A215</f>
        <v/>
      </c>
      <c r="C215">
        <f>SUM('01_Data'!$B215:$AW215)</f>
        <v/>
      </c>
      <c r="D215">
        <f>COUNT('01_Data'!$B215:$AW215)</f>
        <v/>
      </c>
      <c r="E215" s="5">
        <f>MEDIAN(-6,LN((C215+0.3)/(D215-C215+0.3)),6)</f>
        <v/>
      </c>
      <c r="F215" s="5">
        <f>SUMPRODUCT(('01_Data'!$B215:$AW215&lt;&gt;"")*(1/(1+EXP(-(E215-'03_Lap_b'!$B$5:$AW$5)))))</f>
        <v/>
      </c>
      <c r="G215" s="5">
        <f>SUMPRODUCT(('01_Data'!$B215:$AW215&lt;&gt;"")*(1/(1+EXP(-(E215-'03_Lap_b'!$B$5:$AW$5))))^2)</f>
        <v/>
      </c>
      <c r="H215" s="5">
        <f>MEDIAN(-6,E215+(C215-F215)/MAX(F215-G215,0.000000001),6)</f>
        <v/>
      </c>
      <c r="I215" s="5">
        <f>SUMPRODUCT(('01_Data'!$B215:$AW215&lt;&gt;"")*(1/(1+EXP(-(H215-'03_Lap_b'!$B$10:$AW$10)))))</f>
        <v/>
      </c>
      <c r="J215" s="5">
        <f>SUMPRODUCT(('01_Data'!$B215:$AW215&lt;&gt;"")*(1/(1+EXP(-(H215-'03_Lap_b'!$B$10:$AW$10))))^2)</f>
        <v/>
      </c>
      <c r="K215" s="5">
        <f>MEDIAN(-6,H215+(C215-I215)/MAX(I215-J215,0.000000001),6)</f>
        <v/>
      </c>
      <c r="L215" s="5">
        <f>SUMPRODUCT(('01_Data'!$B215:$AW215&lt;&gt;"")*(1/(1+EXP(-(K215-'03_Lap_b'!$B$15:$AW$15)))))</f>
        <v/>
      </c>
      <c r="M215" s="5">
        <f>SUMPRODUCT(('01_Data'!$B215:$AW215&lt;&gt;"")*(1/(1+EXP(-(K215-'03_Lap_b'!$B$15:$AW$15))))^2)</f>
        <v/>
      </c>
      <c r="N215" s="5">
        <f>MEDIAN(-6,K215+(C215-L215)/MAX(L215-M215,0.000000001),6)</f>
        <v/>
      </c>
      <c r="O215" s="5">
        <f>SUMPRODUCT(('01_Data'!$B215:$AW215&lt;&gt;"")*(1/(1+EXP(-(N215-'03_Lap_b'!$B$20:$AW$20)))))</f>
        <v/>
      </c>
      <c r="P215" s="5">
        <f>SUMPRODUCT(('01_Data'!$B215:$AW215&lt;&gt;"")*(1/(1+EXP(-(N215-'03_Lap_b'!$B$20:$AW$20))))^2)</f>
        <v/>
      </c>
      <c r="Q215" s="5">
        <f>MEDIAN(-6,N215+(C215-O215)/MAX(O215-P215,0.000000001),6)</f>
        <v/>
      </c>
      <c r="R215" s="5">
        <f>SUMPRODUCT(('01_Data'!$B215:$AW215&lt;&gt;"")*(1/(1+EXP(-(Q215-'03_Lap_b'!$B$25:$AW$25)))))</f>
        <v/>
      </c>
      <c r="S215" s="5">
        <f>SUMPRODUCT(('01_Data'!$B215:$AW215&lt;&gt;"")*(1/(1+EXP(-(Q215-'03_Lap_b'!$B$25:$AW$25))))^2)</f>
        <v/>
      </c>
      <c r="T215" s="5">
        <f>MEDIAN(-6,Q215+(C215-R215)/MAX(R215-S215,0.000000001),6)</f>
        <v/>
      </c>
      <c r="U215" s="5">
        <f>SUMPRODUCT(('01_Data'!$B215:$AW215&lt;&gt;"")*(1/(1+EXP(-(T215-'03_Lap_b'!$B$30:$AW$30)))))</f>
        <v/>
      </c>
      <c r="V215" s="5">
        <f>SUMPRODUCT(('01_Data'!$B215:$AW215&lt;&gt;"")*(1/(1+EXP(-(T215-'03_Lap_b'!$B$30:$AW$30))))^2)</f>
        <v/>
      </c>
      <c r="W215" s="5">
        <f>MEDIAN(-6,T215+(C215-U215)/MAX(U215-V215,0.000000001),6)</f>
        <v/>
      </c>
      <c r="X215" s="5">
        <f>SUMPRODUCT(('01_Data'!$B215:$AW215&lt;&gt;"")*(1/(1+EXP(-(W215-'03_Lap_b'!$B$35:$AW$35)))))</f>
        <v/>
      </c>
      <c r="Y215" s="5">
        <f>SUMPRODUCT(('01_Data'!$B215:$AW215&lt;&gt;"")*(1/(1+EXP(-(W215-'03_Lap_b'!$B$35:$AW$35))))^2)</f>
        <v/>
      </c>
      <c r="Z215" s="5">
        <f>MEDIAN(-6,W215+(C215-X215)/MAX(X215-Y215,0.000000001),6)</f>
        <v/>
      </c>
      <c r="AA215" s="5">
        <f>SUMPRODUCT(('01_Data'!$B215:$AW215&lt;&gt;"")*(1/(1+EXP(-(Z215-'03_Lap_b'!$B$40:$AW$40)))))</f>
        <v/>
      </c>
      <c r="AB215" s="5">
        <f>SUMPRODUCT(('01_Data'!$B215:$AW215&lt;&gt;"")*(1/(1+EXP(-(Z215-'03_Lap_b'!$B$40:$AW$40))))^2)</f>
        <v/>
      </c>
      <c r="AC215" s="5">
        <f>MEDIAN(-6,Z215+(C215-AA215)/MAX(AA215-AB215,0.000000001),6)</f>
        <v/>
      </c>
    </row>
    <row r="216">
      <c r="A216" t="n">
        <v>215</v>
      </c>
      <c r="B216">
        <f>'01_Data'!A216</f>
        <v/>
      </c>
      <c r="C216">
        <f>SUM('01_Data'!$B216:$AW216)</f>
        <v/>
      </c>
      <c r="D216">
        <f>COUNT('01_Data'!$B216:$AW216)</f>
        <v/>
      </c>
      <c r="E216" s="5">
        <f>MEDIAN(-6,LN((C216+0.3)/(D216-C216+0.3)),6)</f>
        <v/>
      </c>
      <c r="F216" s="5">
        <f>SUMPRODUCT(('01_Data'!$B216:$AW216&lt;&gt;"")*(1/(1+EXP(-(E216-'03_Lap_b'!$B$5:$AW$5)))))</f>
        <v/>
      </c>
      <c r="G216" s="5">
        <f>SUMPRODUCT(('01_Data'!$B216:$AW216&lt;&gt;"")*(1/(1+EXP(-(E216-'03_Lap_b'!$B$5:$AW$5))))^2)</f>
        <v/>
      </c>
      <c r="H216" s="5">
        <f>MEDIAN(-6,E216+(C216-F216)/MAX(F216-G216,0.000000001),6)</f>
        <v/>
      </c>
      <c r="I216" s="5">
        <f>SUMPRODUCT(('01_Data'!$B216:$AW216&lt;&gt;"")*(1/(1+EXP(-(H216-'03_Lap_b'!$B$10:$AW$10)))))</f>
        <v/>
      </c>
      <c r="J216" s="5">
        <f>SUMPRODUCT(('01_Data'!$B216:$AW216&lt;&gt;"")*(1/(1+EXP(-(H216-'03_Lap_b'!$B$10:$AW$10))))^2)</f>
        <v/>
      </c>
      <c r="K216" s="5">
        <f>MEDIAN(-6,H216+(C216-I216)/MAX(I216-J216,0.000000001),6)</f>
        <v/>
      </c>
      <c r="L216" s="5">
        <f>SUMPRODUCT(('01_Data'!$B216:$AW216&lt;&gt;"")*(1/(1+EXP(-(K216-'03_Lap_b'!$B$15:$AW$15)))))</f>
        <v/>
      </c>
      <c r="M216" s="5">
        <f>SUMPRODUCT(('01_Data'!$B216:$AW216&lt;&gt;"")*(1/(1+EXP(-(K216-'03_Lap_b'!$B$15:$AW$15))))^2)</f>
        <v/>
      </c>
      <c r="N216" s="5">
        <f>MEDIAN(-6,K216+(C216-L216)/MAX(L216-M216,0.000000001),6)</f>
        <v/>
      </c>
      <c r="O216" s="5">
        <f>SUMPRODUCT(('01_Data'!$B216:$AW216&lt;&gt;"")*(1/(1+EXP(-(N216-'03_Lap_b'!$B$20:$AW$20)))))</f>
        <v/>
      </c>
      <c r="P216" s="5">
        <f>SUMPRODUCT(('01_Data'!$B216:$AW216&lt;&gt;"")*(1/(1+EXP(-(N216-'03_Lap_b'!$B$20:$AW$20))))^2)</f>
        <v/>
      </c>
      <c r="Q216" s="5">
        <f>MEDIAN(-6,N216+(C216-O216)/MAX(O216-P216,0.000000001),6)</f>
        <v/>
      </c>
      <c r="R216" s="5">
        <f>SUMPRODUCT(('01_Data'!$B216:$AW216&lt;&gt;"")*(1/(1+EXP(-(Q216-'03_Lap_b'!$B$25:$AW$25)))))</f>
        <v/>
      </c>
      <c r="S216" s="5">
        <f>SUMPRODUCT(('01_Data'!$B216:$AW216&lt;&gt;"")*(1/(1+EXP(-(Q216-'03_Lap_b'!$B$25:$AW$25))))^2)</f>
        <v/>
      </c>
      <c r="T216" s="5">
        <f>MEDIAN(-6,Q216+(C216-R216)/MAX(R216-S216,0.000000001),6)</f>
        <v/>
      </c>
      <c r="U216" s="5">
        <f>SUMPRODUCT(('01_Data'!$B216:$AW216&lt;&gt;"")*(1/(1+EXP(-(T216-'03_Lap_b'!$B$30:$AW$30)))))</f>
        <v/>
      </c>
      <c r="V216" s="5">
        <f>SUMPRODUCT(('01_Data'!$B216:$AW216&lt;&gt;"")*(1/(1+EXP(-(T216-'03_Lap_b'!$B$30:$AW$30))))^2)</f>
        <v/>
      </c>
      <c r="W216" s="5">
        <f>MEDIAN(-6,T216+(C216-U216)/MAX(U216-V216,0.000000001),6)</f>
        <v/>
      </c>
      <c r="X216" s="5">
        <f>SUMPRODUCT(('01_Data'!$B216:$AW216&lt;&gt;"")*(1/(1+EXP(-(W216-'03_Lap_b'!$B$35:$AW$35)))))</f>
        <v/>
      </c>
      <c r="Y216" s="5">
        <f>SUMPRODUCT(('01_Data'!$B216:$AW216&lt;&gt;"")*(1/(1+EXP(-(W216-'03_Lap_b'!$B$35:$AW$35))))^2)</f>
        <v/>
      </c>
      <c r="Z216" s="5">
        <f>MEDIAN(-6,W216+(C216-X216)/MAX(X216-Y216,0.000000001),6)</f>
        <v/>
      </c>
      <c r="AA216" s="5">
        <f>SUMPRODUCT(('01_Data'!$B216:$AW216&lt;&gt;"")*(1/(1+EXP(-(Z216-'03_Lap_b'!$B$40:$AW$40)))))</f>
        <v/>
      </c>
      <c r="AB216" s="5">
        <f>SUMPRODUCT(('01_Data'!$B216:$AW216&lt;&gt;"")*(1/(1+EXP(-(Z216-'03_Lap_b'!$B$40:$AW$40))))^2)</f>
        <v/>
      </c>
      <c r="AC216" s="5">
        <f>MEDIAN(-6,Z216+(C216-AA216)/MAX(AA216-AB216,0.000000001),6)</f>
        <v/>
      </c>
    </row>
    <row r="217">
      <c r="A217" t="n">
        <v>216</v>
      </c>
      <c r="B217">
        <f>'01_Data'!A217</f>
        <v/>
      </c>
      <c r="C217">
        <f>SUM('01_Data'!$B217:$AW217)</f>
        <v/>
      </c>
      <c r="D217">
        <f>COUNT('01_Data'!$B217:$AW217)</f>
        <v/>
      </c>
      <c r="E217" s="5">
        <f>MEDIAN(-6,LN((C217+0.3)/(D217-C217+0.3)),6)</f>
        <v/>
      </c>
      <c r="F217" s="5">
        <f>SUMPRODUCT(('01_Data'!$B217:$AW217&lt;&gt;"")*(1/(1+EXP(-(E217-'03_Lap_b'!$B$5:$AW$5)))))</f>
        <v/>
      </c>
      <c r="G217" s="5">
        <f>SUMPRODUCT(('01_Data'!$B217:$AW217&lt;&gt;"")*(1/(1+EXP(-(E217-'03_Lap_b'!$B$5:$AW$5))))^2)</f>
        <v/>
      </c>
      <c r="H217" s="5">
        <f>MEDIAN(-6,E217+(C217-F217)/MAX(F217-G217,0.000000001),6)</f>
        <v/>
      </c>
      <c r="I217" s="5">
        <f>SUMPRODUCT(('01_Data'!$B217:$AW217&lt;&gt;"")*(1/(1+EXP(-(H217-'03_Lap_b'!$B$10:$AW$10)))))</f>
        <v/>
      </c>
      <c r="J217" s="5">
        <f>SUMPRODUCT(('01_Data'!$B217:$AW217&lt;&gt;"")*(1/(1+EXP(-(H217-'03_Lap_b'!$B$10:$AW$10))))^2)</f>
        <v/>
      </c>
      <c r="K217" s="5">
        <f>MEDIAN(-6,H217+(C217-I217)/MAX(I217-J217,0.000000001),6)</f>
        <v/>
      </c>
      <c r="L217" s="5">
        <f>SUMPRODUCT(('01_Data'!$B217:$AW217&lt;&gt;"")*(1/(1+EXP(-(K217-'03_Lap_b'!$B$15:$AW$15)))))</f>
        <v/>
      </c>
      <c r="M217" s="5">
        <f>SUMPRODUCT(('01_Data'!$B217:$AW217&lt;&gt;"")*(1/(1+EXP(-(K217-'03_Lap_b'!$B$15:$AW$15))))^2)</f>
        <v/>
      </c>
      <c r="N217" s="5">
        <f>MEDIAN(-6,K217+(C217-L217)/MAX(L217-M217,0.000000001),6)</f>
        <v/>
      </c>
      <c r="O217" s="5">
        <f>SUMPRODUCT(('01_Data'!$B217:$AW217&lt;&gt;"")*(1/(1+EXP(-(N217-'03_Lap_b'!$B$20:$AW$20)))))</f>
        <v/>
      </c>
      <c r="P217" s="5">
        <f>SUMPRODUCT(('01_Data'!$B217:$AW217&lt;&gt;"")*(1/(1+EXP(-(N217-'03_Lap_b'!$B$20:$AW$20))))^2)</f>
        <v/>
      </c>
      <c r="Q217" s="5">
        <f>MEDIAN(-6,N217+(C217-O217)/MAX(O217-P217,0.000000001),6)</f>
        <v/>
      </c>
      <c r="R217" s="5">
        <f>SUMPRODUCT(('01_Data'!$B217:$AW217&lt;&gt;"")*(1/(1+EXP(-(Q217-'03_Lap_b'!$B$25:$AW$25)))))</f>
        <v/>
      </c>
      <c r="S217" s="5">
        <f>SUMPRODUCT(('01_Data'!$B217:$AW217&lt;&gt;"")*(1/(1+EXP(-(Q217-'03_Lap_b'!$B$25:$AW$25))))^2)</f>
        <v/>
      </c>
      <c r="T217" s="5">
        <f>MEDIAN(-6,Q217+(C217-R217)/MAX(R217-S217,0.000000001),6)</f>
        <v/>
      </c>
      <c r="U217" s="5">
        <f>SUMPRODUCT(('01_Data'!$B217:$AW217&lt;&gt;"")*(1/(1+EXP(-(T217-'03_Lap_b'!$B$30:$AW$30)))))</f>
        <v/>
      </c>
      <c r="V217" s="5">
        <f>SUMPRODUCT(('01_Data'!$B217:$AW217&lt;&gt;"")*(1/(1+EXP(-(T217-'03_Lap_b'!$B$30:$AW$30))))^2)</f>
        <v/>
      </c>
      <c r="W217" s="5">
        <f>MEDIAN(-6,T217+(C217-U217)/MAX(U217-V217,0.000000001),6)</f>
        <v/>
      </c>
      <c r="X217" s="5">
        <f>SUMPRODUCT(('01_Data'!$B217:$AW217&lt;&gt;"")*(1/(1+EXP(-(W217-'03_Lap_b'!$B$35:$AW$35)))))</f>
        <v/>
      </c>
      <c r="Y217" s="5">
        <f>SUMPRODUCT(('01_Data'!$B217:$AW217&lt;&gt;"")*(1/(1+EXP(-(W217-'03_Lap_b'!$B$35:$AW$35))))^2)</f>
        <v/>
      </c>
      <c r="Z217" s="5">
        <f>MEDIAN(-6,W217+(C217-X217)/MAX(X217-Y217,0.000000001),6)</f>
        <v/>
      </c>
      <c r="AA217" s="5">
        <f>SUMPRODUCT(('01_Data'!$B217:$AW217&lt;&gt;"")*(1/(1+EXP(-(Z217-'03_Lap_b'!$B$40:$AW$40)))))</f>
        <v/>
      </c>
      <c r="AB217" s="5">
        <f>SUMPRODUCT(('01_Data'!$B217:$AW217&lt;&gt;"")*(1/(1+EXP(-(Z217-'03_Lap_b'!$B$40:$AW$40))))^2)</f>
        <v/>
      </c>
      <c r="AC217" s="5">
        <f>MEDIAN(-6,Z217+(C217-AA217)/MAX(AA217-AB217,0.000000001),6)</f>
        <v/>
      </c>
    </row>
    <row r="218">
      <c r="A218" t="n">
        <v>217</v>
      </c>
      <c r="B218">
        <f>'01_Data'!A218</f>
        <v/>
      </c>
      <c r="C218">
        <f>SUM('01_Data'!$B218:$AW218)</f>
        <v/>
      </c>
      <c r="D218">
        <f>COUNT('01_Data'!$B218:$AW218)</f>
        <v/>
      </c>
      <c r="E218" s="5">
        <f>MEDIAN(-6,LN((C218+0.3)/(D218-C218+0.3)),6)</f>
        <v/>
      </c>
      <c r="F218" s="5">
        <f>SUMPRODUCT(('01_Data'!$B218:$AW218&lt;&gt;"")*(1/(1+EXP(-(E218-'03_Lap_b'!$B$5:$AW$5)))))</f>
        <v/>
      </c>
      <c r="G218" s="5">
        <f>SUMPRODUCT(('01_Data'!$B218:$AW218&lt;&gt;"")*(1/(1+EXP(-(E218-'03_Lap_b'!$B$5:$AW$5))))^2)</f>
        <v/>
      </c>
      <c r="H218" s="5">
        <f>MEDIAN(-6,E218+(C218-F218)/MAX(F218-G218,0.000000001),6)</f>
        <v/>
      </c>
      <c r="I218" s="5">
        <f>SUMPRODUCT(('01_Data'!$B218:$AW218&lt;&gt;"")*(1/(1+EXP(-(H218-'03_Lap_b'!$B$10:$AW$10)))))</f>
        <v/>
      </c>
      <c r="J218" s="5">
        <f>SUMPRODUCT(('01_Data'!$B218:$AW218&lt;&gt;"")*(1/(1+EXP(-(H218-'03_Lap_b'!$B$10:$AW$10))))^2)</f>
        <v/>
      </c>
      <c r="K218" s="5">
        <f>MEDIAN(-6,H218+(C218-I218)/MAX(I218-J218,0.000000001),6)</f>
        <v/>
      </c>
      <c r="L218" s="5">
        <f>SUMPRODUCT(('01_Data'!$B218:$AW218&lt;&gt;"")*(1/(1+EXP(-(K218-'03_Lap_b'!$B$15:$AW$15)))))</f>
        <v/>
      </c>
      <c r="M218" s="5">
        <f>SUMPRODUCT(('01_Data'!$B218:$AW218&lt;&gt;"")*(1/(1+EXP(-(K218-'03_Lap_b'!$B$15:$AW$15))))^2)</f>
        <v/>
      </c>
      <c r="N218" s="5">
        <f>MEDIAN(-6,K218+(C218-L218)/MAX(L218-M218,0.000000001),6)</f>
        <v/>
      </c>
      <c r="O218" s="5">
        <f>SUMPRODUCT(('01_Data'!$B218:$AW218&lt;&gt;"")*(1/(1+EXP(-(N218-'03_Lap_b'!$B$20:$AW$20)))))</f>
        <v/>
      </c>
      <c r="P218" s="5">
        <f>SUMPRODUCT(('01_Data'!$B218:$AW218&lt;&gt;"")*(1/(1+EXP(-(N218-'03_Lap_b'!$B$20:$AW$20))))^2)</f>
        <v/>
      </c>
      <c r="Q218" s="5">
        <f>MEDIAN(-6,N218+(C218-O218)/MAX(O218-P218,0.000000001),6)</f>
        <v/>
      </c>
      <c r="R218" s="5">
        <f>SUMPRODUCT(('01_Data'!$B218:$AW218&lt;&gt;"")*(1/(1+EXP(-(Q218-'03_Lap_b'!$B$25:$AW$25)))))</f>
        <v/>
      </c>
      <c r="S218" s="5">
        <f>SUMPRODUCT(('01_Data'!$B218:$AW218&lt;&gt;"")*(1/(1+EXP(-(Q218-'03_Lap_b'!$B$25:$AW$25))))^2)</f>
        <v/>
      </c>
      <c r="T218" s="5">
        <f>MEDIAN(-6,Q218+(C218-R218)/MAX(R218-S218,0.000000001),6)</f>
        <v/>
      </c>
      <c r="U218" s="5">
        <f>SUMPRODUCT(('01_Data'!$B218:$AW218&lt;&gt;"")*(1/(1+EXP(-(T218-'03_Lap_b'!$B$30:$AW$30)))))</f>
        <v/>
      </c>
      <c r="V218" s="5">
        <f>SUMPRODUCT(('01_Data'!$B218:$AW218&lt;&gt;"")*(1/(1+EXP(-(T218-'03_Lap_b'!$B$30:$AW$30))))^2)</f>
        <v/>
      </c>
      <c r="W218" s="5">
        <f>MEDIAN(-6,T218+(C218-U218)/MAX(U218-V218,0.000000001),6)</f>
        <v/>
      </c>
      <c r="X218" s="5">
        <f>SUMPRODUCT(('01_Data'!$B218:$AW218&lt;&gt;"")*(1/(1+EXP(-(W218-'03_Lap_b'!$B$35:$AW$35)))))</f>
        <v/>
      </c>
      <c r="Y218" s="5">
        <f>SUMPRODUCT(('01_Data'!$B218:$AW218&lt;&gt;"")*(1/(1+EXP(-(W218-'03_Lap_b'!$B$35:$AW$35))))^2)</f>
        <v/>
      </c>
      <c r="Z218" s="5">
        <f>MEDIAN(-6,W218+(C218-X218)/MAX(X218-Y218,0.000000001),6)</f>
        <v/>
      </c>
      <c r="AA218" s="5">
        <f>SUMPRODUCT(('01_Data'!$B218:$AW218&lt;&gt;"")*(1/(1+EXP(-(Z218-'03_Lap_b'!$B$40:$AW$40)))))</f>
        <v/>
      </c>
      <c r="AB218" s="5">
        <f>SUMPRODUCT(('01_Data'!$B218:$AW218&lt;&gt;"")*(1/(1+EXP(-(Z218-'03_Lap_b'!$B$40:$AW$40))))^2)</f>
        <v/>
      </c>
      <c r="AC218" s="5">
        <f>MEDIAN(-6,Z218+(C218-AA218)/MAX(AA218-AB218,0.000000001),6)</f>
        <v/>
      </c>
    </row>
    <row r="219">
      <c r="A219" t="n">
        <v>218</v>
      </c>
      <c r="B219">
        <f>'01_Data'!A219</f>
        <v/>
      </c>
      <c r="C219">
        <f>SUM('01_Data'!$B219:$AW219)</f>
        <v/>
      </c>
      <c r="D219">
        <f>COUNT('01_Data'!$B219:$AW219)</f>
        <v/>
      </c>
      <c r="E219" s="5">
        <f>MEDIAN(-6,LN((C219+0.3)/(D219-C219+0.3)),6)</f>
        <v/>
      </c>
      <c r="F219" s="5">
        <f>SUMPRODUCT(('01_Data'!$B219:$AW219&lt;&gt;"")*(1/(1+EXP(-(E219-'03_Lap_b'!$B$5:$AW$5)))))</f>
        <v/>
      </c>
      <c r="G219" s="5">
        <f>SUMPRODUCT(('01_Data'!$B219:$AW219&lt;&gt;"")*(1/(1+EXP(-(E219-'03_Lap_b'!$B$5:$AW$5))))^2)</f>
        <v/>
      </c>
      <c r="H219" s="5">
        <f>MEDIAN(-6,E219+(C219-F219)/MAX(F219-G219,0.000000001),6)</f>
        <v/>
      </c>
      <c r="I219" s="5">
        <f>SUMPRODUCT(('01_Data'!$B219:$AW219&lt;&gt;"")*(1/(1+EXP(-(H219-'03_Lap_b'!$B$10:$AW$10)))))</f>
        <v/>
      </c>
      <c r="J219" s="5">
        <f>SUMPRODUCT(('01_Data'!$B219:$AW219&lt;&gt;"")*(1/(1+EXP(-(H219-'03_Lap_b'!$B$10:$AW$10))))^2)</f>
        <v/>
      </c>
      <c r="K219" s="5">
        <f>MEDIAN(-6,H219+(C219-I219)/MAX(I219-J219,0.000000001),6)</f>
        <v/>
      </c>
      <c r="L219" s="5">
        <f>SUMPRODUCT(('01_Data'!$B219:$AW219&lt;&gt;"")*(1/(1+EXP(-(K219-'03_Lap_b'!$B$15:$AW$15)))))</f>
        <v/>
      </c>
      <c r="M219" s="5">
        <f>SUMPRODUCT(('01_Data'!$B219:$AW219&lt;&gt;"")*(1/(1+EXP(-(K219-'03_Lap_b'!$B$15:$AW$15))))^2)</f>
        <v/>
      </c>
      <c r="N219" s="5">
        <f>MEDIAN(-6,K219+(C219-L219)/MAX(L219-M219,0.000000001),6)</f>
        <v/>
      </c>
      <c r="O219" s="5">
        <f>SUMPRODUCT(('01_Data'!$B219:$AW219&lt;&gt;"")*(1/(1+EXP(-(N219-'03_Lap_b'!$B$20:$AW$20)))))</f>
        <v/>
      </c>
      <c r="P219" s="5">
        <f>SUMPRODUCT(('01_Data'!$B219:$AW219&lt;&gt;"")*(1/(1+EXP(-(N219-'03_Lap_b'!$B$20:$AW$20))))^2)</f>
        <v/>
      </c>
      <c r="Q219" s="5">
        <f>MEDIAN(-6,N219+(C219-O219)/MAX(O219-P219,0.000000001),6)</f>
        <v/>
      </c>
      <c r="R219" s="5">
        <f>SUMPRODUCT(('01_Data'!$B219:$AW219&lt;&gt;"")*(1/(1+EXP(-(Q219-'03_Lap_b'!$B$25:$AW$25)))))</f>
        <v/>
      </c>
      <c r="S219" s="5">
        <f>SUMPRODUCT(('01_Data'!$B219:$AW219&lt;&gt;"")*(1/(1+EXP(-(Q219-'03_Lap_b'!$B$25:$AW$25))))^2)</f>
        <v/>
      </c>
      <c r="T219" s="5">
        <f>MEDIAN(-6,Q219+(C219-R219)/MAX(R219-S219,0.000000001),6)</f>
        <v/>
      </c>
      <c r="U219" s="5">
        <f>SUMPRODUCT(('01_Data'!$B219:$AW219&lt;&gt;"")*(1/(1+EXP(-(T219-'03_Lap_b'!$B$30:$AW$30)))))</f>
        <v/>
      </c>
      <c r="V219" s="5">
        <f>SUMPRODUCT(('01_Data'!$B219:$AW219&lt;&gt;"")*(1/(1+EXP(-(T219-'03_Lap_b'!$B$30:$AW$30))))^2)</f>
        <v/>
      </c>
      <c r="W219" s="5">
        <f>MEDIAN(-6,T219+(C219-U219)/MAX(U219-V219,0.000000001),6)</f>
        <v/>
      </c>
      <c r="X219" s="5">
        <f>SUMPRODUCT(('01_Data'!$B219:$AW219&lt;&gt;"")*(1/(1+EXP(-(W219-'03_Lap_b'!$B$35:$AW$35)))))</f>
        <v/>
      </c>
      <c r="Y219" s="5">
        <f>SUMPRODUCT(('01_Data'!$B219:$AW219&lt;&gt;"")*(1/(1+EXP(-(W219-'03_Lap_b'!$B$35:$AW$35))))^2)</f>
        <v/>
      </c>
      <c r="Z219" s="5">
        <f>MEDIAN(-6,W219+(C219-X219)/MAX(X219-Y219,0.000000001),6)</f>
        <v/>
      </c>
      <c r="AA219" s="5">
        <f>SUMPRODUCT(('01_Data'!$B219:$AW219&lt;&gt;"")*(1/(1+EXP(-(Z219-'03_Lap_b'!$B$40:$AW$40)))))</f>
        <v/>
      </c>
      <c r="AB219" s="5">
        <f>SUMPRODUCT(('01_Data'!$B219:$AW219&lt;&gt;"")*(1/(1+EXP(-(Z219-'03_Lap_b'!$B$40:$AW$40))))^2)</f>
        <v/>
      </c>
      <c r="AC219" s="5">
        <f>MEDIAN(-6,Z219+(C219-AA219)/MAX(AA219-AB219,0.000000001),6)</f>
        <v/>
      </c>
    </row>
    <row r="220">
      <c r="A220" t="n">
        <v>219</v>
      </c>
      <c r="B220">
        <f>'01_Data'!A220</f>
        <v/>
      </c>
      <c r="C220">
        <f>SUM('01_Data'!$B220:$AW220)</f>
        <v/>
      </c>
      <c r="D220">
        <f>COUNT('01_Data'!$B220:$AW220)</f>
        <v/>
      </c>
      <c r="E220" s="5">
        <f>MEDIAN(-6,LN((C220+0.3)/(D220-C220+0.3)),6)</f>
        <v/>
      </c>
      <c r="F220" s="5">
        <f>SUMPRODUCT(('01_Data'!$B220:$AW220&lt;&gt;"")*(1/(1+EXP(-(E220-'03_Lap_b'!$B$5:$AW$5)))))</f>
        <v/>
      </c>
      <c r="G220" s="5">
        <f>SUMPRODUCT(('01_Data'!$B220:$AW220&lt;&gt;"")*(1/(1+EXP(-(E220-'03_Lap_b'!$B$5:$AW$5))))^2)</f>
        <v/>
      </c>
      <c r="H220" s="5">
        <f>MEDIAN(-6,E220+(C220-F220)/MAX(F220-G220,0.000000001),6)</f>
        <v/>
      </c>
      <c r="I220" s="5">
        <f>SUMPRODUCT(('01_Data'!$B220:$AW220&lt;&gt;"")*(1/(1+EXP(-(H220-'03_Lap_b'!$B$10:$AW$10)))))</f>
        <v/>
      </c>
      <c r="J220" s="5">
        <f>SUMPRODUCT(('01_Data'!$B220:$AW220&lt;&gt;"")*(1/(1+EXP(-(H220-'03_Lap_b'!$B$10:$AW$10))))^2)</f>
        <v/>
      </c>
      <c r="K220" s="5">
        <f>MEDIAN(-6,H220+(C220-I220)/MAX(I220-J220,0.000000001),6)</f>
        <v/>
      </c>
      <c r="L220" s="5">
        <f>SUMPRODUCT(('01_Data'!$B220:$AW220&lt;&gt;"")*(1/(1+EXP(-(K220-'03_Lap_b'!$B$15:$AW$15)))))</f>
        <v/>
      </c>
      <c r="M220" s="5">
        <f>SUMPRODUCT(('01_Data'!$B220:$AW220&lt;&gt;"")*(1/(1+EXP(-(K220-'03_Lap_b'!$B$15:$AW$15))))^2)</f>
        <v/>
      </c>
      <c r="N220" s="5">
        <f>MEDIAN(-6,K220+(C220-L220)/MAX(L220-M220,0.000000001),6)</f>
        <v/>
      </c>
      <c r="O220" s="5">
        <f>SUMPRODUCT(('01_Data'!$B220:$AW220&lt;&gt;"")*(1/(1+EXP(-(N220-'03_Lap_b'!$B$20:$AW$20)))))</f>
        <v/>
      </c>
      <c r="P220" s="5">
        <f>SUMPRODUCT(('01_Data'!$B220:$AW220&lt;&gt;"")*(1/(1+EXP(-(N220-'03_Lap_b'!$B$20:$AW$20))))^2)</f>
        <v/>
      </c>
      <c r="Q220" s="5">
        <f>MEDIAN(-6,N220+(C220-O220)/MAX(O220-P220,0.000000001),6)</f>
        <v/>
      </c>
      <c r="R220" s="5">
        <f>SUMPRODUCT(('01_Data'!$B220:$AW220&lt;&gt;"")*(1/(1+EXP(-(Q220-'03_Lap_b'!$B$25:$AW$25)))))</f>
        <v/>
      </c>
      <c r="S220" s="5">
        <f>SUMPRODUCT(('01_Data'!$B220:$AW220&lt;&gt;"")*(1/(1+EXP(-(Q220-'03_Lap_b'!$B$25:$AW$25))))^2)</f>
        <v/>
      </c>
      <c r="T220" s="5">
        <f>MEDIAN(-6,Q220+(C220-R220)/MAX(R220-S220,0.000000001),6)</f>
        <v/>
      </c>
      <c r="U220" s="5">
        <f>SUMPRODUCT(('01_Data'!$B220:$AW220&lt;&gt;"")*(1/(1+EXP(-(T220-'03_Lap_b'!$B$30:$AW$30)))))</f>
        <v/>
      </c>
      <c r="V220" s="5">
        <f>SUMPRODUCT(('01_Data'!$B220:$AW220&lt;&gt;"")*(1/(1+EXP(-(T220-'03_Lap_b'!$B$30:$AW$30))))^2)</f>
        <v/>
      </c>
      <c r="W220" s="5">
        <f>MEDIAN(-6,T220+(C220-U220)/MAX(U220-V220,0.000000001),6)</f>
        <v/>
      </c>
      <c r="X220" s="5">
        <f>SUMPRODUCT(('01_Data'!$B220:$AW220&lt;&gt;"")*(1/(1+EXP(-(W220-'03_Lap_b'!$B$35:$AW$35)))))</f>
        <v/>
      </c>
      <c r="Y220" s="5">
        <f>SUMPRODUCT(('01_Data'!$B220:$AW220&lt;&gt;"")*(1/(1+EXP(-(W220-'03_Lap_b'!$B$35:$AW$35))))^2)</f>
        <v/>
      </c>
      <c r="Z220" s="5">
        <f>MEDIAN(-6,W220+(C220-X220)/MAX(X220-Y220,0.000000001),6)</f>
        <v/>
      </c>
      <c r="AA220" s="5">
        <f>SUMPRODUCT(('01_Data'!$B220:$AW220&lt;&gt;"")*(1/(1+EXP(-(Z220-'03_Lap_b'!$B$40:$AW$40)))))</f>
        <v/>
      </c>
      <c r="AB220" s="5">
        <f>SUMPRODUCT(('01_Data'!$B220:$AW220&lt;&gt;"")*(1/(1+EXP(-(Z220-'03_Lap_b'!$B$40:$AW$40))))^2)</f>
        <v/>
      </c>
      <c r="AC220" s="5">
        <f>MEDIAN(-6,Z220+(C220-AA220)/MAX(AA220-AB220,0.000000001),6)</f>
        <v/>
      </c>
    </row>
    <row r="221">
      <c r="A221" t="n">
        <v>220</v>
      </c>
      <c r="B221">
        <f>'01_Data'!A221</f>
        <v/>
      </c>
      <c r="C221">
        <f>SUM('01_Data'!$B221:$AW221)</f>
        <v/>
      </c>
      <c r="D221">
        <f>COUNT('01_Data'!$B221:$AW221)</f>
        <v/>
      </c>
      <c r="E221" s="5">
        <f>MEDIAN(-6,LN((C221+0.3)/(D221-C221+0.3)),6)</f>
        <v/>
      </c>
      <c r="F221" s="5">
        <f>SUMPRODUCT(('01_Data'!$B221:$AW221&lt;&gt;"")*(1/(1+EXP(-(E221-'03_Lap_b'!$B$5:$AW$5)))))</f>
        <v/>
      </c>
      <c r="G221" s="5">
        <f>SUMPRODUCT(('01_Data'!$B221:$AW221&lt;&gt;"")*(1/(1+EXP(-(E221-'03_Lap_b'!$B$5:$AW$5))))^2)</f>
        <v/>
      </c>
      <c r="H221" s="5">
        <f>MEDIAN(-6,E221+(C221-F221)/MAX(F221-G221,0.000000001),6)</f>
        <v/>
      </c>
      <c r="I221" s="5">
        <f>SUMPRODUCT(('01_Data'!$B221:$AW221&lt;&gt;"")*(1/(1+EXP(-(H221-'03_Lap_b'!$B$10:$AW$10)))))</f>
        <v/>
      </c>
      <c r="J221" s="5">
        <f>SUMPRODUCT(('01_Data'!$B221:$AW221&lt;&gt;"")*(1/(1+EXP(-(H221-'03_Lap_b'!$B$10:$AW$10))))^2)</f>
        <v/>
      </c>
      <c r="K221" s="5">
        <f>MEDIAN(-6,H221+(C221-I221)/MAX(I221-J221,0.000000001),6)</f>
        <v/>
      </c>
      <c r="L221" s="5">
        <f>SUMPRODUCT(('01_Data'!$B221:$AW221&lt;&gt;"")*(1/(1+EXP(-(K221-'03_Lap_b'!$B$15:$AW$15)))))</f>
        <v/>
      </c>
      <c r="M221" s="5">
        <f>SUMPRODUCT(('01_Data'!$B221:$AW221&lt;&gt;"")*(1/(1+EXP(-(K221-'03_Lap_b'!$B$15:$AW$15))))^2)</f>
        <v/>
      </c>
      <c r="N221" s="5">
        <f>MEDIAN(-6,K221+(C221-L221)/MAX(L221-M221,0.000000001),6)</f>
        <v/>
      </c>
      <c r="O221" s="5">
        <f>SUMPRODUCT(('01_Data'!$B221:$AW221&lt;&gt;"")*(1/(1+EXP(-(N221-'03_Lap_b'!$B$20:$AW$20)))))</f>
        <v/>
      </c>
      <c r="P221" s="5">
        <f>SUMPRODUCT(('01_Data'!$B221:$AW221&lt;&gt;"")*(1/(1+EXP(-(N221-'03_Lap_b'!$B$20:$AW$20))))^2)</f>
        <v/>
      </c>
      <c r="Q221" s="5">
        <f>MEDIAN(-6,N221+(C221-O221)/MAX(O221-P221,0.000000001),6)</f>
        <v/>
      </c>
      <c r="R221" s="5">
        <f>SUMPRODUCT(('01_Data'!$B221:$AW221&lt;&gt;"")*(1/(1+EXP(-(Q221-'03_Lap_b'!$B$25:$AW$25)))))</f>
        <v/>
      </c>
      <c r="S221" s="5">
        <f>SUMPRODUCT(('01_Data'!$B221:$AW221&lt;&gt;"")*(1/(1+EXP(-(Q221-'03_Lap_b'!$B$25:$AW$25))))^2)</f>
        <v/>
      </c>
      <c r="T221" s="5">
        <f>MEDIAN(-6,Q221+(C221-R221)/MAX(R221-S221,0.000000001),6)</f>
        <v/>
      </c>
      <c r="U221" s="5">
        <f>SUMPRODUCT(('01_Data'!$B221:$AW221&lt;&gt;"")*(1/(1+EXP(-(T221-'03_Lap_b'!$B$30:$AW$30)))))</f>
        <v/>
      </c>
      <c r="V221" s="5">
        <f>SUMPRODUCT(('01_Data'!$B221:$AW221&lt;&gt;"")*(1/(1+EXP(-(T221-'03_Lap_b'!$B$30:$AW$30))))^2)</f>
        <v/>
      </c>
      <c r="W221" s="5">
        <f>MEDIAN(-6,T221+(C221-U221)/MAX(U221-V221,0.000000001),6)</f>
        <v/>
      </c>
      <c r="X221" s="5">
        <f>SUMPRODUCT(('01_Data'!$B221:$AW221&lt;&gt;"")*(1/(1+EXP(-(W221-'03_Lap_b'!$B$35:$AW$35)))))</f>
        <v/>
      </c>
      <c r="Y221" s="5">
        <f>SUMPRODUCT(('01_Data'!$B221:$AW221&lt;&gt;"")*(1/(1+EXP(-(W221-'03_Lap_b'!$B$35:$AW$35))))^2)</f>
        <v/>
      </c>
      <c r="Z221" s="5">
        <f>MEDIAN(-6,W221+(C221-X221)/MAX(X221-Y221,0.000000001),6)</f>
        <v/>
      </c>
      <c r="AA221" s="5">
        <f>SUMPRODUCT(('01_Data'!$B221:$AW221&lt;&gt;"")*(1/(1+EXP(-(Z221-'03_Lap_b'!$B$40:$AW$40)))))</f>
        <v/>
      </c>
      <c r="AB221" s="5">
        <f>SUMPRODUCT(('01_Data'!$B221:$AW221&lt;&gt;"")*(1/(1+EXP(-(Z221-'03_Lap_b'!$B$40:$AW$40))))^2)</f>
        <v/>
      </c>
      <c r="AC221" s="5">
        <f>MEDIAN(-6,Z221+(C221-AA221)/MAX(AA221-AB221,0.000000001),6)</f>
        <v/>
      </c>
    </row>
    <row r="222">
      <c r="A222" t="n">
        <v>221</v>
      </c>
      <c r="B222">
        <f>'01_Data'!A222</f>
        <v/>
      </c>
      <c r="C222">
        <f>SUM('01_Data'!$B222:$AW222)</f>
        <v/>
      </c>
      <c r="D222">
        <f>COUNT('01_Data'!$B222:$AW222)</f>
        <v/>
      </c>
      <c r="E222" s="5">
        <f>MEDIAN(-6,LN((C222+0.3)/(D222-C222+0.3)),6)</f>
        <v/>
      </c>
      <c r="F222" s="5">
        <f>SUMPRODUCT(('01_Data'!$B222:$AW222&lt;&gt;"")*(1/(1+EXP(-(E222-'03_Lap_b'!$B$5:$AW$5)))))</f>
        <v/>
      </c>
      <c r="G222" s="5">
        <f>SUMPRODUCT(('01_Data'!$B222:$AW222&lt;&gt;"")*(1/(1+EXP(-(E222-'03_Lap_b'!$B$5:$AW$5))))^2)</f>
        <v/>
      </c>
      <c r="H222" s="5">
        <f>MEDIAN(-6,E222+(C222-F222)/MAX(F222-G222,0.000000001),6)</f>
        <v/>
      </c>
      <c r="I222" s="5">
        <f>SUMPRODUCT(('01_Data'!$B222:$AW222&lt;&gt;"")*(1/(1+EXP(-(H222-'03_Lap_b'!$B$10:$AW$10)))))</f>
        <v/>
      </c>
      <c r="J222" s="5">
        <f>SUMPRODUCT(('01_Data'!$B222:$AW222&lt;&gt;"")*(1/(1+EXP(-(H222-'03_Lap_b'!$B$10:$AW$10))))^2)</f>
        <v/>
      </c>
      <c r="K222" s="5">
        <f>MEDIAN(-6,H222+(C222-I222)/MAX(I222-J222,0.000000001),6)</f>
        <v/>
      </c>
      <c r="L222" s="5">
        <f>SUMPRODUCT(('01_Data'!$B222:$AW222&lt;&gt;"")*(1/(1+EXP(-(K222-'03_Lap_b'!$B$15:$AW$15)))))</f>
        <v/>
      </c>
      <c r="M222" s="5">
        <f>SUMPRODUCT(('01_Data'!$B222:$AW222&lt;&gt;"")*(1/(1+EXP(-(K222-'03_Lap_b'!$B$15:$AW$15))))^2)</f>
        <v/>
      </c>
      <c r="N222" s="5">
        <f>MEDIAN(-6,K222+(C222-L222)/MAX(L222-M222,0.000000001),6)</f>
        <v/>
      </c>
      <c r="O222" s="5">
        <f>SUMPRODUCT(('01_Data'!$B222:$AW222&lt;&gt;"")*(1/(1+EXP(-(N222-'03_Lap_b'!$B$20:$AW$20)))))</f>
        <v/>
      </c>
      <c r="P222" s="5">
        <f>SUMPRODUCT(('01_Data'!$B222:$AW222&lt;&gt;"")*(1/(1+EXP(-(N222-'03_Lap_b'!$B$20:$AW$20))))^2)</f>
        <v/>
      </c>
      <c r="Q222" s="5">
        <f>MEDIAN(-6,N222+(C222-O222)/MAX(O222-P222,0.000000001),6)</f>
        <v/>
      </c>
      <c r="R222" s="5">
        <f>SUMPRODUCT(('01_Data'!$B222:$AW222&lt;&gt;"")*(1/(1+EXP(-(Q222-'03_Lap_b'!$B$25:$AW$25)))))</f>
        <v/>
      </c>
      <c r="S222" s="5">
        <f>SUMPRODUCT(('01_Data'!$B222:$AW222&lt;&gt;"")*(1/(1+EXP(-(Q222-'03_Lap_b'!$B$25:$AW$25))))^2)</f>
        <v/>
      </c>
      <c r="T222" s="5">
        <f>MEDIAN(-6,Q222+(C222-R222)/MAX(R222-S222,0.000000001),6)</f>
        <v/>
      </c>
      <c r="U222" s="5">
        <f>SUMPRODUCT(('01_Data'!$B222:$AW222&lt;&gt;"")*(1/(1+EXP(-(T222-'03_Lap_b'!$B$30:$AW$30)))))</f>
        <v/>
      </c>
      <c r="V222" s="5">
        <f>SUMPRODUCT(('01_Data'!$B222:$AW222&lt;&gt;"")*(1/(1+EXP(-(T222-'03_Lap_b'!$B$30:$AW$30))))^2)</f>
        <v/>
      </c>
      <c r="W222" s="5">
        <f>MEDIAN(-6,T222+(C222-U222)/MAX(U222-V222,0.000000001),6)</f>
        <v/>
      </c>
      <c r="X222" s="5">
        <f>SUMPRODUCT(('01_Data'!$B222:$AW222&lt;&gt;"")*(1/(1+EXP(-(W222-'03_Lap_b'!$B$35:$AW$35)))))</f>
        <v/>
      </c>
      <c r="Y222" s="5">
        <f>SUMPRODUCT(('01_Data'!$B222:$AW222&lt;&gt;"")*(1/(1+EXP(-(W222-'03_Lap_b'!$B$35:$AW$35))))^2)</f>
        <v/>
      </c>
      <c r="Z222" s="5">
        <f>MEDIAN(-6,W222+(C222-X222)/MAX(X222-Y222,0.000000001),6)</f>
        <v/>
      </c>
      <c r="AA222" s="5">
        <f>SUMPRODUCT(('01_Data'!$B222:$AW222&lt;&gt;"")*(1/(1+EXP(-(Z222-'03_Lap_b'!$B$40:$AW$40)))))</f>
        <v/>
      </c>
      <c r="AB222" s="5">
        <f>SUMPRODUCT(('01_Data'!$B222:$AW222&lt;&gt;"")*(1/(1+EXP(-(Z222-'03_Lap_b'!$B$40:$AW$40))))^2)</f>
        <v/>
      </c>
      <c r="AC222" s="5">
        <f>MEDIAN(-6,Z222+(C222-AA222)/MAX(AA222-AB222,0.000000001),6)</f>
        <v/>
      </c>
    </row>
    <row r="223">
      <c r="A223" t="n">
        <v>222</v>
      </c>
      <c r="B223">
        <f>'01_Data'!A223</f>
        <v/>
      </c>
      <c r="C223">
        <f>SUM('01_Data'!$B223:$AW223)</f>
        <v/>
      </c>
      <c r="D223">
        <f>COUNT('01_Data'!$B223:$AW223)</f>
        <v/>
      </c>
      <c r="E223" s="5">
        <f>MEDIAN(-6,LN((C223+0.3)/(D223-C223+0.3)),6)</f>
        <v/>
      </c>
      <c r="F223" s="5">
        <f>SUMPRODUCT(('01_Data'!$B223:$AW223&lt;&gt;"")*(1/(1+EXP(-(E223-'03_Lap_b'!$B$5:$AW$5)))))</f>
        <v/>
      </c>
      <c r="G223" s="5">
        <f>SUMPRODUCT(('01_Data'!$B223:$AW223&lt;&gt;"")*(1/(1+EXP(-(E223-'03_Lap_b'!$B$5:$AW$5))))^2)</f>
        <v/>
      </c>
      <c r="H223" s="5">
        <f>MEDIAN(-6,E223+(C223-F223)/MAX(F223-G223,0.000000001),6)</f>
        <v/>
      </c>
      <c r="I223" s="5">
        <f>SUMPRODUCT(('01_Data'!$B223:$AW223&lt;&gt;"")*(1/(1+EXP(-(H223-'03_Lap_b'!$B$10:$AW$10)))))</f>
        <v/>
      </c>
      <c r="J223" s="5">
        <f>SUMPRODUCT(('01_Data'!$B223:$AW223&lt;&gt;"")*(1/(1+EXP(-(H223-'03_Lap_b'!$B$10:$AW$10))))^2)</f>
        <v/>
      </c>
      <c r="K223" s="5">
        <f>MEDIAN(-6,H223+(C223-I223)/MAX(I223-J223,0.000000001),6)</f>
        <v/>
      </c>
      <c r="L223" s="5">
        <f>SUMPRODUCT(('01_Data'!$B223:$AW223&lt;&gt;"")*(1/(1+EXP(-(K223-'03_Lap_b'!$B$15:$AW$15)))))</f>
        <v/>
      </c>
      <c r="M223" s="5">
        <f>SUMPRODUCT(('01_Data'!$B223:$AW223&lt;&gt;"")*(1/(1+EXP(-(K223-'03_Lap_b'!$B$15:$AW$15))))^2)</f>
        <v/>
      </c>
      <c r="N223" s="5">
        <f>MEDIAN(-6,K223+(C223-L223)/MAX(L223-M223,0.000000001),6)</f>
        <v/>
      </c>
      <c r="O223" s="5">
        <f>SUMPRODUCT(('01_Data'!$B223:$AW223&lt;&gt;"")*(1/(1+EXP(-(N223-'03_Lap_b'!$B$20:$AW$20)))))</f>
        <v/>
      </c>
      <c r="P223" s="5">
        <f>SUMPRODUCT(('01_Data'!$B223:$AW223&lt;&gt;"")*(1/(1+EXP(-(N223-'03_Lap_b'!$B$20:$AW$20))))^2)</f>
        <v/>
      </c>
      <c r="Q223" s="5">
        <f>MEDIAN(-6,N223+(C223-O223)/MAX(O223-P223,0.000000001),6)</f>
        <v/>
      </c>
      <c r="R223" s="5">
        <f>SUMPRODUCT(('01_Data'!$B223:$AW223&lt;&gt;"")*(1/(1+EXP(-(Q223-'03_Lap_b'!$B$25:$AW$25)))))</f>
        <v/>
      </c>
      <c r="S223" s="5">
        <f>SUMPRODUCT(('01_Data'!$B223:$AW223&lt;&gt;"")*(1/(1+EXP(-(Q223-'03_Lap_b'!$B$25:$AW$25))))^2)</f>
        <v/>
      </c>
      <c r="T223" s="5">
        <f>MEDIAN(-6,Q223+(C223-R223)/MAX(R223-S223,0.000000001),6)</f>
        <v/>
      </c>
      <c r="U223" s="5">
        <f>SUMPRODUCT(('01_Data'!$B223:$AW223&lt;&gt;"")*(1/(1+EXP(-(T223-'03_Lap_b'!$B$30:$AW$30)))))</f>
        <v/>
      </c>
      <c r="V223" s="5">
        <f>SUMPRODUCT(('01_Data'!$B223:$AW223&lt;&gt;"")*(1/(1+EXP(-(T223-'03_Lap_b'!$B$30:$AW$30))))^2)</f>
        <v/>
      </c>
      <c r="W223" s="5">
        <f>MEDIAN(-6,T223+(C223-U223)/MAX(U223-V223,0.000000001),6)</f>
        <v/>
      </c>
      <c r="X223" s="5">
        <f>SUMPRODUCT(('01_Data'!$B223:$AW223&lt;&gt;"")*(1/(1+EXP(-(W223-'03_Lap_b'!$B$35:$AW$35)))))</f>
        <v/>
      </c>
      <c r="Y223" s="5">
        <f>SUMPRODUCT(('01_Data'!$B223:$AW223&lt;&gt;"")*(1/(1+EXP(-(W223-'03_Lap_b'!$B$35:$AW$35))))^2)</f>
        <v/>
      </c>
      <c r="Z223" s="5">
        <f>MEDIAN(-6,W223+(C223-X223)/MAX(X223-Y223,0.000000001),6)</f>
        <v/>
      </c>
      <c r="AA223" s="5">
        <f>SUMPRODUCT(('01_Data'!$B223:$AW223&lt;&gt;"")*(1/(1+EXP(-(Z223-'03_Lap_b'!$B$40:$AW$40)))))</f>
        <v/>
      </c>
      <c r="AB223" s="5">
        <f>SUMPRODUCT(('01_Data'!$B223:$AW223&lt;&gt;"")*(1/(1+EXP(-(Z223-'03_Lap_b'!$B$40:$AW$40))))^2)</f>
        <v/>
      </c>
      <c r="AC223" s="5">
        <f>MEDIAN(-6,Z223+(C223-AA223)/MAX(AA223-AB223,0.000000001),6)</f>
        <v/>
      </c>
    </row>
    <row r="224">
      <c r="A224" t="n">
        <v>223</v>
      </c>
      <c r="B224">
        <f>'01_Data'!A224</f>
        <v/>
      </c>
      <c r="C224">
        <f>SUM('01_Data'!$B224:$AW224)</f>
        <v/>
      </c>
      <c r="D224">
        <f>COUNT('01_Data'!$B224:$AW224)</f>
        <v/>
      </c>
      <c r="E224" s="5">
        <f>MEDIAN(-6,LN((C224+0.3)/(D224-C224+0.3)),6)</f>
        <v/>
      </c>
      <c r="F224" s="5">
        <f>SUMPRODUCT(('01_Data'!$B224:$AW224&lt;&gt;"")*(1/(1+EXP(-(E224-'03_Lap_b'!$B$5:$AW$5)))))</f>
        <v/>
      </c>
      <c r="G224" s="5">
        <f>SUMPRODUCT(('01_Data'!$B224:$AW224&lt;&gt;"")*(1/(1+EXP(-(E224-'03_Lap_b'!$B$5:$AW$5))))^2)</f>
        <v/>
      </c>
      <c r="H224" s="5">
        <f>MEDIAN(-6,E224+(C224-F224)/MAX(F224-G224,0.000000001),6)</f>
        <v/>
      </c>
      <c r="I224" s="5">
        <f>SUMPRODUCT(('01_Data'!$B224:$AW224&lt;&gt;"")*(1/(1+EXP(-(H224-'03_Lap_b'!$B$10:$AW$10)))))</f>
        <v/>
      </c>
      <c r="J224" s="5">
        <f>SUMPRODUCT(('01_Data'!$B224:$AW224&lt;&gt;"")*(1/(1+EXP(-(H224-'03_Lap_b'!$B$10:$AW$10))))^2)</f>
        <v/>
      </c>
      <c r="K224" s="5">
        <f>MEDIAN(-6,H224+(C224-I224)/MAX(I224-J224,0.000000001),6)</f>
        <v/>
      </c>
      <c r="L224" s="5">
        <f>SUMPRODUCT(('01_Data'!$B224:$AW224&lt;&gt;"")*(1/(1+EXP(-(K224-'03_Lap_b'!$B$15:$AW$15)))))</f>
        <v/>
      </c>
      <c r="M224" s="5">
        <f>SUMPRODUCT(('01_Data'!$B224:$AW224&lt;&gt;"")*(1/(1+EXP(-(K224-'03_Lap_b'!$B$15:$AW$15))))^2)</f>
        <v/>
      </c>
      <c r="N224" s="5">
        <f>MEDIAN(-6,K224+(C224-L224)/MAX(L224-M224,0.000000001),6)</f>
        <v/>
      </c>
      <c r="O224" s="5">
        <f>SUMPRODUCT(('01_Data'!$B224:$AW224&lt;&gt;"")*(1/(1+EXP(-(N224-'03_Lap_b'!$B$20:$AW$20)))))</f>
        <v/>
      </c>
      <c r="P224" s="5">
        <f>SUMPRODUCT(('01_Data'!$B224:$AW224&lt;&gt;"")*(1/(1+EXP(-(N224-'03_Lap_b'!$B$20:$AW$20))))^2)</f>
        <v/>
      </c>
      <c r="Q224" s="5">
        <f>MEDIAN(-6,N224+(C224-O224)/MAX(O224-P224,0.000000001),6)</f>
        <v/>
      </c>
      <c r="R224" s="5">
        <f>SUMPRODUCT(('01_Data'!$B224:$AW224&lt;&gt;"")*(1/(1+EXP(-(Q224-'03_Lap_b'!$B$25:$AW$25)))))</f>
        <v/>
      </c>
      <c r="S224" s="5">
        <f>SUMPRODUCT(('01_Data'!$B224:$AW224&lt;&gt;"")*(1/(1+EXP(-(Q224-'03_Lap_b'!$B$25:$AW$25))))^2)</f>
        <v/>
      </c>
      <c r="T224" s="5">
        <f>MEDIAN(-6,Q224+(C224-R224)/MAX(R224-S224,0.000000001),6)</f>
        <v/>
      </c>
      <c r="U224" s="5">
        <f>SUMPRODUCT(('01_Data'!$B224:$AW224&lt;&gt;"")*(1/(1+EXP(-(T224-'03_Lap_b'!$B$30:$AW$30)))))</f>
        <v/>
      </c>
      <c r="V224" s="5">
        <f>SUMPRODUCT(('01_Data'!$B224:$AW224&lt;&gt;"")*(1/(1+EXP(-(T224-'03_Lap_b'!$B$30:$AW$30))))^2)</f>
        <v/>
      </c>
      <c r="W224" s="5">
        <f>MEDIAN(-6,T224+(C224-U224)/MAX(U224-V224,0.000000001),6)</f>
        <v/>
      </c>
      <c r="X224" s="5">
        <f>SUMPRODUCT(('01_Data'!$B224:$AW224&lt;&gt;"")*(1/(1+EXP(-(W224-'03_Lap_b'!$B$35:$AW$35)))))</f>
        <v/>
      </c>
      <c r="Y224" s="5">
        <f>SUMPRODUCT(('01_Data'!$B224:$AW224&lt;&gt;"")*(1/(1+EXP(-(W224-'03_Lap_b'!$B$35:$AW$35))))^2)</f>
        <v/>
      </c>
      <c r="Z224" s="5">
        <f>MEDIAN(-6,W224+(C224-X224)/MAX(X224-Y224,0.000000001),6)</f>
        <v/>
      </c>
      <c r="AA224" s="5">
        <f>SUMPRODUCT(('01_Data'!$B224:$AW224&lt;&gt;"")*(1/(1+EXP(-(Z224-'03_Lap_b'!$B$40:$AW$40)))))</f>
        <v/>
      </c>
      <c r="AB224" s="5">
        <f>SUMPRODUCT(('01_Data'!$B224:$AW224&lt;&gt;"")*(1/(1+EXP(-(Z224-'03_Lap_b'!$B$40:$AW$40))))^2)</f>
        <v/>
      </c>
      <c r="AC224" s="5">
        <f>MEDIAN(-6,Z224+(C224-AA224)/MAX(AA224-AB224,0.000000001),6)</f>
        <v/>
      </c>
    </row>
    <row r="225">
      <c r="A225" t="n">
        <v>224</v>
      </c>
      <c r="B225">
        <f>'01_Data'!A225</f>
        <v/>
      </c>
      <c r="C225">
        <f>SUM('01_Data'!$B225:$AW225)</f>
        <v/>
      </c>
      <c r="D225">
        <f>COUNT('01_Data'!$B225:$AW225)</f>
        <v/>
      </c>
      <c r="E225" s="5">
        <f>MEDIAN(-6,LN((C225+0.3)/(D225-C225+0.3)),6)</f>
        <v/>
      </c>
      <c r="F225" s="5">
        <f>SUMPRODUCT(('01_Data'!$B225:$AW225&lt;&gt;"")*(1/(1+EXP(-(E225-'03_Lap_b'!$B$5:$AW$5)))))</f>
        <v/>
      </c>
      <c r="G225" s="5">
        <f>SUMPRODUCT(('01_Data'!$B225:$AW225&lt;&gt;"")*(1/(1+EXP(-(E225-'03_Lap_b'!$B$5:$AW$5))))^2)</f>
        <v/>
      </c>
      <c r="H225" s="5">
        <f>MEDIAN(-6,E225+(C225-F225)/MAX(F225-G225,0.000000001),6)</f>
        <v/>
      </c>
      <c r="I225" s="5">
        <f>SUMPRODUCT(('01_Data'!$B225:$AW225&lt;&gt;"")*(1/(1+EXP(-(H225-'03_Lap_b'!$B$10:$AW$10)))))</f>
        <v/>
      </c>
      <c r="J225" s="5">
        <f>SUMPRODUCT(('01_Data'!$B225:$AW225&lt;&gt;"")*(1/(1+EXP(-(H225-'03_Lap_b'!$B$10:$AW$10))))^2)</f>
        <v/>
      </c>
      <c r="K225" s="5">
        <f>MEDIAN(-6,H225+(C225-I225)/MAX(I225-J225,0.000000001),6)</f>
        <v/>
      </c>
      <c r="L225" s="5">
        <f>SUMPRODUCT(('01_Data'!$B225:$AW225&lt;&gt;"")*(1/(1+EXP(-(K225-'03_Lap_b'!$B$15:$AW$15)))))</f>
        <v/>
      </c>
      <c r="M225" s="5">
        <f>SUMPRODUCT(('01_Data'!$B225:$AW225&lt;&gt;"")*(1/(1+EXP(-(K225-'03_Lap_b'!$B$15:$AW$15))))^2)</f>
        <v/>
      </c>
      <c r="N225" s="5">
        <f>MEDIAN(-6,K225+(C225-L225)/MAX(L225-M225,0.000000001),6)</f>
        <v/>
      </c>
      <c r="O225" s="5">
        <f>SUMPRODUCT(('01_Data'!$B225:$AW225&lt;&gt;"")*(1/(1+EXP(-(N225-'03_Lap_b'!$B$20:$AW$20)))))</f>
        <v/>
      </c>
      <c r="P225" s="5">
        <f>SUMPRODUCT(('01_Data'!$B225:$AW225&lt;&gt;"")*(1/(1+EXP(-(N225-'03_Lap_b'!$B$20:$AW$20))))^2)</f>
        <v/>
      </c>
      <c r="Q225" s="5">
        <f>MEDIAN(-6,N225+(C225-O225)/MAX(O225-P225,0.000000001),6)</f>
        <v/>
      </c>
      <c r="R225" s="5">
        <f>SUMPRODUCT(('01_Data'!$B225:$AW225&lt;&gt;"")*(1/(1+EXP(-(Q225-'03_Lap_b'!$B$25:$AW$25)))))</f>
        <v/>
      </c>
      <c r="S225" s="5">
        <f>SUMPRODUCT(('01_Data'!$B225:$AW225&lt;&gt;"")*(1/(1+EXP(-(Q225-'03_Lap_b'!$B$25:$AW$25))))^2)</f>
        <v/>
      </c>
      <c r="T225" s="5">
        <f>MEDIAN(-6,Q225+(C225-R225)/MAX(R225-S225,0.000000001),6)</f>
        <v/>
      </c>
      <c r="U225" s="5">
        <f>SUMPRODUCT(('01_Data'!$B225:$AW225&lt;&gt;"")*(1/(1+EXP(-(T225-'03_Lap_b'!$B$30:$AW$30)))))</f>
        <v/>
      </c>
      <c r="V225" s="5">
        <f>SUMPRODUCT(('01_Data'!$B225:$AW225&lt;&gt;"")*(1/(1+EXP(-(T225-'03_Lap_b'!$B$30:$AW$30))))^2)</f>
        <v/>
      </c>
      <c r="W225" s="5">
        <f>MEDIAN(-6,T225+(C225-U225)/MAX(U225-V225,0.000000001),6)</f>
        <v/>
      </c>
      <c r="X225" s="5">
        <f>SUMPRODUCT(('01_Data'!$B225:$AW225&lt;&gt;"")*(1/(1+EXP(-(W225-'03_Lap_b'!$B$35:$AW$35)))))</f>
        <v/>
      </c>
      <c r="Y225" s="5">
        <f>SUMPRODUCT(('01_Data'!$B225:$AW225&lt;&gt;"")*(1/(1+EXP(-(W225-'03_Lap_b'!$B$35:$AW$35))))^2)</f>
        <v/>
      </c>
      <c r="Z225" s="5">
        <f>MEDIAN(-6,W225+(C225-X225)/MAX(X225-Y225,0.000000001),6)</f>
        <v/>
      </c>
      <c r="AA225" s="5">
        <f>SUMPRODUCT(('01_Data'!$B225:$AW225&lt;&gt;"")*(1/(1+EXP(-(Z225-'03_Lap_b'!$B$40:$AW$40)))))</f>
        <v/>
      </c>
      <c r="AB225" s="5">
        <f>SUMPRODUCT(('01_Data'!$B225:$AW225&lt;&gt;"")*(1/(1+EXP(-(Z225-'03_Lap_b'!$B$40:$AW$40))))^2)</f>
        <v/>
      </c>
      <c r="AC225" s="5">
        <f>MEDIAN(-6,Z225+(C225-AA225)/MAX(AA225-AB225,0.000000001),6)</f>
        <v/>
      </c>
    </row>
    <row r="226">
      <c r="A226" t="n">
        <v>225</v>
      </c>
      <c r="B226">
        <f>'01_Data'!A226</f>
        <v/>
      </c>
      <c r="C226">
        <f>SUM('01_Data'!$B226:$AW226)</f>
        <v/>
      </c>
      <c r="D226">
        <f>COUNT('01_Data'!$B226:$AW226)</f>
        <v/>
      </c>
      <c r="E226" s="5">
        <f>MEDIAN(-6,LN((C226+0.3)/(D226-C226+0.3)),6)</f>
        <v/>
      </c>
      <c r="F226" s="5">
        <f>SUMPRODUCT(('01_Data'!$B226:$AW226&lt;&gt;"")*(1/(1+EXP(-(E226-'03_Lap_b'!$B$5:$AW$5)))))</f>
        <v/>
      </c>
      <c r="G226" s="5">
        <f>SUMPRODUCT(('01_Data'!$B226:$AW226&lt;&gt;"")*(1/(1+EXP(-(E226-'03_Lap_b'!$B$5:$AW$5))))^2)</f>
        <v/>
      </c>
      <c r="H226" s="5">
        <f>MEDIAN(-6,E226+(C226-F226)/MAX(F226-G226,0.000000001),6)</f>
        <v/>
      </c>
      <c r="I226" s="5">
        <f>SUMPRODUCT(('01_Data'!$B226:$AW226&lt;&gt;"")*(1/(1+EXP(-(H226-'03_Lap_b'!$B$10:$AW$10)))))</f>
        <v/>
      </c>
      <c r="J226" s="5">
        <f>SUMPRODUCT(('01_Data'!$B226:$AW226&lt;&gt;"")*(1/(1+EXP(-(H226-'03_Lap_b'!$B$10:$AW$10))))^2)</f>
        <v/>
      </c>
      <c r="K226" s="5">
        <f>MEDIAN(-6,H226+(C226-I226)/MAX(I226-J226,0.000000001),6)</f>
        <v/>
      </c>
      <c r="L226" s="5">
        <f>SUMPRODUCT(('01_Data'!$B226:$AW226&lt;&gt;"")*(1/(1+EXP(-(K226-'03_Lap_b'!$B$15:$AW$15)))))</f>
        <v/>
      </c>
      <c r="M226" s="5">
        <f>SUMPRODUCT(('01_Data'!$B226:$AW226&lt;&gt;"")*(1/(1+EXP(-(K226-'03_Lap_b'!$B$15:$AW$15))))^2)</f>
        <v/>
      </c>
      <c r="N226" s="5">
        <f>MEDIAN(-6,K226+(C226-L226)/MAX(L226-M226,0.000000001),6)</f>
        <v/>
      </c>
      <c r="O226" s="5">
        <f>SUMPRODUCT(('01_Data'!$B226:$AW226&lt;&gt;"")*(1/(1+EXP(-(N226-'03_Lap_b'!$B$20:$AW$20)))))</f>
        <v/>
      </c>
      <c r="P226" s="5">
        <f>SUMPRODUCT(('01_Data'!$B226:$AW226&lt;&gt;"")*(1/(1+EXP(-(N226-'03_Lap_b'!$B$20:$AW$20))))^2)</f>
        <v/>
      </c>
      <c r="Q226" s="5">
        <f>MEDIAN(-6,N226+(C226-O226)/MAX(O226-P226,0.000000001),6)</f>
        <v/>
      </c>
      <c r="R226" s="5">
        <f>SUMPRODUCT(('01_Data'!$B226:$AW226&lt;&gt;"")*(1/(1+EXP(-(Q226-'03_Lap_b'!$B$25:$AW$25)))))</f>
        <v/>
      </c>
      <c r="S226" s="5">
        <f>SUMPRODUCT(('01_Data'!$B226:$AW226&lt;&gt;"")*(1/(1+EXP(-(Q226-'03_Lap_b'!$B$25:$AW$25))))^2)</f>
        <v/>
      </c>
      <c r="T226" s="5">
        <f>MEDIAN(-6,Q226+(C226-R226)/MAX(R226-S226,0.000000001),6)</f>
        <v/>
      </c>
      <c r="U226" s="5">
        <f>SUMPRODUCT(('01_Data'!$B226:$AW226&lt;&gt;"")*(1/(1+EXP(-(T226-'03_Lap_b'!$B$30:$AW$30)))))</f>
        <v/>
      </c>
      <c r="V226" s="5">
        <f>SUMPRODUCT(('01_Data'!$B226:$AW226&lt;&gt;"")*(1/(1+EXP(-(T226-'03_Lap_b'!$B$30:$AW$30))))^2)</f>
        <v/>
      </c>
      <c r="W226" s="5">
        <f>MEDIAN(-6,T226+(C226-U226)/MAX(U226-V226,0.000000001),6)</f>
        <v/>
      </c>
      <c r="X226" s="5">
        <f>SUMPRODUCT(('01_Data'!$B226:$AW226&lt;&gt;"")*(1/(1+EXP(-(W226-'03_Lap_b'!$B$35:$AW$35)))))</f>
        <v/>
      </c>
      <c r="Y226" s="5">
        <f>SUMPRODUCT(('01_Data'!$B226:$AW226&lt;&gt;"")*(1/(1+EXP(-(W226-'03_Lap_b'!$B$35:$AW$35))))^2)</f>
        <v/>
      </c>
      <c r="Z226" s="5">
        <f>MEDIAN(-6,W226+(C226-X226)/MAX(X226-Y226,0.000000001),6)</f>
        <v/>
      </c>
      <c r="AA226" s="5">
        <f>SUMPRODUCT(('01_Data'!$B226:$AW226&lt;&gt;"")*(1/(1+EXP(-(Z226-'03_Lap_b'!$B$40:$AW$40)))))</f>
        <v/>
      </c>
      <c r="AB226" s="5">
        <f>SUMPRODUCT(('01_Data'!$B226:$AW226&lt;&gt;"")*(1/(1+EXP(-(Z226-'03_Lap_b'!$B$40:$AW$40))))^2)</f>
        <v/>
      </c>
      <c r="AC226" s="5">
        <f>MEDIAN(-6,Z226+(C226-AA226)/MAX(AA226-AB226,0.000000001),6)</f>
        <v/>
      </c>
    </row>
    <row r="227">
      <c r="A227" t="n">
        <v>226</v>
      </c>
      <c r="B227">
        <f>'01_Data'!A227</f>
        <v/>
      </c>
      <c r="C227">
        <f>SUM('01_Data'!$B227:$AW227)</f>
        <v/>
      </c>
      <c r="D227">
        <f>COUNT('01_Data'!$B227:$AW227)</f>
        <v/>
      </c>
      <c r="E227" s="5">
        <f>MEDIAN(-6,LN((C227+0.3)/(D227-C227+0.3)),6)</f>
        <v/>
      </c>
      <c r="F227" s="5">
        <f>SUMPRODUCT(('01_Data'!$B227:$AW227&lt;&gt;"")*(1/(1+EXP(-(E227-'03_Lap_b'!$B$5:$AW$5)))))</f>
        <v/>
      </c>
      <c r="G227" s="5">
        <f>SUMPRODUCT(('01_Data'!$B227:$AW227&lt;&gt;"")*(1/(1+EXP(-(E227-'03_Lap_b'!$B$5:$AW$5))))^2)</f>
        <v/>
      </c>
      <c r="H227" s="5">
        <f>MEDIAN(-6,E227+(C227-F227)/MAX(F227-G227,0.000000001),6)</f>
        <v/>
      </c>
      <c r="I227" s="5">
        <f>SUMPRODUCT(('01_Data'!$B227:$AW227&lt;&gt;"")*(1/(1+EXP(-(H227-'03_Lap_b'!$B$10:$AW$10)))))</f>
        <v/>
      </c>
      <c r="J227" s="5">
        <f>SUMPRODUCT(('01_Data'!$B227:$AW227&lt;&gt;"")*(1/(1+EXP(-(H227-'03_Lap_b'!$B$10:$AW$10))))^2)</f>
        <v/>
      </c>
      <c r="K227" s="5">
        <f>MEDIAN(-6,H227+(C227-I227)/MAX(I227-J227,0.000000001),6)</f>
        <v/>
      </c>
      <c r="L227" s="5">
        <f>SUMPRODUCT(('01_Data'!$B227:$AW227&lt;&gt;"")*(1/(1+EXP(-(K227-'03_Lap_b'!$B$15:$AW$15)))))</f>
        <v/>
      </c>
      <c r="M227" s="5">
        <f>SUMPRODUCT(('01_Data'!$B227:$AW227&lt;&gt;"")*(1/(1+EXP(-(K227-'03_Lap_b'!$B$15:$AW$15))))^2)</f>
        <v/>
      </c>
      <c r="N227" s="5">
        <f>MEDIAN(-6,K227+(C227-L227)/MAX(L227-M227,0.000000001),6)</f>
        <v/>
      </c>
      <c r="O227" s="5">
        <f>SUMPRODUCT(('01_Data'!$B227:$AW227&lt;&gt;"")*(1/(1+EXP(-(N227-'03_Lap_b'!$B$20:$AW$20)))))</f>
        <v/>
      </c>
      <c r="P227" s="5">
        <f>SUMPRODUCT(('01_Data'!$B227:$AW227&lt;&gt;"")*(1/(1+EXP(-(N227-'03_Lap_b'!$B$20:$AW$20))))^2)</f>
        <v/>
      </c>
      <c r="Q227" s="5">
        <f>MEDIAN(-6,N227+(C227-O227)/MAX(O227-P227,0.000000001),6)</f>
        <v/>
      </c>
      <c r="R227" s="5">
        <f>SUMPRODUCT(('01_Data'!$B227:$AW227&lt;&gt;"")*(1/(1+EXP(-(Q227-'03_Lap_b'!$B$25:$AW$25)))))</f>
        <v/>
      </c>
      <c r="S227" s="5">
        <f>SUMPRODUCT(('01_Data'!$B227:$AW227&lt;&gt;"")*(1/(1+EXP(-(Q227-'03_Lap_b'!$B$25:$AW$25))))^2)</f>
        <v/>
      </c>
      <c r="T227" s="5">
        <f>MEDIAN(-6,Q227+(C227-R227)/MAX(R227-S227,0.000000001),6)</f>
        <v/>
      </c>
      <c r="U227" s="5">
        <f>SUMPRODUCT(('01_Data'!$B227:$AW227&lt;&gt;"")*(1/(1+EXP(-(T227-'03_Lap_b'!$B$30:$AW$30)))))</f>
        <v/>
      </c>
      <c r="V227" s="5">
        <f>SUMPRODUCT(('01_Data'!$B227:$AW227&lt;&gt;"")*(1/(1+EXP(-(T227-'03_Lap_b'!$B$30:$AW$30))))^2)</f>
        <v/>
      </c>
      <c r="W227" s="5">
        <f>MEDIAN(-6,T227+(C227-U227)/MAX(U227-V227,0.000000001),6)</f>
        <v/>
      </c>
      <c r="X227" s="5">
        <f>SUMPRODUCT(('01_Data'!$B227:$AW227&lt;&gt;"")*(1/(1+EXP(-(W227-'03_Lap_b'!$B$35:$AW$35)))))</f>
        <v/>
      </c>
      <c r="Y227" s="5">
        <f>SUMPRODUCT(('01_Data'!$B227:$AW227&lt;&gt;"")*(1/(1+EXP(-(W227-'03_Lap_b'!$B$35:$AW$35))))^2)</f>
        <v/>
      </c>
      <c r="Z227" s="5">
        <f>MEDIAN(-6,W227+(C227-X227)/MAX(X227-Y227,0.000000001),6)</f>
        <v/>
      </c>
      <c r="AA227" s="5">
        <f>SUMPRODUCT(('01_Data'!$B227:$AW227&lt;&gt;"")*(1/(1+EXP(-(Z227-'03_Lap_b'!$B$40:$AW$40)))))</f>
        <v/>
      </c>
      <c r="AB227" s="5">
        <f>SUMPRODUCT(('01_Data'!$B227:$AW227&lt;&gt;"")*(1/(1+EXP(-(Z227-'03_Lap_b'!$B$40:$AW$40))))^2)</f>
        <v/>
      </c>
      <c r="AC227" s="5">
        <f>MEDIAN(-6,Z227+(C227-AA227)/MAX(AA227-AB227,0.000000001),6)</f>
        <v/>
      </c>
    </row>
    <row r="228">
      <c r="A228" t="n">
        <v>227</v>
      </c>
      <c r="B228">
        <f>'01_Data'!A228</f>
        <v/>
      </c>
      <c r="C228">
        <f>SUM('01_Data'!$B228:$AW228)</f>
        <v/>
      </c>
      <c r="D228">
        <f>COUNT('01_Data'!$B228:$AW228)</f>
        <v/>
      </c>
      <c r="E228" s="5">
        <f>MEDIAN(-6,LN((C228+0.3)/(D228-C228+0.3)),6)</f>
        <v/>
      </c>
      <c r="F228" s="5">
        <f>SUMPRODUCT(('01_Data'!$B228:$AW228&lt;&gt;"")*(1/(1+EXP(-(E228-'03_Lap_b'!$B$5:$AW$5)))))</f>
        <v/>
      </c>
      <c r="G228" s="5">
        <f>SUMPRODUCT(('01_Data'!$B228:$AW228&lt;&gt;"")*(1/(1+EXP(-(E228-'03_Lap_b'!$B$5:$AW$5))))^2)</f>
        <v/>
      </c>
      <c r="H228" s="5">
        <f>MEDIAN(-6,E228+(C228-F228)/MAX(F228-G228,0.000000001),6)</f>
        <v/>
      </c>
      <c r="I228" s="5">
        <f>SUMPRODUCT(('01_Data'!$B228:$AW228&lt;&gt;"")*(1/(1+EXP(-(H228-'03_Lap_b'!$B$10:$AW$10)))))</f>
        <v/>
      </c>
      <c r="J228" s="5">
        <f>SUMPRODUCT(('01_Data'!$B228:$AW228&lt;&gt;"")*(1/(1+EXP(-(H228-'03_Lap_b'!$B$10:$AW$10))))^2)</f>
        <v/>
      </c>
      <c r="K228" s="5">
        <f>MEDIAN(-6,H228+(C228-I228)/MAX(I228-J228,0.000000001),6)</f>
        <v/>
      </c>
      <c r="L228" s="5">
        <f>SUMPRODUCT(('01_Data'!$B228:$AW228&lt;&gt;"")*(1/(1+EXP(-(K228-'03_Lap_b'!$B$15:$AW$15)))))</f>
        <v/>
      </c>
      <c r="M228" s="5">
        <f>SUMPRODUCT(('01_Data'!$B228:$AW228&lt;&gt;"")*(1/(1+EXP(-(K228-'03_Lap_b'!$B$15:$AW$15))))^2)</f>
        <v/>
      </c>
      <c r="N228" s="5">
        <f>MEDIAN(-6,K228+(C228-L228)/MAX(L228-M228,0.000000001),6)</f>
        <v/>
      </c>
      <c r="O228" s="5">
        <f>SUMPRODUCT(('01_Data'!$B228:$AW228&lt;&gt;"")*(1/(1+EXP(-(N228-'03_Lap_b'!$B$20:$AW$20)))))</f>
        <v/>
      </c>
      <c r="P228" s="5">
        <f>SUMPRODUCT(('01_Data'!$B228:$AW228&lt;&gt;"")*(1/(1+EXP(-(N228-'03_Lap_b'!$B$20:$AW$20))))^2)</f>
        <v/>
      </c>
      <c r="Q228" s="5">
        <f>MEDIAN(-6,N228+(C228-O228)/MAX(O228-P228,0.000000001),6)</f>
        <v/>
      </c>
      <c r="R228" s="5">
        <f>SUMPRODUCT(('01_Data'!$B228:$AW228&lt;&gt;"")*(1/(1+EXP(-(Q228-'03_Lap_b'!$B$25:$AW$25)))))</f>
        <v/>
      </c>
      <c r="S228" s="5">
        <f>SUMPRODUCT(('01_Data'!$B228:$AW228&lt;&gt;"")*(1/(1+EXP(-(Q228-'03_Lap_b'!$B$25:$AW$25))))^2)</f>
        <v/>
      </c>
      <c r="T228" s="5">
        <f>MEDIAN(-6,Q228+(C228-R228)/MAX(R228-S228,0.000000001),6)</f>
        <v/>
      </c>
      <c r="U228" s="5">
        <f>SUMPRODUCT(('01_Data'!$B228:$AW228&lt;&gt;"")*(1/(1+EXP(-(T228-'03_Lap_b'!$B$30:$AW$30)))))</f>
        <v/>
      </c>
      <c r="V228" s="5">
        <f>SUMPRODUCT(('01_Data'!$B228:$AW228&lt;&gt;"")*(1/(1+EXP(-(T228-'03_Lap_b'!$B$30:$AW$30))))^2)</f>
        <v/>
      </c>
      <c r="W228" s="5">
        <f>MEDIAN(-6,T228+(C228-U228)/MAX(U228-V228,0.000000001),6)</f>
        <v/>
      </c>
      <c r="X228" s="5">
        <f>SUMPRODUCT(('01_Data'!$B228:$AW228&lt;&gt;"")*(1/(1+EXP(-(W228-'03_Lap_b'!$B$35:$AW$35)))))</f>
        <v/>
      </c>
      <c r="Y228" s="5">
        <f>SUMPRODUCT(('01_Data'!$B228:$AW228&lt;&gt;"")*(1/(1+EXP(-(W228-'03_Lap_b'!$B$35:$AW$35))))^2)</f>
        <v/>
      </c>
      <c r="Z228" s="5">
        <f>MEDIAN(-6,W228+(C228-X228)/MAX(X228-Y228,0.000000001),6)</f>
        <v/>
      </c>
      <c r="AA228" s="5">
        <f>SUMPRODUCT(('01_Data'!$B228:$AW228&lt;&gt;"")*(1/(1+EXP(-(Z228-'03_Lap_b'!$B$40:$AW$40)))))</f>
        <v/>
      </c>
      <c r="AB228" s="5">
        <f>SUMPRODUCT(('01_Data'!$B228:$AW228&lt;&gt;"")*(1/(1+EXP(-(Z228-'03_Lap_b'!$B$40:$AW$40))))^2)</f>
        <v/>
      </c>
      <c r="AC228" s="5">
        <f>MEDIAN(-6,Z228+(C228-AA228)/MAX(AA228-AB228,0.000000001),6)</f>
        <v/>
      </c>
    </row>
    <row r="229">
      <c r="A229" t="n">
        <v>228</v>
      </c>
      <c r="B229">
        <f>'01_Data'!A229</f>
        <v/>
      </c>
      <c r="C229">
        <f>SUM('01_Data'!$B229:$AW229)</f>
        <v/>
      </c>
      <c r="D229">
        <f>COUNT('01_Data'!$B229:$AW229)</f>
        <v/>
      </c>
      <c r="E229" s="5">
        <f>MEDIAN(-6,LN((C229+0.3)/(D229-C229+0.3)),6)</f>
        <v/>
      </c>
      <c r="F229" s="5">
        <f>SUMPRODUCT(('01_Data'!$B229:$AW229&lt;&gt;"")*(1/(1+EXP(-(E229-'03_Lap_b'!$B$5:$AW$5)))))</f>
        <v/>
      </c>
      <c r="G229" s="5">
        <f>SUMPRODUCT(('01_Data'!$B229:$AW229&lt;&gt;"")*(1/(1+EXP(-(E229-'03_Lap_b'!$B$5:$AW$5))))^2)</f>
        <v/>
      </c>
      <c r="H229" s="5">
        <f>MEDIAN(-6,E229+(C229-F229)/MAX(F229-G229,0.000000001),6)</f>
        <v/>
      </c>
      <c r="I229" s="5">
        <f>SUMPRODUCT(('01_Data'!$B229:$AW229&lt;&gt;"")*(1/(1+EXP(-(H229-'03_Lap_b'!$B$10:$AW$10)))))</f>
        <v/>
      </c>
      <c r="J229" s="5">
        <f>SUMPRODUCT(('01_Data'!$B229:$AW229&lt;&gt;"")*(1/(1+EXP(-(H229-'03_Lap_b'!$B$10:$AW$10))))^2)</f>
        <v/>
      </c>
      <c r="K229" s="5">
        <f>MEDIAN(-6,H229+(C229-I229)/MAX(I229-J229,0.000000001),6)</f>
        <v/>
      </c>
      <c r="L229" s="5">
        <f>SUMPRODUCT(('01_Data'!$B229:$AW229&lt;&gt;"")*(1/(1+EXP(-(K229-'03_Lap_b'!$B$15:$AW$15)))))</f>
        <v/>
      </c>
      <c r="M229" s="5">
        <f>SUMPRODUCT(('01_Data'!$B229:$AW229&lt;&gt;"")*(1/(1+EXP(-(K229-'03_Lap_b'!$B$15:$AW$15))))^2)</f>
        <v/>
      </c>
      <c r="N229" s="5">
        <f>MEDIAN(-6,K229+(C229-L229)/MAX(L229-M229,0.000000001),6)</f>
        <v/>
      </c>
      <c r="O229" s="5">
        <f>SUMPRODUCT(('01_Data'!$B229:$AW229&lt;&gt;"")*(1/(1+EXP(-(N229-'03_Lap_b'!$B$20:$AW$20)))))</f>
        <v/>
      </c>
      <c r="P229" s="5">
        <f>SUMPRODUCT(('01_Data'!$B229:$AW229&lt;&gt;"")*(1/(1+EXP(-(N229-'03_Lap_b'!$B$20:$AW$20))))^2)</f>
        <v/>
      </c>
      <c r="Q229" s="5">
        <f>MEDIAN(-6,N229+(C229-O229)/MAX(O229-P229,0.000000001),6)</f>
        <v/>
      </c>
      <c r="R229" s="5">
        <f>SUMPRODUCT(('01_Data'!$B229:$AW229&lt;&gt;"")*(1/(1+EXP(-(Q229-'03_Lap_b'!$B$25:$AW$25)))))</f>
        <v/>
      </c>
      <c r="S229" s="5">
        <f>SUMPRODUCT(('01_Data'!$B229:$AW229&lt;&gt;"")*(1/(1+EXP(-(Q229-'03_Lap_b'!$B$25:$AW$25))))^2)</f>
        <v/>
      </c>
      <c r="T229" s="5">
        <f>MEDIAN(-6,Q229+(C229-R229)/MAX(R229-S229,0.000000001),6)</f>
        <v/>
      </c>
      <c r="U229" s="5">
        <f>SUMPRODUCT(('01_Data'!$B229:$AW229&lt;&gt;"")*(1/(1+EXP(-(T229-'03_Lap_b'!$B$30:$AW$30)))))</f>
        <v/>
      </c>
      <c r="V229" s="5">
        <f>SUMPRODUCT(('01_Data'!$B229:$AW229&lt;&gt;"")*(1/(1+EXP(-(T229-'03_Lap_b'!$B$30:$AW$30))))^2)</f>
        <v/>
      </c>
      <c r="W229" s="5">
        <f>MEDIAN(-6,T229+(C229-U229)/MAX(U229-V229,0.000000001),6)</f>
        <v/>
      </c>
      <c r="X229" s="5">
        <f>SUMPRODUCT(('01_Data'!$B229:$AW229&lt;&gt;"")*(1/(1+EXP(-(W229-'03_Lap_b'!$B$35:$AW$35)))))</f>
        <v/>
      </c>
      <c r="Y229" s="5">
        <f>SUMPRODUCT(('01_Data'!$B229:$AW229&lt;&gt;"")*(1/(1+EXP(-(W229-'03_Lap_b'!$B$35:$AW$35))))^2)</f>
        <v/>
      </c>
      <c r="Z229" s="5">
        <f>MEDIAN(-6,W229+(C229-X229)/MAX(X229-Y229,0.000000001),6)</f>
        <v/>
      </c>
      <c r="AA229" s="5">
        <f>SUMPRODUCT(('01_Data'!$B229:$AW229&lt;&gt;"")*(1/(1+EXP(-(Z229-'03_Lap_b'!$B$40:$AW$40)))))</f>
        <v/>
      </c>
      <c r="AB229" s="5">
        <f>SUMPRODUCT(('01_Data'!$B229:$AW229&lt;&gt;"")*(1/(1+EXP(-(Z229-'03_Lap_b'!$B$40:$AW$40))))^2)</f>
        <v/>
      </c>
      <c r="AC229" s="5">
        <f>MEDIAN(-6,Z229+(C229-AA229)/MAX(AA229-AB229,0.000000001),6)</f>
        <v/>
      </c>
    </row>
    <row r="230">
      <c r="A230" t="n">
        <v>229</v>
      </c>
      <c r="B230">
        <f>'01_Data'!A230</f>
        <v/>
      </c>
      <c r="C230">
        <f>SUM('01_Data'!$B230:$AW230)</f>
        <v/>
      </c>
      <c r="D230">
        <f>COUNT('01_Data'!$B230:$AW230)</f>
        <v/>
      </c>
      <c r="E230" s="5">
        <f>MEDIAN(-6,LN((C230+0.3)/(D230-C230+0.3)),6)</f>
        <v/>
      </c>
      <c r="F230" s="5">
        <f>SUMPRODUCT(('01_Data'!$B230:$AW230&lt;&gt;"")*(1/(1+EXP(-(E230-'03_Lap_b'!$B$5:$AW$5)))))</f>
        <v/>
      </c>
      <c r="G230" s="5">
        <f>SUMPRODUCT(('01_Data'!$B230:$AW230&lt;&gt;"")*(1/(1+EXP(-(E230-'03_Lap_b'!$B$5:$AW$5))))^2)</f>
        <v/>
      </c>
      <c r="H230" s="5">
        <f>MEDIAN(-6,E230+(C230-F230)/MAX(F230-G230,0.000000001),6)</f>
        <v/>
      </c>
      <c r="I230" s="5">
        <f>SUMPRODUCT(('01_Data'!$B230:$AW230&lt;&gt;"")*(1/(1+EXP(-(H230-'03_Lap_b'!$B$10:$AW$10)))))</f>
        <v/>
      </c>
      <c r="J230" s="5">
        <f>SUMPRODUCT(('01_Data'!$B230:$AW230&lt;&gt;"")*(1/(1+EXP(-(H230-'03_Lap_b'!$B$10:$AW$10))))^2)</f>
        <v/>
      </c>
      <c r="K230" s="5">
        <f>MEDIAN(-6,H230+(C230-I230)/MAX(I230-J230,0.000000001),6)</f>
        <v/>
      </c>
      <c r="L230" s="5">
        <f>SUMPRODUCT(('01_Data'!$B230:$AW230&lt;&gt;"")*(1/(1+EXP(-(K230-'03_Lap_b'!$B$15:$AW$15)))))</f>
        <v/>
      </c>
      <c r="M230" s="5">
        <f>SUMPRODUCT(('01_Data'!$B230:$AW230&lt;&gt;"")*(1/(1+EXP(-(K230-'03_Lap_b'!$B$15:$AW$15))))^2)</f>
        <v/>
      </c>
      <c r="N230" s="5">
        <f>MEDIAN(-6,K230+(C230-L230)/MAX(L230-M230,0.000000001),6)</f>
        <v/>
      </c>
      <c r="O230" s="5">
        <f>SUMPRODUCT(('01_Data'!$B230:$AW230&lt;&gt;"")*(1/(1+EXP(-(N230-'03_Lap_b'!$B$20:$AW$20)))))</f>
        <v/>
      </c>
      <c r="P230" s="5">
        <f>SUMPRODUCT(('01_Data'!$B230:$AW230&lt;&gt;"")*(1/(1+EXP(-(N230-'03_Lap_b'!$B$20:$AW$20))))^2)</f>
        <v/>
      </c>
      <c r="Q230" s="5">
        <f>MEDIAN(-6,N230+(C230-O230)/MAX(O230-P230,0.000000001),6)</f>
        <v/>
      </c>
      <c r="R230" s="5">
        <f>SUMPRODUCT(('01_Data'!$B230:$AW230&lt;&gt;"")*(1/(1+EXP(-(Q230-'03_Lap_b'!$B$25:$AW$25)))))</f>
        <v/>
      </c>
      <c r="S230" s="5">
        <f>SUMPRODUCT(('01_Data'!$B230:$AW230&lt;&gt;"")*(1/(1+EXP(-(Q230-'03_Lap_b'!$B$25:$AW$25))))^2)</f>
        <v/>
      </c>
      <c r="T230" s="5">
        <f>MEDIAN(-6,Q230+(C230-R230)/MAX(R230-S230,0.000000001),6)</f>
        <v/>
      </c>
      <c r="U230" s="5">
        <f>SUMPRODUCT(('01_Data'!$B230:$AW230&lt;&gt;"")*(1/(1+EXP(-(T230-'03_Lap_b'!$B$30:$AW$30)))))</f>
        <v/>
      </c>
      <c r="V230" s="5">
        <f>SUMPRODUCT(('01_Data'!$B230:$AW230&lt;&gt;"")*(1/(1+EXP(-(T230-'03_Lap_b'!$B$30:$AW$30))))^2)</f>
        <v/>
      </c>
      <c r="W230" s="5">
        <f>MEDIAN(-6,T230+(C230-U230)/MAX(U230-V230,0.000000001),6)</f>
        <v/>
      </c>
      <c r="X230" s="5">
        <f>SUMPRODUCT(('01_Data'!$B230:$AW230&lt;&gt;"")*(1/(1+EXP(-(W230-'03_Lap_b'!$B$35:$AW$35)))))</f>
        <v/>
      </c>
      <c r="Y230" s="5">
        <f>SUMPRODUCT(('01_Data'!$B230:$AW230&lt;&gt;"")*(1/(1+EXP(-(W230-'03_Lap_b'!$B$35:$AW$35))))^2)</f>
        <v/>
      </c>
      <c r="Z230" s="5">
        <f>MEDIAN(-6,W230+(C230-X230)/MAX(X230-Y230,0.000000001),6)</f>
        <v/>
      </c>
      <c r="AA230" s="5">
        <f>SUMPRODUCT(('01_Data'!$B230:$AW230&lt;&gt;"")*(1/(1+EXP(-(Z230-'03_Lap_b'!$B$40:$AW$40)))))</f>
        <v/>
      </c>
      <c r="AB230" s="5">
        <f>SUMPRODUCT(('01_Data'!$B230:$AW230&lt;&gt;"")*(1/(1+EXP(-(Z230-'03_Lap_b'!$B$40:$AW$40))))^2)</f>
        <v/>
      </c>
      <c r="AC230" s="5">
        <f>MEDIAN(-6,Z230+(C230-AA230)/MAX(AA230-AB230,0.000000001),6)</f>
        <v/>
      </c>
    </row>
    <row r="231">
      <c r="A231" t="n">
        <v>230</v>
      </c>
      <c r="B231">
        <f>'01_Data'!A231</f>
        <v/>
      </c>
      <c r="C231">
        <f>SUM('01_Data'!$B231:$AW231)</f>
        <v/>
      </c>
      <c r="D231">
        <f>COUNT('01_Data'!$B231:$AW231)</f>
        <v/>
      </c>
      <c r="E231" s="5">
        <f>MEDIAN(-6,LN((C231+0.3)/(D231-C231+0.3)),6)</f>
        <v/>
      </c>
      <c r="F231" s="5">
        <f>SUMPRODUCT(('01_Data'!$B231:$AW231&lt;&gt;"")*(1/(1+EXP(-(E231-'03_Lap_b'!$B$5:$AW$5)))))</f>
        <v/>
      </c>
      <c r="G231" s="5">
        <f>SUMPRODUCT(('01_Data'!$B231:$AW231&lt;&gt;"")*(1/(1+EXP(-(E231-'03_Lap_b'!$B$5:$AW$5))))^2)</f>
        <v/>
      </c>
      <c r="H231" s="5">
        <f>MEDIAN(-6,E231+(C231-F231)/MAX(F231-G231,0.000000001),6)</f>
        <v/>
      </c>
      <c r="I231" s="5">
        <f>SUMPRODUCT(('01_Data'!$B231:$AW231&lt;&gt;"")*(1/(1+EXP(-(H231-'03_Lap_b'!$B$10:$AW$10)))))</f>
        <v/>
      </c>
      <c r="J231" s="5">
        <f>SUMPRODUCT(('01_Data'!$B231:$AW231&lt;&gt;"")*(1/(1+EXP(-(H231-'03_Lap_b'!$B$10:$AW$10))))^2)</f>
        <v/>
      </c>
      <c r="K231" s="5">
        <f>MEDIAN(-6,H231+(C231-I231)/MAX(I231-J231,0.000000001),6)</f>
        <v/>
      </c>
      <c r="L231" s="5">
        <f>SUMPRODUCT(('01_Data'!$B231:$AW231&lt;&gt;"")*(1/(1+EXP(-(K231-'03_Lap_b'!$B$15:$AW$15)))))</f>
        <v/>
      </c>
      <c r="M231" s="5">
        <f>SUMPRODUCT(('01_Data'!$B231:$AW231&lt;&gt;"")*(1/(1+EXP(-(K231-'03_Lap_b'!$B$15:$AW$15))))^2)</f>
        <v/>
      </c>
      <c r="N231" s="5">
        <f>MEDIAN(-6,K231+(C231-L231)/MAX(L231-M231,0.000000001),6)</f>
        <v/>
      </c>
      <c r="O231" s="5">
        <f>SUMPRODUCT(('01_Data'!$B231:$AW231&lt;&gt;"")*(1/(1+EXP(-(N231-'03_Lap_b'!$B$20:$AW$20)))))</f>
        <v/>
      </c>
      <c r="P231" s="5">
        <f>SUMPRODUCT(('01_Data'!$B231:$AW231&lt;&gt;"")*(1/(1+EXP(-(N231-'03_Lap_b'!$B$20:$AW$20))))^2)</f>
        <v/>
      </c>
      <c r="Q231" s="5">
        <f>MEDIAN(-6,N231+(C231-O231)/MAX(O231-P231,0.000000001),6)</f>
        <v/>
      </c>
      <c r="R231" s="5">
        <f>SUMPRODUCT(('01_Data'!$B231:$AW231&lt;&gt;"")*(1/(1+EXP(-(Q231-'03_Lap_b'!$B$25:$AW$25)))))</f>
        <v/>
      </c>
      <c r="S231" s="5">
        <f>SUMPRODUCT(('01_Data'!$B231:$AW231&lt;&gt;"")*(1/(1+EXP(-(Q231-'03_Lap_b'!$B$25:$AW$25))))^2)</f>
        <v/>
      </c>
      <c r="T231" s="5">
        <f>MEDIAN(-6,Q231+(C231-R231)/MAX(R231-S231,0.000000001),6)</f>
        <v/>
      </c>
      <c r="U231" s="5">
        <f>SUMPRODUCT(('01_Data'!$B231:$AW231&lt;&gt;"")*(1/(1+EXP(-(T231-'03_Lap_b'!$B$30:$AW$30)))))</f>
        <v/>
      </c>
      <c r="V231" s="5">
        <f>SUMPRODUCT(('01_Data'!$B231:$AW231&lt;&gt;"")*(1/(1+EXP(-(T231-'03_Lap_b'!$B$30:$AW$30))))^2)</f>
        <v/>
      </c>
      <c r="W231" s="5">
        <f>MEDIAN(-6,T231+(C231-U231)/MAX(U231-V231,0.000000001),6)</f>
        <v/>
      </c>
      <c r="X231" s="5">
        <f>SUMPRODUCT(('01_Data'!$B231:$AW231&lt;&gt;"")*(1/(1+EXP(-(W231-'03_Lap_b'!$B$35:$AW$35)))))</f>
        <v/>
      </c>
      <c r="Y231" s="5">
        <f>SUMPRODUCT(('01_Data'!$B231:$AW231&lt;&gt;"")*(1/(1+EXP(-(W231-'03_Lap_b'!$B$35:$AW$35))))^2)</f>
        <v/>
      </c>
      <c r="Z231" s="5">
        <f>MEDIAN(-6,W231+(C231-X231)/MAX(X231-Y231,0.000000001),6)</f>
        <v/>
      </c>
      <c r="AA231" s="5">
        <f>SUMPRODUCT(('01_Data'!$B231:$AW231&lt;&gt;"")*(1/(1+EXP(-(Z231-'03_Lap_b'!$B$40:$AW$40)))))</f>
        <v/>
      </c>
      <c r="AB231" s="5">
        <f>SUMPRODUCT(('01_Data'!$B231:$AW231&lt;&gt;"")*(1/(1+EXP(-(Z231-'03_Lap_b'!$B$40:$AW$40))))^2)</f>
        <v/>
      </c>
      <c r="AC231" s="5">
        <f>MEDIAN(-6,Z231+(C231-AA231)/MAX(AA231-AB231,0.000000001),6)</f>
        <v/>
      </c>
    </row>
    <row r="232">
      <c r="A232" t="n">
        <v>231</v>
      </c>
      <c r="B232">
        <f>'01_Data'!A232</f>
        <v/>
      </c>
      <c r="C232">
        <f>SUM('01_Data'!$B232:$AW232)</f>
        <v/>
      </c>
      <c r="D232">
        <f>COUNT('01_Data'!$B232:$AW232)</f>
        <v/>
      </c>
      <c r="E232" s="5">
        <f>MEDIAN(-6,LN((C232+0.3)/(D232-C232+0.3)),6)</f>
        <v/>
      </c>
      <c r="F232" s="5">
        <f>SUMPRODUCT(('01_Data'!$B232:$AW232&lt;&gt;"")*(1/(1+EXP(-(E232-'03_Lap_b'!$B$5:$AW$5)))))</f>
        <v/>
      </c>
      <c r="G232" s="5">
        <f>SUMPRODUCT(('01_Data'!$B232:$AW232&lt;&gt;"")*(1/(1+EXP(-(E232-'03_Lap_b'!$B$5:$AW$5))))^2)</f>
        <v/>
      </c>
      <c r="H232" s="5">
        <f>MEDIAN(-6,E232+(C232-F232)/MAX(F232-G232,0.000000001),6)</f>
        <v/>
      </c>
      <c r="I232" s="5">
        <f>SUMPRODUCT(('01_Data'!$B232:$AW232&lt;&gt;"")*(1/(1+EXP(-(H232-'03_Lap_b'!$B$10:$AW$10)))))</f>
        <v/>
      </c>
      <c r="J232" s="5">
        <f>SUMPRODUCT(('01_Data'!$B232:$AW232&lt;&gt;"")*(1/(1+EXP(-(H232-'03_Lap_b'!$B$10:$AW$10))))^2)</f>
        <v/>
      </c>
      <c r="K232" s="5">
        <f>MEDIAN(-6,H232+(C232-I232)/MAX(I232-J232,0.000000001),6)</f>
        <v/>
      </c>
      <c r="L232" s="5">
        <f>SUMPRODUCT(('01_Data'!$B232:$AW232&lt;&gt;"")*(1/(1+EXP(-(K232-'03_Lap_b'!$B$15:$AW$15)))))</f>
        <v/>
      </c>
      <c r="M232" s="5">
        <f>SUMPRODUCT(('01_Data'!$B232:$AW232&lt;&gt;"")*(1/(1+EXP(-(K232-'03_Lap_b'!$B$15:$AW$15))))^2)</f>
        <v/>
      </c>
      <c r="N232" s="5">
        <f>MEDIAN(-6,K232+(C232-L232)/MAX(L232-M232,0.000000001),6)</f>
        <v/>
      </c>
      <c r="O232" s="5">
        <f>SUMPRODUCT(('01_Data'!$B232:$AW232&lt;&gt;"")*(1/(1+EXP(-(N232-'03_Lap_b'!$B$20:$AW$20)))))</f>
        <v/>
      </c>
      <c r="P232" s="5">
        <f>SUMPRODUCT(('01_Data'!$B232:$AW232&lt;&gt;"")*(1/(1+EXP(-(N232-'03_Lap_b'!$B$20:$AW$20))))^2)</f>
        <v/>
      </c>
      <c r="Q232" s="5">
        <f>MEDIAN(-6,N232+(C232-O232)/MAX(O232-P232,0.000000001),6)</f>
        <v/>
      </c>
      <c r="R232" s="5">
        <f>SUMPRODUCT(('01_Data'!$B232:$AW232&lt;&gt;"")*(1/(1+EXP(-(Q232-'03_Lap_b'!$B$25:$AW$25)))))</f>
        <v/>
      </c>
      <c r="S232" s="5">
        <f>SUMPRODUCT(('01_Data'!$B232:$AW232&lt;&gt;"")*(1/(1+EXP(-(Q232-'03_Lap_b'!$B$25:$AW$25))))^2)</f>
        <v/>
      </c>
      <c r="T232" s="5">
        <f>MEDIAN(-6,Q232+(C232-R232)/MAX(R232-S232,0.000000001),6)</f>
        <v/>
      </c>
      <c r="U232" s="5">
        <f>SUMPRODUCT(('01_Data'!$B232:$AW232&lt;&gt;"")*(1/(1+EXP(-(T232-'03_Lap_b'!$B$30:$AW$30)))))</f>
        <v/>
      </c>
      <c r="V232" s="5">
        <f>SUMPRODUCT(('01_Data'!$B232:$AW232&lt;&gt;"")*(1/(1+EXP(-(T232-'03_Lap_b'!$B$30:$AW$30))))^2)</f>
        <v/>
      </c>
      <c r="W232" s="5">
        <f>MEDIAN(-6,T232+(C232-U232)/MAX(U232-V232,0.000000001),6)</f>
        <v/>
      </c>
      <c r="X232" s="5">
        <f>SUMPRODUCT(('01_Data'!$B232:$AW232&lt;&gt;"")*(1/(1+EXP(-(W232-'03_Lap_b'!$B$35:$AW$35)))))</f>
        <v/>
      </c>
      <c r="Y232" s="5">
        <f>SUMPRODUCT(('01_Data'!$B232:$AW232&lt;&gt;"")*(1/(1+EXP(-(W232-'03_Lap_b'!$B$35:$AW$35))))^2)</f>
        <v/>
      </c>
      <c r="Z232" s="5">
        <f>MEDIAN(-6,W232+(C232-X232)/MAX(X232-Y232,0.000000001),6)</f>
        <v/>
      </c>
      <c r="AA232" s="5">
        <f>SUMPRODUCT(('01_Data'!$B232:$AW232&lt;&gt;"")*(1/(1+EXP(-(Z232-'03_Lap_b'!$B$40:$AW$40)))))</f>
        <v/>
      </c>
      <c r="AB232" s="5">
        <f>SUMPRODUCT(('01_Data'!$B232:$AW232&lt;&gt;"")*(1/(1+EXP(-(Z232-'03_Lap_b'!$B$40:$AW$40))))^2)</f>
        <v/>
      </c>
      <c r="AC232" s="5">
        <f>MEDIAN(-6,Z232+(C232-AA232)/MAX(AA232-AB232,0.000000001),6)</f>
        <v/>
      </c>
    </row>
    <row r="233">
      <c r="A233" t="n">
        <v>232</v>
      </c>
      <c r="B233">
        <f>'01_Data'!A233</f>
        <v/>
      </c>
      <c r="C233">
        <f>SUM('01_Data'!$B233:$AW233)</f>
        <v/>
      </c>
      <c r="D233">
        <f>COUNT('01_Data'!$B233:$AW233)</f>
        <v/>
      </c>
      <c r="E233" s="5">
        <f>MEDIAN(-6,LN((C233+0.3)/(D233-C233+0.3)),6)</f>
        <v/>
      </c>
      <c r="F233" s="5">
        <f>SUMPRODUCT(('01_Data'!$B233:$AW233&lt;&gt;"")*(1/(1+EXP(-(E233-'03_Lap_b'!$B$5:$AW$5)))))</f>
        <v/>
      </c>
      <c r="G233" s="5">
        <f>SUMPRODUCT(('01_Data'!$B233:$AW233&lt;&gt;"")*(1/(1+EXP(-(E233-'03_Lap_b'!$B$5:$AW$5))))^2)</f>
        <v/>
      </c>
      <c r="H233" s="5">
        <f>MEDIAN(-6,E233+(C233-F233)/MAX(F233-G233,0.000000001),6)</f>
        <v/>
      </c>
      <c r="I233" s="5">
        <f>SUMPRODUCT(('01_Data'!$B233:$AW233&lt;&gt;"")*(1/(1+EXP(-(H233-'03_Lap_b'!$B$10:$AW$10)))))</f>
        <v/>
      </c>
      <c r="J233" s="5">
        <f>SUMPRODUCT(('01_Data'!$B233:$AW233&lt;&gt;"")*(1/(1+EXP(-(H233-'03_Lap_b'!$B$10:$AW$10))))^2)</f>
        <v/>
      </c>
      <c r="K233" s="5">
        <f>MEDIAN(-6,H233+(C233-I233)/MAX(I233-J233,0.000000001),6)</f>
        <v/>
      </c>
      <c r="L233" s="5">
        <f>SUMPRODUCT(('01_Data'!$B233:$AW233&lt;&gt;"")*(1/(1+EXP(-(K233-'03_Lap_b'!$B$15:$AW$15)))))</f>
        <v/>
      </c>
      <c r="M233" s="5">
        <f>SUMPRODUCT(('01_Data'!$B233:$AW233&lt;&gt;"")*(1/(1+EXP(-(K233-'03_Lap_b'!$B$15:$AW$15))))^2)</f>
        <v/>
      </c>
      <c r="N233" s="5">
        <f>MEDIAN(-6,K233+(C233-L233)/MAX(L233-M233,0.000000001),6)</f>
        <v/>
      </c>
      <c r="O233" s="5">
        <f>SUMPRODUCT(('01_Data'!$B233:$AW233&lt;&gt;"")*(1/(1+EXP(-(N233-'03_Lap_b'!$B$20:$AW$20)))))</f>
        <v/>
      </c>
      <c r="P233" s="5">
        <f>SUMPRODUCT(('01_Data'!$B233:$AW233&lt;&gt;"")*(1/(1+EXP(-(N233-'03_Lap_b'!$B$20:$AW$20))))^2)</f>
        <v/>
      </c>
      <c r="Q233" s="5">
        <f>MEDIAN(-6,N233+(C233-O233)/MAX(O233-P233,0.000000001),6)</f>
        <v/>
      </c>
      <c r="R233" s="5">
        <f>SUMPRODUCT(('01_Data'!$B233:$AW233&lt;&gt;"")*(1/(1+EXP(-(Q233-'03_Lap_b'!$B$25:$AW$25)))))</f>
        <v/>
      </c>
      <c r="S233" s="5">
        <f>SUMPRODUCT(('01_Data'!$B233:$AW233&lt;&gt;"")*(1/(1+EXP(-(Q233-'03_Lap_b'!$B$25:$AW$25))))^2)</f>
        <v/>
      </c>
      <c r="T233" s="5">
        <f>MEDIAN(-6,Q233+(C233-R233)/MAX(R233-S233,0.000000001),6)</f>
        <v/>
      </c>
      <c r="U233" s="5">
        <f>SUMPRODUCT(('01_Data'!$B233:$AW233&lt;&gt;"")*(1/(1+EXP(-(T233-'03_Lap_b'!$B$30:$AW$30)))))</f>
        <v/>
      </c>
      <c r="V233" s="5">
        <f>SUMPRODUCT(('01_Data'!$B233:$AW233&lt;&gt;"")*(1/(1+EXP(-(T233-'03_Lap_b'!$B$30:$AW$30))))^2)</f>
        <v/>
      </c>
      <c r="W233" s="5">
        <f>MEDIAN(-6,T233+(C233-U233)/MAX(U233-V233,0.000000001),6)</f>
        <v/>
      </c>
      <c r="X233" s="5">
        <f>SUMPRODUCT(('01_Data'!$B233:$AW233&lt;&gt;"")*(1/(1+EXP(-(W233-'03_Lap_b'!$B$35:$AW$35)))))</f>
        <v/>
      </c>
      <c r="Y233" s="5">
        <f>SUMPRODUCT(('01_Data'!$B233:$AW233&lt;&gt;"")*(1/(1+EXP(-(W233-'03_Lap_b'!$B$35:$AW$35))))^2)</f>
        <v/>
      </c>
      <c r="Z233" s="5">
        <f>MEDIAN(-6,W233+(C233-X233)/MAX(X233-Y233,0.000000001),6)</f>
        <v/>
      </c>
      <c r="AA233" s="5">
        <f>SUMPRODUCT(('01_Data'!$B233:$AW233&lt;&gt;"")*(1/(1+EXP(-(Z233-'03_Lap_b'!$B$40:$AW$40)))))</f>
        <v/>
      </c>
      <c r="AB233" s="5">
        <f>SUMPRODUCT(('01_Data'!$B233:$AW233&lt;&gt;"")*(1/(1+EXP(-(Z233-'03_Lap_b'!$B$40:$AW$40))))^2)</f>
        <v/>
      </c>
      <c r="AC233" s="5">
        <f>MEDIAN(-6,Z233+(C233-AA233)/MAX(AA233-AB233,0.000000001),6)</f>
        <v/>
      </c>
    </row>
    <row r="234">
      <c r="A234" t="n">
        <v>233</v>
      </c>
      <c r="B234">
        <f>'01_Data'!A234</f>
        <v/>
      </c>
      <c r="C234">
        <f>SUM('01_Data'!$B234:$AW234)</f>
        <v/>
      </c>
      <c r="D234">
        <f>COUNT('01_Data'!$B234:$AW234)</f>
        <v/>
      </c>
      <c r="E234" s="5">
        <f>MEDIAN(-6,LN((C234+0.3)/(D234-C234+0.3)),6)</f>
        <v/>
      </c>
      <c r="F234" s="5">
        <f>SUMPRODUCT(('01_Data'!$B234:$AW234&lt;&gt;"")*(1/(1+EXP(-(E234-'03_Lap_b'!$B$5:$AW$5)))))</f>
        <v/>
      </c>
      <c r="G234" s="5">
        <f>SUMPRODUCT(('01_Data'!$B234:$AW234&lt;&gt;"")*(1/(1+EXP(-(E234-'03_Lap_b'!$B$5:$AW$5))))^2)</f>
        <v/>
      </c>
      <c r="H234" s="5">
        <f>MEDIAN(-6,E234+(C234-F234)/MAX(F234-G234,0.000000001),6)</f>
        <v/>
      </c>
      <c r="I234" s="5">
        <f>SUMPRODUCT(('01_Data'!$B234:$AW234&lt;&gt;"")*(1/(1+EXP(-(H234-'03_Lap_b'!$B$10:$AW$10)))))</f>
        <v/>
      </c>
      <c r="J234" s="5">
        <f>SUMPRODUCT(('01_Data'!$B234:$AW234&lt;&gt;"")*(1/(1+EXP(-(H234-'03_Lap_b'!$B$10:$AW$10))))^2)</f>
        <v/>
      </c>
      <c r="K234" s="5">
        <f>MEDIAN(-6,H234+(C234-I234)/MAX(I234-J234,0.000000001),6)</f>
        <v/>
      </c>
      <c r="L234" s="5">
        <f>SUMPRODUCT(('01_Data'!$B234:$AW234&lt;&gt;"")*(1/(1+EXP(-(K234-'03_Lap_b'!$B$15:$AW$15)))))</f>
        <v/>
      </c>
      <c r="M234" s="5">
        <f>SUMPRODUCT(('01_Data'!$B234:$AW234&lt;&gt;"")*(1/(1+EXP(-(K234-'03_Lap_b'!$B$15:$AW$15))))^2)</f>
        <v/>
      </c>
      <c r="N234" s="5">
        <f>MEDIAN(-6,K234+(C234-L234)/MAX(L234-M234,0.000000001),6)</f>
        <v/>
      </c>
      <c r="O234" s="5">
        <f>SUMPRODUCT(('01_Data'!$B234:$AW234&lt;&gt;"")*(1/(1+EXP(-(N234-'03_Lap_b'!$B$20:$AW$20)))))</f>
        <v/>
      </c>
      <c r="P234" s="5">
        <f>SUMPRODUCT(('01_Data'!$B234:$AW234&lt;&gt;"")*(1/(1+EXP(-(N234-'03_Lap_b'!$B$20:$AW$20))))^2)</f>
        <v/>
      </c>
      <c r="Q234" s="5">
        <f>MEDIAN(-6,N234+(C234-O234)/MAX(O234-P234,0.000000001),6)</f>
        <v/>
      </c>
      <c r="R234" s="5">
        <f>SUMPRODUCT(('01_Data'!$B234:$AW234&lt;&gt;"")*(1/(1+EXP(-(Q234-'03_Lap_b'!$B$25:$AW$25)))))</f>
        <v/>
      </c>
      <c r="S234" s="5">
        <f>SUMPRODUCT(('01_Data'!$B234:$AW234&lt;&gt;"")*(1/(1+EXP(-(Q234-'03_Lap_b'!$B$25:$AW$25))))^2)</f>
        <v/>
      </c>
      <c r="T234" s="5">
        <f>MEDIAN(-6,Q234+(C234-R234)/MAX(R234-S234,0.000000001),6)</f>
        <v/>
      </c>
      <c r="U234" s="5">
        <f>SUMPRODUCT(('01_Data'!$B234:$AW234&lt;&gt;"")*(1/(1+EXP(-(T234-'03_Lap_b'!$B$30:$AW$30)))))</f>
        <v/>
      </c>
      <c r="V234" s="5">
        <f>SUMPRODUCT(('01_Data'!$B234:$AW234&lt;&gt;"")*(1/(1+EXP(-(T234-'03_Lap_b'!$B$30:$AW$30))))^2)</f>
        <v/>
      </c>
      <c r="W234" s="5">
        <f>MEDIAN(-6,T234+(C234-U234)/MAX(U234-V234,0.000000001),6)</f>
        <v/>
      </c>
      <c r="X234" s="5">
        <f>SUMPRODUCT(('01_Data'!$B234:$AW234&lt;&gt;"")*(1/(1+EXP(-(W234-'03_Lap_b'!$B$35:$AW$35)))))</f>
        <v/>
      </c>
      <c r="Y234" s="5">
        <f>SUMPRODUCT(('01_Data'!$B234:$AW234&lt;&gt;"")*(1/(1+EXP(-(W234-'03_Lap_b'!$B$35:$AW$35))))^2)</f>
        <v/>
      </c>
      <c r="Z234" s="5">
        <f>MEDIAN(-6,W234+(C234-X234)/MAX(X234-Y234,0.000000001),6)</f>
        <v/>
      </c>
      <c r="AA234" s="5">
        <f>SUMPRODUCT(('01_Data'!$B234:$AW234&lt;&gt;"")*(1/(1+EXP(-(Z234-'03_Lap_b'!$B$40:$AW$40)))))</f>
        <v/>
      </c>
      <c r="AB234" s="5">
        <f>SUMPRODUCT(('01_Data'!$B234:$AW234&lt;&gt;"")*(1/(1+EXP(-(Z234-'03_Lap_b'!$B$40:$AW$40))))^2)</f>
        <v/>
      </c>
      <c r="AC234" s="5">
        <f>MEDIAN(-6,Z234+(C234-AA234)/MAX(AA234-AB234,0.000000001),6)</f>
        <v/>
      </c>
    </row>
    <row r="235">
      <c r="A235" t="n">
        <v>234</v>
      </c>
      <c r="B235">
        <f>'01_Data'!A235</f>
        <v/>
      </c>
      <c r="C235">
        <f>SUM('01_Data'!$B235:$AW235)</f>
        <v/>
      </c>
      <c r="D235">
        <f>COUNT('01_Data'!$B235:$AW235)</f>
        <v/>
      </c>
      <c r="E235" s="5">
        <f>MEDIAN(-6,LN((C235+0.3)/(D235-C235+0.3)),6)</f>
        <v/>
      </c>
      <c r="F235" s="5">
        <f>SUMPRODUCT(('01_Data'!$B235:$AW235&lt;&gt;"")*(1/(1+EXP(-(E235-'03_Lap_b'!$B$5:$AW$5)))))</f>
        <v/>
      </c>
      <c r="G235" s="5">
        <f>SUMPRODUCT(('01_Data'!$B235:$AW235&lt;&gt;"")*(1/(1+EXP(-(E235-'03_Lap_b'!$B$5:$AW$5))))^2)</f>
        <v/>
      </c>
      <c r="H235" s="5">
        <f>MEDIAN(-6,E235+(C235-F235)/MAX(F235-G235,0.000000001),6)</f>
        <v/>
      </c>
      <c r="I235" s="5">
        <f>SUMPRODUCT(('01_Data'!$B235:$AW235&lt;&gt;"")*(1/(1+EXP(-(H235-'03_Lap_b'!$B$10:$AW$10)))))</f>
        <v/>
      </c>
      <c r="J235" s="5">
        <f>SUMPRODUCT(('01_Data'!$B235:$AW235&lt;&gt;"")*(1/(1+EXP(-(H235-'03_Lap_b'!$B$10:$AW$10))))^2)</f>
        <v/>
      </c>
      <c r="K235" s="5">
        <f>MEDIAN(-6,H235+(C235-I235)/MAX(I235-J235,0.000000001),6)</f>
        <v/>
      </c>
      <c r="L235" s="5">
        <f>SUMPRODUCT(('01_Data'!$B235:$AW235&lt;&gt;"")*(1/(1+EXP(-(K235-'03_Lap_b'!$B$15:$AW$15)))))</f>
        <v/>
      </c>
      <c r="M235" s="5">
        <f>SUMPRODUCT(('01_Data'!$B235:$AW235&lt;&gt;"")*(1/(1+EXP(-(K235-'03_Lap_b'!$B$15:$AW$15))))^2)</f>
        <v/>
      </c>
      <c r="N235" s="5">
        <f>MEDIAN(-6,K235+(C235-L235)/MAX(L235-M235,0.000000001),6)</f>
        <v/>
      </c>
      <c r="O235" s="5">
        <f>SUMPRODUCT(('01_Data'!$B235:$AW235&lt;&gt;"")*(1/(1+EXP(-(N235-'03_Lap_b'!$B$20:$AW$20)))))</f>
        <v/>
      </c>
      <c r="P235" s="5">
        <f>SUMPRODUCT(('01_Data'!$B235:$AW235&lt;&gt;"")*(1/(1+EXP(-(N235-'03_Lap_b'!$B$20:$AW$20))))^2)</f>
        <v/>
      </c>
      <c r="Q235" s="5">
        <f>MEDIAN(-6,N235+(C235-O235)/MAX(O235-P235,0.000000001),6)</f>
        <v/>
      </c>
      <c r="R235" s="5">
        <f>SUMPRODUCT(('01_Data'!$B235:$AW235&lt;&gt;"")*(1/(1+EXP(-(Q235-'03_Lap_b'!$B$25:$AW$25)))))</f>
        <v/>
      </c>
      <c r="S235" s="5">
        <f>SUMPRODUCT(('01_Data'!$B235:$AW235&lt;&gt;"")*(1/(1+EXP(-(Q235-'03_Lap_b'!$B$25:$AW$25))))^2)</f>
        <v/>
      </c>
      <c r="T235" s="5">
        <f>MEDIAN(-6,Q235+(C235-R235)/MAX(R235-S235,0.000000001),6)</f>
        <v/>
      </c>
      <c r="U235" s="5">
        <f>SUMPRODUCT(('01_Data'!$B235:$AW235&lt;&gt;"")*(1/(1+EXP(-(T235-'03_Lap_b'!$B$30:$AW$30)))))</f>
        <v/>
      </c>
      <c r="V235" s="5">
        <f>SUMPRODUCT(('01_Data'!$B235:$AW235&lt;&gt;"")*(1/(1+EXP(-(T235-'03_Lap_b'!$B$30:$AW$30))))^2)</f>
        <v/>
      </c>
      <c r="W235" s="5">
        <f>MEDIAN(-6,T235+(C235-U235)/MAX(U235-V235,0.000000001),6)</f>
        <v/>
      </c>
      <c r="X235" s="5">
        <f>SUMPRODUCT(('01_Data'!$B235:$AW235&lt;&gt;"")*(1/(1+EXP(-(W235-'03_Lap_b'!$B$35:$AW$35)))))</f>
        <v/>
      </c>
      <c r="Y235" s="5">
        <f>SUMPRODUCT(('01_Data'!$B235:$AW235&lt;&gt;"")*(1/(1+EXP(-(W235-'03_Lap_b'!$B$35:$AW$35))))^2)</f>
        <v/>
      </c>
      <c r="Z235" s="5">
        <f>MEDIAN(-6,W235+(C235-X235)/MAX(X235-Y235,0.000000001),6)</f>
        <v/>
      </c>
      <c r="AA235" s="5">
        <f>SUMPRODUCT(('01_Data'!$B235:$AW235&lt;&gt;"")*(1/(1+EXP(-(Z235-'03_Lap_b'!$B$40:$AW$40)))))</f>
        <v/>
      </c>
      <c r="AB235" s="5">
        <f>SUMPRODUCT(('01_Data'!$B235:$AW235&lt;&gt;"")*(1/(1+EXP(-(Z235-'03_Lap_b'!$B$40:$AW$40))))^2)</f>
        <v/>
      </c>
      <c r="AC235" s="5">
        <f>MEDIAN(-6,Z235+(C235-AA235)/MAX(AA235-AB235,0.000000001),6)</f>
        <v/>
      </c>
    </row>
    <row r="236">
      <c r="A236" t="n">
        <v>235</v>
      </c>
      <c r="B236">
        <f>'01_Data'!A236</f>
        <v/>
      </c>
      <c r="C236">
        <f>SUM('01_Data'!$B236:$AW236)</f>
        <v/>
      </c>
      <c r="D236">
        <f>COUNT('01_Data'!$B236:$AW236)</f>
        <v/>
      </c>
      <c r="E236" s="5">
        <f>MEDIAN(-6,LN((C236+0.3)/(D236-C236+0.3)),6)</f>
        <v/>
      </c>
      <c r="F236" s="5">
        <f>SUMPRODUCT(('01_Data'!$B236:$AW236&lt;&gt;"")*(1/(1+EXP(-(E236-'03_Lap_b'!$B$5:$AW$5)))))</f>
        <v/>
      </c>
      <c r="G236" s="5">
        <f>SUMPRODUCT(('01_Data'!$B236:$AW236&lt;&gt;"")*(1/(1+EXP(-(E236-'03_Lap_b'!$B$5:$AW$5))))^2)</f>
        <v/>
      </c>
      <c r="H236" s="5">
        <f>MEDIAN(-6,E236+(C236-F236)/MAX(F236-G236,0.000000001),6)</f>
        <v/>
      </c>
      <c r="I236" s="5">
        <f>SUMPRODUCT(('01_Data'!$B236:$AW236&lt;&gt;"")*(1/(1+EXP(-(H236-'03_Lap_b'!$B$10:$AW$10)))))</f>
        <v/>
      </c>
      <c r="J236" s="5">
        <f>SUMPRODUCT(('01_Data'!$B236:$AW236&lt;&gt;"")*(1/(1+EXP(-(H236-'03_Lap_b'!$B$10:$AW$10))))^2)</f>
        <v/>
      </c>
      <c r="K236" s="5">
        <f>MEDIAN(-6,H236+(C236-I236)/MAX(I236-J236,0.000000001),6)</f>
        <v/>
      </c>
      <c r="L236" s="5">
        <f>SUMPRODUCT(('01_Data'!$B236:$AW236&lt;&gt;"")*(1/(1+EXP(-(K236-'03_Lap_b'!$B$15:$AW$15)))))</f>
        <v/>
      </c>
      <c r="M236" s="5">
        <f>SUMPRODUCT(('01_Data'!$B236:$AW236&lt;&gt;"")*(1/(1+EXP(-(K236-'03_Lap_b'!$B$15:$AW$15))))^2)</f>
        <v/>
      </c>
      <c r="N236" s="5">
        <f>MEDIAN(-6,K236+(C236-L236)/MAX(L236-M236,0.000000001),6)</f>
        <v/>
      </c>
      <c r="O236" s="5">
        <f>SUMPRODUCT(('01_Data'!$B236:$AW236&lt;&gt;"")*(1/(1+EXP(-(N236-'03_Lap_b'!$B$20:$AW$20)))))</f>
        <v/>
      </c>
      <c r="P236" s="5">
        <f>SUMPRODUCT(('01_Data'!$B236:$AW236&lt;&gt;"")*(1/(1+EXP(-(N236-'03_Lap_b'!$B$20:$AW$20))))^2)</f>
        <v/>
      </c>
      <c r="Q236" s="5">
        <f>MEDIAN(-6,N236+(C236-O236)/MAX(O236-P236,0.000000001),6)</f>
        <v/>
      </c>
      <c r="R236" s="5">
        <f>SUMPRODUCT(('01_Data'!$B236:$AW236&lt;&gt;"")*(1/(1+EXP(-(Q236-'03_Lap_b'!$B$25:$AW$25)))))</f>
        <v/>
      </c>
      <c r="S236" s="5">
        <f>SUMPRODUCT(('01_Data'!$B236:$AW236&lt;&gt;"")*(1/(1+EXP(-(Q236-'03_Lap_b'!$B$25:$AW$25))))^2)</f>
        <v/>
      </c>
      <c r="T236" s="5">
        <f>MEDIAN(-6,Q236+(C236-R236)/MAX(R236-S236,0.000000001),6)</f>
        <v/>
      </c>
      <c r="U236" s="5">
        <f>SUMPRODUCT(('01_Data'!$B236:$AW236&lt;&gt;"")*(1/(1+EXP(-(T236-'03_Lap_b'!$B$30:$AW$30)))))</f>
        <v/>
      </c>
      <c r="V236" s="5">
        <f>SUMPRODUCT(('01_Data'!$B236:$AW236&lt;&gt;"")*(1/(1+EXP(-(T236-'03_Lap_b'!$B$30:$AW$30))))^2)</f>
        <v/>
      </c>
      <c r="W236" s="5">
        <f>MEDIAN(-6,T236+(C236-U236)/MAX(U236-V236,0.000000001),6)</f>
        <v/>
      </c>
      <c r="X236" s="5">
        <f>SUMPRODUCT(('01_Data'!$B236:$AW236&lt;&gt;"")*(1/(1+EXP(-(W236-'03_Lap_b'!$B$35:$AW$35)))))</f>
        <v/>
      </c>
      <c r="Y236" s="5">
        <f>SUMPRODUCT(('01_Data'!$B236:$AW236&lt;&gt;"")*(1/(1+EXP(-(W236-'03_Lap_b'!$B$35:$AW$35))))^2)</f>
        <v/>
      </c>
      <c r="Z236" s="5">
        <f>MEDIAN(-6,W236+(C236-X236)/MAX(X236-Y236,0.000000001),6)</f>
        <v/>
      </c>
      <c r="AA236" s="5">
        <f>SUMPRODUCT(('01_Data'!$B236:$AW236&lt;&gt;"")*(1/(1+EXP(-(Z236-'03_Lap_b'!$B$40:$AW$40)))))</f>
        <v/>
      </c>
      <c r="AB236" s="5">
        <f>SUMPRODUCT(('01_Data'!$B236:$AW236&lt;&gt;"")*(1/(1+EXP(-(Z236-'03_Lap_b'!$B$40:$AW$40))))^2)</f>
        <v/>
      </c>
      <c r="AC236" s="5">
        <f>MEDIAN(-6,Z236+(C236-AA236)/MAX(AA236-AB236,0.000000001),6)</f>
        <v/>
      </c>
    </row>
    <row r="237">
      <c r="A237" t="n">
        <v>236</v>
      </c>
      <c r="B237">
        <f>'01_Data'!A237</f>
        <v/>
      </c>
      <c r="C237">
        <f>SUM('01_Data'!$B237:$AW237)</f>
        <v/>
      </c>
      <c r="D237">
        <f>COUNT('01_Data'!$B237:$AW237)</f>
        <v/>
      </c>
      <c r="E237" s="5">
        <f>MEDIAN(-6,LN((C237+0.3)/(D237-C237+0.3)),6)</f>
        <v/>
      </c>
      <c r="F237" s="5">
        <f>SUMPRODUCT(('01_Data'!$B237:$AW237&lt;&gt;"")*(1/(1+EXP(-(E237-'03_Lap_b'!$B$5:$AW$5)))))</f>
        <v/>
      </c>
      <c r="G237" s="5">
        <f>SUMPRODUCT(('01_Data'!$B237:$AW237&lt;&gt;"")*(1/(1+EXP(-(E237-'03_Lap_b'!$B$5:$AW$5))))^2)</f>
        <v/>
      </c>
      <c r="H237" s="5">
        <f>MEDIAN(-6,E237+(C237-F237)/MAX(F237-G237,0.000000001),6)</f>
        <v/>
      </c>
      <c r="I237" s="5">
        <f>SUMPRODUCT(('01_Data'!$B237:$AW237&lt;&gt;"")*(1/(1+EXP(-(H237-'03_Lap_b'!$B$10:$AW$10)))))</f>
        <v/>
      </c>
      <c r="J237" s="5">
        <f>SUMPRODUCT(('01_Data'!$B237:$AW237&lt;&gt;"")*(1/(1+EXP(-(H237-'03_Lap_b'!$B$10:$AW$10))))^2)</f>
        <v/>
      </c>
      <c r="K237" s="5">
        <f>MEDIAN(-6,H237+(C237-I237)/MAX(I237-J237,0.000000001),6)</f>
        <v/>
      </c>
      <c r="L237" s="5">
        <f>SUMPRODUCT(('01_Data'!$B237:$AW237&lt;&gt;"")*(1/(1+EXP(-(K237-'03_Lap_b'!$B$15:$AW$15)))))</f>
        <v/>
      </c>
      <c r="M237" s="5">
        <f>SUMPRODUCT(('01_Data'!$B237:$AW237&lt;&gt;"")*(1/(1+EXP(-(K237-'03_Lap_b'!$B$15:$AW$15))))^2)</f>
        <v/>
      </c>
      <c r="N237" s="5">
        <f>MEDIAN(-6,K237+(C237-L237)/MAX(L237-M237,0.000000001),6)</f>
        <v/>
      </c>
      <c r="O237" s="5">
        <f>SUMPRODUCT(('01_Data'!$B237:$AW237&lt;&gt;"")*(1/(1+EXP(-(N237-'03_Lap_b'!$B$20:$AW$20)))))</f>
        <v/>
      </c>
      <c r="P237" s="5">
        <f>SUMPRODUCT(('01_Data'!$B237:$AW237&lt;&gt;"")*(1/(1+EXP(-(N237-'03_Lap_b'!$B$20:$AW$20))))^2)</f>
        <v/>
      </c>
      <c r="Q237" s="5">
        <f>MEDIAN(-6,N237+(C237-O237)/MAX(O237-P237,0.000000001),6)</f>
        <v/>
      </c>
      <c r="R237" s="5">
        <f>SUMPRODUCT(('01_Data'!$B237:$AW237&lt;&gt;"")*(1/(1+EXP(-(Q237-'03_Lap_b'!$B$25:$AW$25)))))</f>
        <v/>
      </c>
      <c r="S237" s="5">
        <f>SUMPRODUCT(('01_Data'!$B237:$AW237&lt;&gt;"")*(1/(1+EXP(-(Q237-'03_Lap_b'!$B$25:$AW$25))))^2)</f>
        <v/>
      </c>
      <c r="T237" s="5">
        <f>MEDIAN(-6,Q237+(C237-R237)/MAX(R237-S237,0.000000001),6)</f>
        <v/>
      </c>
      <c r="U237" s="5">
        <f>SUMPRODUCT(('01_Data'!$B237:$AW237&lt;&gt;"")*(1/(1+EXP(-(T237-'03_Lap_b'!$B$30:$AW$30)))))</f>
        <v/>
      </c>
      <c r="V237" s="5">
        <f>SUMPRODUCT(('01_Data'!$B237:$AW237&lt;&gt;"")*(1/(1+EXP(-(T237-'03_Lap_b'!$B$30:$AW$30))))^2)</f>
        <v/>
      </c>
      <c r="W237" s="5">
        <f>MEDIAN(-6,T237+(C237-U237)/MAX(U237-V237,0.000000001),6)</f>
        <v/>
      </c>
      <c r="X237" s="5">
        <f>SUMPRODUCT(('01_Data'!$B237:$AW237&lt;&gt;"")*(1/(1+EXP(-(W237-'03_Lap_b'!$B$35:$AW$35)))))</f>
        <v/>
      </c>
      <c r="Y237" s="5">
        <f>SUMPRODUCT(('01_Data'!$B237:$AW237&lt;&gt;"")*(1/(1+EXP(-(W237-'03_Lap_b'!$B$35:$AW$35))))^2)</f>
        <v/>
      </c>
      <c r="Z237" s="5">
        <f>MEDIAN(-6,W237+(C237-X237)/MAX(X237-Y237,0.000000001),6)</f>
        <v/>
      </c>
      <c r="AA237" s="5">
        <f>SUMPRODUCT(('01_Data'!$B237:$AW237&lt;&gt;"")*(1/(1+EXP(-(Z237-'03_Lap_b'!$B$40:$AW$40)))))</f>
        <v/>
      </c>
      <c r="AB237" s="5">
        <f>SUMPRODUCT(('01_Data'!$B237:$AW237&lt;&gt;"")*(1/(1+EXP(-(Z237-'03_Lap_b'!$B$40:$AW$40))))^2)</f>
        <v/>
      </c>
      <c r="AC237" s="5">
        <f>MEDIAN(-6,Z237+(C237-AA237)/MAX(AA237-AB237,0.000000001),6)</f>
        <v/>
      </c>
    </row>
    <row r="238">
      <c r="A238" t="n">
        <v>237</v>
      </c>
      <c r="B238">
        <f>'01_Data'!A238</f>
        <v/>
      </c>
      <c r="C238">
        <f>SUM('01_Data'!$B238:$AW238)</f>
        <v/>
      </c>
      <c r="D238">
        <f>COUNT('01_Data'!$B238:$AW238)</f>
        <v/>
      </c>
      <c r="E238" s="5">
        <f>MEDIAN(-6,LN((C238+0.3)/(D238-C238+0.3)),6)</f>
        <v/>
      </c>
      <c r="F238" s="5">
        <f>SUMPRODUCT(('01_Data'!$B238:$AW238&lt;&gt;"")*(1/(1+EXP(-(E238-'03_Lap_b'!$B$5:$AW$5)))))</f>
        <v/>
      </c>
      <c r="G238" s="5">
        <f>SUMPRODUCT(('01_Data'!$B238:$AW238&lt;&gt;"")*(1/(1+EXP(-(E238-'03_Lap_b'!$B$5:$AW$5))))^2)</f>
        <v/>
      </c>
      <c r="H238" s="5">
        <f>MEDIAN(-6,E238+(C238-F238)/MAX(F238-G238,0.000000001),6)</f>
        <v/>
      </c>
      <c r="I238" s="5">
        <f>SUMPRODUCT(('01_Data'!$B238:$AW238&lt;&gt;"")*(1/(1+EXP(-(H238-'03_Lap_b'!$B$10:$AW$10)))))</f>
        <v/>
      </c>
      <c r="J238" s="5">
        <f>SUMPRODUCT(('01_Data'!$B238:$AW238&lt;&gt;"")*(1/(1+EXP(-(H238-'03_Lap_b'!$B$10:$AW$10))))^2)</f>
        <v/>
      </c>
      <c r="K238" s="5">
        <f>MEDIAN(-6,H238+(C238-I238)/MAX(I238-J238,0.000000001),6)</f>
        <v/>
      </c>
      <c r="L238" s="5">
        <f>SUMPRODUCT(('01_Data'!$B238:$AW238&lt;&gt;"")*(1/(1+EXP(-(K238-'03_Lap_b'!$B$15:$AW$15)))))</f>
        <v/>
      </c>
      <c r="M238" s="5">
        <f>SUMPRODUCT(('01_Data'!$B238:$AW238&lt;&gt;"")*(1/(1+EXP(-(K238-'03_Lap_b'!$B$15:$AW$15))))^2)</f>
        <v/>
      </c>
      <c r="N238" s="5">
        <f>MEDIAN(-6,K238+(C238-L238)/MAX(L238-M238,0.000000001),6)</f>
        <v/>
      </c>
      <c r="O238" s="5">
        <f>SUMPRODUCT(('01_Data'!$B238:$AW238&lt;&gt;"")*(1/(1+EXP(-(N238-'03_Lap_b'!$B$20:$AW$20)))))</f>
        <v/>
      </c>
      <c r="P238" s="5">
        <f>SUMPRODUCT(('01_Data'!$B238:$AW238&lt;&gt;"")*(1/(1+EXP(-(N238-'03_Lap_b'!$B$20:$AW$20))))^2)</f>
        <v/>
      </c>
      <c r="Q238" s="5">
        <f>MEDIAN(-6,N238+(C238-O238)/MAX(O238-P238,0.000000001),6)</f>
        <v/>
      </c>
      <c r="R238" s="5">
        <f>SUMPRODUCT(('01_Data'!$B238:$AW238&lt;&gt;"")*(1/(1+EXP(-(Q238-'03_Lap_b'!$B$25:$AW$25)))))</f>
        <v/>
      </c>
      <c r="S238" s="5">
        <f>SUMPRODUCT(('01_Data'!$B238:$AW238&lt;&gt;"")*(1/(1+EXP(-(Q238-'03_Lap_b'!$B$25:$AW$25))))^2)</f>
        <v/>
      </c>
      <c r="T238" s="5">
        <f>MEDIAN(-6,Q238+(C238-R238)/MAX(R238-S238,0.000000001),6)</f>
        <v/>
      </c>
      <c r="U238" s="5">
        <f>SUMPRODUCT(('01_Data'!$B238:$AW238&lt;&gt;"")*(1/(1+EXP(-(T238-'03_Lap_b'!$B$30:$AW$30)))))</f>
        <v/>
      </c>
      <c r="V238" s="5">
        <f>SUMPRODUCT(('01_Data'!$B238:$AW238&lt;&gt;"")*(1/(1+EXP(-(T238-'03_Lap_b'!$B$30:$AW$30))))^2)</f>
        <v/>
      </c>
      <c r="W238" s="5">
        <f>MEDIAN(-6,T238+(C238-U238)/MAX(U238-V238,0.000000001),6)</f>
        <v/>
      </c>
      <c r="X238" s="5">
        <f>SUMPRODUCT(('01_Data'!$B238:$AW238&lt;&gt;"")*(1/(1+EXP(-(W238-'03_Lap_b'!$B$35:$AW$35)))))</f>
        <v/>
      </c>
      <c r="Y238" s="5">
        <f>SUMPRODUCT(('01_Data'!$B238:$AW238&lt;&gt;"")*(1/(1+EXP(-(W238-'03_Lap_b'!$B$35:$AW$35))))^2)</f>
        <v/>
      </c>
      <c r="Z238" s="5">
        <f>MEDIAN(-6,W238+(C238-X238)/MAX(X238-Y238,0.000000001),6)</f>
        <v/>
      </c>
      <c r="AA238" s="5">
        <f>SUMPRODUCT(('01_Data'!$B238:$AW238&lt;&gt;"")*(1/(1+EXP(-(Z238-'03_Lap_b'!$B$40:$AW$40)))))</f>
        <v/>
      </c>
      <c r="AB238" s="5">
        <f>SUMPRODUCT(('01_Data'!$B238:$AW238&lt;&gt;"")*(1/(1+EXP(-(Z238-'03_Lap_b'!$B$40:$AW$40))))^2)</f>
        <v/>
      </c>
      <c r="AC238" s="5">
        <f>MEDIAN(-6,Z238+(C238-AA238)/MAX(AA238-AB238,0.000000001),6)</f>
        <v/>
      </c>
    </row>
    <row r="239">
      <c r="A239" t="n">
        <v>238</v>
      </c>
      <c r="B239">
        <f>'01_Data'!A239</f>
        <v/>
      </c>
      <c r="C239">
        <f>SUM('01_Data'!$B239:$AW239)</f>
        <v/>
      </c>
      <c r="D239">
        <f>COUNT('01_Data'!$B239:$AW239)</f>
        <v/>
      </c>
      <c r="E239" s="5">
        <f>MEDIAN(-6,LN((C239+0.3)/(D239-C239+0.3)),6)</f>
        <v/>
      </c>
      <c r="F239" s="5">
        <f>SUMPRODUCT(('01_Data'!$B239:$AW239&lt;&gt;"")*(1/(1+EXP(-(E239-'03_Lap_b'!$B$5:$AW$5)))))</f>
        <v/>
      </c>
      <c r="G239" s="5">
        <f>SUMPRODUCT(('01_Data'!$B239:$AW239&lt;&gt;"")*(1/(1+EXP(-(E239-'03_Lap_b'!$B$5:$AW$5))))^2)</f>
        <v/>
      </c>
      <c r="H239" s="5">
        <f>MEDIAN(-6,E239+(C239-F239)/MAX(F239-G239,0.000000001),6)</f>
        <v/>
      </c>
      <c r="I239" s="5">
        <f>SUMPRODUCT(('01_Data'!$B239:$AW239&lt;&gt;"")*(1/(1+EXP(-(H239-'03_Lap_b'!$B$10:$AW$10)))))</f>
        <v/>
      </c>
      <c r="J239" s="5">
        <f>SUMPRODUCT(('01_Data'!$B239:$AW239&lt;&gt;"")*(1/(1+EXP(-(H239-'03_Lap_b'!$B$10:$AW$10))))^2)</f>
        <v/>
      </c>
      <c r="K239" s="5">
        <f>MEDIAN(-6,H239+(C239-I239)/MAX(I239-J239,0.000000001),6)</f>
        <v/>
      </c>
      <c r="L239" s="5">
        <f>SUMPRODUCT(('01_Data'!$B239:$AW239&lt;&gt;"")*(1/(1+EXP(-(K239-'03_Lap_b'!$B$15:$AW$15)))))</f>
        <v/>
      </c>
      <c r="M239" s="5">
        <f>SUMPRODUCT(('01_Data'!$B239:$AW239&lt;&gt;"")*(1/(1+EXP(-(K239-'03_Lap_b'!$B$15:$AW$15))))^2)</f>
        <v/>
      </c>
      <c r="N239" s="5">
        <f>MEDIAN(-6,K239+(C239-L239)/MAX(L239-M239,0.000000001),6)</f>
        <v/>
      </c>
      <c r="O239" s="5">
        <f>SUMPRODUCT(('01_Data'!$B239:$AW239&lt;&gt;"")*(1/(1+EXP(-(N239-'03_Lap_b'!$B$20:$AW$20)))))</f>
        <v/>
      </c>
      <c r="P239" s="5">
        <f>SUMPRODUCT(('01_Data'!$B239:$AW239&lt;&gt;"")*(1/(1+EXP(-(N239-'03_Lap_b'!$B$20:$AW$20))))^2)</f>
        <v/>
      </c>
      <c r="Q239" s="5">
        <f>MEDIAN(-6,N239+(C239-O239)/MAX(O239-P239,0.000000001),6)</f>
        <v/>
      </c>
      <c r="R239" s="5">
        <f>SUMPRODUCT(('01_Data'!$B239:$AW239&lt;&gt;"")*(1/(1+EXP(-(Q239-'03_Lap_b'!$B$25:$AW$25)))))</f>
        <v/>
      </c>
      <c r="S239" s="5">
        <f>SUMPRODUCT(('01_Data'!$B239:$AW239&lt;&gt;"")*(1/(1+EXP(-(Q239-'03_Lap_b'!$B$25:$AW$25))))^2)</f>
        <v/>
      </c>
      <c r="T239" s="5">
        <f>MEDIAN(-6,Q239+(C239-R239)/MAX(R239-S239,0.000000001),6)</f>
        <v/>
      </c>
      <c r="U239" s="5">
        <f>SUMPRODUCT(('01_Data'!$B239:$AW239&lt;&gt;"")*(1/(1+EXP(-(T239-'03_Lap_b'!$B$30:$AW$30)))))</f>
        <v/>
      </c>
      <c r="V239" s="5">
        <f>SUMPRODUCT(('01_Data'!$B239:$AW239&lt;&gt;"")*(1/(1+EXP(-(T239-'03_Lap_b'!$B$30:$AW$30))))^2)</f>
        <v/>
      </c>
      <c r="W239" s="5">
        <f>MEDIAN(-6,T239+(C239-U239)/MAX(U239-V239,0.000000001),6)</f>
        <v/>
      </c>
      <c r="X239" s="5">
        <f>SUMPRODUCT(('01_Data'!$B239:$AW239&lt;&gt;"")*(1/(1+EXP(-(W239-'03_Lap_b'!$B$35:$AW$35)))))</f>
        <v/>
      </c>
      <c r="Y239" s="5">
        <f>SUMPRODUCT(('01_Data'!$B239:$AW239&lt;&gt;"")*(1/(1+EXP(-(W239-'03_Lap_b'!$B$35:$AW$35))))^2)</f>
        <v/>
      </c>
      <c r="Z239" s="5">
        <f>MEDIAN(-6,W239+(C239-X239)/MAX(X239-Y239,0.000000001),6)</f>
        <v/>
      </c>
      <c r="AA239" s="5">
        <f>SUMPRODUCT(('01_Data'!$B239:$AW239&lt;&gt;"")*(1/(1+EXP(-(Z239-'03_Lap_b'!$B$40:$AW$40)))))</f>
        <v/>
      </c>
      <c r="AB239" s="5">
        <f>SUMPRODUCT(('01_Data'!$B239:$AW239&lt;&gt;"")*(1/(1+EXP(-(Z239-'03_Lap_b'!$B$40:$AW$40))))^2)</f>
        <v/>
      </c>
      <c r="AC239" s="5">
        <f>MEDIAN(-6,Z239+(C239-AA239)/MAX(AA239-AB239,0.000000001),6)</f>
        <v/>
      </c>
    </row>
    <row r="240">
      <c r="A240" t="n">
        <v>239</v>
      </c>
      <c r="B240">
        <f>'01_Data'!A240</f>
        <v/>
      </c>
      <c r="C240">
        <f>SUM('01_Data'!$B240:$AW240)</f>
        <v/>
      </c>
      <c r="D240">
        <f>COUNT('01_Data'!$B240:$AW240)</f>
        <v/>
      </c>
      <c r="E240" s="5">
        <f>MEDIAN(-6,LN((C240+0.3)/(D240-C240+0.3)),6)</f>
        <v/>
      </c>
      <c r="F240" s="5">
        <f>SUMPRODUCT(('01_Data'!$B240:$AW240&lt;&gt;"")*(1/(1+EXP(-(E240-'03_Lap_b'!$B$5:$AW$5)))))</f>
        <v/>
      </c>
      <c r="G240" s="5">
        <f>SUMPRODUCT(('01_Data'!$B240:$AW240&lt;&gt;"")*(1/(1+EXP(-(E240-'03_Lap_b'!$B$5:$AW$5))))^2)</f>
        <v/>
      </c>
      <c r="H240" s="5">
        <f>MEDIAN(-6,E240+(C240-F240)/MAX(F240-G240,0.000000001),6)</f>
        <v/>
      </c>
      <c r="I240" s="5">
        <f>SUMPRODUCT(('01_Data'!$B240:$AW240&lt;&gt;"")*(1/(1+EXP(-(H240-'03_Lap_b'!$B$10:$AW$10)))))</f>
        <v/>
      </c>
      <c r="J240" s="5">
        <f>SUMPRODUCT(('01_Data'!$B240:$AW240&lt;&gt;"")*(1/(1+EXP(-(H240-'03_Lap_b'!$B$10:$AW$10))))^2)</f>
        <v/>
      </c>
      <c r="K240" s="5">
        <f>MEDIAN(-6,H240+(C240-I240)/MAX(I240-J240,0.000000001),6)</f>
        <v/>
      </c>
      <c r="L240" s="5">
        <f>SUMPRODUCT(('01_Data'!$B240:$AW240&lt;&gt;"")*(1/(1+EXP(-(K240-'03_Lap_b'!$B$15:$AW$15)))))</f>
        <v/>
      </c>
      <c r="M240" s="5">
        <f>SUMPRODUCT(('01_Data'!$B240:$AW240&lt;&gt;"")*(1/(1+EXP(-(K240-'03_Lap_b'!$B$15:$AW$15))))^2)</f>
        <v/>
      </c>
      <c r="N240" s="5">
        <f>MEDIAN(-6,K240+(C240-L240)/MAX(L240-M240,0.000000001),6)</f>
        <v/>
      </c>
      <c r="O240" s="5">
        <f>SUMPRODUCT(('01_Data'!$B240:$AW240&lt;&gt;"")*(1/(1+EXP(-(N240-'03_Lap_b'!$B$20:$AW$20)))))</f>
        <v/>
      </c>
      <c r="P240" s="5">
        <f>SUMPRODUCT(('01_Data'!$B240:$AW240&lt;&gt;"")*(1/(1+EXP(-(N240-'03_Lap_b'!$B$20:$AW$20))))^2)</f>
        <v/>
      </c>
      <c r="Q240" s="5">
        <f>MEDIAN(-6,N240+(C240-O240)/MAX(O240-P240,0.000000001),6)</f>
        <v/>
      </c>
      <c r="R240" s="5">
        <f>SUMPRODUCT(('01_Data'!$B240:$AW240&lt;&gt;"")*(1/(1+EXP(-(Q240-'03_Lap_b'!$B$25:$AW$25)))))</f>
        <v/>
      </c>
      <c r="S240" s="5">
        <f>SUMPRODUCT(('01_Data'!$B240:$AW240&lt;&gt;"")*(1/(1+EXP(-(Q240-'03_Lap_b'!$B$25:$AW$25))))^2)</f>
        <v/>
      </c>
      <c r="T240" s="5">
        <f>MEDIAN(-6,Q240+(C240-R240)/MAX(R240-S240,0.000000001),6)</f>
        <v/>
      </c>
      <c r="U240" s="5">
        <f>SUMPRODUCT(('01_Data'!$B240:$AW240&lt;&gt;"")*(1/(1+EXP(-(T240-'03_Lap_b'!$B$30:$AW$30)))))</f>
        <v/>
      </c>
      <c r="V240" s="5">
        <f>SUMPRODUCT(('01_Data'!$B240:$AW240&lt;&gt;"")*(1/(1+EXP(-(T240-'03_Lap_b'!$B$30:$AW$30))))^2)</f>
        <v/>
      </c>
      <c r="W240" s="5">
        <f>MEDIAN(-6,T240+(C240-U240)/MAX(U240-V240,0.000000001),6)</f>
        <v/>
      </c>
      <c r="X240" s="5">
        <f>SUMPRODUCT(('01_Data'!$B240:$AW240&lt;&gt;"")*(1/(1+EXP(-(W240-'03_Lap_b'!$B$35:$AW$35)))))</f>
        <v/>
      </c>
      <c r="Y240" s="5">
        <f>SUMPRODUCT(('01_Data'!$B240:$AW240&lt;&gt;"")*(1/(1+EXP(-(W240-'03_Lap_b'!$B$35:$AW$35))))^2)</f>
        <v/>
      </c>
      <c r="Z240" s="5">
        <f>MEDIAN(-6,W240+(C240-X240)/MAX(X240-Y240,0.000000001),6)</f>
        <v/>
      </c>
      <c r="AA240" s="5">
        <f>SUMPRODUCT(('01_Data'!$B240:$AW240&lt;&gt;"")*(1/(1+EXP(-(Z240-'03_Lap_b'!$B$40:$AW$40)))))</f>
        <v/>
      </c>
      <c r="AB240" s="5">
        <f>SUMPRODUCT(('01_Data'!$B240:$AW240&lt;&gt;"")*(1/(1+EXP(-(Z240-'03_Lap_b'!$B$40:$AW$40))))^2)</f>
        <v/>
      </c>
      <c r="AC240" s="5">
        <f>MEDIAN(-6,Z240+(C240-AA240)/MAX(AA240-AB240,0.000000001),6)</f>
        <v/>
      </c>
    </row>
    <row r="241">
      <c r="A241" t="n">
        <v>240</v>
      </c>
      <c r="B241">
        <f>'01_Data'!A241</f>
        <v/>
      </c>
      <c r="C241">
        <f>SUM('01_Data'!$B241:$AW241)</f>
        <v/>
      </c>
      <c r="D241">
        <f>COUNT('01_Data'!$B241:$AW241)</f>
        <v/>
      </c>
      <c r="E241" s="5">
        <f>MEDIAN(-6,LN((C241+0.3)/(D241-C241+0.3)),6)</f>
        <v/>
      </c>
      <c r="F241" s="5">
        <f>SUMPRODUCT(('01_Data'!$B241:$AW241&lt;&gt;"")*(1/(1+EXP(-(E241-'03_Lap_b'!$B$5:$AW$5)))))</f>
        <v/>
      </c>
      <c r="G241" s="5">
        <f>SUMPRODUCT(('01_Data'!$B241:$AW241&lt;&gt;"")*(1/(1+EXP(-(E241-'03_Lap_b'!$B$5:$AW$5))))^2)</f>
        <v/>
      </c>
      <c r="H241" s="5">
        <f>MEDIAN(-6,E241+(C241-F241)/MAX(F241-G241,0.000000001),6)</f>
        <v/>
      </c>
      <c r="I241" s="5">
        <f>SUMPRODUCT(('01_Data'!$B241:$AW241&lt;&gt;"")*(1/(1+EXP(-(H241-'03_Lap_b'!$B$10:$AW$10)))))</f>
        <v/>
      </c>
      <c r="J241" s="5">
        <f>SUMPRODUCT(('01_Data'!$B241:$AW241&lt;&gt;"")*(1/(1+EXP(-(H241-'03_Lap_b'!$B$10:$AW$10))))^2)</f>
        <v/>
      </c>
      <c r="K241" s="5">
        <f>MEDIAN(-6,H241+(C241-I241)/MAX(I241-J241,0.000000001),6)</f>
        <v/>
      </c>
      <c r="L241" s="5">
        <f>SUMPRODUCT(('01_Data'!$B241:$AW241&lt;&gt;"")*(1/(1+EXP(-(K241-'03_Lap_b'!$B$15:$AW$15)))))</f>
        <v/>
      </c>
      <c r="M241" s="5">
        <f>SUMPRODUCT(('01_Data'!$B241:$AW241&lt;&gt;"")*(1/(1+EXP(-(K241-'03_Lap_b'!$B$15:$AW$15))))^2)</f>
        <v/>
      </c>
      <c r="N241" s="5">
        <f>MEDIAN(-6,K241+(C241-L241)/MAX(L241-M241,0.000000001),6)</f>
        <v/>
      </c>
      <c r="O241" s="5">
        <f>SUMPRODUCT(('01_Data'!$B241:$AW241&lt;&gt;"")*(1/(1+EXP(-(N241-'03_Lap_b'!$B$20:$AW$20)))))</f>
        <v/>
      </c>
      <c r="P241" s="5">
        <f>SUMPRODUCT(('01_Data'!$B241:$AW241&lt;&gt;"")*(1/(1+EXP(-(N241-'03_Lap_b'!$B$20:$AW$20))))^2)</f>
        <v/>
      </c>
      <c r="Q241" s="5">
        <f>MEDIAN(-6,N241+(C241-O241)/MAX(O241-P241,0.000000001),6)</f>
        <v/>
      </c>
      <c r="R241" s="5">
        <f>SUMPRODUCT(('01_Data'!$B241:$AW241&lt;&gt;"")*(1/(1+EXP(-(Q241-'03_Lap_b'!$B$25:$AW$25)))))</f>
        <v/>
      </c>
      <c r="S241" s="5">
        <f>SUMPRODUCT(('01_Data'!$B241:$AW241&lt;&gt;"")*(1/(1+EXP(-(Q241-'03_Lap_b'!$B$25:$AW$25))))^2)</f>
        <v/>
      </c>
      <c r="T241" s="5">
        <f>MEDIAN(-6,Q241+(C241-R241)/MAX(R241-S241,0.000000001),6)</f>
        <v/>
      </c>
      <c r="U241" s="5">
        <f>SUMPRODUCT(('01_Data'!$B241:$AW241&lt;&gt;"")*(1/(1+EXP(-(T241-'03_Lap_b'!$B$30:$AW$30)))))</f>
        <v/>
      </c>
      <c r="V241" s="5">
        <f>SUMPRODUCT(('01_Data'!$B241:$AW241&lt;&gt;"")*(1/(1+EXP(-(T241-'03_Lap_b'!$B$30:$AW$30))))^2)</f>
        <v/>
      </c>
      <c r="W241" s="5">
        <f>MEDIAN(-6,T241+(C241-U241)/MAX(U241-V241,0.000000001),6)</f>
        <v/>
      </c>
      <c r="X241" s="5">
        <f>SUMPRODUCT(('01_Data'!$B241:$AW241&lt;&gt;"")*(1/(1+EXP(-(W241-'03_Lap_b'!$B$35:$AW$35)))))</f>
        <v/>
      </c>
      <c r="Y241" s="5">
        <f>SUMPRODUCT(('01_Data'!$B241:$AW241&lt;&gt;"")*(1/(1+EXP(-(W241-'03_Lap_b'!$B$35:$AW$35))))^2)</f>
        <v/>
      </c>
      <c r="Z241" s="5">
        <f>MEDIAN(-6,W241+(C241-X241)/MAX(X241-Y241,0.000000001),6)</f>
        <v/>
      </c>
      <c r="AA241" s="5">
        <f>SUMPRODUCT(('01_Data'!$B241:$AW241&lt;&gt;"")*(1/(1+EXP(-(Z241-'03_Lap_b'!$B$40:$AW$40)))))</f>
        <v/>
      </c>
      <c r="AB241" s="5">
        <f>SUMPRODUCT(('01_Data'!$B241:$AW241&lt;&gt;"")*(1/(1+EXP(-(Z241-'03_Lap_b'!$B$40:$AW$40))))^2)</f>
        <v/>
      </c>
      <c r="AC241" s="5">
        <f>MEDIAN(-6,Z241+(C241-AA241)/MAX(AA241-AB241,0.000000001),6)</f>
        <v/>
      </c>
    </row>
    <row r="242">
      <c r="A242" t="n">
        <v>241</v>
      </c>
      <c r="B242">
        <f>'01_Data'!A242</f>
        <v/>
      </c>
      <c r="C242">
        <f>SUM('01_Data'!$B242:$AW242)</f>
        <v/>
      </c>
      <c r="D242">
        <f>COUNT('01_Data'!$B242:$AW242)</f>
        <v/>
      </c>
      <c r="E242" s="5">
        <f>MEDIAN(-6,LN((C242+0.3)/(D242-C242+0.3)),6)</f>
        <v/>
      </c>
      <c r="F242" s="5">
        <f>SUMPRODUCT(('01_Data'!$B242:$AW242&lt;&gt;"")*(1/(1+EXP(-(E242-'03_Lap_b'!$B$5:$AW$5)))))</f>
        <v/>
      </c>
      <c r="G242" s="5">
        <f>SUMPRODUCT(('01_Data'!$B242:$AW242&lt;&gt;"")*(1/(1+EXP(-(E242-'03_Lap_b'!$B$5:$AW$5))))^2)</f>
        <v/>
      </c>
      <c r="H242" s="5">
        <f>MEDIAN(-6,E242+(C242-F242)/MAX(F242-G242,0.000000001),6)</f>
        <v/>
      </c>
      <c r="I242" s="5">
        <f>SUMPRODUCT(('01_Data'!$B242:$AW242&lt;&gt;"")*(1/(1+EXP(-(H242-'03_Lap_b'!$B$10:$AW$10)))))</f>
        <v/>
      </c>
      <c r="J242" s="5">
        <f>SUMPRODUCT(('01_Data'!$B242:$AW242&lt;&gt;"")*(1/(1+EXP(-(H242-'03_Lap_b'!$B$10:$AW$10))))^2)</f>
        <v/>
      </c>
      <c r="K242" s="5">
        <f>MEDIAN(-6,H242+(C242-I242)/MAX(I242-J242,0.000000001),6)</f>
        <v/>
      </c>
      <c r="L242" s="5">
        <f>SUMPRODUCT(('01_Data'!$B242:$AW242&lt;&gt;"")*(1/(1+EXP(-(K242-'03_Lap_b'!$B$15:$AW$15)))))</f>
        <v/>
      </c>
      <c r="M242" s="5">
        <f>SUMPRODUCT(('01_Data'!$B242:$AW242&lt;&gt;"")*(1/(1+EXP(-(K242-'03_Lap_b'!$B$15:$AW$15))))^2)</f>
        <v/>
      </c>
      <c r="N242" s="5">
        <f>MEDIAN(-6,K242+(C242-L242)/MAX(L242-M242,0.000000001),6)</f>
        <v/>
      </c>
      <c r="O242" s="5">
        <f>SUMPRODUCT(('01_Data'!$B242:$AW242&lt;&gt;"")*(1/(1+EXP(-(N242-'03_Lap_b'!$B$20:$AW$20)))))</f>
        <v/>
      </c>
      <c r="P242" s="5">
        <f>SUMPRODUCT(('01_Data'!$B242:$AW242&lt;&gt;"")*(1/(1+EXP(-(N242-'03_Lap_b'!$B$20:$AW$20))))^2)</f>
        <v/>
      </c>
      <c r="Q242" s="5">
        <f>MEDIAN(-6,N242+(C242-O242)/MAX(O242-P242,0.000000001),6)</f>
        <v/>
      </c>
      <c r="R242" s="5">
        <f>SUMPRODUCT(('01_Data'!$B242:$AW242&lt;&gt;"")*(1/(1+EXP(-(Q242-'03_Lap_b'!$B$25:$AW$25)))))</f>
        <v/>
      </c>
      <c r="S242" s="5">
        <f>SUMPRODUCT(('01_Data'!$B242:$AW242&lt;&gt;"")*(1/(1+EXP(-(Q242-'03_Lap_b'!$B$25:$AW$25))))^2)</f>
        <v/>
      </c>
      <c r="T242" s="5">
        <f>MEDIAN(-6,Q242+(C242-R242)/MAX(R242-S242,0.000000001),6)</f>
        <v/>
      </c>
      <c r="U242" s="5">
        <f>SUMPRODUCT(('01_Data'!$B242:$AW242&lt;&gt;"")*(1/(1+EXP(-(T242-'03_Lap_b'!$B$30:$AW$30)))))</f>
        <v/>
      </c>
      <c r="V242" s="5">
        <f>SUMPRODUCT(('01_Data'!$B242:$AW242&lt;&gt;"")*(1/(1+EXP(-(T242-'03_Lap_b'!$B$30:$AW$30))))^2)</f>
        <v/>
      </c>
      <c r="W242" s="5">
        <f>MEDIAN(-6,T242+(C242-U242)/MAX(U242-V242,0.000000001),6)</f>
        <v/>
      </c>
      <c r="X242" s="5">
        <f>SUMPRODUCT(('01_Data'!$B242:$AW242&lt;&gt;"")*(1/(1+EXP(-(W242-'03_Lap_b'!$B$35:$AW$35)))))</f>
        <v/>
      </c>
      <c r="Y242" s="5">
        <f>SUMPRODUCT(('01_Data'!$B242:$AW242&lt;&gt;"")*(1/(1+EXP(-(W242-'03_Lap_b'!$B$35:$AW$35))))^2)</f>
        <v/>
      </c>
      <c r="Z242" s="5">
        <f>MEDIAN(-6,W242+(C242-X242)/MAX(X242-Y242,0.000000001),6)</f>
        <v/>
      </c>
      <c r="AA242" s="5">
        <f>SUMPRODUCT(('01_Data'!$B242:$AW242&lt;&gt;"")*(1/(1+EXP(-(Z242-'03_Lap_b'!$B$40:$AW$40)))))</f>
        <v/>
      </c>
      <c r="AB242" s="5">
        <f>SUMPRODUCT(('01_Data'!$B242:$AW242&lt;&gt;"")*(1/(1+EXP(-(Z242-'03_Lap_b'!$B$40:$AW$40))))^2)</f>
        <v/>
      </c>
      <c r="AC242" s="5">
        <f>MEDIAN(-6,Z242+(C242-AA242)/MAX(AA242-AB242,0.000000001),6)</f>
        <v/>
      </c>
    </row>
    <row r="243">
      <c r="A243" t="n">
        <v>242</v>
      </c>
      <c r="B243">
        <f>'01_Data'!A243</f>
        <v/>
      </c>
      <c r="C243">
        <f>SUM('01_Data'!$B243:$AW243)</f>
        <v/>
      </c>
      <c r="D243">
        <f>COUNT('01_Data'!$B243:$AW243)</f>
        <v/>
      </c>
      <c r="E243" s="5">
        <f>MEDIAN(-6,LN((C243+0.3)/(D243-C243+0.3)),6)</f>
        <v/>
      </c>
      <c r="F243" s="5">
        <f>SUMPRODUCT(('01_Data'!$B243:$AW243&lt;&gt;"")*(1/(1+EXP(-(E243-'03_Lap_b'!$B$5:$AW$5)))))</f>
        <v/>
      </c>
      <c r="G243" s="5">
        <f>SUMPRODUCT(('01_Data'!$B243:$AW243&lt;&gt;"")*(1/(1+EXP(-(E243-'03_Lap_b'!$B$5:$AW$5))))^2)</f>
        <v/>
      </c>
      <c r="H243" s="5">
        <f>MEDIAN(-6,E243+(C243-F243)/MAX(F243-G243,0.000000001),6)</f>
        <v/>
      </c>
      <c r="I243" s="5">
        <f>SUMPRODUCT(('01_Data'!$B243:$AW243&lt;&gt;"")*(1/(1+EXP(-(H243-'03_Lap_b'!$B$10:$AW$10)))))</f>
        <v/>
      </c>
      <c r="J243" s="5">
        <f>SUMPRODUCT(('01_Data'!$B243:$AW243&lt;&gt;"")*(1/(1+EXP(-(H243-'03_Lap_b'!$B$10:$AW$10))))^2)</f>
        <v/>
      </c>
      <c r="K243" s="5">
        <f>MEDIAN(-6,H243+(C243-I243)/MAX(I243-J243,0.000000001),6)</f>
        <v/>
      </c>
      <c r="L243" s="5">
        <f>SUMPRODUCT(('01_Data'!$B243:$AW243&lt;&gt;"")*(1/(1+EXP(-(K243-'03_Lap_b'!$B$15:$AW$15)))))</f>
        <v/>
      </c>
      <c r="M243" s="5">
        <f>SUMPRODUCT(('01_Data'!$B243:$AW243&lt;&gt;"")*(1/(1+EXP(-(K243-'03_Lap_b'!$B$15:$AW$15))))^2)</f>
        <v/>
      </c>
      <c r="N243" s="5">
        <f>MEDIAN(-6,K243+(C243-L243)/MAX(L243-M243,0.000000001),6)</f>
        <v/>
      </c>
      <c r="O243" s="5">
        <f>SUMPRODUCT(('01_Data'!$B243:$AW243&lt;&gt;"")*(1/(1+EXP(-(N243-'03_Lap_b'!$B$20:$AW$20)))))</f>
        <v/>
      </c>
      <c r="P243" s="5">
        <f>SUMPRODUCT(('01_Data'!$B243:$AW243&lt;&gt;"")*(1/(1+EXP(-(N243-'03_Lap_b'!$B$20:$AW$20))))^2)</f>
        <v/>
      </c>
      <c r="Q243" s="5">
        <f>MEDIAN(-6,N243+(C243-O243)/MAX(O243-P243,0.000000001),6)</f>
        <v/>
      </c>
      <c r="R243" s="5">
        <f>SUMPRODUCT(('01_Data'!$B243:$AW243&lt;&gt;"")*(1/(1+EXP(-(Q243-'03_Lap_b'!$B$25:$AW$25)))))</f>
        <v/>
      </c>
      <c r="S243" s="5">
        <f>SUMPRODUCT(('01_Data'!$B243:$AW243&lt;&gt;"")*(1/(1+EXP(-(Q243-'03_Lap_b'!$B$25:$AW$25))))^2)</f>
        <v/>
      </c>
      <c r="T243" s="5">
        <f>MEDIAN(-6,Q243+(C243-R243)/MAX(R243-S243,0.000000001),6)</f>
        <v/>
      </c>
      <c r="U243" s="5">
        <f>SUMPRODUCT(('01_Data'!$B243:$AW243&lt;&gt;"")*(1/(1+EXP(-(T243-'03_Lap_b'!$B$30:$AW$30)))))</f>
        <v/>
      </c>
      <c r="V243" s="5">
        <f>SUMPRODUCT(('01_Data'!$B243:$AW243&lt;&gt;"")*(1/(1+EXP(-(T243-'03_Lap_b'!$B$30:$AW$30))))^2)</f>
        <v/>
      </c>
      <c r="W243" s="5">
        <f>MEDIAN(-6,T243+(C243-U243)/MAX(U243-V243,0.000000001),6)</f>
        <v/>
      </c>
      <c r="X243" s="5">
        <f>SUMPRODUCT(('01_Data'!$B243:$AW243&lt;&gt;"")*(1/(1+EXP(-(W243-'03_Lap_b'!$B$35:$AW$35)))))</f>
        <v/>
      </c>
      <c r="Y243" s="5">
        <f>SUMPRODUCT(('01_Data'!$B243:$AW243&lt;&gt;"")*(1/(1+EXP(-(W243-'03_Lap_b'!$B$35:$AW$35))))^2)</f>
        <v/>
      </c>
      <c r="Z243" s="5">
        <f>MEDIAN(-6,W243+(C243-X243)/MAX(X243-Y243,0.000000001),6)</f>
        <v/>
      </c>
      <c r="AA243" s="5">
        <f>SUMPRODUCT(('01_Data'!$B243:$AW243&lt;&gt;"")*(1/(1+EXP(-(Z243-'03_Lap_b'!$B$40:$AW$40)))))</f>
        <v/>
      </c>
      <c r="AB243" s="5">
        <f>SUMPRODUCT(('01_Data'!$B243:$AW243&lt;&gt;"")*(1/(1+EXP(-(Z243-'03_Lap_b'!$B$40:$AW$40))))^2)</f>
        <v/>
      </c>
      <c r="AC243" s="5">
        <f>MEDIAN(-6,Z243+(C243-AA243)/MAX(AA243-AB243,0.000000001),6)</f>
        <v/>
      </c>
    </row>
    <row r="244">
      <c r="A244" t="n">
        <v>243</v>
      </c>
      <c r="B244">
        <f>'01_Data'!A244</f>
        <v/>
      </c>
      <c r="C244">
        <f>SUM('01_Data'!$B244:$AW244)</f>
        <v/>
      </c>
      <c r="D244">
        <f>COUNT('01_Data'!$B244:$AW244)</f>
        <v/>
      </c>
      <c r="E244" s="5">
        <f>MEDIAN(-6,LN((C244+0.3)/(D244-C244+0.3)),6)</f>
        <v/>
      </c>
      <c r="F244" s="5">
        <f>SUMPRODUCT(('01_Data'!$B244:$AW244&lt;&gt;"")*(1/(1+EXP(-(E244-'03_Lap_b'!$B$5:$AW$5)))))</f>
        <v/>
      </c>
      <c r="G244" s="5">
        <f>SUMPRODUCT(('01_Data'!$B244:$AW244&lt;&gt;"")*(1/(1+EXP(-(E244-'03_Lap_b'!$B$5:$AW$5))))^2)</f>
        <v/>
      </c>
      <c r="H244" s="5">
        <f>MEDIAN(-6,E244+(C244-F244)/MAX(F244-G244,0.000000001),6)</f>
        <v/>
      </c>
      <c r="I244" s="5">
        <f>SUMPRODUCT(('01_Data'!$B244:$AW244&lt;&gt;"")*(1/(1+EXP(-(H244-'03_Lap_b'!$B$10:$AW$10)))))</f>
        <v/>
      </c>
      <c r="J244" s="5">
        <f>SUMPRODUCT(('01_Data'!$B244:$AW244&lt;&gt;"")*(1/(1+EXP(-(H244-'03_Lap_b'!$B$10:$AW$10))))^2)</f>
        <v/>
      </c>
      <c r="K244" s="5">
        <f>MEDIAN(-6,H244+(C244-I244)/MAX(I244-J244,0.000000001),6)</f>
        <v/>
      </c>
      <c r="L244" s="5">
        <f>SUMPRODUCT(('01_Data'!$B244:$AW244&lt;&gt;"")*(1/(1+EXP(-(K244-'03_Lap_b'!$B$15:$AW$15)))))</f>
        <v/>
      </c>
      <c r="M244" s="5">
        <f>SUMPRODUCT(('01_Data'!$B244:$AW244&lt;&gt;"")*(1/(1+EXP(-(K244-'03_Lap_b'!$B$15:$AW$15))))^2)</f>
        <v/>
      </c>
      <c r="N244" s="5">
        <f>MEDIAN(-6,K244+(C244-L244)/MAX(L244-M244,0.000000001),6)</f>
        <v/>
      </c>
      <c r="O244" s="5">
        <f>SUMPRODUCT(('01_Data'!$B244:$AW244&lt;&gt;"")*(1/(1+EXP(-(N244-'03_Lap_b'!$B$20:$AW$20)))))</f>
        <v/>
      </c>
      <c r="P244" s="5">
        <f>SUMPRODUCT(('01_Data'!$B244:$AW244&lt;&gt;"")*(1/(1+EXP(-(N244-'03_Lap_b'!$B$20:$AW$20))))^2)</f>
        <v/>
      </c>
      <c r="Q244" s="5">
        <f>MEDIAN(-6,N244+(C244-O244)/MAX(O244-P244,0.000000001),6)</f>
        <v/>
      </c>
      <c r="R244" s="5">
        <f>SUMPRODUCT(('01_Data'!$B244:$AW244&lt;&gt;"")*(1/(1+EXP(-(Q244-'03_Lap_b'!$B$25:$AW$25)))))</f>
        <v/>
      </c>
      <c r="S244" s="5">
        <f>SUMPRODUCT(('01_Data'!$B244:$AW244&lt;&gt;"")*(1/(1+EXP(-(Q244-'03_Lap_b'!$B$25:$AW$25))))^2)</f>
        <v/>
      </c>
      <c r="T244" s="5">
        <f>MEDIAN(-6,Q244+(C244-R244)/MAX(R244-S244,0.000000001),6)</f>
        <v/>
      </c>
      <c r="U244" s="5">
        <f>SUMPRODUCT(('01_Data'!$B244:$AW244&lt;&gt;"")*(1/(1+EXP(-(T244-'03_Lap_b'!$B$30:$AW$30)))))</f>
        <v/>
      </c>
      <c r="V244" s="5">
        <f>SUMPRODUCT(('01_Data'!$B244:$AW244&lt;&gt;"")*(1/(1+EXP(-(T244-'03_Lap_b'!$B$30:$AW$30))))^2)</f>
        <v/>
      </c>
      <c r="W244" s="5">
        <f>MEDIAN(-6,T244+(C244-U244)/MAX(U244-V244,0.000000001),6)</f>
        <v/>
      </c>
      <c r="X244" s="5">
        <f>SUMPRODUCT(('01_Data'!$B244:$AW244&lt;&gt;"")*(1/(1+EXP(-(W244-'03_Lap_b'!$B$35:$AW$35)))))</f>
        <v/>
      </c>
      <c r="Y244" s="5">
        <f>SUMPRODUCT(('01_Data'!$B244:$AW244&lt;&gt;"")*(1/(1+EXP(-(W244-'03_Lap_b'!$B$35:$AW$35))))^2)</f>
        <v/>
      </c>
      <c r="Z244" s="5">
        <f>MEDIAN(-6,W244+(C244-X244)/MAX(X244-Y244,0.000000001),6)</f>
        <v/>
      </c>
      <c r="AA244" s="5">
        <f>SUMPRODUCT(('01_Data'!$B244:$AW244&lt;&gt;"")*(1/(1+EXP(-(Z244-'03_Lap_b'!$B$40:$AW$40)))))</f>
        <v/>
      </c>
      <c r="AB244" s="5">
        <f>SUMPRODUCT(('01_Data'!$B244:$AW244&lt;&gt;"")*(1/(1+EXP(-(Z244-'03_Lap_b'!$B$40:$AW$40))))^2)</f>
        <v/>
      </c>
      <c r="AC244" s="5">
        <f>MEDIAN(-6,Z244+(C244-AA244)/MAX(AA244-AB244,0.000000001),6)</f>
        <v/>
      </c>
    </row>
    <row r="245">
      <c r="A245" t="n">
        <v>244</v>
      </c>
      <c r="B245">
        <f>'01_Data'!A245</f>
        <v/>
      </c>
      <c r="C245">
        <f>SUM('01_Data'!$B245:$AW245)</f>
        <v/>
      </c>
      <c r="D245">
        <f>COUNT('01_Data'!$B245:$AW245)</f>
        <v/>
      </c>
      <c r="E245" s="5">
        <f>MEDIAN(-6,LN((C245+0.3)/(D245-C245+0.3)),6)</f>
        <v/>
      </c>
      <c r="F245" s="5">
        <f>SUMPRODUCT(('01_Data'!$B245:$AW245&lt;&gt;"")*(1/(1+EXP(-(E245-'03_Lap_b'!$B$5:$AW$5)))))</f>
        <v/>
      </c>
      <c r="G245" s="5">
        <f>SUMPRODUCT(('01_Data'!$B245:$AW245&lt;&gt;"")*(1/(1+EXP(-(E245-'03_Lap_b'!$B$5:$AW$5))))^2)</f>
        <v/>
      </c>
      <c r="H245" s="5">
        <f>MEDIAN(-6,E245+(C245-F245)/MAX(F245-G245,0.000000001),6)</f>
        <v/>
      </c>
      <c r="I245" s="5">
        <f>SUMPRODUCT(('01_Data'!$B245:$AW245&lt;&gt;"")*(1/(1+EXP(-(H245-'03_Lap_b'!$B$10:$AW$10)))))</f>
        <v/>
      </c>
      <c r="J245" s="5">
        <f>SUMPRODUCT(('01_Data'!$B245:$AW245&lt;&gt;"")*(1/(1+EXP(-(H245-'03_Lap_b'!$B$10:$AW$10))))^2)</f>
        <v/>
      </c>
      <c r="K245" s="5">
        <f>MEDIAN(-6,H245+(C245-I245)/MAX(I245-J245,0.000000001),6)</f>
        <v/>
      </c>
      <c r="L245" s="5">
        <f>SUMPRODUCT(('01_Data'!$B245:$AW245&lt;&gt;"")*(1/(1+EXP(-(K245-'03_Lap_b'!$B$15:$AW$15)))))</f>
        <v/>
      </c>
      <c r="M245" s="5">
        <f>SUMPRODUCT(('01_Data'!$B245:$AW245&lt;&gt;"")*(1/(1+EXP(-(K245-'03_Lap_b'!$B$15:$AW$15))))^2)</f>
        <v/>
      </c>
      <c r="N245" s="5">
        <f>MEDIAN(-6,K245+(C245-L245)/MAX(L245-M245,0.000000001),6)</f>
        <v/>
      </c>
      <c r="O245" s="5">
        <f>SUMPRODUCT(('01_Data'!$B245:$AW245&lt;&gt;"")*(1/(1+EXP(-(N245-'03_Lap_b'!$B$20:$AW$20)))))</f>
        <v/>
      </c>
      <c r="P245" s="5">
        <f>SUMPRODUCT(('01_Data'!$B245:$AW245&lt;&gt;"")*(1/(1+EXP(-(N245-'03_Lap_b'!$B$20:$AW$20))))^2)</f>
        <v/>
      </c>
      <c r="Q245" s="5">
        <f>MEDIAN(-6,N245+(C245-O245)/MAX(O245-P245,0.000000001),6)</f>
        <v/>
      </c>
      <c r="R245" s="5">
        <f>SUMPRODUCT(('01_Data'!$B245:$AW245&lt;&gt;"")*(1/(1+EXP(-(Q245-'03_Lap_b'!$B$25:$AW$25)))))</f>
        <v/>
      </c>
      <c r="S245" s="5">
        <f>SUMPRODUCT(('01_Data'!$B245:$AW245&lt;&gt;"")*(1/(1+EXP(-(Q245-'03_Lap_b'!$B$25:$AW$25))))^2)</f>
        <v/>
      </c>
      <c r="T245" s="5">
        <f>MEDIAN(-6,Q245+(C245-R245)/MAX(R245-S245,0.000000001),6)</f>
        <v/>
      </c>
      <c r="U245" s="5">
        <f>SUMPRODUCT(('01_Data'!$B245:$AW245&lt;&gt;"")*(1/(1+EXP(-(T245-'03_Lap_b'!$B$30:$AW$30)))))</f>
        <v/>
      </c>
      <c r="V245" s="5">
        <f>SUMPRODUCT(('01_Data'!$B245:$AW245&lt;&gt;"")*(1/(1+EXP(-(T245-'03_Lap_b'!$B$30:$AW$30))))^2)</f>
        <v/>
      </c>
      <c r="W245" s="5">
        <f>MEDIAN(-6,T245+(C245-U245)/MAX(U245-V245,0.000000001),6)</f>
        <v/>
      </c>
      <c r="X245" s="5">
        <f>SUMPRODUCT(('01_Data'!$B245:$AW245&lt;&gt;"")*(1/(1+EXP(-(W245-'03_Lap_b'!$B$35:$AW$35)))))</f>
        <v/>
      </c>
      <c r="Y245" s="5">
        <f>SUMPRODUCT(('01_Data'!$B245:$AW245&lt;&gt;"")*(1/(1+EXP(-(W245-'03_Lap_b'!$B$35:$AW$35))))^2)</f>
        <v/>
      </c>
      <c r="Z245" s="5">
        <f>MEDIAN(-6,W245+(C245-X245)/MAX(X245-Y245,0.000000001),6)</f>
        <v/>
      </c>
      <c r="AA245" s="5">
        <f>SUMPRODUCT(('01_Data'!$B245:$AW245&lt;&gt;"")*(1/(1+EXP(-(Z245-'03_Lap_b'!$B$40:$AW$40)))))</f>
        <v/>
      </c>
      <c r="AB245" s="5">
        <f>SUMPRODUCT(('01_Data'!$B245:$AW245&lt;&gt;"")*(1/(1+EXP(-(Z245-'03_Lap_b'!$B$40:$AW$40))))^2)</f>
        <v/>
      </c>
      <c r="AC245" s="5">
        <f>MEDIAN(-6,Z245+(C245-AA245)/MAX(AA245-AB245,0.000000001),6)</f>
        <v/>
      </c>
    </row>
    <row r="246">
      <c r="A246" t="n">
        <v>245</v>
      </c>
      <c r="B246">
        <f>'01_Data'!A246</f>
        <v/>
      </c>
      <c r="C246">
        <f>SUM('01_Data'!$B246:$AW246)</f>
        <v/>
      </c>
      <c r="D246">
        <f>COUNT('01_Data'!$B246:$AW246)</f>
        <v/>
      </c>
      <c r="E246" s="5">
        <f>MEDIAN(-6,LN((C246+0.3)/(D246-C246+0.3)),6)</f>
        <v/>
      </c>
      <c r="F246" s="5">
        <f>SUMPRODUCT(('01_Data'!$B246:$AW246&lt;&gt;"")*(1/(1+EXP(-(E246-'03_Lap_b'!$B$5:$AW$5)))))</f>
        <v/>
      </c>
      <c r="G246" s="5">
        <f>SUMPRODUCT(('01_Data'!$B246:$AW246&lt;&gt;"")*(1/(1+EXP(-(E246-'03_Lap_b'!$B$5:$AW$5))))^2)</f>
        <v/>
      </c>
      <c r="H246" s="5">
        <f>MEDIAN(-6,E246+(C246-F246)/MAX(F246-G246,0.000000001),6)</f>
        <v/>
      </c>
      <c r="I246" s="5">
        <f>SUMPRODUCT(('01_Data'!$B246:$AW246&lt;&gt;"")*(1/(1+EXP(-(H246-'03_Lap_b'!$B$10:$AW$10)))))</f>
        <v/>
      </c>
      <c r="J246" s="5">
        <f>SUMPRODUCT(('01_Data'!$B246:$AW246&lt;&gt;"")*(1/(1+EXP(-(H246-'03_Lap_b'!$B$10:$AW$10))))^2)</f>
        <v/>
      </c>
      <c r="K246" s="5">
        <f>MEDIAN(-6,H246+(C246-I246)/MAX(I246-J246,0.000000001),6)</f>
        <v/>
      </c>
      <c r="L246" s="5">
        <f>SUMPRODUCT(('01_Data'!$B246:$AW246&lt;&gt;"")*(1/(1+EXP(-(K246-'03_Lap_b'!$B$15:$AW$15)))))</f>
        <v/>
      </c>
      <c r="M246" s="5">
        <f>SUMPRODUCT(('01_Data'!$B246:$AW246&lt;&gt;"")*(1/(1+EXP(-(K246-'03_Lap_b'!$B$15:$AW$15))))^2)</f>
        <v/>
      </c>
      <c r="N246" s="5">
        <f>MEDIAN(-6,K246+(C246-L246)/MAX(L246-M246,0.000000001),6)</f>
        <v/>
      </c>
      <c r="O246" s="5">
        <f>SUMPRODUCT(('01_Data'!$B246:$AW246&lt;&gt;"")*(1/(1+EXP(-(N246-'03_Lap_b'!$B$20:$AW$20)))))</f>
        <v/>
      </c>
      <c r="P246" s="5">
        <f>SUMPRODUCT(('01_Data'!$B246:$AW246&lt;&gt;"")*(1/(1+EXP(-(N246-'03_Lap_b'!$B$20:$AW$20))))^2)</f>
        <v/>
      </c>
      <c r="Q246" s="5">
        <f>MEDIAN(-6,N246+(C246-O246)/MAX(O246-P246,0.000000001),6)</f>
        <v/>
      </c>
      <c r="R246" s="5">
        <f>SUMPRODUCT(('01_Data'!$B246:$AW246&lt;&gt;"")*(1/(1+EXP(-(Q246-'03_Lap_b'!$B$25:$AW$25)))))</f>
        <v/>
      </c>
      <c r="S246" s="5">
        <f>SUMPRODUCT(('01_Data'!$B246:$AW246&lt;&gt;"")*(1/(1+EXP(-(Q246-'03_Lap_b'!$B$25:$AW$25))))^2)</f>
        <v/>
      </c>
      <c r="T246" s="5">
        <f>MEDIAN(-6,Q246+(C246-R246)/MAX(R246-S246,0.000000001),6)</f>
        <v/>
      </c>
      <c r="U246" s="5">
        <f>SUMPRODUCT(('01_Data'!$B246:$AW246&lt;&gt;"")*(1/(1+EXP(-(T246-'03_Lap_b'!$B$30:$AW$30)))))</f>
        <v/>
      </c>
      <c r="V246" s="5">
        <f>SUMPRODUCT(('01_Data'!$B246:$AW246&lt;&gt;"")*(1/(1+EXP(-(T246-'03_Lap_b'!$B$30:$AW$30))))^2)</f>
        <v/>
      </c>
      <c r="W246" s="5">
        <f>MEDIAN(-6,T246+(C246-U246)/MAX(U246-V246,0.000000001),6)</f>
        <v/>
      </c>
      <c r="X246" s="5">
        <f>SUMPRODUCT(('01_Data'!$B246:$AW246&lt;&gt;"")*(1/(1+EXP(-(W246-'03_Lap_b'!$B$35:$AW$35)))))</f>
        <v/>
      </c>
      <c r="Y246" s="5">
        <f>SUMPRODUCT(('01_Data'!$B246:$AW246&lt;&gt;"")*(1/(1+EXP(-(W246-'03_Lap_b'!$B$35:$AW$35))))^2)</f>
        <v/>
      </c>
      <c r="Z246" s="5">
        <f>MEDIAN(-6,W246+(C246-X246)/MAX(X246-Y246,0.000000001),6)</f>
        <v/>
      </c>
      <c r="AA246" s="5">
        <f>SUMPRODUCT(('01_Data'!$B246:$AW246&lt;&gt;"")*(1/(1+EXP(-(Z246-'03_Lap_b'!$B$40:$AW$40)))))</f>
        <v/>
      </c>
      <c r="AB246" s="5">
        <f>SUMPRODUCT(('01_Data'!$B246:$AW246&lt;&gt;"")*(1/(1+EXP(-(Z246-'03_Lap_b'!$B$40:$AW$40))))^2)</f>
        <v/>
      </c>
      <c r="AC246" s="5">
        <f>MEDIAN(-6,Z246+(C246-AA246)/MAX(AA246-AB246,0.000000001),6)</f>
        <v/>
      </c>
    </row>
    <row r="247">
      <c r="A247" t="n">
        <v>246</v>
      </c>
      <c r="B247">
        <f>'01_Data'!A247</f>
        <v/>
      </c>
      <c r="C247">
        <f>SUM('01_Data'!$B247:$AW247)</f>
        <v/>
      </c>
      <c r="D247">
        <f>COUNT('01_Data'!$B247:$AW247)</f>
        <v/>
      </c>
      <c r="E247" s="5">
        <f>MEDIAN(-6,LN((C247+0.3)/(D247-C247+0.3)),6)</f>
        <v/>
      </c>
      <c r="F247" s="5">
        <f>SUMPRODUCT(('01_Data'!$B247:$AW247&lt;&gt;"")*(1/(1+EXP(-(E247-'03_Lap_b'!$B$5:$AW$5)))))</f>
        <v/>
      </c>
      <c r="G247" s="5">
        <f>SUMPRODUCT(('01_Data'!$B247:$AW247&lt;&gt;"")*(1/(1+EXP(-(E247-'03_Lap_b'!$B$5:$AW$5))))^2)</f>
        <v/>
      </c>
      <c r="H247" s="5">
        <f>MEDIAN(-6,E247+(C247-F247)/MAX(F247-G247,0.000000001),6)</f>
        <v/>
      </c>
      <c r="I247" s="5">
        <f>SUMPRODUCT(('01_Data'!$B247:$AW247&lt;&gt;"")*(1/(1+EXP(-(H247-'03_Lap_b'!$B$10:$AW$10)))))</f>
        <v/>
      </c>
      <c r="J247" s="5">
        <f>SUMPRODUCT(('01_Data'!$B247:$AW247&lt;&gt;"")*(1/(1+EXP(-(H247-'03_Lap_b'!$B$10:$AW$10))))^2)</f>
        <v/>
      </c>
      <c r="K247" s="5">
        <f>MEDIAN(-6,H247+(C247-I247)/MAX(I247-J247,0.000000001),6)</f>
        <v/>
      </c>
      <c r="L247" s="5">
        <f>SUMPRODUCT(('01_Data'!$B247:$AW247&lt;&gt;"")*(1/(1+EXP(-(K247-'03_Lap_b'!$B$15:$AW$15)))))</f>
        <v/>
      </c>
      <c r="M247" s="5">
        <f>SUMPRODUCT(('01_Data'!$B247:$AW247&lt;&gt;"")*(1/(1+EXP(-(K247-'03_Lap_b'!$B$15:$AW$15))))^2)</f>
        <v/>
      </c>
      <c r="N247" s="5">
        <f>MEDIAN(-6,K247+(C247-L247)/MAX(L247-M247,0.000000001),6)</f>
        <v/>
      </c>
      <c r="O247" s="5">
        <f>SUMPRODUCT(('01_Data'!$B247:$AW247&lt;&gt;"")*(1/(1+EXP(-(N247-'03_Lap_b'!$B$20:$AW$20)))))</f>
        <v/>
      </c>
      <c r="P247" s="5">
        <f>SUMPRODUCT(('01_Data'!$B247:$AW247&lt;&gt;"")*(1/(1+EXP(-(N247-'03_Lap_b'!$B$20:$AW$20))))^2)</f>
        <v/>
      </c>
      <c r="Q247" s="5">
        <f>MEDIAN(-6,N247+(C247-O247)/MAX(O247-P247,0.000000001),6)</f>
        <v/>
      </c>
      <c r="R247" s="5">
        <f>SUMPRODUCT(('01_Data'!$B247:$AW247&lt;&gt;"")*(1/(1+EXP(-(Q247-'03_Lap_b'!$B$25:$AW$25)))))</f>
        <v/>
      </c>
      <c r="S247" s="5">
        <f>SUMPRODUCT(('01_Data'!$B247:$AW247&lt;&gt;"")*(1/(1+EXP(-(Q247-'03_Lap_b'!$B$25:$AW$25))))^2)</f>
        <v/>
      </c>
      <c r="T247" s="5">
        <f>MEDIAN(-6,Q247+(C247-R247)/MAX(R247-S247,0.000000001),6)</f>
        <v/>
      </c>
      <c r="U247" s="5">
        <f>SUMPRODUCT(('01_Data'!$B247:$AW247&lt;&gt;"")*(1/(1+EXP(-(T247-'03_Lap_b'!$B$30:$AW$30)))))</f>
        <v/>
      </c>
      <c r="V247" s="5">
        <f>SUMPRODUCT(('01_Data'!$B247:$AW247&lt;&gt;"")*(1/(1+EXP(-(T247-'03_Lap_b'!$B$30:$AW$30))))^2)</f>
        <v/>
      </c>
      <c r="W247" s="5">
        <f>MEDIAN(-6,T247+(C247-U247)/MAX(U247-V247,0.000000001),6)</f>
        <v/>
      </c>
      <c r="X247" s="5">
        <f>SUMPRODUCT(('01_Data'!$B247:$AW247&lt;&gt;"")*(1/(1+EXP(-(W247-'03_Lap_b'!$B$35:$AW$35)))))</f>
        <v/>
      </c>
      <c r="Y247" s="5">
        <f>SUMPRODUCT(('01_Data'!$B247:$AW247&lt;&gt;"")*(1/(1+EXP(-(W247-'03_Lap_b'!$B$35:$AW$35))))^2)</f>
        <v/>
      </c>
      <c r="Z247" s="5">
        <f>MEDIAN(-6,W247+(C247-X247)/MAX(X247-Y247,0.000000001),6)</f>
        <v/>
      </c>
      <c r="AA247" s="5">
        <f>SUMPRODUCT(('01_Data'!$B247:$AW247&lt;&gt;"")*(1/(1+EXP(-(Z247-'03_Lap_b'!$B$40:$AW$40)))))</f>
        <v/>
      </c>
      <c r="AB247" s="5">
        <f>SUMPRODUCT(('01_Data'!$B247:$AW247&lt;&gt;"")*(1/(1+EXP(-(Z247-'03_Lap_b'!$B$40:$AW$40))))^2)</f>
        <v/>
      </c>
      <c r="AC247" s="5">
        <f>MEDIAN(-6,Z247+(C247-AA247)/MAX(AA247-AB247,0.000000001),6)</f>
        <v/>
      </c>
    </row>
    <row r="248">
      <c r="A248" t="n">
        <v>247</v>
      </c>
      <c r="B248">
        <f>'01_Data'!A248</f>
        <v/>
      </c>
      <c r="C248">
        <f>SUM('01_Data'!$B248:$AW248)</f>
        <v/>
      </c>
      <c r="D248">
        <f>COUNT('01_Data'!$B248:$AW248)</f>
        <v/>
      </c>
      <c r="E248" s="5">
        <f>MEDIAN(-6,LN((C248+0.3)/(D248-C248+0.3)),6)</f>
        <v/>
      </c>
      <c r="F248" s="5">
        <f>SUMPRODUCT(('01_Data'!$B248:$AW248&lt;&gt;"")*(1/(1+EXP(-(E248-'03_Lap_b'!$B$5:$AW$5)))))</f>
        <v/>
      </c>
      <c r="G248" s="5">
        <f>SUMPRODUCT(('01_Data'!$B248:$AW248&lt;&gt;"")*(1/(1+EXP(-(E248-'03_Lap_b'!$B$5:$AW$5))))^2)</f>
        <v/>
      </c>
      <c r="H248" s="5">
        <f>MEDIAN(-6,E248+(C248-F248)/MAX(F248-G248,0.000000001),6)</f>
        <v/>
      </c>
      <c r="I248" s="5">
        <f>SUMPRODUCT(('01_Data'!$B248:$AW248&lt;&gt;"")*(1/(1+EXP(-(H248-'03_Lap_b'!$B$10:$AW$10)))))</f>
        <v/>
      </c>
      <c r="J248" s="5">
        <f>SUMPRODUCT(('01_Data'!$B248:$AW248&lt;&gt;"")*(1/(1+EXP(-(H248-'03_Lap_b'!$B$10:$AW$10))))^2)</f>
        <v/>
      </c>
      <c r="K248" s="5">
        <f>MEDIAN(-6,H248+(C248-I248)/MAX(I248-J248,0.000000001),6)</f>
        <v/>
      </c>
      <c r="L248" s="5">
        <f>SUMPRODUCT(('01_Data'!$B248:$AW248&lt;&gt;"")*(1/(1+EXP(-(K248-'03_Lap_b'!$B$15:$AW$15)))))</f>
        <v/>
      </c>
      <c r="M248" s="5">
        <f>SUMPRODUCT(('01_Data'!$B248:$AW248&lt;&gt;"")*(1/(1+EXP(-(K248-'03_Lap_b'!$B$15:$AW$15))))^2)</f>
        <v/>
      </c>
      <c r="N248" s="5">
        <f>MEDIAN(-6,K248+(C248-L248)/MAX(L248-M248,0.000000001),6)</f>
        <v/>
      </c>
      <c r="O248" s="5">
        <f>SUMPRODUCT(('01_Data'!$B248:$AW248&lt;&gt;"")*(1/(1+EXP(-(N248-'03_Lap_b'!$B$20:$AW$20)))))</f>
        <v/>
      </c>
      <c r="P248" s="5">
        <f>SUMPRODUCT(('01_Data'!$B248:$AW248&lt;&gt;"")*(1/(1+EXP(-(N248-'03_Lap_b'!$B$20:$AW$20))))^2)</f>
        <v/>
      </c>
      <c r="Q248" s="5">
        <f>MEDIAN(-6,N248+(C248-O248)/MAX(O248-P248,0.000000001),6)</f>
        <v/>
      </c>
      <c r="R248" s="5">
        <f>SUMPRODUCT(('01_Data'!$B248:$AW248&lt;&gt;"")*(1/(1+EXP(-(Q248-'03_Lap_b'!$B$25:$AW$25)))))</f>
        <v/>
      </c>
      <c r="S248" s="5">
        <f>SUMPRODUCT(('01_Data'!$B248:$AW248&lt;&gt;"")*(1/(1+EXP(-(Q248-'03_Lap_b'!$B$25:$AW$25))))^2)</f>
        <v/>
      </c>
      <c r="T248" s="5">
        <f>MEDIAN(-6,Q248+(C248-R248)/MAX(R248-S248,0.000000001),6)</f>
        <v/>
      </c>
      <c r="U248" s="5">
        <f>SUMPRODUCT(('01_Data'!$B248:$AW248&lt;&gt;"")*(1/(1+EXP(-(T248-'03_Lap_b'!$B$30:$AW$30)))))</f>
        <v/>
      </c>
      <c r="V248" s="5">
        <f>SUMPRODUCT(('01_Data'!$B248:$AW248&lt;&gt;"")*(1/(1+EXP(-(T248-'03_Lap_b'!$B$30:$AW$30))))^2)</f>
        <v/>
      </c>
      <c r="W248" s="5">
        <f>MEDIAN(-6,T248+(C248-U248)/MAX(U248-V248,0.000000001),6)</f>
        <v/>
      </c>
      <c r="X248" s="5">
        <f>SUMPRODUCT(('01_Data'!$B248:$AW248&lt;&gt;"")*(1/(1+EXP(-(W248-'03_Lap_b'!$B$35:$AW$35)))))</f>
        <v/>
      </c>
      <c r="Y248" s="5">
        <f>SUMPRODUCT(('01_Data'!$B248:$AW248&lt;&gt;"")*(1/(1+EXP(-(W248-'03_Lap_b'!$B$35:$AW$35))))^2)</f>
        <v/>
      </c>
      <c r="Z248" s="5">
        <f>MEDIAN(-6,W248+(C248-X248)/MAX(X248-Y248,0.000000001),6)</f>
        <v/>
      </c>
      <c r="AA248" s="5">
        <f>SUMPRODUCT(('01_Data'!$B248:$AW248&lt;&gt;"")*(1/(1+EXP(-(Z248-'03_Lap_b'!$B$40:$AW$40)))))</f>
        <v/>
      </c>
      <c r="AB248" s="5">
        <f>SUMPRODUCT(('01_Data'!$B248:$AW248&lt;&gt;"")*(1/(1+EXP(-(Z248-'03_Lap_b'!$B$40:$AW$40))))^2)</f>
        <v/>
      </c>
      <c r="AC248" s="5">
        <f>MEDIAN(-6,Z248+(C248-AA248)/MAX(AA248-AB248,0.000000001),6)</f>
        <v/>
      </c>
    </row>
    <row r="249">
      <c r="A249" t="n">
        <v>248</v>
      </c>
      <c r="B249">
        <f>'01_Data'!A249</f>
        <v/>
      </c>
      <c r="C249">
        <f>SUM('01_Data'!$B249:$AW249)</f>
        <v/>
      </c>
      <c r="D249">
        <f>COUNT('01_Data'!$B249:$AW249)</f>
        <v/>
      </c>
      <c r="E249" s="5">
        <f>MEDIAN(-6,LN((C249+0.3)/(D249-C249+0.3)),6)</f>
        <v/>
      </c>
      <c r="F249" s="5">
        <f>SUMPRODUCT(('01_Data'!$B249:$AW249&lt;&gt;"")*(1/(1+EXP(-(E249-'03_Lap_b'!$B$5:$AW$5)))))</f>
        <v/>
      </c>
      <c r="G249" s="5">
        <f>SUMPRODUCT(('01_Data'!$B249:$AW249&lt;&gt;"")*(1/(1+EXP(-(E249-'03_Lap_b'!$B$5:$AW$5))))^2)</f>
        <v/>
      </c>
      <c r="H249" s="5">
        <f>MEDIAN(-6,E249+(C249-F249)/MAX(F249-G249,0.000000001),6)</f>
        <v/>
      </c>
      <c r="I249" s="5">
        <f>SUMPRODUCT(('01_Data'!$B249:$AW249&lt;&gt;"")*(1/(1+EXP(-(H249-'03_Lap_b'!$B$10:$AW$10)))))</f>
        <v/>
      </c>
      <c r="J249" s="5">
        <f>SUMPRODUCT(('01_Data'!$B249:$AW249&lt;&gt;"")*(1/(1+EXP(-(H249-'03_Lap_b'!$B$10:$AW$10))))^2)</f>
        <v/>
      </c>
      <c r="K249" s="5">
        <f>MEDIAN(-6,H249+(C249-I249)/MAX(I249-J249,0.000000001),6)</f>
        <v/>
      </c>
      <c r="L249" s="5">
        <f>SUMPRODUCT(('01_Data'!$B249:$AW249&lt;&gt;"")*(1/(1+EXP(-(K249-'03_Lap_b'!$B$15:$AW$15)))))</f>
        <v/>
      </c>
      <c r="M249" s="5">
        <f>SUMPRODUCT(('01_Data'!$B249:$AW249&lt;&gt;"")*(1/(1+EXP(-(K249-'03_Lap_b'!$B$15:$AW$15))))^2)</f>
        <v/>
      </c>
      <c r="N249" s="5">
        <f>MEDIAN(-6,K249+(C249-L249)/MAX(L249-M249,0.000000001),6)</f>
        <v/>
      </c>
      <c r="O249" s="5">
        <f>SUMPRODUCT(('01_Data'!$B249:$AW249&lt;&gt;"")*(1/(1+EXP(-(N249-'03_Lap_b'!$B$20:$AW$20)))))</f>
        <v/>
      </c>
      <c r="P249" s="5">
        <f>SUMPRODUCT(('01_Data'!$B249:$AW249&lt;&gt;"")*(1/(1+EXP(-(N249-'03_Lap_b'!$B$20:$AW$20))))^2)</f>
        <v/>
      </c>
      <c r="Q249" s="5">
        <f>MEDIAN(-6,N249+(C249-O249)/MAX(O249-P249,0.000000001),6)</f>
        <v/>
      </c>
      <c r="R249" s="5">
        <f>SUMPRODUCT(('01_Data'!$B249:$AW249&lt;&gt;"")*(1/(1+EXP(-(Q249-'03_Lap_b'!$B$25:$AW$25)))))</f>
        <v/>
      </c>
      <c r="S249" s="5">
        <f>SUMPRODUCT(('01_Data'!$B249:$AW249&lt;&gt;"")*(1/(1+EXP(-(Q249-'03_Lap_b'!$B$25:$AW$25))))^2)</f>
        <v/>
      </c>
      <c r="T249" s="5">
        <f>MEDIAN(-6,Q249+(C249-R249)/MAX(R249-S249,0.000000001),6)</f>
        <v/>
      </c>
      <c r="U249" s="5">
        <f>SUMPRODUCT(('01_Data'!$B249:$AW249&lt;&gt;"")*(1/(1+EXP(-(T249-'03_Lap_b'!$B$30:$AW$30)))))</f>
        <v/>
      </c>
      <c r="V249" s="5">
        <f>SUMPRODUCT(('01_Data'!$B249:$AW249&lt;&gt;"")*(1/(1+EXP(-(T249-'03_Lap_b'!$B$30:$AW$30))))^2)</f>
        <v/>
      </c>
      <c r="W249" s="5">
        <f>MEDIAN(-6,T249+(C249-U249)/MAX(U249-V249,0.000000001),6)</f>
        <v/>
      </c>
      <c r="X249" s="5">
        <f>SUMPRODUCT(('01_Data'!$B249:$AW249&lt;&gt;"")*(1/(1+EXP(-(W249-'03_Lap_b'!$B$35:$AW$35)))))</f>
        <v/>
      </c>
      <c r="Y249" s="5">
        <f>SUMPRODUCT(('01_Data'!$B249:$AW249&lt;&gt;"")*(1/(1+EXP(-(W249-'03_Lap_b'!$B$35:$AW$35))))^2)</f>
        <v/>
      </c>
      <c r="Z249" s="5">
        <f>MEDIAN(-6,W249+(C249-X249)/MAX(X249-Y249,0.000000001),6)</f>
        <v/>
      </c>
      <c r="AA249" s="5">
        <f>SUMPRODUCT(('01_Data'!$B249:$AW249&lt;&gt;"")*(1/(1+EXP(-(Z249-'03_Lap_b'!$B$40:$AW$40)))))</f>
        <v/>
      </c>
      <c r="AB249" s="5">
        <f>SUMPRODUCT(('01_Data'!$B249:$AW249&lt;&gt;"")*(1/(1+EXP(-(Z249-'03_Lap_b'!$B$40:$AW$40))))^2)</f>
        <v/>
      </c>
      <c r="AC249" s="5">
        <f>MEDIAN(-6,Z249+(C249-AA249)/MAX(AA249-AB249,0.000000001),6)</f>
        <v/>
      </c>
    </row>
    <row r="250">
      <c r="A250" t="n">
        <v>249</v>
      </c>
      <c r="B250">
        <f>'01_Data'!A250</f>
        <v/>
      </c>
      <c r="C250">
        <f>SUM('01_Data'!$B250:$AW250)</f>
        <v/>
      </c>
      <c r="D250">
        <f>COUNT('01_Data'!$B250:$AW250)</f>
        <v/>
      </c>
      <c r="E250" s="5">
        <f>MEDIAN(-6,LN((C250+0.3)/(D250-C250+0.3)),6)</f>
        <v/>
      </c>
      <c r="F250" s="5">
        <f>SUMPRODUCT(('01_Data'!$B250:$AW250&lt;&gt;"")*(1/(1+EXP(-(E250-'03_Lap_b'!$B$5:$AW$5)))))</f>
        <v/>
      </c>
      <c r="G250" s="5">
        <f>SUMPRODUCT(('01_Data'!$B250:$AW250&lt;&gt;"")*(1/(1+EXP(-(E250-'03_Lap_b'!$B$5:$AW$5))))^2)</f>
        <v/>
      </c>
      <c r="H250" s="5">
        <f>MEDIAN(-6,E250+(C250-F250)/MAX(F250-G250,0.000000001),6)</f>
        <v/>
      </c>
      <c r="I250" s="5">
        <f>SUMPRODUCT(('01_Data'!$B250:$AW250&lt;&gt;"")*(1/(1+EXP(-(H250-'03_Lap_b'!$B$10:$AW$10)))))</f>
        <v/>
      </c>
      <c r="J250" s="5">
        <f>SUMPRODUCT(('01_Data'!$B250:$AW250&lt;&gt;"")*(1/(1+EXP(-(H250-'03_Lap_b'!$B$10:$AW$10))))^2)</f>
        <v/>
      </c>
      <c r="K250" s="5">
        <f>MEDIAN(-6,H250+(C250-I250)/MAX(I250-J250,0.000000001),6)</f>
        <v/>
      </c>
      <c r="L250" s="5">
        <f>SUMPRODUCT(('01_Data'!$B250:$AW250&lt;&gt;"")*(1/(1+EXP(-(K250-'03_Lap_b'!$B$15:$AW$15)))))</f>
        <v/>
      </c>
      <c r="M250" s="5">
        <f>SUMPRODUCT(('01_Data'!$B250:$AW250&lt;&gt;"")*(1/(1+EXP(-(K250-'03_Lap_b'!$B$15:$AW$15))))^2)</f>
        <v/>
      </c>
      <c r="N250" s="5">
        <f>MEDIAN(-6,K250+(C250-L250)/MAX(L250-M250,0.000000001),6)</f>
        <v/>
      </c>
      <c r="O250" s="5">
        <f>SUMPRODUCT(('01_Data'!$B250:$AW250&lt;&gt;"")*(1/(1+EXP(-(N250-'03_Lap_b'!$B$20:$AW$20)))))</f>
        <v/>
      </c>
      <c r="P250" s="5">
        <f>SUMPRODUCT(('01_Data'!$B250:$AW250&lt;&gt;"")*(1/(1+EXP(-(N250-'03_Lap_b'!$B$20:$AW$20))))^2)</f>
        <v/>
      </c>
      <c r="Q250" s="5">
        <f>MEDIAN(-6,N250+(C250-O250)/MAX(O250-P250,0.000000001),6)</f>
        <v/>
      </c>
      <c r="R250" s="5">
        <f>SUMPRODUCT(('01_Data'!$B250:$AW250&lt;&gt;"")*(1/(1+EXP(-(Q250-'03_Lap_b'!$B$25:$AW$25)))))</f>
        <v/>
      </c>
      <c r="S250" s="5">
        <f>SUMPRODUCT(('01_Data'!$B250:$AW250&lt;&gt;"")*(1/(1+EXP(-(Q250-'03_Lap_b'!$B$25:$AW$25))))^2)</f>
        <v/>
      </c>
      <c r="T250" s="5">
        <f>MEDIAN(-6,Q250+(C250-R250)/MAX(R250-S250,0.000000001),6)</f>
        <v/>
      </c>
      <c r="U250" s="5">
        <f>SUMPRODUCT(('01_Data'!$B250:$AW250&lt;&gt;"")*(1/(1+EXP(-(T250-'03_Lap_b'!$B$30:$AW$30)))))</f>
        <v/>
      </c>
      <c r="V250" s="5">
        <f>SUMPRODUCT(('01_Data'!$B250:$AW250&lt;&gt;"")*(1/(1+EXP(-(T250-'03_Lap_b'!$B$30:$AW$30))))^2)</f>
        <v/>
      </c>
      <c r="W250" s="5">
        <f>MEDIAN(-6,T250+(C250-U250)/MAX(U250-V250,0.000000001),6)</f>
        <v/>
      </c>
      <c r="X250" s="5">
        <f>SUMPRODUCT(('01_Data'!$B250:$AW250&lt;&gt;"")*(1/(1+EXP(-(W250-'03_Lap_b'!$B$35:$AW$35)))))</f>
        <v/>
      </c>
      <c r="Y250" s="5">
        <f>SUMPRODUCT(('01_Data'!$B250:$AW250&lt;&gt;"")*(1/(1+EXP(-(W250-'03_Lap_b'!$B$35:$AW$35))))^2)</f>
        <v/>
      </c>
      <c r="Z250" s="5">
        <f>MEDIAN(-6,W250+(C250-X250)/MAX(X250-Y250,0.000000001),6)</f>
        <v/>
      </c>
      <c r="AA250" s="5">
        <f>SUMPRODUCT(('01_Data'!$B250:$AW250&lt;&gt;"")*(1/(1+EXP(-(Z250-'03_Lap_b'!$B$40:$AW$40)))))</f>
        <v/>
      </c>
      <c r="AB250" s="5">
        <f>SUMPRODUCT(('01_Data'!$B250:$AW250&lt;&gt;"")*(1/(1+EXP(-(Z250-'03_Lap_b'!$B$40:$AW$40))))^2)</f>
        <v/>
      </c>
      <c r="AC250" s="5">
        <f>MEDIAN(-6,Z250+(C250-AA250)/MAX(AA250-AB250,0.000000001),6)</f>
        <v/>
      </c>
    </row>
    <row r="251">
      <c r="A251" t="n">
        <v>250</v>
      </c>
      <c r="B251">
        <f>'01_Data'!A251</f>
        <v/>
      </c>
      <c r="C251">
        <f>SUM('01_Data'!$B251:$AW251)</f>
        <v/>
      </c>
      <c r="D251">
        <f>COUNT('01_Data'!$B251:$AW251)</f>
        <v/>
      </c>
      <c r="E251" s="5">
        <f>MEDIAN(-6,LN((C251+0.3)/(D251-C251+0.3)),6)</f>
        <v/>
      </c>
      <c r="F251" s="5">
        <f>SUMPRODUCT(('01_Data'!$B251:$AW251&lt;&gt;"")*(1/(1+EXP(-(E251-'03_Lap_b'!$B$5:$AW$5)))))</f>
        <v/>
      </c>
      <c r="G251" s="5">
        <f>SUMPRODUCT(('01_Data'!$B251:$AW251&lt;&gt;"")*(1/(1+EXP(-(E251-'03_Lap_b'!$B$5:$AW$5))))^2)</f>
        <v/>
      </c>
      <c r="H251" s="5">
        <f>MEDIAN(-6,E251+(C251-F251)/MAX(F251-G251,0.000000001),6)</f>
        <v/>
      </c>
      <c r="I251" s="5">
        <f>SUMPRODUCT(('01_Data'!$B251:$AW251&lt;&gt;"")*(1/(1+EXP(-(H251-'03_Lap_b'!$B$10:$AW$10)))))</f>
        <v/>
      </c>
      <c r="J251" s="5">
        <f>SUMPRODUCT(('01_Data'!$B251:$AW251&lt;&gt;"")*(1/(1+EXP(-(H251-'03_Lap_b'!$B$10:$AW$10))))^2)</f>
        <v/>
      </c>
      <c r="K251" s="5">
        <f>MEDIAN(-6,H251+(C251-I251)/MAX(I251-J251,0.000000001),6)</f>
        <v/>
      </c>
      <c r="L251" s="5">
        <f>SUMPRODUCT(('01_Data'!$B251:$AW251&lt;&gt;"")*(1/(1+EXP(-(K251-'03_Lap_b'!$B$15:$AW$15)))))</f>
        <v/>
      </c>
      <c r="M251" s="5">
        <f>SUMPRODUCT(('01_Data'!$B251:$AW251&lt;&gt;"")*(1/(1+EXP(-(K251-'03_Lap_b'!$B$15:$AW$15))))^2)</f>
        <v/>
      </c>
      <c r="N251" s="5">
        <f>MEDIAN(-6,K251+(C251-L251)/MAX(L251-M251,0.000000001),6)</f>
        <v/>
      </c>
      <c r="O251" s="5">
        <f>SUMPRODUCT(('01_Data'!$B251:$AW251&lt;&gt;"")*(1/(1+EXP(-(N251-'03_Lap_b'!$B$20:$AW$20)))))</f>
        <v/>
      </c>
      <c r="P251" s="5">
        <f>SUMPRODUCT(('01_Data'!$B251:$AW251&lt;&gt;"")*(1/(1+EXP(-(N251-'03_Lap_b'!$B$20:$AW$20))))^2)</f>
        <v/>
      </c>
      <c r="Q251" s="5">
        <f>MEDIAN(-6,N251+(C251-O251)/MAX(O251-P251,0.000000001),6)</f>
        <v/>
      </c>
      <c r="R251" s="5">
        <f>SUMPRODUCT(('01_Data'!$B251:$AW251&lt;&gt;"")*(1/(1+EXP(-(Q251-'03_Lap_b'!$B$25:$AW$25)))))</f>
        <v/>
      </c>
      <c r="S251" s="5">
        <f>SUMPRODUCT(('01_Data'!$B251:$AW251&lt;&gt;"")*(1/(1+EXP(-(Q251-'03_Lap_b'!$B$25:$AW$25))))^2)</f>
        <v/>
      </c>
      <c r="T251" s="5">
        <f>MEDIAN(-6,Q251+(C251-R251)/MAX(R251-S251,0.000000001),6)</f>
        <v/>
      </c>
      <c r="U251" s="5">
        <f>SUMPRODUCT(('01_Data'!$B251:$AW251&lt;&gt;"")*(1/(1+EXP(-(T251-'03_Lap_b'!$B$30:$AW$30)))))</f>
        <v/>
      </c>
      <c r="V251" s="5">
        <f>SUMPRODUCT(('01_Data'!$B251:$AW251&lt;&gt;"")*(1/(1+EXP(-(T251-'03_Lap_b'!$B$30:$AW$30))))^2)</f>
        <v/>
      </c>
      <c r="W251" s="5">
        <f>MEDIAN(-6,T251+(C251-U251)/MAX(U251-V251,0.000000001),6)</f>
        <v/>
      </c>
      <c r="X251" s="5">
        <f>SUMPRODUCT(('01_Data'!$B251:$AW251&lt;&gt;"")*(1/(1+EXP(-(W251-'03_Lap_b'!$B$35:$AW$35)))))</f>
        <v/>
      </c>
      <c r="Y251" s="5">
        <f>SUMPRODUCT(('01_Data'!$B251:$AW251&lt;&gt;"")*(1/(1+EXP(-(W251-'03_Lap_b'!$B$35:$AW$35))))^2)</f>
        <v/>
      </c>
      <c r="Z251" s="5">
        <f>MEDIAN(-6,W251+(C251-X251)/MAX(X251-Y251,0.000000001),6)</f>
        <v/>
      </c>
      <c r="AA251" s="5">
        <f>SUMPRODUCT(('01_Data'!$B251:$AW251&lt;&gt;"")*(1/(1+EXP(-(Z251-'03_Lap_b'!$B$40:$AW$40)))))</f>
        <v/>
      </c>
      <c r="AB251" s="5">
        <f>SUMPRODUCT(('01_Data'!$B251:$AW251&lt;&gt;"")*(1/(1+EXP(-(Z251-'03_Lap_b'!$B$40:$AW$40))))^2)</f>
        <v/>
      </c>
      <c r="AC251" s="5">
        <f>MEDIAN(-6,Z251+(C251-AA251)/MAX(AA251-AB251,0.000000001),6)</f>
        <v/>
      </c>
    </row>
    <row r="252">
      <c r="A252" t="n">
        <v>251</v>
      </c>
      <c r="B252">
        <f>'01_Data'!A252</f>
        <v/>
      </c>
      <c r="C252">
        <f>SUM('01_Data'!$B252:$AW252)</f>
        <v/>
      </c>
      <c r="D252">
        <f>COUNT('01_Data'!$B252:$AW252)</f>
        <v/>
      </c>
      <c r="E252" s="5">
        <f>MEDIAN(-6,LN((C252+0.3)/(D252-C252+0.3)),6)</f>
        <v/>
      </c>
      <c r="F252" s="5">
        <f>SUMPRODUCT(('01_Data'!$B252:$AW252&lt;&gt;"")*(1/(1+EXP(-(E252-'03_Lap_b'!$B$5:$AW$5)))))</f>
        <v/>
      </c>
      <c r="G252" s="5">
        <f>SUMPRODUCT(('01_Data'!$B252:$AW252&lt;&gt;"")*(1/(1+EXP(-(E252-'03_Lap_b'!$B$5:$AW$5))))^2)</f>
        <v/>
      </c>
      <c r="H252" s="5">
        <f>MEDIAN(-6,E252+(C252-F252)/MAX(F252-G252,0.000000001),6)</f>
        <v/>
      </c>
      <c r="I252" s="5">
        <f>SUMPRODUCT(('01_Data'!$B252:$AW252&lt;&gt;"")*(1/(1+EXP(-(H252-'03_Lap_b'!$B$10:$AW$10)))))</f>
        <v/>
      </c>
      <c r="J252" s="5">
        <f>SUMPRODUCT(('01_Data'!$B252:$AW252&lt;&gt;"")*(1/(1+EXP(-(H252-'03_Lap_b'!$B$10:$AW$10))))^2)</f>
        <v/>
      </c>
      <c r="K252" s="5">
        <f>MEDIAN(-6,H252+(C252-I252)/MAX(I252-J252,0.000000001),6)</f>
        <v/>
      </c>
      <c r="L252" s="5">
        <f>SUMPRODUCT(('01_Data'!$B252:$AW252&lt;&gt;"")*(1/(1+EXP(-(K252-'03_Lap_b'!$B$15:$AW$15)))))</f>
        <v/>
      </c>
      <c r="M252" s="5">
        <f>SUMPRODUCT(('01_Data'!$B252:$AW252&lt;&gt;"")*(1/(1+EXP(-(K252-'03_Lap_b'!$B$15:$AW$15))))^2)</f>
        <v/>
      </c>
      <c r="N252" s="5">
        <f>MEDIAN(-6,K252+(C252-L252)/MAX(L252-M252,0.000000001),6)</f>
        <v/>
      </c>
      <c r="O252" s="5">
        <f>SUMPRODUCT(('01_Data'!$B252:$AW252&lt;&gt;"")*(1/(1+EXP(-(N252-'03_Lap_b'!$B$20:$AW$20)))))</f>
        <v/>
      </c>
      <c r="P252" s="5">
        <f>SUMPRODUCT(('01_Data'!$B252:$AW252&lt;&gt;"")*(1/(1+EXP(-(N252-'03_Lap_b'!$B$20:$AW$20))))^2)</f>
        <v/>
      </c>
      <c r="Q252" s="5">
        <f>MEDIAN(-6,N252+(C252-O252)/MAX(O252-P252,0.000000001),6)</f>
        <v/>
      </c>
      <c r="R252" s="5">
        <f>SUMPRODUCT(('01_Data'!$B252:$AW252&lt;&gt;"")*(1/(1+EXP(-(Q252-'03_Lap_b'!$B$25:$AW$25)))))</f>
        <v/>
      </c>
      <c r="S252" s="5">
        <f>SUMPRODUCT(('01_Data'!$B252:$AW252&lt;&gt;"")*(1/(1+EXP(-(Q252-'03_Lap_b'!$B$25:$AW$25))))^2)</f>
        <v/>
      </c>
      <c r="T252" s="5">
        <f>MEDIAN(-6,Q252+(C252-R252)/MAX(R252-S252,0.000000001),6)</f>
        <v/>
      </c>
      <c r="U252" s="5">
        <f>SUMPRODUCT(('01_Data'!$B252:$AW252&lt;&gt;"")*(1/(1+EXP(-(T252-'03_Lap_b'!$B$30:$AW$30)))))</f>
        <v/>
      </c>
      <c r="V252" s="5">
        <f>SUMPRODUCT(('01_Data'!$B252:$AW252&lt;&gt;"")*(1/(1+EXP(-(T252-'03_Lap_b'!$B$30:$AW$30))))^2)</f>
        <v/>
      </c>
      <c r="W252" s="5">
        <f>MEDIAN(-6,T252+(C252-U252)/MAX(U252-V252,0.000000001),6)</f>
        <v/>
      </c>
      <c r="X252" s="5">
        <f>SUMPRODUCT(('01_Data'!$B252:$AW252&lt;&gt;"")*(1/(1+EXP(-(W252-'03_Lap_b'!$B$35:$AW$35)))))</f>
        <v/>
      </c>
      <c r="Y252" s="5">
        <f>SUMPRODUCT(('01_Data'!$B252:$AW252&lt;&gt;"")*(1/(1+EXP(-(W252-'03_Lap_b'!$B$35:$AW$35))))^2)</f>
        <v/>
      </c>
      <c r="Z252" s="5">
        <f>MEDIAN(-6,W252+(C252-X252)/MAX(X252-Y252,0.000000001),6)</f>
        <v/>
      </c>
      <c r="AA252" s="5">
        <f>SUMPRODUCT(('01_Data'!$B252:$AW252&lt;&gt;"")*(1/(1+EXP(-(Z252-'03_Lap_b'!$B$40:$AW$40)))))</f>
        <v/>
      </c>
      <c r="AB252" s="5">
        <f>SUMPRODUCT(('01_Data'!$B252:$AW252&lt;&gt;"")*(1/(1+EXP(-(Z252-'03_Lap_b'!$B$40:$AW$40))))^2)</f>
        <v/>
      </c>
      <c r="AC252" s="5">
        <f>MEDIAN(-6,Z252+(C252-AA252)/MAX(AA252-AB252,0.000000001),6)</f>
        <v/>
      </c>
    </row>
    <row r="253">
      <c r="A253" t="n">
        <v>252</v>
      </c>
      <c r="B253">
        <f>'01_Data'!A253</f>
        <v/>
      </c>
      <c r="C253">
        <f>SUM('01_Data'!$B253:$AW253)</f>
        <v/>
      </c>
      <c r="D253">
        <f>COUNT('01_Data'!$B253:$AW253)</f>
        <v/>
      </c>
      <c r="E253" s="5">
        <f>MEDIAN(-6,LN((C253+0.3)/(D253-C253+0.3)),6)</f>
        <v/>
      </c>
      <c r="F253" s="5">
        <f>SUMPRODUCT(('01_Data'!$B253:$AW253&lt;&gt;"")*(1/(1+EXP(-(E253-'03_Lap_b'!$B$5:$AW$5)))))</f>
        <v/>
      </c>
      <c r="G253" s="5">
        <f>SUMPRODUCT(('01_Data'!$B253:$AW253&lt;&gt;"")*(1/(1+EXP(-(E253-'03_Lap_b'!$B$5:$AW$5))))^2)</f>
        <v/>
      </c>
      <c r="H253" s="5">
        <f>MEDIAN(-6,E253+(C253-F253)/MAX(F253-G253,0.000000001),6)</f>
        <v/>
      </c>
      <c r="I253" s="5">
        <f>SUMPRODUCT(('01_Data'!$B253:$AW253&lt;&gt;"")*(1/(1+EXP(-(H253-'03_Lap_b'!$B$10:$AW$10)))))</f>
        <v/>
      </c>
      <c r="J253" s="5">
        <f>SUMPRODUCT(('01_Data'!$B253:$AW253&lt;&gt;"")*(1/(1+EXP(-(H253-'03_Lap_b'!$B$10:$AW$10))))^2)</f>
        <v/>
      </c>
      <c r="K253" s="5">
        <f>MEDIAN(-6,H253+(C253-I253)/MAX(I253-J253,0.000000001),6)</f>
        <v/>
      </c>
      <c r="L253" s="5">
        <f>SUMPRODUCT(('01_Data'!$B253:$AW253&lt;&gt;"")*(1/(1+EXP(-(K253-'03_Lap_b'!$B$15:$AW$15)))))</f>
        <v/>
      </c>
      <c r="M253" s="5">
        <f>SUMPRODUCT(('01_Data'!$B253:$AW253&lt;&gt;"")*(1/(1+EXP(-(K253-'03_Lap_b'!$B$15:$AW$15))))^2)</f>
        <v/>
      </c>
      <c r="N253" s="5">
        <f>MEDIAN(-6,K253+(C253-L253)/MAX(L253-M253,0.000000001),6)</f>
        <v/>
      </c>
      <c r="O253" s="5">
        <f>SUMPRODUCT(('01_Data'!$B253:$AW253&lt;&gt;"")*(1/(1+EXP(-(N253-'03_Lap_b'!$B$20:$AW$20)))))</f>
        <v/>
      </c>
      <c r="P253" s="5">
        <f>SUMPRODUCT(('01_Data'!$B253:$AW253&lt;&gt;"")*(1/(1+EXP(-(N253-'03_Lap_b'!$B$20:$AW$20))))^2)</f>
        <v/>
      </c>
      <c r="Q253" s="5">
        <f>MEDIAN(-6,N253+(C253-O253)/MAX(O253-P253,0.000000001),6)</f>
        <v/>
      </c>
      <c r="R253" s="5">
        <f>SUMPRODUCT(('01_Data'!$B253:$AW253&lt;&gt;"")*(1/(1+EXP(-(Q253-'03_Lap_b'!$B$25:$AW$25)))))</f>
        <v/>
      </c>
      <c r="S253" s="5">
        <f>SUMPRODUCT(('01_Data'!$B253:$AW253&lt;&gt;"")*(1/(1+EXP(-(Q253-'03_Lap_b'!$B$25:$AW$25))))^2)</f>
        <v/>
      </c>
      <c r="T253" s="5">
        <f>MEDIAN(-6,Q253+(C253-R253)/MAX(R253-S253,0.000000001),6)</f>
        <v/>
      </c>
      <c r="U253" s="5">
        <f>SUMPRODUCT(('01_Data'!$B253:$AW253&lt;&gt;"")*(1/(1+EXP(-(T253-'03_Lap_b'!$B$30:$AW$30)))))</f>
        <v/>
      </c>
      <c r="V253" s="5">
        <f>SUMPRODUCT(('01_Data'!$B253:$AW253&lt;&gt;"")*(1/(1+EXP(-(T253-'03_Lap_b'!$B$30:$AW$30))))^2)</f>
        <v/>
      </c>
      <c r="W253" s="5">
        <f>MEDIAN(-6,T253+(C253-U253)/MAX(U253-V253,0.000000001),6)</f>
        <v/>
      </c>
      <c r="X253" s="5">
        <f>SUMPRODUCT(('01_Data'!$B253:$AW253&lt;&gt;"")*(1/(1+EXP(-(W253-'03_Lap_b'!$B$35:$AW$35)))))</f>
        <v/>
      </c>
      <c r="Y253" s="5">
        <f>SUMPRODUCT(('01_Data'!$B253:$AW253&lt;&gt;"")*(1/(1+EXP(-(W253-'03_Lap_b'!$B$35:$AW$35))))^2)</f>
        <v/>
      </c>
      <c r="Z253" s="5">
        <f>MEDIAN(-6,W253+(C253-X253)/MAX(X253-Y253,0.000000001),6)</f>
        <v/>
      </c>
      <c r="AA253" s="5">
        <f>SUMPRODUCT(('01_Data'!$B253:$AW253&lt;&gt;"")*(1/(1+EXP(-(Z253-'03_Lap_b'!$B$40:$AW$40)))))</f>
        <v/>
      </c>
      <c r="AB253" s="5">
        <f>SUMPRODUCT(('01_Data'!$B253:$AW253&lt;&gt;"")*(1/(1+EXP(-(Z253-'03_Lap_b'!$B$40:$AW$40))))^2)</f>
        <v/>
      </c>
      <c r="AC253" s="5">
        <f>MEDIAN(-6,Z253+(C253-AA253)/MAX(AA253-AB253,0.000000001),6)</f>
        <v/>
      </c>
    </row>
    <row r="254">
      <c r="A254" t="n">
        <v>253</v>
      </c>
      <c r="B254">
        <f>'01_Data'!A254</f>
        <v/>
      </c>
      <c r="C254">
        <f>SUM('01_Data'!$B254:$AW254)</f>
        <v/>
      </c>
      <c r="D254">
        <f>COUNT('01_Data'!$B254:$AW254)</f>
        <v/>
      </c>
      <c r="E254" s="5">
        <f>MEDIAN(-6,LN((C254+0.3)/(D254-C254+0.3)),6)</f>
        <v/>
      </c>
      <c r="F254" s="5">
        <f>SUMPRODUCT(('01_Data'!$B254:$AW254&lt;&gt;"")*(1/(1+EXP(-(E254-'03_Lap_b'!$B$5:$AW$5)))))</f>
        <v/>
      </c>
      <c r="G254" s="5">
        <f>SUMPRODUCT(('01_Data'!$B254:$AW254&lt;&gt;"")*(1/(1+EXP(-(E254-'03_Lap_b'!$B$5:$AW$5))))^2)</f>
        <v/>
      </c>
      <c r="H254" s="5">
        <f>MEDIAN(-6,E254+(C254-F254)/MAX(F254-G254,0.000000001),6)</f>
        <v/>
      </c>
      <c r="I254" s="5">
        <f>SUMPRODUCT(('01_Data'!$B254:$AW254&lt;&gt;"")*(1/(1+EXP(-(H254-'03_Lap_b'!$B$10:$AW$10)))))</f>
        <v/>
      </c>
      <c r="J254" s="5">
        <f>SUMPRODUCT(('01_Data'!$B254:$AW254&lt;&gt;"")*(1/(1+EXP(-(H254-'03_Lap_b'!$B$10:$AW$10))))^2)</f>
        <v/>
      </c>
      <c r="K254" s="5">
        <f>MEDIAN(-6,H254+(C254-I254)/MAX(I254-J254,0.000000001),6)</f>
        <v/>
      </c>
      <c r="L254" s="5">
        <f>SUMPRODUCT(('01_Data'!$B254:$AW254&lt;&gt;"")*(1/(1+EXP(-(K254-'03_Lap_b'!$B$15:$AW$15)))))</f>
        <v/>
      </c>
      <c r="M254" s="5">
        <f>SUMPRODUCT(('01_Data'!$B254:$AW254&lt;&gt;"")*(1/(1+EXP(-(K254-'03_Lap_b'!$B$15:$AW$15))))^2)</f>
        <v/>
      </c>
      <c r="N254" s="5">
        <f>MEDIAN(-6,K254+(C254-L254)/MAX(L254-M254,0.000000001),6)</f>
        <v/>
      </c>
      <c r="O254" s="5">
        <f>SUMPRODUCT(('01_Data'!$B254:$AW254&lt;&gt;"")*(1/(1+EXP(-(N254-'03_Lap_b'!$B$20:$AW$20)))))</f>
        <v/>
      </c>
      <c r="P254" s="5">
        <f>SUMPRODUCT(('01_Data'!$B254:$AW254&lt;&gt;"")*(1/(1+EXP(-(N254-'03_Lap_b'!$B$20:$AW$20))))^2)</f>
        <v/>
      </c>
      <c r="Q254" s="5">
        <f>MEDIAN(-6,N254+(C254-O254)/MAX(O254-P254,0.000000001),6)</f>
        <v/>
      </c>
      <c r="R254" s="5">
        <f>SUMPRODUCT(('01_Data'!$B254:$AW254&lt;&gt;"")*(1/(1+EXP(-(Q254-'03_Lap_b'!$B$25:$AW$25)))))</f>
        <v/>
      </c>
      <c r="S254" s="5">
        <f>SUMPRODUCT(('01_Data'!$B254:$AW254&lt;&gt;"")*(1/(1+EXP(-(Q254-'03_Lap_b'!$B$25:$AW$25))))^2)</f>
        <v/>
      </c>
      <c r="T254" s="5">
        <f>MEDIAN(-6,Q254+(C254-R254)/MAX(R254-S254,0.000000001),6)</f>
        <v/>
      </c>
      <c r="U254" s="5">
        <f>SUMPRODUCT(('01_Data'!$B254:$AW254&lt;&gt;"")*(1/(1+EXP(-(T254-'03_Lap_b'!$B$30:$AW$30)))))</f>
        <v/>
      </c>
      <c r="V254" s="5">
        <f>SUMPRODUCT(('01_Data'!$B254:$AW254&lt;&gt;"")*(1/(1+EXP(-(T254-'03_Lap_b'!$B$30:$AW$30))))^2)</f>
        <v/>
      </c>
      <c r="W254" s="5">
        <f>MEDIAN(-6,T254+(C254-U254)/MAX(U254-V254,0.000000001),6)</f>
        <v/>
      </c>
      <c r="X254" s="5">
        <f>SUMPRODUCT(('01_Data'!$B254:$AW254&lt;&gt;"")*(1/(1+EXP(-(W254-'03_Lap_b'!$B$35:$AW$35)))))</f>
        <v/>
      </c>
      <c r="Y254" s="5">
        <f>SUMPRODUCT(('01_Data'!$B254:$AW254&lt;&gt;"")*(1/(1+EXP(-(W254-'03_Lap_b'!$B$35:$AW$35))))^2)</f>
        <v/>
      </c>
      <c r="Z254" s="5">
        <f>MEDIAN(-6,W254+(C254-X254)/MAX(X254-Y254,0.000000001),6)</f>
        <v/>
      </c>
      <c r="AA254" s="5">
        <f>SUMPRODUCT(('01_Data'!$B254:$AW254&lt;&gt;"")*(1/(1+EXP(-(Z254-'03_Lap_b'!$B$40:$AW$40)))))</f>
        <v/>
      </c>
      <c r="AB254" s="5">
        <f>SUMPRODUCT(('01_Data'!$B254:$AW254&lt;&gt;"")*(1/(1+EXP(-(Z254-'03_Lap_b'!$B$40:$AW$40))))^2)</f>
        <v/>
      </c>
      <c r="AC254" s="5">
        <f>MEDIAN(-6,Z254+(C254-AA254)/MAX(AA254-AB254,0.000000001),6)</f>
        <v/>
      </c>
    </row>
    <row r="255">
      <c r="A255" t="n">
        <v>254</v>
      </c>
      <c r="B255">
        <f>'01_Data'!A255</f>
        <v/>
      </c>
      <c r="C255">
        <f>SUM('01_Data'!$B255:$AW255)</f>
        <v/>
      </c>
      <c r="D255">
        <f>COUNT('01_Data'!$B255:$AW255)</f>
        <v/>
      </c>
      <c r="E255" s="5">
        <f>MEDIAN(-6,LN((C255+0.3)/(D255-C255+0.3)),6)</f>
        <v/>
      </c>
      <c r="F255" s="5">
        <f>SUMPRODUCT(('01_Data'!$B255:$AW255&lt;&gt;"")*(1/(1+EXP(-(E255-'03_Lap_b'!$B$5:$AW$5)))))</f>
        <v/>
      </c>
      <c r="G255" s="5">
        <f>SUMPRODUCT(('01_Data'!$B255:$AW255&lt;&gt;"")*(1/(1+EXP(-(E255-'03_Lap_b'!$B$5:$AW$5))))^2)</f>
        <v/>
      </c>
      <c r="H255" s="5">
        <f>MEDIAN(-6,E255+(C255-F255)/MAX(F255-G255,0.000000001),6)</f>
        <v/>
      </c>
      <c r="I255" s="5">
        <f>SUMPRODUCT(('01_Data'!$B255:$AW255&lt;&gt;"")*(1/(1+EXP(-(H255-'03_Lap_b'!$B$10:$AW$10)))))</f>
        <v/>
      </c>
      <c r="J255" s="5">
        <f>SUMPRODUCT(('01_Data'!$B255:$AW255&lt;&gt;"")*(1/(1+EXP(-(H255-'03_Lap_b'!$B$10:$AW$10))))^2)</f>
        <v/>
      </c>
      <c r="K255" s="5">
        <f>MEDIAN(-6,H255+(C255-I255)/MAX(I255-J255,0.000000001),6)</f>
        <v/>
      </c>
      <c r="L255" s="5">
        <f>SUMPRODUCT(('01_Data'!$B255:$AW255&lt;&gt;"")*(1/(1+EXP(-(K255-'03_Lap_b'!$B$15:$AW$15)))))</f>
        <v/>
      </c>
      <c r="M255" s="5">
        <f>SUMPRODUCT(('01_Data'!$B255:$AW255&lt;&gt;"")*(1/(1+EXP(-(K255-'03_Lap_b'!$B$15:$AW$15))))^2)</f>
        <v/>
      </c>
      <c r="N255" s="5">
        <f>MEDIAN(-6,K255+(C255-L255)/MAX(L255-M255,0.000000001),6)</f>
        <v/>
      </c>
      <c r="O255" s="5">
        <f>SUMPRODUCT(('01_Data'!$B255:$AW255&lt;&gt;"")*(1/(1+EXP(-(N255-'03_Lap_b'!$B$20:$AW$20)))))</f>
        <v/>
      </c>
      <c r="P255" s="5">
        <f>SUMPRODUCT(('01_Data'!$B255:$AW255&lt;&gt;"")*(1/(1+EXP(-(N255-'03_Lap_b'!$B$20:$AW$20))))^2)</f>
        <v/>
      </c>
      <c r="Q255" s="5">
        <f>MEDIAN(-6,N255+(C255-O255)/MAX(O255-P255,0.000000001),6)</f>
        <v/>
      </c>
      <c r="R255" s="5">
        <f>SUMPRODUCT(('01_Data'!$B255:$AW255&lt;&gt;"")*(1/(1+EXP(-(Q255-'03_Lap_b'!$B$25:$AW$25)))))</f>
        <v/>
      </c>
      <c r="S255" s="5">
        <f>SUMPRODUCT(('01_Data'!$B255:$AW255&lt;&gt;"")*(1/(1+EXP(-(Q255-'03_Lap_b'!$B$25:$AW$25))))^2)</f>
        <v/>
      </c>
      <c r="T255" s="5">
        <f>MEDIAN(-6,Q255+(C255-R255)/MAX(R255-S255,0.000000001),6)</f>
        <v/>
      </c>
      <c r="U255" s="5">
        <f>SUMPRODUCT(('01_Data'!$B255:$AW255&lt;&gt;"")*(1/(1+EXP(-(T255-'03_Lap_b'!$B$30:$AW$30)))))</f>
        <v/>
      </c>
      <c r="V255" s="5">
        <f>SUMPRODUCT(('01_Data'!$B255:$AW255&lt;&gt;"")*(1/(1+EXP(-(T255-'03_Lap_b'!$B$30:$AW$30))))^2)</f>
        <v/>
      </c>
      <c r="W255" s="5">
        <f>MEDIAN(-6,T255+(C255-U255)/MAX(U255-V255,0.000000001),6)</f>
        <v/>
      </c>
      <c r="X255" s="5">
        <f>SUMPRODUCT(('01_Data'!$B255:$AW255&lt;&gt;"")*(1/(1+EXP(-(W255-'03_Lap_b'!$B$35:$AW$35)))))</f>
        <v/>
      </c>
      <c r="Y255" s="5">
        <f>SUMPRODUCT(('01_Data'!$B255:$AW255&lt;&gt;"")*(1/(1+EXP(-(W255-'03_Lap_b'!$B$35:$AW$35))))^2)</f>
        <v/>
      </c>
      <c r="Z255" s="5">
        <f>MEDIAN(-6,W255+(C255-X255)/MAX(X255-Y255,0.000000001),6)</f>
        <v/>
      </c>
      <c r="AA255" s="5">
        <f>SUMPRODUCT(('01_Data'!$B255:$AW255&lt;&gt;"")*(1/(1+EXP(-(Z255-'03_Lap_b'!$B$40:$AW$40)))))</f>
        <v/>
      </c>
      <c r="AB255" s="5">
        <f>SUMPRODUCT(('01_Data'!$B255:$AW255&lt;&gt;"")*(1/(1+EXP(-(Z255-'03_Lap_b'!$B$40:$AW$40))))^2)</f>
        <v/>
      </c>
      <c r="AC255" s="5">
        <f>MEDIAN(-6,Z255+(C255-AA255)/MAX(AA255-AB255,0.000000001),6)</f>
        <v/>
      </c>
    </row>
    <row r="256">
      <c r="A256" t="n">
        <v>255</v>
      </c>
      <c r="B256">
        <f>'01_Data'!A256</f>
        <v/>
      </c>
      <c r="C256">
        <f>SUM('01_Data'!$B256:$AW256)</f>
        <v/>
      </c>
      <c r="D256">
        <f>COUNT('01_Data'!$B256:$AW256)</f>
        <v/>
      </c>
      <c r="E256" s="5">
        <f>MEDIAN(-6,LN((C256+0.3)/(D256-C256+0.3)),6)</f>
        <v/>
      </c>
      <c r="F256" s="5">
        <f>SUMPRODUCT(('01_Data'!$B256:$AW256&lt;&gt;"")*(1/(1+EXP(-(E256-'03_Lap_b'!$B$5:$AW$5)))))</f>
        <v/>
      </c>
      <c r="G256" s="5">
        <f>SUMPRODUCT(('01_Data'!$B256:$AW256&lt;&gt;"")*(1/(1+EXP(-(E256-'03_Lap_b'!$B$5:$AW$5))))^2)</f>
        <v/>
      </c>
      <c r="H256" s="5">
        <f>MEDIAN(-6,E256+(C256-F256)/MAX(F256-G256,0.000000001),6)</f>
        <v/>
      </c>
      <c r="I256" s="5">
        <f>SUMPRODUCT(('01_Data'!$B256:$AW256&lt;&gt;"")*(1/(1+EXP(-(H256-'03_Lap_b'!$B$10:$AW$10)))))</f>
        <v/>
      </c>
      <c r="J256" s="5">
        <f>SUMPRODUCT(('01_Data'!$B256:$AW256&lt;&gt;"")*(1/(1+EXP(-(H256-'03_Lap_b'!$B$10:$AW$10))))^2)</f>
        <v/>
      </c>
      <c r="K256" s="5">
        <f>MEDIAN(-6,H256+(C256-I256)/MAX(I256-J256,0.000000001),6)</f>
        <v/>
      </c>
      <c r="L256" s="5">
        <f>SUMPRODUCT(('01_Data'!$B256:$AW256&lt;&gt;"")*(1/(1+EXP(-(K256-'03_Lap_b'!$B$15:$AW$15)))))</f>
        <v/>
      </c>
      <c r="M256" s="5">
        <f>SUMPRODUCT(('01_Data'!$B256:$AW256&lt;&gt;"")*(1/(1+EXP(-(K256-'03_Lap_b'!$B$15:$AW$15))))^2)</f>
        <v/>
      </c>
      <c r="N256" s="5">
        <f>MEDIAN(-6,K256+(C256-L256)/MAX(L256-M256,0.000000001),6)</f>
        <v/>
      </c>
      <c r="O256" s="5">
        <f>SUMPRODUCT(('01_Data'!$B256:$AW256&lt;&gt;"")*(1/(1+EXP(-(N256-'03_Lap_b'!$B$20:$AW$20)))))</f>
        <v/>
      </c>
      <c r="P256" s="5">
        <f>SUMPRODUCT(('01_Data'!$B256:$AW256&lt;&gt;"")*(1/(1+EXP(-(N256-'03_Lap_b'!$B$20:$AW$20))))^2)</f>
        <v/>
      </c>
      <c r="Q256" s="5">
        <f>MEDIAN(-6,N256+(C256-O256)/MAX(O256-P256,0.000000001),6)</f>
        <v/>
      </c>
      <c r="R256" s="5">
        <f>SUMPRODUCT(('01_Data'!$B256:$AW256&lt;&gt;"")*(1/(1+EXP(-(Q256-'03_Lap_b'!$B$25:$AW$25)))))</f>
        <v/>
      </c>
      <c r="S256" s="5">
        <f>SUMPRODUCT(('01_Data'!$B256:$AW256&lt;&gt;"")*(1/(1+EXP(-(Q256-'03_Lap_b'!$B$25:$AW$25))))^2)</f>
        <v/>
      </c>
      <c r="T256" s="5">
        <f>MEDIAN(-6,Q256+(C256-R256)/MAX(R256-S256,0.000000001),6)</f>
        <v/>
      </c>
      <c r="U256" s="5">
        <f>SUMPRODUCT(('01_Data'!$B256:$AW256&lt;&gt;"")*(1/(1+EXP(-(T256-'03_Lap_b'!$B$30:$AW$30)))))</f>
        <v/>
      </c>
      <c r="V256" s="5">
        <f>SUMPRODUCT(('01_Data'!$B256:$AW256&lt;&gt;"")*(1/(1+EXP(-(T256-'03_Lap_b'!$B$30:$AW$30))))^2)</f>
        <v/>
      </c>
      <c r="W256" s="5">
        <f>MEDIAN(-6,T256+(C256-U256)/MAX(U256-V256,0.000000001),6)</f>
        <v/>
      </c>
      <c r="X256" s="5">
        <f>SUMPRODUCT(('01_Data'!$B256:$AW256&lt;&gt;"")*(1/(1+EXP(-(W256-'03_Lap_b'!$B$35:$AW$35)))))</f>
        <v/>
      </c>
      <c r="Y256" s="5">
        <f>SUMPRODUCT(('01_Data'!$B256:$AW256&lt;&gt;"")*(1/(1+EXP(-(W256-'03_Lap_b'!$B$35:$AW$35))))^2)</f>
        <v/>
      </c>
      <c r="Z256" s="5">
        <f>MEDIAN(-6,W256+(C256-X256)/MAX(X256-Y256,0.000000001),6)</f>
        <v/>
      </c>
      <c r="AA256" s="5">
        <f>SUMPRODUCT(('01_Data'!$B256:$AW256&lt;&gt;"")*(1/(1+EXP(-(Z256-'03_Lap_b'!$B$40:$AW$40)))))</f>
        <v/>
      </c>
      <c r="AB256" s="5">
        <f>SUMPRODUCT(('01_Data'!$B256:$AW256&lt;&gt;"")*(1/(1+EXP(-(Z256-'03_Lap_b'!$B$40:$AW$40))))^2)</f>
        <v/>
      </c>
      <c r="AC256" s="5">
        <f>MEDIAN(-6,Z256+(C256-AA256)/MAX(AA256-AB256,0.000000001),6)</f>
        <v/>
      </c>
    </row>
    <row r="257">
      <c r="A257" t="n">
        <v>256</v>
      </c>
      <c r="B257">
        <f>'01_Data'!A257</f>
        <v/>
      </c>
      <c r="C257">
        <f>SUM('01_Data'!$B257:$AW257)</f>
        <v/>
      </c>
      <c r="D257">
        <f>COUNT('01_Data'!$B257:$AW257)</f>
        <v/>
      </c>
      <c r="E257" s="5">
        <f>MEDIAN(-6,LN((C257+0.3)/(D257-C257+0.3)),6)</f>
        <v/>
      </c>
      <c r="F257" s="5">
        <f>SUMPRODUCT(('01_Data'!$B257:$AW257&lt;&gt;"")*(1/(1+EXP(-(E257-'03_Lap_b'!$B$5:$AW$5)))))</f>
        <v/>
      </c>
      <c r="G257" s="5">
        <f>SUMPRODUCT(('01_Data'!$B257:$AW257&lt;&gt;"")*(1/(1+EXP(-(E257-'03_Lap_b'!$B$5:$AW$5))))^2)</f>
        <v/>
      </c>
      <c r="H257" s="5">
        <f>MEDIAN(-6,E257+(C257-F257)/MAX(F257-G257,0.000000001),6)</f>
        <v/>
      </c>
      <c r="I257" s="5">
        <f>SUMPRODUCT(('01_Data'!$B257:$AW257&lt;&gt;"")*(1/(1+EXP(-(H257-'03_Lap_b'!$B$10:$AW$10)))))</f>
        <v/>
      </c>
      <c r="J257" s="5">
        <f>SUMPRODUCT(('01_Data'!$B257:$AW257&lt;&gt;"")*(1/(1+EXP(-(H257-'03_Lap_b'!$B$10:$AW$10))))^2)</f>
        <v/>
      </c>
      <c r="K257" s="5">
        <f>MEDIAN(-6,H257+(C257-I257)/MAX(I257-J257,0.000000001),6)</f>
        <v/>
      </c>
      <c r="L257" s="5">
        <f>SUMPRODUCT(('01_Data'!$B257:$AW257&lt;&gt;"")*(1/(1+EXP(-(K257-'03_Lap_b'!$B$15:$AW$15)))))</f>
        <v/>
      </c>
      <c r="M257" s="5">
        <f>SUMPRODUCT(('01_Data'!$B257:$AW257&lt;&gt;"")*(1/(1+EXP(-(K257-'03_Lap_b'!$B$15:$AW$15))))^2)</f>
        <v/>
      </c>
      <c r="N257" s="5">
        <f>MEDIAN(-6,K257+(C257-L257)/MAX(L257-M257,0.000000001),6)</f>
        <v/>
      </c>
      <c r="O257" s="5">
        <f>SUMPRODUCT(('01_Data'!$B257:$AW257&lt;&gt;"")*(1/(1+EXP(-(N257-'03_Lap_b'!$B$20:$AW$20)))))</f>
        <v/>
      </c>
      <c r="P257" s="5">
        <f>SUMPRODUCT(('01_Data'!$B257:$AW257&lt;&gt;"")*(1/(1+EXP(-(N257-'03_Lap_b'!$B$20:$AW$20))))^2)</f>
        <v/>
      </c>
      <c r="Q257" s="5">
        <f>MEDIAN(-6,N257+(C257-O257)/MAX(O257-P257,0.000000001),6)</f>
        <v/>
      </c>
      <c r="R257" s="5">
        <f>SUMPRODUCT(('01_Data'!$B257:$AW257&lt;&gt;"")*(1/(1+EXP(-(Q257-'03_Lap_b'!$B$25:$AW$25)))))</f>
        <v/>
      </c>
      <c r="S257" s="5">
        <f>SUMPRODUCT(('01_Data'!$B257:$AW257&lt;&gt;"")*(1/(1+EXP(-(Q257-'03_Lap_b'!$B$25:$AW$25))))^2)</f>
        <v/>
      </c>
      <c r="T257" s="5">
        <f>MEDIAN(-6,Q257+(C257-R257)/MAX(R257-S257,0.000000001),6)</f>
        <v/>
      </c>
      <c r="U257" s="5">
        <f>SUMPRODUCT(('01_Data'!$B257:$AW257&lt;&gt;"")*(1/(1+EXP(-(T257-'03_Lap_b'!$B$30:$AW$30)))))</f>
        <v/>
      </c>
      <c r="V257" s="5">
        <f>SUMPRODUCT(('01_Data'!$B257:$AW257&lt;&gt;"")*(1/(1+EXP(-(T257-'03_Lap_b'!$B$30:$AW$30))))^2)</f>
        <v/>
      </c>
      <c r="W257" s="5">
        <f>MEDIAN(-6,T257+(C257-U257)/MAX(U257-V257,0.000000001),6)</f>
        <v/>
      </c>
      <c r="X257" s="5">
        <f>SUMPRODUCT(('01_Data'!$B257:$AW257&lt;&gt;"")*(1/(1+EXP(-(W257-'03_Lap_b'!$B$35:$AW$35)))))</f>
        <v/>
      </c>
      <c r="Y257" s="5">
        <f>SUMPRODUCT(('01_Data'!$B257:$AW257&lt;&gt;"")*(1/(1+EXP(-(W257-'03_Lap_b'!$B$35:$AW$35))))^2)</f>
        <v/>
      </c>
      <c r="Z257" s="5">
        <f>MEDIAN(-6,W257+(C257-X257)/MAX(X257-Y257,0.000000001),6)</f>
        <v/>
      </c>
      <c r="AA257" s="5">
        <f>SUMPRODUCT(('01_Data'!$B257:$AW257&lt;&gt;"")*(1/(1+EXP(-(Z257-'03_Lap_b'!$B$40:$AW$40)))))</f>
        <v/>
      </c>
      <c r="AB257" s="5">
        <f>SUMPRODUCT(('01_Data'!$B257:$AW257&lt;&gt;"")*(1/(1+EXP(-(Z257-'03_Lap_b'!$B$40:$AW$40))))^2)</f>
        <v/>
      </c>
      <c r="AC257" s="5">
        <f>MEDIAN(-6,Z257+(C257-AA257)/MAX(AA257-AB257,0.000000001),6)</f>
        <v/>
      </c>
    </row>
    <row r="258">
      <c r="A258" t="n">
        <v>257</v>
      </c>
      <c r="B258">
        <f>'01_Data'!A258</f>
        <v/>
      </c>
      <c r="C258">
        <f>SUM('01_Data'!$B258:$AW258)</f>
        <v/>
      </c>
      <c r="D258">
        <f>COUNT('01_Data'!$B258:$AW258)</f>
        <v/>
      </c>
      <c r="E258" s="5">
        <f>MEDIAN(-6,LN((C258+0.3)/(D258-C258+0.3)),6)</f>
        <v/>
      </c>
      <c r="F258" s="5">
        <f>SUMPRODUCT(('01_Data'!$B258:$AW258&lt;&gt;"")*(1/(1+EXP(-(E258-'03_Lap_b'!$B$5:$AW$5)))))</f>
        <v/>
      </c>
      <c r="G258" s="5">
        <f>SUMPRODUCT(('01_Data'!$B258:$AW258&lt;&gt;"")*(1/(1+EXP(-(E258-'03_Lap_b'!$B$5:$AW$5))))^2)</f>
        <v/>
      </c>
      <c r="H258" s="5">
        <f>MEDIAN(-6,E258+(C258-F258)/MAX(F258-G258,0.000000001),6)</f>
        <v/>
      </c>
      <c r="I258" s="5">
        <f>SUMPRODUCT(('01_Data'!$B258:$AW258&lt;&gt;"")*(1/(1+EXP(-(H258-'03_Lap_b'!$B$10:$AW$10)))))</f>
        <v/>
      </c>
      <c r="J258" s="5">
        <f>SUMPRODUCT(('01_Data'!$B258:$AW258&lt;&gt;"")*(1/(1+EXP(-(H258-'03_Lap_b'!$B$10:$AW$10))))^2)</f>
        <v/>
      </c>
      <c r="K258" s="5">
        <f>MEDIAN(-6,H258+(C258-I258)/MAX(I258-J258,0.000000001),6)</f>
        <v/>
      </c>
      <c r="L258" s="5">
        <f>SUMPRODUCT(('01_Data'!$B258:$AW258&lt;&gt;"")*(1/(1+EXP(-(K258-'03_Lap_b'!$B$15:$AW$15)))))</f>
        <v/>
      </c>
      <c r="M258" s="5">
        <f>SUMPRODUCT(('01_Data'!$B258:$AW258&lt;&gt;"")*(1/(1+EXP(-(K258-'03_Lap_b'!$B$15:$AW$15))))^2)</f>
        <v/>
      </c>
      <c r="N258" s="5">
        <f>MEDIAN(-6,K258+(C258-L258)/MAX(L258-M258,0.000000001),6)</f>
        <v/>
      </c>
      <c r="O258" s="5">
        <f>SUMPRODUCT(('01_Data'!$B258:$AW258&lt;&gt;"")*(1/(1+EXP(-(N258-'03_Lap_b'!$B$20:$AW$20)))))</f>
        <v/>
      </c>
      <c r="P258" s="5">
        <f>SUMPRODUCT(('01_Data'!$B258:$AW258&lt;&gt;"")*(1/(1+EXP(-(N258-'03_Lap_b'!$B$20:$AW$20))))^2)</f>
        <v/>
      </c>
      <c r="Q258" s="5">
        <f>MEDIAN(-6,N258+(C258-O258)/MAX(O258-P258,0.000000001),6)</f>
        <v/>
      </c>
      <c r="R258" s="5">
        <f>SUMPRODUCT(('01_Data'!$B258:$AW258&lt;&gt;"")*(1/(1+EXP(-(Q258-'03_Lap_b'!$B$25:$AW$25)))))</f>
        <v/>
      </c>
      <c r="S258" s="5">
        <f>SUMPRODUCT(('01_Data'!$B258:$AW258&lt;&gt;"")*(1/(1+EXP(-(Q258-'03_Lap_b'!$B$25:$AW$25))))^2)</f>
        <v/>
      </c>
      <c r="T258" s="5">
        <f>MEDIAN(-6,Q258+(C258-R258)/MAX(R258-S258,0.000000001),6)</f>
        <v/>
      </c>
      <c r="U258" s="5">
        <f>SUMPRODUCT(('01_Data'!$B258:$AW258&lt;&gt;"")*(1/(1+EXP(-(T258-'03_Lap_b'!$B$30:$AW$30)))))</f>
        <v/>
      </c>
      <c r="V258" s="5">
        <f>SUMPRODUCT(('01_Data'!$B258:$AW258&lt;&gt;"")*(1/(1+EXP(-(T258-'03_Lap_b'!$B$30:$AW$30))))^2)</f>
        <v/>
      </c>
      <c r="W258" s="5">
        <f>MEDIAN(-6,T258+(C258-U258)/MAX(U258-V258,0.000000001),6)</f>
        <v/>
      </c>
      <c r="X258" s="5">
        <f>SUMPRODUCT(('01_Data'!$B258:$AW258&lt;&gt;"")*(1/(1+EXP(-(W258-'03_Lap_b'!$B$35:$AW$35)))))</f>
        <v/>
      </c>
      <c r="Y258" s="5">
        <f>SUMPRODUCT(('01_Data'!$B258:$AW258&lt;&gt;"")*(1/(1+EXP(-(W258-'03_Lap_b'!$B$35:$AW$35))))^2)</f>
        <v/>
      </c>
      <c r="Z258" s="5">
        <f>MEDIAN(-6,W258+(C258-X258)/MAX(X258-Y258,0.000000001),6)</f>
        <v/>
      </c>
      <c r="AA258" s="5">
        <f>SUMPRODUCT(('01_Data'!$B258:$AW258&lt;&gt;"")*(1/(1+EXP(-(Z258-'03_Lap_b'!$B$40:$AW$40)))))</f>
        <v/>
      </c>
      <c r="AB258" s="5">
        <f>SUMPRODUCT(('01_Data'!$B258:$AW258&lt;&gt;"")*(1/(1+EXP(-(Z258-'03_Lap_b'!$B$40:$AW$40))))^2)</f>
        <v/>
      </c>
      <c r="AC258" s="5">
        <f>MEDIAN(-6,Z258+(C258-AA258)/MAX(AA258-AB258,0.000000001),6)</f>
        <v/>
      </c>
    </row>
    <row r="259">
      <c r="A259" t="n">
        <v>258</v>
      </c>
      <c r="B259">
        <f>'01_Data'!A259</f>
        <v/>
      </c>
      <c r="C259">
        <f>SUM('01_Data'!$B259:$AW259)</f>
        <v/>
      </c>
      <c r="D259">
        <f>COUNT('01_Data'!$B259:$AW259)</f>
        <v/>
      </c>
      <c r="E259" s="5">
        <f>MEDIAN(-6,LN((C259+0.3)/(D259-C259+0.3)),6)</f>
        <v/>
      </c>
      <c r="F259" s="5">
        <f>SUMPRODUCT(('01_Data'!$B259:$AW259&lt;&gt;"")*(1/(1+EXP(-(E259-'03_Lap_b'!$B$5:$AW$5)))))</f>
        <v/>
      </c>
      <c r="G259" s="5">
        <f>SUMPRODUCT(('01_Data'!$B259:$AW259&lt;&gt;"")*(1/(1+EXP(-(E259-'03_Lap_b'!$B$5:$AW$5))))^2)</f>
        <v/>
      </c>
      <c r="H259" s="5">
        <f>MEDIAN(-6,E259+(C259-F259)/MAX(F259-G259,0.000000001),6)</f>
        <v/>
      </c>
      <c r="I259" s="5">
        <f>SUMPRODUCT(('01_Data'!$B259:$AW259&lt;&gt;"")*(1/(1+EXP(-(H259-'03_Lap_b'!$B$10:$AW$10)))))</f>
        <v/>
      </c>
      <c r="J259" s="5">
        <f>SUMPRODUCT(('01_Data'!$B259:$AW259&lt;&gt;"")*(1/(1+EXP(-(H259-'03_Lap_b'!$B$10:$AW$10))))^2)</f>
        <v/>
      </c>
      <c r="K259" s="5">
        <f>MEDIAN(-6,H259+(C259-I259)/MAX(I259-J259,0.000000001),6)</f>
        <v/>
      </c>
      <c r="L259" s="5">
        <f>SUMPRODUCT(('01_Data'!$B259:$AW259&lt;&gt;"")*(1/(1+EXP(-(K259-'03_Lap_b'!$B$15:$AW$15)))))</f>
        <v/>
      </c>
      <c r="M259" s="5">
        <f>SUMPRODUCT(('01_Data'!$B259:$AW259&lt;&gt;"")*(1/(1+EXP(-(K259-'03_Lap_b'!$B$15:$AW$15))))^2)</f>
        <v/>
      </c>
      <c r="N259" s="5">
        <f>MEDIAN(-6,K259+(C259-L259)/MAX(L259-M259,0.000000001),6)</f>
        <v/>
      </c>
      <c r="O259" s="5">
        <f>SUMPRODUCT(('01_Data'!$B259:$AW259&lt;&gt;"")*(1/(1+EXP(-(N259-'03_Lap_b'!$B$20:$AW$20)))))</f>
        <v/>
      </c>
      <c r="P259" s="5">
        <f>SUMPRODUCT(('01_Data'!$B259:$AW259&lt;&gt;"")*(1/(1+EXP(-(N259-'03_Lap_b'!$B$20:$AW$20))))^2)</f>
        <v/>
      </c>
      <c r="Q259" s="5">
        <f>MEDIAN(-6,N259+(C259-O259)/MAX(O259-P259,0.000000001),6)</f>
        <v/>
      </c>
      <c r="R259" s="5">
        <f>SUMPRODUCT(('01_Data'!$B259:$AW259&lt;&gt;"")*(1/(1+EXP(-(Q259-'03_Lap_b'!$B$25:$AW$25)))))</f>
        <v/>
      </c>
      <c r="S259" s="5">
        <f>SUMPRODUCT(('01_Data'!$B259:$AW259&lt;&gt;"")*(1/(1+EXP(-(Q259-'03_Lap_b'!$B$25:$AW$25))))^2)</f>
        <v/>
      </c>
      <c r="T259" s="5">
        <f>MEDIAN(-6,Q259+(C259-R259)/MAX(R259-S259,0.000000001),6)</f>
        <v/>
      </c>
      <c r="U259" s="5">
        <f>SUMPRODUCT(('01_Data'!$B259:$AW259&lt;&gt;"")*(1/(1+EXP(-(T259-'03_Lap_b'!$B$30:$AW$30)))))</f>
        <v/>
      </c>
      <c r="V259" s="5">
        <f>SUMPRODUCT(('01_Data'!$B259:$AW259&lt;&gt;"")*(1/(1+EXP(-(T259-'03_Lap_b'!$B$30:$AW$30))))^2)</f>
        <v/>
      </c>
      <c r="W259" s="5">
        <f>MEDIAN(-6,T259+(C259-U259)/MAX(U259-V259,0.000000001),6)</f>
        <v/>
      </c>
      <c r="X259" s="5">
        <f>SUMPRODUCT(('01_Data'!$B259:$AW259&lt;&gt;"")*(1/(1+EXP(-(W259-'03_Lap_b'!$B$35:$AW$35)))))</f>
        <v/>
      </c>
      <c r="Y259" s="5">
        <f>SUMPRODUCT(('01_Data'!$B259:$AW259&lt;&gt;"")*(1/(1+EXP(-(W259-'03_Lap_b'!$B$35:$AW$35))))^2)</f>
        <v/>
      </c>
      <c r="Z259" s="5">
        <f>MEDIAN(-6,W259+(C259-X259)/MAX(X259-Y259,0.000000001),6)</f>
        <v/>
      </c>
      <c r="AA259" s="5">
        <f>SUMPRODUCT(('01_Data'!$B259:$AW259&lt;&gt;"")*(1/(1+EXP(-(Z259-'03_Lap_b'!$B$40:$AW$40)))))</f>
        <v/>
      </c>
      <c r="AB259" s="5">
        <f>SUMPRODUCT(('01_Data'!$B259:$AW259&lt;&gt;"")*(1/(1+EXP(-(Z259-'03_Lap_b'!$B$40:$AW$40))))^2)</f>
        <v/>
      </c>
      <c r="AC259" s="5">
        <f>MEDIAN(-6,Z259+(C259-AA259)/MAX(AA259-AB259,0.000000001),6)</f>
        <v/>
      </c>
    </row>
    <row r="260">
      <c r="A260" t="n">
        <v>259</v>
      </c>
      <c r="B260">
        <f>'01_Data'!A260</f>
        <v/>
      </c>
      <c r="C260">
        <f>SUM('01_Data'!$B260:$AW260)</f>
        <v/>
      </c>
      <c r="D260">
        <f>COUNT('01_Data'!$B260:$AW260)</f>
        <v/>
      </c>
      <c r="E260" s="5">
        <f>MEDIAN(-6,LN((C260+0.3)/(D260-C260+0.3)),6)</f>
        <v/>
      </c>
      <c r="F260" s="5">
        <f>SUMPRODUCT(('01_Data'!$B260:$AW260&lt;&gt;"")*(1/(1+EXP(-(E260-'03_Lap_b'!$B$5:$AW$5)))))</f>
        <v/>
      </c>
      <c r="G260" s="5">
        <f>SUMPRODUCT(('01_Data'!$B260:$AW260&lt;&gt;"")*(1/(1+EXP(-(E260-'03_Lap_b'!$B$5:$AW$5))))^2)</f>
        <v/>
      </c>
      <c r="H260" s="5">
        <f>MEDIAN(-6,E260+(C260-F260)/MAX(F260-G260,0.000000001),6)</f>
        <v/>
      </c>
      <c r="I260" s="5">
        <f>SUMPRODUCT(('01_Data'!$B260:$AW260&lt;&gt;"")*(1/(1+EXP(-(H260-'03_Lap_b'!$B$10:$AW$10)))))</f>
        <v/>
      </c>
      <c r="J260" s="5">
        <f>SUMPRODUCT(('01_Data'!$B260:$AW260&lt;&gt;"")*(1/(1+EXP(-(H260-'03_Lap_b'!$B$10:$AW$10))))^2)</f>
        <v/>
      </c>
      <c r="K260" s="5">
        <f>MEDIAN(-6,H260+(C260-I260)/MAX(I260-J260,0.000000001),6)</f>
        <v/>
      </c>
      <c r="L260" s="5">
        <f>SUMPRODUCT(('01_Data'!$B260:$AW260&lt;&gt;"")*(1/(1+EXP(-(K260-'03_Lap_b'!$B$15:$AW$15)))))</f>
        <v/>
      </c>
      <c r="M260" s="5">
        <f>SUMPRODUCT(('01_Data'!$B260:$AW260&lt;&gt;"")*(1/(1+EXP(-(K260-'03_Lap_b'!$B$15:$AW$15))))^2)</f>
        <v/>
      </c>
      <c r="N260" s="5">
        <f>MEDIAN(-6,K260+(C260-L260)/MAX(L260-M260,0.000000001),6)</f>
        <v/>
      </c>
      <c r="O260" s="5">
        <f>SUMPRODUCT(('01_Data'!$B260:$AW260&lt;&gt;"")*(1/(1+EXP(-(N260-'03_Lap_b'!$B$20:$AW$20)))))</f>
        <v/>
      </c>
      <c r="P260" s="5">
        <f>SUMPRODUCT(('01_Data'!$B260:$AW260&lt;&gt;"")*(1/(1+EXP(-(N260-'03_Lap_b'!$B$20:$AW$20))))^2)</f>
        <v/>
      </c>
      <c r="Q260" s="5">
        <f>MEDIAN(-6,N260+(C260-O260)/MAX(O260-P260,0.000000001),6)</f>
        <v/>
      </c>
      <c r="R260" s="5">
        <f>SUMPRODUCT(('01_Data'!$B260:$AW260&lt;&gt;"")*(1/(1+EXP(-(Q260-'03_Lap_b'!$B$25:$AW$25)))))</f>
        <v/>
      </c>
      <c r="S260" s="5">
        <f>SUMPRODUCT(('01_Data'!$B260:$AW260&lt;&gt;"")*(1/(1+EXP(-(Q260-'03_Lap_b'!$B$25:$AW$25))))^2)</f>
        <v/>
      </c>
      <c r="T260" s="5">
        <f>MEDIAN(-6,Q260+(C260-R260)/MAX(R260-S260,0.000000001),6)</f>
        <v/>
      </c>
      <c r="U260" s="5">
        <f>SUMPRODUCT(('01_Data'!$B260:$AW260&lt;&gt;"")*(1/(1+EXP(-(T260-'03_Lap_b'!$B$30:$AW$30)))))</f>
        <v/>
      </c>
      <c r="V260" s="5">
        <f>SUMPRODUCT(('01_Data'!$B260:$AW260&lt;&gt;"")*(1/(1+EXP(-(T260-'03_Lap_b'!$B$30:$AW$30))))^2)</f>
        <v/>
      </c>
      <c r="W260" s="5">
        <f>MEDIAN(-6,T260+(C260-U260)/MAX(U260-V260,0.000000001),6)</f>
        <v/>
      </c>
      <c r="X260" s="5">
        <f>SUMPRODUCT(('01_Data'!$B260:$AW260&lt;&gt;"")*(1/(1+EXP(-(W260-'03_Lap_b'!$B$35:$AW$35)))))</f>
        <v/>
      </c>
      <c r="Y260" s="5">
        <f>SUMPRODUCT(('01_Data'!$B260:$AW260&lt;&gt;"")*(1/(1+EXP(-(W260-'03_Lap_b'!$B$35:$AW$35))))^2)</f>
        <v/>
      </c>
      <c r="Z260" s="5">
        <f>MEDIAN(-6,W260+(C260-X260)/MAX(X260-Y260,0.000000001),6)</f>
        <v/>
      </c>
      <c r="AA260" s="5">
        <f>SUMPRODUCT(('01_Data'!$B260:$AW260&lt;&gt;"")*(1/(1+EXP(-(Z260-'03_Lap_b'!$B$40:$AW$40)))))</f>
        <v/>
      </c>
      <c r="AB260" s="5">
        <f>SUMPRODUCT(('01_Data'!$B260:$AW260&lt;&gt;"")*(1/(1+EXP(-(Z260-'03_Lap_b'!$B$40:$AW$40))))^2)</f>
        <v/>
      </c>
      <c r="AC260" s="5">
        <f>MEDIAN(-6,Z260+(C260-AA260)/MAX(AA260-AB260,0.000000001),6)</f>
        <v/>
      </c>
    </row>
    <row r="261">
      <c r="A261" t="n">
        <v>260</v>
      </c>
      <c r="B261">
        <f>'01_Data'!A261</f>
        <v/>
      </c>
      <c r="C261">
        <f>SUM('01_Data'!$B261:$AW261)</f>
        <v/>
      </c>
      <c r="D261">
        <f>COUNT('01_Data'!$B261:$AW261)</f>
        <v/>
      </c>
      <c r="E261" s="5">
        <f>MEDIAN(-6,LN((C261+0.3)/(D261-C261+0.3)),6)</f>
        <v/>
      </c>
      <c r="F261" s="5">
        <f>SUMPRODUCT(('01_Data'!$B261:$AW261&lt;&gt;"")*(1/(1+EXP(-(E261-'03_Lap_b'!$B$5:$AW$5)))))</f>
        <v/>
      </c>
      <c r="G261" s="5">
        <f>SUMPRODUCT(('01_Data'!$B261:$AW261&lt;&gt;"")*(1/(1+EXP(-(E261-'03_Lap_b'!$B$5:$AW$5))))^2)</f>
        <v/>
      </c>
      <c r="H261" s="5">
        <f>MEDIAN(-6,E261+(C261-F261)/MAX(F261-G261,0.000000001),6)</f>
        <v/>
      </c>
      <c r="I261" s="5">
        <f>SUMPRODUCT(('01_Data'!$B261:$AW261&lt;&gt;"")*(1/(1+EXP(-(H261-'03_Lap_b'!$B$10:$AW$10)))))</f>
        <v/>
      </c>
      <c r="J261" s="5">
        <f>SUMPRODUCT(('01_Data'!$B261:$AW261&lt;&gt;"")*(1/(1+EXP(-(H261-'03_Lap_b'!$B$10:$AW$10))))^2)</f>
        <v/>
      </c>
      <c r="K261" s="5">
        <f>MEDIAN(-6,H261+(C261-I261)/MAX(I261-J261,0.000000001),6)</f>
        <v/>
      </c>
      <c r="L261" s="5">
        <f>SUMPRODUCT(('01_Data'!$B261:$AW261&lt;&gt;"")*(1/(1+EXP(-(K261-'03_Lap_b'!$B$15:$AW$15)))))</f>
        <v/>
      </c>
      <c r="M261" s="5">
        <f>SUMPRODUCT(('01_Data'!$B261:$AW261&lt;&gt;"")*(1/(1+EXP(-(K261-'03_Lap_b'!$B$15:$AW$15))))^2)</f>
        <v/>
      </c>
      <c r="N261" s="5">
        <f>MEDIAN(-6,K261+(C261-L261)/MAX(L261-M261,0.000000001),6)</f>
        <v/>
      </c>
      <c r="O261" s="5">
        <f>SUMPRODUCT(('01_Data'!$B261:$AW261&lt;&gt;"")*(1/(1+EXP(-(N261-'03_Lap_b'!$B$20:$AW$20)))))</f>
        <v/>
      </c>
      <c r="P261" s="5">
        <f>SUMPRODUCT(('01_Data'!$B261:$AW261&lt;&gt;"")*(1/(1+EXP(-(N261-'03_Lap_b'!$B$20:$AW$20))))^2)</f>
        <v/>
      </c>
      <c r="Q261" s="5">
        <f>MEDIAN(-6,N261+(C261-O261)/MAX(O261-P261,0.000000001),6)</f>
        <v/>
      </c>
      <c r="R261" s="5">
        <f>SUMPRODUCT(('01_Data'!$B261:$AW261&lt;&gt;"")*(1/(1+EXP(-(Q261-'03_Lap_b'!$B$25:$AW$25)))))</f>
        <v/>
      </c>
      <c r="S261" s="5">
        <f>SUMPRODUCT(('01_Data'!$B261:$AW261&lt;&gt;"")*(1/(1+EXP(-(Q261-'03_Lap_b'!$B$25:$AW$25))))^2)</f>
        <v/>
      </c>
      <c r="T261" s="5">
        <f>MEDIAN(-6,Q261+(C261-R261)/MAX(R261-S261,0.000000001),6)</f>
        <v/>
      </c>
      <c r="U261" s="5">
        <f>SUMPRODUCT(('01_Data'!$B261:$AW261&lt;&gt;"")*(1/(1+EXP(-(T261-'03_Lap_b'!$B$30:$AW$30)))))</f>
        <v/>
      </c>
      <c r="V261" s="5">
        <f>SUMPRODUCT(('01_Data'!$B261:$AW261&lt;&gt;"")*(1/(1+EXP(-(T261-'03_Lap_b'!$B$30:$AW$30))))^2)</f>
        <v/>
      </c>
      <c r="W261" s="5">
        <f>MEDIAN(-6,T261+(C261-U261)/MAX(U261-V261,0.000000001),6)</f>
        <v/>
      </c>
      <c r="X261" s="5">
        <f>SUMPRODUCT(('01_Data'!$B261:$AW261&lt;&gt;"")*(1/(1+EXP(-(W261-'03_Lap_b'!$B$35:$AW$35)))))</f>
        <v/>
      </c>
      <c r="Y261" s="5">
        <f>SUMPRODUCT(('01_Data'!$B261:$AW261&lt;&gt;"")*(1/(1+EXP(-(W261-'03_Lap_b'!$B$35:$AW$35))))^2)</f>
        <v/>
      </c>
      <c r="Z261" s="5">
        <f>MEDIAN(-6,W261+(C261-X261)/MAX(X261-Y261,0.000000001),6)</f>
        <v/>
      </c>
      <c r="AA261" s="5">
        <f>SUMPRODUCT(('01_Data'!$B261:$AW261&lt;&gt;"")*(1/(1+EXP(-(Z261-'03_Lap_b'!$B$40:$AW$40)))))</f>
        <v/>
      </c>
      <c r="AB261" s="5">
        <f>SUMPRODUCT(('01_Data'!$B261:$AW261&lt;&gt;"")*(1/(1+EXP(-(Z261-'03_Lap_b'!$B$40:$AW$40))))^2)</f>
        <v/>
      </c>
      <c r="AC261" s="5">
        <f>MEDIAN(-6,Z261+(C261-AA261)/MAX(AA261-AB261,0.000000001),6)</f>
        <v/>
      </c>
    </row>
    <row r="262">
      <c r="A262" t="n">
        <v>261</v>
      </c>
      <c r="B262">
        <f>'01_Data'!A262</f>
        <v/>
      </c>
      <c r="C262">
        <f>SUM('01_Data'!$B262:$AW262)</f>
        <v/>
      </c>
      <c r="D262">
        <f>COUNT('01_Data'!$B262:$AW262)</f>
        <v/>
      </c>
      <c r="E262" s="5">
        <f>MEDIAN(-6,LN((C262+0.3)/(D262-C262+0.3)),6)</f>
        <v/>
      </c>
      <c r="F262" s="5">
        <f>SUMPRODUCT(('01_Data'!$B262:$AW262&lt;&gt;"")*(1/(1+EXP(-(E262-'03_Lap_b'!$B$5:$AW$5)))))</f>
        <v/>
      </c>
      <c r="G262" s="5">
        <f>SUMPRODUCT(('01_Data'!$B262:$AW262&lt;&gt;"")*(1/(1+EXP(-(E262-'03_Lap_b'!$B$5:$AW$5))))^2)</f>
        <v/>
      </c>
      <c r="H262" s="5">
        <f>MEDIAN(-6,E262+(C262-F262)/MAX(F262-G262,0.000000001),6)</f>
        <v/>
      </c>
      <c r="I262" s="5">
        <f>SUMPRODUCT(('01_Data'!$B262:$AW262&lt;&gt;"")*(1/(1+EXP(-(H262-'03_Lap_b'!$B$10:$AW$10)))))</f>
        <v/>
      </c>
      <c r="J262" s="5">
        <f>SUMPRODUCT(('01_Data'!$B262:$AW262&lt;&gt;"")*(1/(1+EXP(-(H262-'03_Lap_b'!$B$10:$AW$10))))^2)</f>
        <v/>
      </c>
      <c r="K262" s="5">
        <f>MEDIAN(-6,H262+(C262-I262)/MAX(I262-J262,0.000000001),6)</f>
        <v/>
      </c>
      <c r="L262" s="5">
        <f>SUMPRODUCT(('01_Data'!$B262:$AW262&lt;&gt;"")*(1/(1+EXP(-(K262-'03_Lap_b'!$B$15:$AW$15)))))</f>
        <v/>
      </c>
      <c r="M262" s="5">
        <f>SUMPRODUCT(('01_Data'!$B262:$AW262&lt;&gt;"")*(1/(1+EXP(-(K262-'03_Lap_b'!$B$15:$AW$15))))^2)</f>
        <v/>
      </c>
      <c r="N262" s="5">
        <f>MEDIAN(-6,K262+(C262-L262)/MAX(L262-M262,0.000000001),6)</f>
        <v/>
      </c>
      <c r="O262" s="5">
        <f>SUMPRODUCT(('01_Data'!$B262:$AW262&lt;&gt;"")*(1/(1+EXP(-(N262-'03_Lap_b'!$B$20:$AW$20)))))</f>
        <v/>
      </c>
      <c r="P262" s="5">
        <f>SUMPRODUCT(('01_Data'!$B262:$AW262&lt;&gt;"")*(1/(1+EXP(-(N262-'03_Lap_b'!$B$20:$AW$20))))^2)</f>
        <v/>
      </c>
      <c r="Q262" s="5">
        <f>MEDIAN(-6,N262+(C262-O262)/MAX(O262-P262,0.000000001),6)</f>
        <v/>
      </c>
      <c r="R262" s="5">
        <f>SUMPRODUCT(('01_Data'!$B262:$AW262&lt;&gt;"")*(1/(1+EXP(-(Q262-'03_Lap_b'!$B$25:$AW$25)))))</f>
        <v/>
      </c>
      <c r="S262" s="5">
        <f>SUMPRODUCT(('01_Data'!$B262:$AW262&lt;&gt;"")*(1/(1+EXP(-(Q262-'03_Lap_b'!$B$25:$AW$25))))^2)</f>
        <v/>
      </c>
      <c r="T262" s="5">
        <f>MEDIAN(-6,Q262+(C262-R262)/MAX(R262-S262,0.000000001),6)</f>
        <v/>
      </c>
      <c r="U262" s="5">
        <f>SUMPRODUCT(('01_Data'!$B262:$AW262&lt;&gt;"")*(1/(1+EXP(-(T262-'03_Lap_b'!$B$30:$AW$30)))))</f>
        <v/>
      </c>
      <c r="V262" s="5">
        <f>SUMPRODUCT(('01_Data'!$B262:$AW262&lt;&gt;"")*(1/(1+EXP(-(T262-'03_Lap_b'!$B$30:$AW$30))))^2)</f>
        <v/>
      </c>
      <c r="W262" s="5">
        <f>MEDIAN(-6,T262+(C262-U262)/MAX(U262-V262,0.000000001),6)</f>
        <v/>
      </c>
      <c r="X262" s="5">
        <f>SUMPRODUCT(('01_Data'!$B262:$AW262&lt;&gt;"")*(1/(1+EXP(-(W262-'03_Lap_b'!$B$35:$AW$35)))))</f>
        <v/>
      </c>
      <c r="Y262" s="5">
        <f>SUMPRODUCT(('01_Data'!$B262:$AW262&lt;&gt;"")*(1/(1+EXP(-(W262-'03_Lap_b'!$B$35:$AW$35))))^2)</f>
        <v/>
      </c>
      <c r="Z262" s="5">
        <f>MEDIAN(-6,W262+(C262-X262)/MAX(X262-Y262,0.000000001),6)</f>
        <v/>
      </c>
      <c r="AA262" s="5">
        <f>SUMPRODUCT(('01_Data'!$B262:$AW262&lt;&gt;"")*(1/(1+EXP(-(Z262-'03_Lap_b'!$B$40:$AW$40)))))</f>
        <v/>
      </c>
      <c r="AB262" s="5">
        <f>SUMPRODUCT(('01_Data'!$B262:$AW262&lt;&gt;"")*(1/(1+EXP(-(Z262-'03_Lap_b'!$B$40:$AW$40))))^2)</f>
        <v/>
      </c>
      <c r="AC262" s="5">
        <f>MEDIAN(-6,Z262+(C262-AA262)/MAX(AA262-AB262,0.000000001),6)</f>
        <v/>
      </c>
    </row>
    <row r="263">
      <c r="A263" t="n">
        <v>262</v>
      </c>
      <c r="B263">
        <f>'01_Data'!A263</f>
        <v/>
      </c>
      <c r="C263">
        <f>SUM('01_Data'!$B263:$AW263)</f>
        <v/>
      </c>
      <c r="D263">
        <f>COUNT('01_Data'!$B263:$AW263)</f>
        <v/>
      </c>
      <c r="E263" s="5">
        <f>MEDIAN(-6,LN((C263+0.3)/(D263-C263+0.3)),6)</f>
        <v/>
      </c>
      <c r="F263" s="5">
        <f>SUMPRODUCT(('01_Data'!$B263:$AW263&lt;&gt;"")*(1/(1+EXP(-(E263-'03_Lap_b'!$B$5:$AW$5)))))</f>
        <v/>
      </c>
      <c r="G263" s="5">
        <f>SUMPRODUCT(('01_Data'!$B263:$AW263&lt;&gt;"")*(1/(1+EXP(-(E263-'03_Lap_b'!$B$5:$AW$5))))^2)</f>
        <v/>
      </c>
      <c r="H263" s="5">
        <f>MEDIAN(-6,E263+(C263-F263)/MAX(F263-G263,0.000000001),6)</f>
        <v/>
      </c>
      <c r="I263" s="5">
        <f>SUMPRODUCT(('01_Data'!$B263:$AW263&lt;&gt;"")*(1/(1+EXP(-(H263-'03_Lap_b'!$B$10:$AW$10)))))</f>
        <v/>
      </c>
      <c r="J263" s="5">
        <f>SUMPRODUCT(('01_Data'!$B263:$AW263&lt;&gt;"")*(1/(1+EXP(-(H263-'03_Lap_b'!$B$10:$AW$10))))^2)</f>
        <v/>
      </c>
      <c r="K263" s="5">
        <f>MEDIAN(-6,H263+(C263-I263)/MAX(I263-J263,0.000000001),6)</f>
        <v/>
      </c>
      <c r="L263" s="5">
        <f>SUMPRODUCT(('01_Data'!$B263:$AW263&lt;&gt;"")*(1/(1+EXP(-(K263-'03_Lap_b'!$B$15:$AW$15)))))</f>
        <v/>
      </c>
      <c r="M263" s="5">
        <f>SUMPRODUCT(('01_Data'!$B263:$AW263&lt;&gt;"")*(1/(1+EXP(-(K263-'03_Lap_b'!$B$15:$AW$15))))^2)</f>
        <v/>
      </c>
      <c r="N263" s="5">
        <f>MEDIAN(-6,K263+(C263-L263)/MAX(L263-M263,0.000000001),6)</f>
        <v/>
      </c>
      <c r="O263" s="5">
        <f>SUMPRODUCT(('01_Data'!$B263:$AW263&lt;&gt;"")*(1/(1+EXP(-(N263-'03_Lap_b'!$B$20:$AW$20)))))</f>
        <v/>
      </c>
      <c r="P263" s="5">
        <f>SUMPRODUCT(('01_Data'!$B263:$AW263&lt;&gt;"")*(1/(1+EXP(-(N263-'03_Lap_b'!$B$20:$AW$20))))^2)</f>
        <v/>
      </c>
      <c r="Q263" s="5">
        <f>MEDIAN(-6,N263+(C263-O263)/MAX(O263-P263,0.000000001),6)</f>
        <v/>
      </c>
      <c r="R263" s="5">
        <f>SUMPRODUCT(('01_Data'!$B263:$AW263&lt;&gt;"")*(1/(1+EXP(-(Q263-'03_Lap_b'!$B$25:$AW$25)))))</f>
        <v/>
      </c>
      <c r="S263" s="5">
        <f>SUMPRODUCT(('01_Data'!$B263:$AW263&lt;&gt;"")*(1/(1+EXP(-(Q263-'03_Lap_b'!$B$25:$AW$25))))^2)</f>
        <v/>
      </c>
      <c r="T263" s="5">
        <f>MEDIAN(-6,Q263+(C263-R263)/MAX(R263-S263,0.000000001),6)</f>
        <v/>
      </c>
      <c r="U263" s="5">
        <f>SUMPRODUCT(('01_Data'!$B263:$AW263&lt;&gt;"")*(1/(1+EXP(-(T263-'03_Lap_b'!$B$30:$AW$30)))))</f>
        <v/>
      </c>
      <c r="V263" s="5">
        <f>SUMPRODUCT(('01_Data'!$B263:$AW263&lt;&gt;"")*(1/(1+EXP(-(T263-'03_Lap_b'!$B$30:$AW$30))))^2)</f>
        <v/>
      </c>
      <c r="W263" s="5">
        <f>MEDIAN(-6,T263+(C263-U263)/MAX(U263-V263,0.000000001),6)</f>
        <v/>
      </c>
      <c r="X263" s="5">
        <f>SUMPRODUCT(('01_Data'!$B263:$AW263&lt;&gt;"")*(1/(1+EXP(-(W263-'03_Lap_b'!$B$35:$AW$35)))))</f>
        <v/>
      </c>
      <c r="Y263" s="5">
        <f>SUMPRODUCT(('01_Data'!$B263:$AW263&lt;&gt;"")*(1/(1+EXP(-(W263-'03_Lap_b'!$B$35:$AW$35))))^2)</f>
        <v/>
      </c>
      <c r="Z263" s="5">
        <f>MEDIAN(-6,W263+(C263-X263)/MAX(X263-Y263,0.000000001),6)</f>
        <v/>
      </c>
      <c r="AA263" s="5">
        <f>SUMPRODUCT(('01_Data'!$B263:$AW263&lt;&gt;"")*(1/(1+EXP(-(Z263-'03_Lap_b'!$B$40:$AW$40)))))</f>
        <v/>
      </c>
      <c r="AB263" s="5">
        <f>SUMPRODUCT(('01_Data'!$B263:$AW263&lt;&gt;"")*(1/(1+EXP(-(Z263-'03_Lap_b'!$B$40:$AW$40))))^2)</f>
        <v/>
      </c>
      <c r="AC263" s="5">
        <f>MEDIAN(-6,Z263+(C263-AA263)/MAX(AA263-AB263,0.000000001),6)</f>
        <v/>
      </c>
    </row>
    <row r="264">
      <c r="A264" t="n">
        <v>263</v>
      </c>
      <c r="B264">
        <f>'01_Data'!A264</f>
        <v/>
      </c>
      <c r="C264">
        <f>SUM('01_Data'!$B264:$AW264)</f>
        <v/>
      </c>
      <c r="D264">
        <f>COUNT('01_Data'!$B264:$AW264)</f>
        <v/>
      </c>
      <c r="E264" s="5">
        <f>MEDIAN(-6,LN((C264+0.3)/(D264-C264+0.3)),6)</f>
        <v/>
      </c>
      <c r="F264" s="5">
        <f>SUMPRODUCT(('01_Data'!$B264:$AW264&lt;&gt;"")*(1/(1+EXP(-(E264-'03_Lap_b'!$B$5:$AW$5)))))</f>
        <v/>
      </c>
      <c r="G264" s="5">
        <f>SUMPRODUCT(('01_Data'!$B264:$AW264&lt;&gt;"")*(1/(1+EXP(-(E264-'03_Lap_b'!$B$5:$AW$5))))^2)</f>
        <v/>
      </c>
      <c r="H264" s="5">
        <f>MEDIAN(-6,E264+(C264-F264)/MAX(F264-G264,0.000000001),6)</f>
        <v/>
      </c>
      <c r="I264" s="5">
        <f>SUMPRODUCT(('01_Data'!$B264:$AW264&lt;&gt;"")*(1/(1+EXP(-(H264-'03_Lap_b'!$B$10:$AW$10)))))</f>
        <v/>
      </c>
      <c r="J264" s="5">
        <f>SUMPRODUCT(('01_Data'!$B264:$AW264&lt;&gt;"")*(1/(1+EXP(-(H264-'03_Lap_b'!$B$10:$AW$10))))^2)</f>
        <v/>
      </c>
      <c r="K264" s="5">
        <f>MEDIAN(-6,H264+(C264-I264)/MAX(I264-J264,0.000000001),6)</f>
        <v/>
      </c>
      <c r="L264" s="5">
        <f>SUMPRODUCT(('01_Data'!$B264:$AW264&lt;&gt;"")*(1/(1+EXP(-(K264-'03_Lap_b'!$B$15:$AW$15)))))</f>
        <v/>
      </c>
      <c r="M264" s="5">
        <f>SUMPRODUCT(('01_Data'!$B264:$AW264&lt;&gt;"")*(1/(1+EXP(-(K264-'03_Lap_b'!$B$15:$AW$15))))^2)</f>
        <v/>
      </c>
      <c r="N264" s="5">
        <f>MEDIAN(-6,K264+(C264-L264)/MAX(L264-M264,0.000000001),6)</f>
        <v/>
      </c>
      <c r="O264" s="5">
        <f>SUMPRODUCT(('01_Data'!$B264:$AW264&lt;&gt;"")*(1/(1+EXP(-(N264-'03_Lap_b'!$B$20:$AW$20)))))</f>
        <v/>
      </c>
      <c r="P264" s="5">
        <f>SUMPRODUCT(('01_Data'!$B264:$AW264&lt;&gt;"")*(1/(1+EXP(-(N264-'03_Lap_b'!$B$20:$AW$20))))^2)</f>
        <v/>
      </c>
      <c r="Q264" s="5">
        <f>MEDIAN(-6,N264+(C264-O264)/MAX(O264-P264,0.000000001),6)</f>
        <v/>
      </c>
      <c r="R264" s="5">
        <f>SUMPRODUCT(('01_Data'!$B264:$AW264&lt;&gt;"")*(1/(1+EXP(-(Q264-'03_Lap_b'!$B$25:$AW$25)))))</f>
        <v/>
      </c>
      <c r="S264" s="5">
        <f>SUMPRODUCT(('01_Data'!$B264:$AW264&lt;&gt;"")*(1/(1+EXP(-(Q264-'03_Lap_b'!$B$25:$AW$25))))^2)</f>
        <v/>
      </c>
      <c r="T264" s="5">
        <f>MEDIAN(-6,Q264+(C264-R264)/MAX(R264-S264,0.000000001),6)</f>
        <v/>
      </c>
      <c r="U264" s="5">
        <f>SUMPRODUCT(('01_Data'!$B264:$AW264&lt;&gt;"")*(1/(1+EXP(-(T264-'03_Lap_b'!$B$30:$AW$30)))))</f>
        <v/>
      </c>
      <c r="V264" s="5">
        <f>SUMPRODUCT(('01_Data'!$B264:$AW264&lt;&gt;"")*(1/(1+EXP(-(T264-'03_Lap_b'!$B$30:$AW$30))))^2)</f>
        <v/>
      </c>
      <c r="W264" s="5">
        <f>MEDIAN(-6,T264+(C264-U264)/MAX(U264-V264,0.000000001),6)</f>
        <v/>
      </c>
      <c r="X264" s="5">
        <f>SUMPRODUCT(('01_Data'!$B264:$AW264&lt;&gt;"")*(1/(1+EXP(-(W264-'03_Lap_b'!$B$35:$AW$35)))))</f>
        <v/>
      </c>
      <c r="Y264" s="5">
        <f>SUMPRODUCT(('01_Data'!$B264:$AW264&lt;&gt;"")*(1/(1+EXP(-(W264-'03_Lap_b'!$B$35:$AW$35))))^2)</f>
        <v/>
      </c>
      <c r="Z264" s="5">
        <f>MEDIAN(-6,W264+(C264-X264)/MAX(X264-Y264,0.000000001),6)</f>
        <v/>
      </c>
      <c r="AA264" s="5">
        <f>SUMPRODUCT(('01_Data'!$B264:$AW264&lt;&gt;"")*(1/(1+EXP(-(Z264-'03_Lap_b'!$B$40:$AW$40)))))</f>
        <v/>
      </c>
      <c r="AB264" s="5">
        <f>SUMPRODUCT(('01_Data'!$B264:$AW264&lt;&gt;"")*(1/(1+EXP(-(Z264-'03_Lap_b'!$B$40:$AW$40))))^2)</f>
        <v/>
      </c>
      <c r="AC264" s="5">
        <f>MEDIAN(-6,Z264+(C264-AA264)/MAX(AA264-AB264,0.000000001),6)</f>
        <v/>
      </c>
    </row>
    <row r="265">
      <c r="A265" t="n">
        <v>264</v>
      </c>
      <c r="B265">
        <f>'01_Data'!A265</f>
        <v/>
      </c>
      <c r="C265">
        <f>SUM('01_Data'!$B265:$AW265)</f>
        <v/>
      </c>
      <c r="D265">
        <f>COUNT('01_Data'!$B265:$AW265)</f>
        <v/>
      </c>
      <c r="E265" s="5">
        <f>MEDIAN(-6,LN((C265+0.3)/(D265-C265+0.3)),6)</f>
        <v/>
      </c>
      <c r="F265" s="5">
        <f>SUMPRODUCT(('01_Data'!$B265:$AW265&lt;&gt;"")*(1/(1+EXP(-(E265-'03_Lap_b'!$B$5:$AW$5)))))</f>
        <v/>
      </c>
      <c r="G265" s="5">
        <f>SUMPRODUCT(('01_Data'!$B265:$AW265&lt;&gt;"")*(1/(1+EXP(-(E265-'03_Lap_b'!$B$5:$AW$5))))^2)</f>
        <v/>
      </c>
      <c r="H265" s="5">
        <f>MEDIAN(-6,E265+(C265-F265)/MAX(F265-G265,0.000000001),6)</f>
        <v/>
      </c>
      <c r="I265" s="5">
        <f>SUMPRODUCT(('01_Data'!$B265:$AW265&lt;&gt;"")*(1/(1+EXP(-(H265-'03_Lap_b'!$B$10:$AW$10)))))</f>
        <v/>
      </c>
      <c r="J265" s="5">
        <f>SUMPRODUCT(('01_Data'!$B265:$AW265&lt;&gt;"")*(1/(1+EXP(-(H265-'03_Lap_b'!$B$10:$AW$10))))^2)</f>
        <v/>
      </c>
      <c r="K265" s="5">
        <f>MEDIAN(-6,H265+(C265-I265)/MAX(I265-J265,0.000000001),6)</f>
        <v/>
      </c>
      <c r="L265" s="5">
        <f>SUMPRODUCT(('01_Data'!$B265:$AW265&lt;&gt;"")*(1/(1+EXP(-(K265-'03_Lap_b'!$B$15:$AW$15)))))</f>
        <v/>
      </c>
      <c r="M265" s="5">
        <f>SUMPRODUCT(('01_Data'!$B265:$AW265&lt;&gt;"")*(1/(1+EXP(-(K265-'03_Lap_b'!$B$15:$AW$15))))^2)</f>
        <v/>
      </c>
      <c r="N265" s="5">
        <f>MEDIAN(-6,K265+(C265-L265)/MAX(L265-M265,0.000000001),6)</f>
        <v/>
      </c>
      <c r="O265" s="5">
        <f>SUMPRODUCT(('01_Data'!$B265:$AW265&lt;&gt;"")*(1/(1+EXP(-(N265-'03_Lap_b'!$B$20:$AW$20)))))</f>
        <v/>
      </c>
      <c r="P265" s="5">
        <f>SUMPRODUCT(('01_Data'!$B265:$AW265&lt;&gt;"")*(1/(1+EXP(-(N265-'03_Lap_b'!$B$20:$AW$20))))^2)</f>
        <v/>
      </c>
      <c r="Q265" s="5">
        <f>MEDIAN(-6,N265+(C265-O265)/MAX(O265-P265,0.000000001),6)</f>
        <v/>
      </c>
      <c r="R265" s="5">
        <f>SUMPRODUCT(('01_Data'!$B265:$AW265&lt;&gt;"")*(1/(1+EXP(-(Q265-'03_Lap_b'!$B$25:$AW$25)))))</f>
        <v/>
      </c>
      <c r="S265" s="5">
        <f>SUMPRODUCT(('01_Data'!$B265:$AW265&lt;&gt;"")*(1/(1+EXP(-(Q265-'03_Lap_b'!$B$25:$AW$25))))^2)</f>
        <v/>
      </c>
      <c r="T265" s="5">
        <f>MEDIAN(-6,Q265+(C265-R265)/MAX(R265-S265,0.000000001),6)</f>
        <v/>
      </c>
      <c r="U265" s="5">
        <f>SUMPRODUCT(('01_Data'!$B265:$AW265&lt;&gt;"")*(1/(1+EXP(-(T265-'03_Lap_b'!$B$30:$AW$30)))))</f>
        <v/>
      </c>
      <c r="V265" s="5">
        <f>SUMPRODUCT(('01_Data'!$B265:$AW265&lt;&gt;"")*(1/(1+EXP(-(T265-'03_Lap_b'!$B$30:$AW$30))))^2)</f>
        <v/>
      </c>
      <c r="W265" s="5">
        <f>MEDIAN(-6,T265+(C265-U265)/MAX(U265-V265,0.000000001),6)</f>
        <v/>
      </c>
      <c r="X265" s="5">
        <f>SUMPRODUCT(('01_Data'!$B265:$AW265&lt;&gt;"")*(1/(1+EXP(-(W265-'03_Lap_b'!$B$35:$AW$35)))))</f>
        <v/>
      </c>
      <c r="Y265" s="5">
        <f>SUMPRODUCT(('01_Data'!$B265:$AW265&lt;&gt;"")*(1/(1+EXP(-(W265-'03_Lap_b'!$B$35:$AW$35))))^2)</f>
        <v/>
      </c>
      <c r="Z265" s="5">
        <f>MEDIAN(-6,W265+(C265-X265)/MAX(X265-Y265,0.000000001),6)</f>
        <v/>
      </c>
      <c r="AA265" s="5">
        <f>SUMPRODUCT(('01_Data'!$B265:$AW265&lt;&gt;"")*(1/(1+EXP(-(Z265-'03_Lap_b'!$B$40:$AW$40)))))</f>
        <v/>
      </c>
      <c r="AB265" s="5">
        <f>SUMPRODUCT(('01_Data'!$B265:$AW265&lt;&gt;"")*(1/(1+EXP(-(Z265-'03_Lap_b'!$B$40:$AW$40))))^2)</f>
        <v/>
      </c>
      <c r="AC265" s="5">
        <f>MEDIAN(-6,Z265+(C265-AA265)/MAX(AA265-AB265,0.000000001),6)</f>
        <v/>
      </c>
    </row>
    <row r="266">
      <c r="A266" t="n">
        <v>265</v>
      </c>
      <c r="B266">
        <f>'01_Data'!A266</f>
        <v/>
      </c>
      <c r="C266">
        <f>SUM('01_Data'!$B266:$AW266)</f>
        <v/>
      </c>
      <c r="D266">
        <f>COUNT('01_Data'!$B266:$AW266)</f>
        <v/>
      </c>
      <c r="E266" s="5">
        <f>MEDIAN(-6,LN((C266+0.3)/(D266-C266+0.3)),6)</f>
        <v/>
      </c>
      <c r="F266" s="5">
        <f>SUMPRODUCT(('01_Data'!$B266:$AW266&lt;&gt;"")*(1/(1+EXP(-(E266-'03_Lap_b'!$B$5:$AW$5)))))</f>
        <v/>
      </c>
      <c r="G266" s="5">
        <f>SUMPRODUCT(('01_Data'!$B266:$AW266&lt;&gt;"")*(1/(1+EXP(-(E266-'03_Lap_b'!$B$5:$AW$5))))^2)</f>
        <v/>
      </c>
      <c r="H266" s="5">
        <f>MEDIAN(-6,E266+(C266-F266)/MAX(F266-G266,0.000000001),6)</f>
        <v/>
      </c>
      <c r="I266" s="5">
        <f>SUMPRODUCT(('01_Data'!$B266:$AW266&lt;&gt;"")*(1/(1+EXP(-(H266-'03_Lap_b'!$B$10:$AW$10)))))</f>
        <v/>
      </c>
      <c r="J266" s="5">
        <f>SUMPRODUCT(('01_Data'!$B266:$AW266&lt;&gt;"")*(1/(1+EXP(-(H266-'03_Lap_b'!$B$10:$AW$10))))^2)</f>
        <v/>
      </c>
      <c r="K266" s="5">
        <f>MEDIAN(-6,H266+(C266-I266)/MAX(I266-J266,0.000000001),6)</f>
        <v/>
      </c>
      <c r="L266" s="5">
        <f>SUMPRODUCT(('01_Data'!$B266:$AW266&lt;&gt;"")*(1/(1+EXP(-(K266-'03_Lap_b'!$B$15:$AW$15)))))</f>
        <v/>
      </c>
      <c r="M266" s="5">
        <f>SUMPRODUCT(('01_Data'!$B266:$AW266&lt;&gt;"")*(1/(1+EXP(-(K266-'03_Lap_b'!$B$15:$AW$15))))^2)</f>
        <v/>
      </c>
      <c r="N266" s="5">
        <f>MEDIAN(-6,K266+(C266-L266)/MAX(L266-M266,0.000000001),6)</f>
        <v/>
      </c>
      <c r="O266" s="5">
        <f>SUMPRODUCT(('01_Data'!$B266:$AW266&lt;&gt;"")*(1/(1+EXP(-(N266-'03_Lap_b'!$B$20:$AW$20)))))</f>
        <v/>
      </c>
      <c r="P266" s="5">
        <f>SUMPRODUCT(('01_Data'!$B266:$AW266&lt;&gt;"")*(1/(1+EXP(-(N266-'03_Lap_b'!$B$20:$AW$20))))^2)</f>
        <v/>
      </c>
      <c r="Q266" s="5">
        <f>MEDIAN(-6,N266+(C266-O266)/MAX(O266-P266,0.000000001),6)</f>
        <v/>
      </c>
      <c r="R266" s="5">
        <f>SUMPRODUCT(('01_Data'!$B266:$AW266&lt;&gt;"")*(1/(1+EXP(-(Q266-'03_Lap_b'!$B$25:$AW$25)))))</f>
        <v/>
      </c>
      <c r="S266" s="5">
        <f>SUMPRODUCT(('01_Data'!$B266:$AW266&lt;&gt;"")*(1/(1+EXP(-(Q266-'03_Lap_b'!$B$25:$AW$25))))^2)</f>
        <v/>
      </c>
      <c r="T266" s="5">
        <f>MEDIAN(-6,Q266+(C266-R266)/MAX(R266-S266,0.000000001),6)</f>
        <v/>
      </c>
      <c r="U266" s="5">
        <f>SUMPRODUCT(('01_Data'!$B266:$AW266&lt;&gt;"")*(1/(1+EXP(-(T266-'03_Lap_b'!$B$30:$AW$30)))))</f>
        <v/>
      </c>
      <c r="V266" s="5">
        <f>SUMPRODUCT(('01_Data'!$B266:$AW266&lt;&gt;"")*(1/(1+EXP(-(T266-'03_Lap_b'!$B$30:$AW$30))))^2)</f>
        <v/>
      </c>
      <c r="W266" s="5">
        <f>MEDIAN(-6,T266+(C266-U266)/MAX(U266-V266,0.000000001),6)</f>
        <v/>
      </c>
      <c r="X266" s="5">
        <f>SUMPRODUCT(('01_Data'!$B266:$AW266&lt;&gt;"")*(1/(1+EXP(-(W266-'03_Lap_b'!$B$35:$AW$35)))))</f>
        <v/>
      </c>
      <c r="Y266" s="5">
        <f>SUMPRODUCT(('01_Data'!$B266:$AW266&lt;&gt;"")*(1/(1+EXP(-(W266-'03_Lap_b'!$B$35:$AW$35))))^2)</f>
        <v/>
      </c>
      <c r="Z266" s="5">
        <f>MEDIAN(-6,W266+(C266-X266)/MAX(X266-Y266,0.000000001),6)</f>
        <v/>
      </c>
      <c r="AA266" s="5">
        <f>SUMPRODUCT(('01_Data'!$B266:$AW266&lt;&gt;"")*(1/(1+EXP(-(Z266-'03_Lap_b'!$B$40:$AW$40)))))</f>
        <v/>
      </c>
      <c r="AB266" s="5">
        <f>SUMPRODUCT(('01_Data'!$B266:$AW266&lt;&gt;"")*(1/(1+EXP(-(Z266-'03_Lap_b'!$B$40:$AW$40))))^2)</f>
        <v/>
      </c>
      <c r="AC266" s="5">
        <f>MEDIAN(-6,Z266+(C266-AA266)/MAX(AA266-AB266,0.000000001),6)</f>
        <v/>
      </c>
    </row>
    <row r="267">
      <c r="A267" t="n">
        <v>266</v>
      </c>
      <c r="B267">
        <f>'01_Data'!A267</f>
        <v/>
      </c>
      <c r="C267">
        <f>SUM('01_Data'!$B267:$AW267)</f>
        <v/>
      </c>
      <c r="D267">
        <f>COUNT('01_Data'!$B267:$AW267)</f>
        <v/>
      </c>
      <c r="E267" s="5">
        <f>MEDIAN(-6,LN((C267+0.3)/(D267-C267+0.3)),6)</f>
        <v/>
      </c>
      <c r="F267" s="5">
        <f>SUMPRODUCT(('01_Data'!$B267:$AW267&lt;&gt;"")*(1/(1+EXP(-(E267-'03_Lap_b'!$B$5:$AW$5)))))</f>
        <v/>
      </c>
      <c r="G267" s="5">
        <f>SUMPRODUCT(('01_Data'!$B267:$AW267&lt;&gt;"")*(1/(1+EXP(-(E267-'03_Lap_b'!$B$5:$AW$5))))^2)</f>
        <v/>
      </c>
      <c r="H267" s="5">
        <f>MEDIAN(-6,E267+(C267-F267)/MAX(F267-G267,0.000000001),6)</f>
        <v/>
      </c>
      <c r="I267" s="5">
        <f>SUMPRODUCT(('01_Data'!$B267:$AW267&lt;&gt;"")*(1/(1+EXP(-(H267-'03_Lap_b'!$B$10:$AW$10)))))</f>
        <v/>
      </c>
      <c r="J267" s="5">
        <f>SUMPRODUCT(('01_Data'!$B267:$AW267&lt;&gt;"")*(1/(1+EXP(-(H267-'03_Lap_b'!$B$10:$AW$10))))^2)</f>
        <v/>
      </c>
      <c r="K267" s="5">
        <f>MEDIAN(-6,H267+(C267-I267)/MAX(I267-J267,0.000000001),6)</f>
        <v/>
      </c>
      <c r="L267" s="5">
        <f>SUMPRODUCT(('01_Data'!$B267:$AW267&lt;&gt;"")*(1/(1+EXP(-(K267-'03_Lap_b'!$B$15:$AW$15)))))</f>
        <v/>
      </c>
      <c r="M267" s="5">
        <f>SUMPRODUCT(('01_Data'!$B267:$AW267&lt;&gt;"")*(1/(1+EXP(-(K267-'03_Lap_b'!$B$15:$AW$15))))^2)</f>
        <v/>
      </c>
      <c r="N267" s="5">
        <f>MEDIAN(-6,K267+(C267-L267)/MAX(L267-M267,0.000000001),6)</f>
        <v/>
      </c>
      <c r="O267" s="5">
        <f>SUMPRODUCT(('01_Data'!$B267:$AW267&lt;&gt;"")*(1/(1+EXP(-(N267-'03_Lap_b'!$B$20:$AW$20)))))</f>
        <v/>
      </c>
      <c r="P267" s="5">
        <f>SUMPRODUCT(('01_Data'!$B267:$AW267&lt;&gt;"")*(1/(1+EXP(-(N267-'03_Lap_b'!$B$20:$AW$20))))^2)</f>
        <v/>
      </c>
      <c r="Q267" s="5">
        <f>MEDIAN(-6,N267+(C267-O267)/MAX(O267-P267,0.000000001),6)</f>
        <v/>
      </c>
      <c r="R267" s="5">
        <f>SUMPRODUCT(('01_Data'!$B267:$AW267&lt;&gt;"")*(1/(1+EXP(-(Q267-'03_Lap_b'!$B$25:$AW$25)))))</f>
        <v/>
      </c>
      <c r="S267" s="5">
        <f>SUMPRODUCT(('01_Data'!$B267:$AW267&lt;&gt;"")*(1/(1+EXP(-(Q267-'03_Lap_b'!$B$25:$AW$25))))^2)</f>
        <v/>
      </c>
      <c r="T267" s="5">
        <f>MEDIAN(-6,Q267+(C267-R267)/MAX(R267-S267,0.000000001),6)</f>
        <v/>
      </c>
      <c r="U267" s="5">
        <f>SUMPRODUCT(('01_Data'!$B267:$AW267&lt;&gt;"")*(1/(1+EXP(-(T267-'03_Lap_b'!$B$30:$AW$30)))))</f>
        <v/>
      </c>
      <c r="V267" s="5">
        <f>SUMPRODUCT(('01_Data'!$B267:$AW267&lt;&gt;"")*(1/(1+EXP(-(T267-'03_Lap_b'!$B$30:$AW$30))))^2)</f>
        <v/>
      </c>
      <c r="W267" s="5">
        <f>MEDIAN(-6,T267+(C267-U267)/MAX(U267-V267,0.000000001),6)</f>
        <v/>
      </c>
      <c r="X267" s="5">
        <f>SUMPRODUCT(('01_Data'!$B267:$AW267&lt;&gt;"")*(1/(1+EXP(-(W267-'03_Lap_b'!$B$35:$AW$35)))))</f>
        <v/>
      </c>
      <c r="Y267" s="5">
        <f>SUMPRODUCT(('01_Data'!$B267:$AW267&lt;&gt;"")*(1/(1+EXP(-(W267-'03_Lap_b'!$B$35:$AW$35))))^2)</f>
        <v/>
      </c>
      <c r="Z267" s="5">
        <f>MEDIAN(-6,W267+(C267-X267)/MAX(X267-Y267,0.000000001),6)</f>
        <v/>
      </c>
      <c r="AA267" s="5">
        <f>SUMPRODUCT(('01_Data'!$B267:$AW267&lt;&gt;"")*(1/(1+EXP(-(Z267-'03_Lap_b'!$B$40:$AW$40)))))</f>
        <v/>
      </c>
      <c r="AB267" s="5">
        <f>SUMPRODUCT(('01_Data'!$B267:$AW267&lt;&gt;"")*(1/(1+EXP(-(Z267-'03_Lap_b'!$B$40:$AW$40))))^2)</f>
        <v/>
      </c>
      <c r="AC267" s="5">
        <f>MEDIAN(-6,Z267+(C267-AA267)/MAX(AA267-AB267,0.000000001),6)</f>
        <v/>
      </c>
    </row>
    <row r="268">
      <c r="A268" t="n">
        <v>267</v>
      </c>
      <c r="B268">
        <f>'01_Data'!A268</f>
        <v/>
      </c>
      <c r="C268">
        <f>SUM('01_Data'!$B268:$AW268)</f>
        <v/>
      </c>
      <c r="D268">
        <f>COUNT('01_Data'!$B268:$AW268)</f>
        <v/>
      </c>
      <c r="E268" s="5">
        <f>MEDIAN(-6,LN((C268+0.3)/(D268-C268+0.3)),6)</f>
        <v/>
      </c>
      <c r="F268" s="5">
        <f>SUMPRODUCT(('01_Data'!$B268:$AW268&lt;&gt;"")*(1/(1+EXP(-(E268-'03_Lap_b'!$B$5:$AW$5)))))</f>
        <v/>
      </c>
      <c r="G268" s="5">
        <f>SUMPRODUCT(('01_Data'!$B268:$AW268&lt;&gt;"")*(1/(1+EXP(-(E268-'03_Lap_b'!$B$5:$AW$5))))^2)</f>
        <v/>
      </c>
      <c r="H268" s="5">
        <f>MEDIAN(-6,E268+(C268-F268)/MAX(F268-G268,0.000000001),6)</f>
        <v/>
      </c>
      <c r="I268" s="5">
        <f>SUMPRODUCT(('01_Data'!$B268:$AW268&lt;&gt;"")*(1/(1+EXP(-(H268-'03_Lap_b'!$B$10:$AW$10)))))</f>
        <v/>
      </c>
      <c r="J268" s="5">
        <f>SUMPRODUCT(('01_Data'!$B268:$AW268&lt;&gt;"")*(1/(1+EXP(-(H268-'03_Lap_b'!$B$10:$AW$10))))^2)</f>
        <v/>
      </c>
      <c r="K268" s="5">
        <f>MEDIAN(-6,H268+(C268-I268)/MAX(I268-J268,0.000000001),6)</f>
        <v/>
      </c>
      <c r="L268" s="5">
        <f>SUMPRODUCT(('01_Data'!$B268:$AW268&lt;&gt;"")*(1/(1+EXP(-(K268-'03_Lap_b'!$B$15:$AW$15)))))</f>
        <v/>
      </c>
      <c r="M268" s="5">
        <f>SUMPRODUCT(('01_Data'!$B268:$AW268&lt;&gt;"")*(1/(1+EXP(-(K268-'03_Lap_b'!$B$15:$AW$15))))^2)</f>
        <v/>
      </c>
      <c r="N268" s="5">
        <f>MEDIAN(-6,K268+(C268-L268)/MAX(L268-M268,0.000000001),6)</f>
        <v/>
      </c>
      <c r="O268" s="5">
        <f>SUMPRODUCT(('01_Data'!$B268:$AW268&lt;&gt;"")*(1/(1+EXP(-(N268-'03_Lap_b'!$B$20:$AW$20)))))</f>
        <v/>
      </c>
      <c r="P268" s="5">
        <f>SUMPRODUCT(('01_Data'!$B268:$AW268&lt;&gt;"")*(1/(1+EXP(-(N268-'03_Lap_b'!$B$20:$AW$20))))^2)</f>
        <v/>
      </c>
      <c r="Q268" s="5">
        <f>MEDIAN(-6,N268+(C268-O268)/MAX(O268-P268,0.000000001),6)</f>
        <v/>
      </c>
      <c r="R268" s="5">
        <f>SUMPRODUCT(('01_Data'!$B268:$AW268&lt;&gt;"")*(1/(1+EXP(-(Q268-'03_Lap_b'!$B$25:$AW$25)))))</f>
        <v/>
      </c>
      <c r="S268" s="5">
        <f>SUMPRODUCT(('01_Data'!$B268:$AW268&lt;&gt;"")*(1/(1+EXP(-(Q268-'03_Lap_b'!$B$25:$AW$25))))^2)</f>
        <v/>
      </c>
      <c r="T268" s="5">
        <f>MEDIAN(-6,Q268+(C268-R268)/MAX(R268-S268,0.000000001),6)</f>
        <v/>
      </c>
      <c r="U268" s="5">
        <f>SUMPRODUCT(('01_Data'!$B268:$AW268&lt;&gt;"")*(1/(1+EXP(-(T268-'03_Lap_b'!$B$30:$AW$30)))))</f>
        <v/>
      </c>
      <c r="V268" s="5">
        <f>SUMPRODUCT(('01_Data'!$B268:$AW268&lt;&gt;"")*(1/(1+EXP(-(T268-'03_Lap_b'!$B$30:$AW$30))))^2)</f>
        <v/>
      </c>
      <c r="W268" s="5">
        <f>MEDIAN(-6,T268+(C268-U268)/MAX(U268-V268,0.000000001),6)</f>
        <v/>
      </c>
      <c r="X268" s="5">
        <f>SUMPRODUCT(('01_Data'!$B268:$AW268&lt;&gt;"")*(1/(1+EXP(-(W268-'03_Lap_b'!$B$35:$AW$35)))))</f>
        <v/>
      </c>
      <c r="Y268" s="5">
        <f>SUMPRODUCT(('01_Data'!$B268:$AW268&lt;&gt;"")*(1/(1+EXP(-(W268-'03_Lap_b'!$B$35:$AW$35))))^2)</f>
        <v/>
      </c>
      <c r="Z268" s="5">
        <f>MEDIAN(-6,W268+(C268-X268)/MAX(X268-Y268,0.000000001),6)</f>
        <v/>
      </c>
      <c r="AA268" s="5">
        <f>SUMPRODUCT(('01_Data'!$B268:$AW268&lt;&gt;"")*(1/(1+EXP(-(Z268-'03_Lap_b'!$B$40:$AW$40)))))</f>
        <v/>
      </c>
      <c r="AB268" s="5">
        <f>SUMPRODUCT(('01_Data'!$B268:$AW268&lt;&gt;"")*(1/(1+EXP(-(Z268-'03_Lap_b'!$B$40:$AW$40))))^2)</f>
        <v/>
      </c>
      <c r="AC268" s="5">
        <f>MEDIAN(-6,Z268+(C268-AA268)/MAX(AA268-AB268,0.000000001),6)</f>
        <v/>
      </c>
    </row>
    <row r="269">
      <c r="A269" t="n">
        <v>268</v>
      </c>
      <c r="B269">
        <f>'01_Data'!A269</f>
        <v/>
      </c>
      <c r="C269">
        <f>SUM('01_Data'!$B269:$AW269)</f>
        <v/>
      </c>
      <c r="D269">
        <f>COUNT('01_Data'!$B269:$AW269)</f>
        <v/>
      </c>
      <c r="E269" s="5">
        <f>MEDIAN(-6,LN((C269+0.3)/(D269-C269+0.3)),6)</f>
        <v/>
      </c>
      <c r="F269" s="5">
        <f>SUMPRODUCT(('01_Data'!$B269:$AW269&lt;&gt;"")*(1/(1+EXP(-(E269-'03_Lap_b'!$B$5:$AW$5)))))</f>
        <v/>
      </c>
      <c r="G269" s="5">
        <f>SUMPRODUCT(('01_Data'!$B269:$AW269&lt;&gt;"")*(1/(1+EXP(-(E269-'03_Lap_b'!$B$5:$AW$5))))^2)</f>
        <v/>
      </c>
      <c r="H269" s="5">
        <f>MEDIAN(-6,E269+(C269-F269)/MAX(F269-G269,0.000000001),6)</f>
        <v/>
      </c>
      <c r="I269" s="5">
        <f>SUMPRODUCT(('01_Data'!$B269:$AW269&lt;&gt;"")*(1/(1+EXP(-(H269-'03_Lap_b'!$B$10:$AW$10)))))</f>
        <v/>
      </c>
      <c r="J269" s="5">
        <f>SUMPRODUCT(('01_Data'!$B269:$AW269&lt;&gt;"")*(1/(1+EXP(-(H269-'03_Lap_b'!$B$10:$AW$10))))^2)</f>
        <v/>
      </c>
      <c r="K269" s="5">
        <f>MEDIAN(-6,H269+(C269-I269)/MAX(I269-J269,0.000000001),6)</f>
        <v/>
      </c>
      <c r="L269" s="5">
        <f>SUMPRODUCT(('01_Data'!$B269:$AW269&lt;&gt;"")*(1/(1+EXP(-(K269-'03_Lap_b'!$B$15:$AW$15)))))</f>
        <v/>
      </c>
      <c r="M269" s="5">
        <f>SUMPRODUCT(('01_Data'!$B269:$AW269&lt;&gt;"")*(1/(1+EXP(-(K269-'03_Lap_b'!$B$15:$AW$15))))^2)</f>
        <v/>
      </c>
      <c r="N269" s="5">
        <f>MEDIAN(-6,K269+(C269-L269)/MAX(L269-M269,0.000000001),6)</f>
        <v/>
      </c>
      <c r="O269" s="5">
        <f>SUMPRODUCT(('01_Data'!$B269:$AW269&lt;&gt;"")*(1/(1+EXP(-(N269-'03_Lap_b'!$B$20:$AW$20)))))</f>
        <v/>
      </c>
      <c r="P269" s="5">
        <f>SUMPRODUCT(('01_Data'!$B269:$AW269&lt;&gt;"")*(1/(1+EXP(-(N269-'03_Lap_b'!$B$20:$AW$20))))^2)</f>
        <v/>
      </c>
      <c r="Q269" s="5">
        <f>MEDIAN(-6,N269+(C269-O269)/MAX(O269-P269,0.000000001),6)</f>
        <v/>
      </c>
      <c r="R269" s="5">
        <f>SUMPRODUCT(('01_Data'!$B269:$AW269&lt;&gt;"")*(1/(1+EXP(-(Q269-'03_Lap_b'!$B$25:$AW$25)))))</f>
        <v/>
      </c>
      <c r="S269" s="5">
        <f>SUMPRODUCT(('01_Data'!$B269:$AW269&lt;&gt;"")*(1/(1+EXP(-(Q269-'03_Lap_b'!$B$25:$AW$25))))^2)</f>
        <v/>
      </c>
      <c r="T269" s="5">
        <f>MEDIAN(-6,Q269+(C269-R269)/MAX(R269-S269,0.000000001),6)</f>
        <v/>
      </c>
      <c r="U269" s="5">
        <f>SUMPRODUCT(('01_Data'!$B269:$AW269&lt;&gt;"")*(1/(1+EXP(-(T269-'03_Lap_b'!$B$30:$AW$30)))))</f>
        <v/>
      </c>
      <c r="V269" s="5">
        <f>SUMPRODUCT(('01_Data'!$B269:$AW269&lt;&gt;"")*(1/(1+EXP(-(T269-'03_Lap_b'!$B$30:$AW$30))))^2)</f>
        <v/>
      </c>
      <c r="W269" s="5">
        <f>MEDIAN(-6,T269+(C269-U269)/MAX(U269-V269,0.000000001),6)</f>
        <v/>
      </c>
      <c r="X269" s="5">
        <f>SUMPRODUCT(('01_Data'!$B269:$AW269&lt;&gt;"")*(1/(1+EXP(-(W269-'03_Lap_b'!$B$35:$AW$35)))))</f>
        <v/>
      </c>
      <c r="Y269" s="5">
        <f>SUMPRODUCT(('01_Data'!$B269:$AW269&lt;&gt;"")*(1/(1+EXP(-(W269-'03_Lap_b'!$B$35:$AW$35))))^2)</f>
        <v/>
      </c>
      <c r="Z269" s="5">
        <f>MEDIAN(-6,W269+(C269-X269)/MAX(X269-Y269,0.000000001),6)</f>
        <v/>
      </c>
      <c r="AA269" s="5">
        <f>SUMPRODUCT(('01_Data'!$B269:$AW269&lt;&gt;"")*(1/(1+EXP(-(Z269-'03_Lap_b'!$B$40:$AW$40)))))</f>
        <v/>
      </c>
      <c r="AB269" s="5">
        <f>SUMPRODUCT(('01_Data'!$B269:$AW269&lt;&gt;"")*(1/(1+EXP(-(Z269-'03_Lap_b'!$B$40:$AW$40))))^2)</f>
        <v/>
      </c>
      <c r="AC269" s="5">
        <f>MEDIAN(-6,Z269+(C269-AA269)/MAX(AA269-AB269,0.000000001),6)</f>
        <v/>
      </c>
    </row>
    <row r="270">
      <c r="A270" t="n">
        <v>269</v>
      </c>
      <c r="B270">
        <f>'01_Data'!A270</f>
        <v/>
      </c>
      <c r="C270">
        <f>SUM('01_Data'!$B270:$AW270)</f>
        <v/>
      </c>
      <c r="D270">
        <f>COUNT('01_Data'!$B270:$AW270)</f>
        <v/>
      </c>
      <c r="E270" s="5">
        <f>MEDIAN(-6,LN((C270+0.3)/(D270-C270+0.3)),6)</f>
        <v/>
      </c>
      <c r="F270" s="5">
        <f>SUMPRODUCT(('01_Data'!$B270:$AW270&lt;&gt;"")*(1/(1+EXP(-(E270-'03_Lap_b'!$B$5:$AW$5)))))</f>
        <v/>
      </c>
      <c r="G270" s="5">
        <f>SUMPRODUCT(('01_Data'!$B270:$AW270&lt;&gt;"")*(1/(1+EXP(-(E270-'03_Lap_b'!$B$5:$AW$5))))^2)</f>
        <v/>
      </c>
      <c r="H270" s="5">
        <f>MEDIAN(-6,E270+(C270-F270)/MAX(F270-G270,0.000000001),6)</f>
        <v/>
      </c>
      <c r="I270" s="5">
        <f>SUMPRODUCT(('01_Data'!$B270:$AW270&lt;&gt;"")*(1/(1+EXP(-(H270-'03_Lap_b'!$B$10:$AW$10)))))</f>
        <v/>
      </c>
      <c r="J270" s="5">
        <f>SUMPRODUCT(('01_Data'!$B270:$AW270&lt;&gt;"")*(1/(1+EXP(-(H270-'03_Lap_b'!$B$10:$AW$10))))^2)</f>
        <v/>
      </c>
      <c r="K270" s="5">
        <f>MEDIAN(-6,H270+(C270-I270)/MAX(I270-J270,0.000000001),6)</f>
        <v/>
      </c>
      <c r="L270" s="5">
        <f>SUMPRODUCT(('01_Data'!$B270:$AW270&lt;&gt;"")*(1/(1+EXP(-(K270-'03_Lap_b'!$B$15:$AW$15)))))</f>
        <v/>
      </c>
      <c r="M270" s="5">
        <f>SUMPRODUCT(('01_Data'!$B270:$AW270&lt;&gt;"")*(1/(1+EXP(-(K270-'03_Lap_b'!$B$15:$AW$15))))^2)</f>
        <v/>
      </c>
      <c r="N270" s="5">
        <f>MEDIAN(-6,K270+(C270-L270)/MAX(L270-M270,0.000000001),6)</f>
        <v/>
      </c>
      <c r="O270" s="5">
        <f>SUMPRODUCT(('01_Data'!$B270:$AW270&lt;&gt;"")*(1/(1+EXP(-(N270-'03_Lap_b'!$B$20:$AW$20)))))</f>
        <v/>
      </c>
      <c r="P270" s="5">
        <f>SUMPRODUCT(('01_Data'!$B270:$AW270&lt;&gt;"")*(1/(1+EXP(-(N270-'03_Lap_b'!$B$20:$AW$20))))^2)</f>
        <v/>
      </c>
      <c r="Q270" s="5">
        <f>MEDIAN(-6,N270+(C270-O270)/MAX(O270-P270,0.000000001),6)</f>
        <v/>
      </c>
      <c r="R270" s="5">
        <f>SUMPRODUCT(('01_Data'!$B270:$AW270&lt;&gt;"")*(1/(1+EXP(-(Q270-'03_Lap_b'!$B$25:$AW$25)))))</f>
        <v/>
      </c>
      <c r="S270" s="5">
        <f>SUMPRODUCT(('01_Data'!$B270:$AW270&lt;&gt;"")*(1/(1+EXP(-(Q270-'03_Lap_b'!$B$25:$AW$25))))^2)</f>
        <v/>
      </c>
      <c r="T270" s="5">
        <f>MEDIAN(-6,Q270+(C270-R270)/MAX(R270-S270,0.000000001),6)</f>
        <v/>
      </c>
      <c r="U270" s="5">
        <f>SUMPRODUCT(('01_Data'!$B270:$AW270&lt;&gt;"")*(1/(1+EXP(-(T270-'03_Lap_b'!$B$30:$AW$30)))))</f>
        <v/>
      </c>
      <c r="V270" s="5">
        <f>SUMPRODUCT(('01_Data'!$B270:$AW270&lt;&gt;"")*(1/(1+EXP(-(T270-'03_Lap_b'!$B$30:$AW$30))))^2)</f>
        <v/>
      </c>
      <c r="W270" s="5">
        <f>MEDIAN(-6,T270+(C270-U270)/MAX(U270-V270,0.000000001),6)</f>
        <v/>
      </c>
      <c r="X270" s="5">
        <f>SUMPRODUCT(('01_Data'!$B270:$AW270&lt;&gt;"")*(1/(1+EXP(-(W270-'03_Lap_b'!$B$35:$AW$35)))))</f>
        <v/>
      </c>
      <c r="Y270" s="5">
        <f>SUMPRODUCT(('01_Data'!$B270:$AW270&lt;&gt;"")*(1/(1+EXP(-(W270-'03_Lap_b'!$B$35:$AW$35))))^2)</f>
        <v/>
      </c>
      <c r="Z270" s="5">
        <f>MEDIAN(-6,W270+(C270-X270)/MAX(X270-Y270,0.000000001),6)</f>
        <v/>
      </c>
      <c r="AA270" s="5">
        <f>SUMPRODUCT(('01_Data'!$B270:$AW270&lt;&gt;"")*(1/(1+EXP(-(Z270-'03_Lap_b'!$B$40:$AW$40)))))</f>
        <v/>
      </c>
      <c r="AB270" s="5">
        <f>SUMPRODUCT(('01_Data'!$B270:$AW270&lt;&gt;"")*(1/(1+EXP(-(Z270-'03_Lap_b'!$B$40:$AW$40))))^2)</f>
        <v/>
      </c>
      <c r="AC270" s="5">
        <f>MEDIAN(-6,Z270+(C270-AA270)/MAX(AA270-AB270,0.000000001),6)</f>
        <v/>
      </c>
    </row>
    <row r="271">
      <c r="A271" t="n">
        <v>270</v>
      </c>
      <c r="B271">
        <f>'01_Data'!A271</f>
        <v/>
      </c>
      <c r="C271">
        <f>SUM('01_Data'!$B271:$AW271)</f>
        <v/>
      </c>
      <c r="D271">
        <f>COUNT('01_Data'!$B271:$AW271)</f>
        <v/>
      </c>
      <c r="E271" s="5">
        <f>MEDIAN(-6,LN((C271+0.3)/(D271-C271+0.3)),6)</f>
        <v/>
      </c>
      <c r="F271" s="5">
        <f>SUMPRODUCT(('01_Data'!$B271:$AW271&lt;&gt;"")*(1/(1+EXP(-(E271-'03_Lap_b'!$B$5:$AW$5)))))</f>
        <v/>
      </c>
      <c r="G271" s="5">
        <f>SUMPRODUCT(('01_Data'!$B271:$AW271&lt;&gt;"")*(1/(1+EXP(-(E271-'03_Lap_b'!$B$5:$AW$5))))^2)</f>
        <v/>
      </c>
      <c r="H271" s="5">
        <f>MEDIAN(-6,E271+(C271-F271)/MAX(F271-G271,0.000000001),6)</f>
        <v/>
      </c>
      <c r="I271" s="5">
        <f>SUMPRODUCT(('01_Data'!$B271:$AW271&lt;&gt;"")*(1/(1+EXP(-(H271-'03_Lap_b'!$B$10:$AW$10)))))</f>
        <v/>
      </c>
      <c r="J271" s="5">
        <f>SUMPRODUCT(('01_Data'!$B271:$AW271&lt;&gt;"")*(1/(1+EXP(-(H271-'03_Lap_b'!$B$10:$AW$10))))^2)</f>
        <v/>
      </c>
      <c r="K271" s="5">
        <f>MEDIAN(-6,H271+(C271-I271)/MAX(I271-J271,0.000000001),6)</f>
        <v/>
      </c>
      <c r="L271" s="5">
        <f>SUMPRODUCT(('01_Data'!$B271:$AW271&lt;&gt;"")*(1/(1+EXP(-(K271-'03_Lap_b'!$B$15:$AW$15)))))</f>
        <v/>
      </c>
      <c r="M271" s="5">
        <f>SUMPRODUCT(('01_Data'!$B271:$AW271&lt;&gt;"")*(1/(1+EXP(-(K271-'03_Lap_b'!$B$15:$AW$15))))^2)</f>
        <v/>
      </c>
      <c r="N271" s="5">
        <f>MEDIAN(-6,K271+(C271-L271)/MAX(L271-M271,0.000000001),6)</f>
        <v/>
      </c>
      <c r="O271" s="5">
        <f>SUMPRODUCT(('01_Data'!$B271:$AW271&lt;&gt;"")*(1/(1+EXP(-(N271-'03_Lap_b'!$B$20:$AW$20)))))</f>
        <v/>
      </c>
      <c r="P271" s="5">
        <f>SUMPRODUCT(('01_Data'!$B271:$AW271&lt;&gt;"")*(1/(1+EXP(-(N271-'03_Lap_b'!$B$20:$AW$20))))^2)</f>
        <v/>
      </c>
      <c r="Q271" s="5">
        <f>MEDIAN(-6,N271+(C271-O271)/MAX(O271-P271,0.000000001),6)</f>
        <v/>
      </c>
      <c r="R271" s="5">
        <f>SUMPRODUCT(('01_Data'!$B271:$AW271&lt;&gt;"")*(1/(1+EXP(-(Q271-'03_Lap_b'!$B$25:$AW$25)))))</f>
        <v/>
      </c>
      <c r="S271" s="5">
        <f>SUMPRODUCT(('01_Data'!$B271:$AW271&lt;&gt;"")*(1/(1+EXP(-(Q271-'03_Lap_b'!$B$25:$AW$25))))^2)</f>
        <v/>
      </c>
      <c r="T271" s="5">
        <f>MEDIAN(-6,Q271+(C271-R271)/MAX(R271-S271,0.000000001),6)</f>
        <v/>
      </c>
      <c r="U271" s="5">
        <f>SUMPRODUCT(('01_Data'!$B271:$AW271&lt;&gt;"")*(1/(1+EXP(-(T271-'03_Lap_b'!$B$30:$AW$30)))))</f>
        <v/>
      </c>
      <c r="V271" s="5">
        <f>SUMPRODUCT(('01_Data'!$B271:$AW271&lt;&gt;"")*(1/(1+EXP(-(T271-'03_Lap_b'!$B$30:$AW$30))))^2)</f>
        <v/>
      </c>
      <c r="W271" s="5">
        <f>MEDIAN(-6,T271+(C271-U271)/MAX(U271-V271,0.000000001),6)</f>
        <v/>
      </c>
      <c r="X271" s="5">
        <f>SUMPRODUCT(('01_Data'!$B271:$AW271&lt;&gt;"")*(1/(1+EXP(-(W271-'03_Lap_b'!$B$35:$AW$35)))))</f>
        <v/>
      </c>
      <c r="Y271" s="5">
        <f>SUMPRODUCT(('01_Data'!$B271:$AW271&lt;&gt;"")*(1/(1+EXP(-(W271-'03_Lap_b'!$B$35:$AW$35))))^2)</f>
        <v/>
      </c>
      <c r="Z271" s="5">
        <f>MEDIAN(-6,W271+(C271-X271)/MAX(X271-Y271,0.000000001),6)</f>
        <v/>
      </c>
      <c r="AA271" s="5">
        <f>SUMPRODUCT(('01_Data'!$B271:$AW271&lt;&gt;"")*(1/(1+EXP(-(Z271-'03_Lap_b'!$B$40:$AW$40)))))</f>
        <v/>
      </c>
      <c r="AB271" s="5">
        <f>SUMPRODUCT(('01_Data'!$B271:$AW271&lt;&gt;"")*(1/(1+EXP(-(Z271-'03_Lap_b'!$B$40:$AW$40))))^2)</f>
        <v/>
      </c>
      <c r="AC271" s="5">
        <f>MEDIAN(-6,Z271+(C271-AA271)/MAX(AA271-AB271,0.000000001),6)</f>
        <v/>
      </c>
    </row>
    <row r="272">
      <c r="A272" t="n">
        <v>271</v>
      </c>
      <c r="B272">
        <f>'01_Data'!A272</f>
        <v/>
      </c>
      <c r="C272">
        <f>SUM('01_Data'!$B272:$AW272)</f>
        <v/>
      </c>
      <c r="D272">
        <f>COUNT('01_Data'!$B272:$AW272)</f>
        <v/>
      </c>
      <c r="E272" s="5">
        <f>MEDIAN(-6,LN((C272+0.3)/(D272-C272+0.3)),6)</f>
        <v/>
      </c>
      <c r="F272" s="5">
        <f>SUMPRODUCT(('01_Data'!$B272:$AW272&lt;&gt;"")*(1/(1+EXP(-(E272-'03_Lap_b'!$B$5:$AW$5)))))</f>
        <v/>
      </c>
      <c r="G272" s="5">
        <f>SUMPRODUCT(('01_Data'!$B272:$AW272&lt;&gt;"")*(1/(1+EXP(-(E272-'03_Lap_b'!$B$5:$AW$5))))^2)</f>
        <v/>
      </c>
      <c r="H272" s="5">
        <f>MEDIAN(-6,E272+(C272-F272)/MAX(F272-G272,0.000000001),6)</f>
        <v/>
      </c>
      <c r="I272" s="5">
        <f>SUMPRODUCT(('01_Data'!$B272:$AW272&lt;&gt;"")*(1/(1+EXP(-(H272-'03_Lap_b'!$B$10:$AW$10)))))</f>
        <v/>
      </c>
      <c r="J272" s="5">
        <f>SUMPRODUCT(('01_Data'!$B272:$AW272&lt;&gt;"")*(1/(1+EXP(-(H272-'03_Lap_b'!$B$10:$AW$10))))^2)</f>
        <v/>
      </c>
      <c r="K272" s="5">
        <f>MEDIAN(-6,H272+(C272-I272)/MAX(I272-J272,0.000000001),6)</f>
        <v/>
      </c>
      <c r="L272" s="5">
        <f>SUMPRODUCT(('01_Data'!$B272:$AW272&lt;&gt;"")*(1/(1+EXP(-(K272-'03_Lap_b'!$B$15:$AW$15)))))</f>
        <v/>
      </c>
      <c r="M272" s="5">
        <f>SUMPRODUCT(('01_Data'!$B272:$AW272&lt;&gt;"")*(1/(1+EXP(-(K272-'03_Lap_b'!$B$15:$AW$15))))^2)</f>
        <v/>
      </c>
      <c r="N272" s="5">
        <f>MEDIAN(-6,K272+(C272-L272)/MAX(L272-M272,0.000000001),6)</f>
        <v/>
      </c>
      <c r="O272" s="5">
        <f>SUMPRODUCT(('01_Data'!$B272:$AW272&lt;&gt;"")*(1/(1+EXP(-(N272-'03_Lap_b'!$B$20:$AW$20)))))</f>
        <v/>
      </c>
      <c r="P272" s="5">
        <f>SUMPRODUCT(('01_Data'!$B272:$AW272&lt;&gt;"")*(1/(1+EXP(-(N272-'03_Lap_b'!$B$20:$AW$20))))^2)</f>
        <v/>
      </c>
      <c r="Q272" s="5">
        <f>MEDIAN(-6,N272+(C272-O272)/MAX(O272-P272,0.000000001),6)</f>
        <v/>
      </c>
      <c r="R272" s="5">
        <f>SUMPRODUCT(('01_Data'!$B272:$AW272&lt;&gt;"")*(1/(1+EXP(-(Q272-'03_Lap_b'!$B$25:$AW$25)))))</f>
        <v/>
      </c>
      <c r="S272" s="5">
        <f>SUMPRODUCT(('01_Data'!$B272:$AW272&lt;&gt;"")*(1/(1+EXP(-(Q272-'03_Lap_b'!$B$25:$AW$25))))^2)</f>
        <v/>
      </c>
      <c r="T272" s="5">
        <f>MEDIAN(-6,Q272+(C272-R272)/MAX(R272-S272,0.000000001),6)</f>
        <v/>
      </c>
      <c r="U272" s="5">
        <f>SUMPRODUCT(('01_Data'!$B272:$AW272&lt;&gt;"")*(1/(1+EXP(-(T272-'03_Lap_b'!$B$30:$AW$30)))))</f>
        <v/>
      </c>
      <c r="V272" s="5">
        <f>SUMPRODUCT(('01_Data'!$B272:$AW272&lt;&gt;"")*(1/(1+EXP(-(T272-'03_Lap_b'!$B$30:$AW$30))))^2)</f>
        <v/>
      </c>
      <c r="W272" s="5">
        <f>MEDIAN(-6,T272+(C272-U272)/MAX(U272-V272,0.000000001),6)</f>
        <v/>
      </c>
      <c r="X272" s="5">
        <f>SUMPRODUCT(('01_Data'!$B272:$AW272&lt;&gt;"")*(1/(1+EXP(-(W272-'03_Lap_b'!$B$35:$AW$35)))))</f>
        <v/>
      </c>
      <c r="Y272" s="5">
        <f>SUMPRODUCT(('01_Data'!$B272:$AW272&lt;&gt;"")*(1/(1+EXP(-(W272-'03_Lap_b'!$B$35:$AW$35))))^2)</f>
        <v/>
      </c>
      <c r="Z272" s="5">
        <f>MEDIAN(-6,W272+(C272-X272)/MAX(X272-Y272,0.000000001),6)</f>
        <v/>
      </c>
      <c r="AA272" s="5">
        <f>SUMPRODUCT(('01_Data'!$B272:$AW272&lt;&gt;"")*(1/(1+EXP(-(Z272-'03_Lap_b'!$B$40:$AW$40)))))</f>
        <v/>
      </c>
      <c r="AB272" s="5">
        <f>SUMPRODUCT(('01_Data'!$B272:$AW272&lt;&gt;"")*(1/(1+EXP(-(Z272-'03_Lap_b'!$B$40:$AW$40))))^2)</f>
        <v/>
      </c>
      <c r="AC272" s="5">
        <f>MEDIAN(-6,Z272+(C272-AA272)/MAX(AA272-AB272,0.000000001),6)</f>
        <v/>
      </c>
    </row>
    <row r="273">
      <c r="A273" t="n">
        <v>272</v>
      </c>
      <c r="B273">
        <f>'01_Data'!A273</f>
        <v/>
      </c>
      <c r="C273">
        <f>SUM('01_Data'!$B273:$AW273)</f>
        <v/>
      </c>
      <c r="D273">
        <f>COUNT('01_Data'!$B273:$AW273)</f>
        <v/>
      </c>
      <c r="E273" s="5">
        <f>MEDIAN(-6,LN((C273+0.3)/(D273-C273+0.3)),6)</f>
        <v/>
      </c>
      <c r="F273" s="5">
        <f>SUMPRODUCT(('01_Data'!$B273:$AW273&lt;&gt;"")*(1/(1+EXP(-(E273-'03_Lap_b'!$B$5:$AW$5)))))</f>
        <v/>
      </c>
      <c r="G273" s="5">
        <f>SUMPRODUCT(('01_Data'!$B273:$AW273&lt;&gt;"")*(1/(1+EXP(-(E273-'03_Lap_b'!$B$5:$AW$5))))^2)</f>
        <v/>
      </c>
      <c r="H273" s="5">
        <f>MEDIAN(-6,E273+(C273-F273)/MAX(F273-G273,0.000000001),6)</f>
        <v/>
      </c>
      <c r="I273" s="5">
        <f>SUMPRODUCT(('01_Data'!$B273:$AW273&lt;&gt;"")*(1/(1+EXP(-(H273-'03_Lap_b'!$B$10:$AW$10)))))</f>
        <v/>
      </c>
      <c r="J273" s="5">
        <f>SUMPRODUCT(('01_Data'!$B273:$AW273&lt;&gt;"")*(1/(1+EXP(-(H273-'03_Lap_b'!$B$10:$AW$10))))^2)</f>
        <v/>
      </c>
      <c r="K273" s="5">
        <f>MEDIAN(-6,H273+(C273-I273)/MAX(I273-J273,0.000000001),6)</f>
        <v/>
      </c>
      <c r="L273" s="5">
        <f>SUMPRODUCT(('01_Data'!$B273:$AW273&lt;&gt;"")*(1/(1+EXP(-(K273-'03_Lap_b'!$B$15:$AW$15)))))</f>
        <v/>
      </c>
      <c r="M273" s="5">
        <f>SUMPRODUCT(('01_Data'!$B273:$AW273&lt;&gt;"")*(1/(1+EXP(-(K273-'03_Lap_b'!$B$15:$AW$15))))^2)</f>
        <v/>
      </c>
      <c r="N273" s="5">
        <f>MEDIAN(-6,K273+(C273-L273)/MAX(L273-M273,0.000000001),6)</f>
        <v/>
      </c>
      <c r="O273" s="5">
        <f>SUMPRODUCT(('01_Data'!$B273:$AW273&lt;&gt;"")*(1/(1+EXP(-(N273-'03_Lap_b'!$B$20:$AW$20)))))</f>
        <v/>
      </c>
      <c r="P273" s="5">
        <f>SUMPRODUCT(('01_Data'!$B273:$AW273&lt;&gt;"")*(1/(1+EXP(-(N273-'03_Lap_b'!$B$20:$AW$20))))^2)</f>
        <v/>
      </c>
      <c r="Q273" s="5">
        <f>MEDIAN(-6,N273+(C273-O273)/MAX(O273-P273,0.000000001),6)</f>
        <v/>
      </c>
      <c r="R273" s="5">
        <f>SUMPRODUCT(('01_Data'!$B273:$AW273&lt;&gt;"")*(1/(1+EXP(-(Q273-'03_Lap_b'!$B$25:$AW$25)))))</f>
        <v/>
      </c>
      <c r="S273" s="5">
        <f>SUMPRODUCT(('01_Data'!$B273:$AW273&lt;&gt;"")*(1/(1+EXP(-(Q273-'03_Lap_b'!$B$25:$AW$25))))^2)</f>
        <v/>
      </c>
      <c r="T273" s="5">
        <f>MEDIAN(-6,Q273+(C273-R273)/MAX(R273-S273,0.000000001),6)</f>
        <v/>
      </c>
      <c r="U273" s="5">
        <f>SUMPRODUCT(('01_Data'!$B273:$AW273&lt;&gt;"")*(1/(1+EXP(-(T273-'03_Lap_b'!$B$30:$AW$30)))))</f>
        <v/>
      </c>
      <c r="V273" s="5">
        <f>SUMPRODUCT(('01_Data'!$B273:$AW273&lt;&gt;"")*(1/(1+EXP(-(T273-'03_Lap_b'!$B$30:$AW$30))))^2)</f>
        <v/>
      </c>
      <c r="W273" s="5">
        <f>MEDIAN(-6,T273+(C273-U273)/MAX(U273-V273,0.000000001),6)</f>
        <v/>
      </c>
      <c r="X273" s="5">
        <f>SUMPRODUCT(('01_Data'!$B273:$AW273&lt;&gt;"")*(1/(1+EXP(-(W273-'03_Lap_b'!$B$35:$AW$35)))))</f>
        <v/>
      </c>
      <c r="Y273" s="5">
        <f>SUMPRODUCT(('01_Data'!$B273:$AW273&lt;&gt;"")*(1/(1+EXP(-(W273-'03_Lap_b'!$B$35:$AW$35))))^2)</f>
        <v/>
      </c>
      <c r="Z273" s="5">
        <f>MEDIAN(-6,W273+(C273-X273)/MAX(X273-Y273,0.000000001),6)</f>
        <v/>
      </c>
      <c r="AA273" s="5">
        <f>SUMPRODUCT(('01_Data'!$B273:$AW273&lt;&gt;"")*(1/(1+EXP(-(Z273-'03_Lap_b'!$B$40:$AW$40)))))</f>
        <v/>
      </c>
      <c r="AB273" s="5">
        <f>SUMPRODUCT(('01_Data'!$B273:$AW273&lt;&gt;"")*(1/(1+EXP(-(Z273-'03_Lap_b'!$B$40:$AW$40))))^2)</f>
        <v/>
      </c>
      <c r="AC273" s="5">
        <f>MEDIAN(-6,Z273+(C273-AA273)/MAX(AA273-AB273,0.000000001),6)</f>
        <v/>
      </c>
    </row>
    <row r="274">
      <c r="A274" t="n">
        <v>273</v>
      </c>
      <c r="B274">
        <f>'01_Data'!A274</f>
        <v/>
      </c>
      <c r="C274">
        <f>SUM('01_Data'!$B274:$AW274)</f>
        <v/>
      </c>
      <c r="D274">
        <f>COUNT('01_Data'!$B274:$AW274)</f>
        <v/>
      </c>
      <c r="E274" s="5">
        <f>MEDIAN(-6,LN((C274+0.3)/(D274-C274+0.3)),6)</f>
        <v/>
      </c>
      <c r="F274" s="5">
        <f>SUMPRODUCT(('01_Data'!$B274:$AW274&lt;&gt;"")*(1/(1+EXP(-(E274-'03_Lap_b'!$B$5:$AW$5)))))</f>
        <v/>
      </c>
      <c r="G274" s="5">
        <f>SUMPRODUCT(('01_Data'!$B274:$AW274&lt;&gt;"")*(1/(1+EXP(-(E274-'03_Lap_b'!$B$5:$AW$5))))^2)</f>
        <v/>
      </c>
      <c r="H274" s="5">
        <f>MEDIAN(-6,E274+(C274-F274)/MAX(F274-G274,0.000000001),6)</f>
        <v/>
      </c>
      <c r="I274" s="5">
        <f>SUMPRODUCT(('01_Data'!$B274:$AW274&lt;&gt;"")*(1/(1+EXP(-(H274-'03_Lap_b'!$B$10:$AW$10)))))</f>
        <v/>
      </c>
      <c r="J274" s="5">
        <f>SUMPRODUCT(('01_Data'!$B274:$AW274&lt;&gt;"")*(1/(1+EXP(-(H274-'03_Lap_b'!$B$10:$AW$10))))^2)</f>
        <v/>
      </c>
      <c r="K274" s="5">
        <f>MEDIAN(-6,H274+(C274-I274)/MAX(I274-J274,0.000000001),6)</f>
        <v/>
      </c>
      <c r="L274" s="5">
        <f>SUMPRODUCT(('01_Data'!$B274:$AW274&lt;&gt;"")*(1/(1+EXP(-(K274-'03_Lap_b'!$B$15:$AW$15)))))</f>
        <v/>
      </c>
      <c r="M274" s="5">
        <f>SUMPRODUCT(('01_Data'!$B274:$AW274&lt;&gt;"")*(1/(1+EXP(-(K274-'03_Lap_b'!$B$15:$AW$15))))^2)</f>
        <v/>
      </c>
      <c r="N274" s="5">
        <f>MEDIAN(-6,K274+(C274-L274)/MAX(L274-M274,0.000000001),6)</f>
        <v/>
      </c>
      <c r="O274" s="5">
        <f>SUMPRODUCT(('01_Data'!$B274:$AW274&lt;&gt;"")*(1/(1+EXP(-(N274-'03_Lap_b'!$B$20:$AW$20)))))</f>
        <v/>
      </c>
      <c r="P274" s="5">
        <f>SUMPRODUCT(('01_Data'!$B274:$AW274&lt;&gt;"")*(1/(1+EXP(-(N274-'03_Lap_b'!$B$20:$AW$20))))^2)</f>
        <v/>
      </c>
      <c r="Q274" s="5">
        <f>MEDIAN(-6,N274+(C274-O274)/MAX(O274-P274,0.000000001),6)</f>
        <v/>
      </c>
      <c r="R274" s="5">
        <f>SUMPRODUCT(('01_Data'!$B274:$AW274&lt;&gt;"")*(1/(1+EXP(-(Q274-'03_Lap_b'!$B$25:$AW$25)))))</f>
        <v/>
      </c>
      <c r="S274" s="5">
        <f>SUMPRODUCT(('01_Data'!$B274:$AW274&lt;&gt;"")*(1/(1+EXP(-(Q274-'03_Lap_b'!$B$25:$AW$25))))^2)</f>
        <v/>
      </c>
      <c r="T274" s="5">
        <f>MEDIAN(-6,Q274+(C274-R274)/MAX(R274-S274,0.000000001),6)</f>
        <v/>
      </c>
      <c r="U274" s="5">
        <f>SUMPRODUCT(('01_Data'!$B274:$AW274&lt;&gt;"")*(1/(1+EXP(-(T274-'03_Lap_b'!$B$30:$AW$30)))))</f>
        <v/>
      </c>
      <c r="V274" s="5">
        <f>SUMPRODUCT(('01_Data'!$B274:$AW274&lt;&gt;"")*(1/(1+EXP(-(T274-'03_Lap_b'!$B$30:$AW$30))))^2)</f>
        <v/>
      </c>
      <c r="W274" s="5">
        <f>MEDIAN(-6,T274+(C274-U274)/MAX(U274-V274,0.000000001),6)</f>
        <v/>
      </c>
      <c r="X274" s="5">
        <f>SUMPRODUCT(('01_Data'!$B274:$AW274&lt;&gt;"")*(1/(1+EXP(-(W274-'03_Lap_b'!$B$35:$AW$35)))))</f>
        <v/>
      </c>
      <c r="Y274" s="5">
        <f>SUMPRODUCT(('01_Data'!$B274:$AW274&lt;&gt;"")*(1/(1+EXP(-(W274-'03_Lap_b'!$B$35:$AW$35))))^2)</f>
        <v/>
      </c>
      <c r="Z274" s="5">
        <f>MEDIAN(-6,W274+(C274-X274)/MAX(X274-Y274,0.000000001),6)</f>
        <v/>
      </c>
      <c r="AA274" s="5">
        <f>SUMPRODUCT(('01_Data'!$B274:$AW274&lt;&gt;"")*(1/(1+EXP(-(Z274-'03_Lap_b'!$B$40:$AW$40)))))</f>
        <v/>
      </c>
      <c r="AB274" s="5">
        <f>SUMPRODUCT(('01_Data'!$B274:$AW274&lt;&gt;"")*(1/(1+EXP(-(Z274-'03_Lap_b'!$B$40:$AW$40))))^2)</f>
        <v/>
      </c>
      <c r="AC274" s="5">
        <f>MEDIAN(-6,Z274+(C274-AA274)/MAX(AA274-AB274,0.000000001),6)</f>
        <v/>
      </c>
    </row>
    <row r="275">
      <c r="A275" t="n">
        <v>274</v>
      </c>
      <c r="B275">
        <f>'01_Data'!A275</f>
        <v/>
      </c>
      <c r="C275">
        <f>SUM('01_Data'!$B275:$AW275)</f>
        <v/>
      </c>
      <c r="D275">
        <f>COUNT('01_Data'!$B275:$AW275)</f>
        <v/>
      </c>
      <c r="E275" s="5">
        <f>MEDIAN(-6,LN((C275+0.3)/(D275-C275+0.3)),6)</f>
        <v/>
      </c>
      <c r="F275" s="5">
        <f>SUMPRODUCT(('01_Data'!$B275:$AW275&lt;&gt;"")*(1/(1+EXP(-(E275-'03_Lap_b'!$B$5:$AW$5)))))</f>
        <v/>
      </c>
      <c r="G275" s="5">
        <f>SUMPRODUCT(('01_Data'!$B275:$AW275&lt;&gt;"")*(1/(1+EXP(-(E275-'03_Lap_b'!$B$5:$AW$5))))^2)</f>
        <v/>
      </c>
      <c r="H275" s="5">
        <f>MEDIAN(-6,E275+(C275-F275)/MAX(F275-G275,0.000000001),6)</f>
        <v/>
      </c>
      <c r="I275" s="5">
        <f>SUMPRODUCT(('01_Data'!$B275:$AW275&lt;&gt;"")*(1/(1+EXP(-(H275-'03_Lap_b'!$B$10:$AW$10)))))</f>
        <v/>
      </c>
      <c r="J275" s="5">
        <f>SUMPRODUCT(('01_Data'!$B275:$AW275&lt;&gt;"")*(1/(1+EXP(-(H275-'03_Lap_b'!$B$10:$AW$10))))^2)</f>
        <v/>
      </c>
      <c r="K275" s="5">
        <f>MEDIAN(-6,H275+(C275-I275)/MAX(I275-J275,0.000000001),6)</f>
        <v/>
      </c>
      <c r="L275" s="5">
        <f>SUMPRODUCT(('01_Data'!$B275:$AW275&lt;&gt;"")*(1/(1+EXP(-(K275-'03_Lap_b'!$B$15:$AW$15)))))</f>
        <v/>
      </c>
      <c r="M275" s="5">
        <f>SUMPRODUCT(('01_Data'!$B275:$AW275&lt;&gt;"")*(1/(1+EXP(-(K275-'03_Lap_b'!$B$15:$AW$15))))^2)</f>
        <v/>
      </c>
      <c r="N275" s="5">
        <f>MEDIAN(-6,K275+(C275-L275)/MAX(L275-M275,0.000000001),6)</f>
        <v/>
      </c>
      <c r="O275" s="5">
        <f>SUMPRODUCT(('01_Data'!$B275:$AW275&lt;&gt;"")*(1/(1+EXP(-(N275-'03_Lap_b'!$B$20:$AW$20)))))</f>
        <v/>
      </c>
      <c r="P275" s="5">
        <f>SUMPRODUCT(('01_Data'!$B275:$AW275&lt;&gt;"")*(1/(1+EXP(-(N275-'03_Lap_b'!$B$20:$AW$20))))^2)</f>
        <v/>
      </c>
      <c r="Q275" s="5">
        <f>MEDIAN(-6,N275+(C275-O275)/MAX(O275-P275,0.000000001),6)</f>
        <v/>
      </c>
      <c r="R275" s="5">
        <f>SUMPRODUCT(('01_Data'!$B275:$AW275&lt;&gt;"")*(1/(1+EXP(-(Q275-'03_Lap_b'!$B$25:$AW$25)))))</f>
        <v/>
      </c>
      <c r="S275" s="5">
        <f>SUMPRODUCT(('01_Data'!$B275:$AW275&lt;&gt;"")*(1/(1+EXP(-(Q275-'03_Lap_b'!$B$25:$AW$25))))^2)</f>
        <v/>
      </c>
      <c r="T275" s="5">
        <f>MEDIAN(-6,Q275+(C275-R275)/MAX(R275-S275,0.000000001),6)</f>
        <v/>
      </c>
      <c r="U275" s="5">
        <f>SUMPRODUCT(('01_Data'!$B275:$AW275&lt;&gt;"")*(1/(1+EXP(-(T275-'03_Lap_b'!$B$30:$AW$30)))))</f>
        <v/>
      </c>
      <c r="V275" s="5">
        <f>SUMPRODUCT(('01_Data'!$B275:$AW275&lt;&gt;"")*(1/(1+EXP(-(T275-'03_Lap_b'!$B$30:$AW$30))))^2)</f>
        <v/>
      </c>
      <c r="W275" s="5">
        <f>MEDIAN(-6,T275+(C275-U275)/MAX(U275-V275,0.000000001),6)</f>
        <v/>
      </c>
      <c r="X275" s="5">
        <f>SUMPRODUCT(('01_Data'!$B275:$AW275&lt;&gt;"")*(1/(1+EXP(-(W275-'03_Lap_b'!$B$35:$AW$35)))))</f>
        <v/>
      </c>
      <c r="Y275" s="5">
        <f>SUMPRODUCT(('01_Data'!$B275:$AW275&lt;&gt;"")*(1/(1+EXP(-(W275-'03_Lap_b'!$B$35:$AW$35))))^2)</f>
        <v/>
      </c>
      <c r="Z275" s="5">
        <f>MEDIAN(-6,W275+(C275-X275)/MAX(X275-Y275,0.000000001),6)</f>
        <v/>
      </c>
      <c r="AA275" s="5">
        <f>SUMPRODUCT(('01_Data'!$B275:$AW275&lt;&gt;"")*(1/(1+EXP(-(Z275-'03_Lap_b'!$B$40:$AW$40)))))</f>
        <v/>
      </c>
      <c r="AB275" s="5">
        <f>SUMPRODUCT(('01_Data'!$B275:$AW275&lt;&gt;"")*(1/(1+EXP(-(Z275-'03_Lap_b'!$B$40:$AW$40))))^2)</f>
        <v/>
      </c>
      <c r="AC275" s="5">
        <f>MEDIAN(-6,Z275+(C275-AA275)/MAX(AA275-AB275,0.000000001),6)</f>
        <v/>
      </c>
    </row>
    <row r="276">
      <c r="A276" t="n">
        <v>275</v>
      </c>
      <c r="B276">
        <f>'01_Data'!A276</f>
        <v/>
      </c>
      <c r="C276">
        <f>SUM('01_Data'!$B276:$AW276)</f>
        <v/>
      </c>
      <c r="D276">
        <f>COUNT('01_Data'!$B276:$AW276)</f>
        <v/>
      </c>
      <c r="E276" s="5">
        <f>MEDIAN(-6,LN((C276+0.3)/(D276-C276+0.3)),6)</f>
        <v/>
      </c>
      <c r="F276" s="5">
        <f>SUMPRODUCT(('01_Data'!$B276:$AW276&lt;&gt;"")*(1/(1+EXP(-(E276-'03_Lap_b'!$B$5:$AW$5)))))</f>
        <v/>
      </c>
      <c r="G276" s="5">
        <f>SUMPRODUCT(('01_Data'!$B276:$AW276&lt;&gt;"")*(1/(1+EXP(-(E276-'03_Lap_b'!$B$5:$AW$5))))^2)</f>
        <v/>
      </c>
      <c r="H276" s="5">
        <f>MEDIAN(-6,E276+(C276-F276)/MAX(F276-G276,0.000000001),6)</f>
        <v/>
      </c>
      <c r="I276" s="5">
        <f>SUMPRODUCT(('01_Data'!$B276:$AW276&lt;&gt;"")*(1/(1+EXP(-(H276-'03_Lap_b'!$B$10:$AW$10)))))</f>
        <v/>
      </c>
      <c r="J276" s="5">
        <f>SUMPRODUCT(('01_Data'!$B276:$AW276&lt;&gt;"")*(1/(1+EXP(-(H276-'03_Lap_b'!$B$10:$AW$10))))^2)</f>
        <v/>
      </c>
      <c r="K276" s="5">
        <f>MEDIAN(-6,H276+(C276-I276)/MAX(I276-J276,0.000000001),6)</f>
        <v/>
      </c>
      <c r="L276" s="5">
        <f>SUMPRODUCT(('01_Data'!$B276:$AW276&lt;&gt;"")*(1/(1+EXP(-(K276-'03_Lap_b'!$B$15:$AW$15)))))</f>
        <v/>
      </c>
      <c r="M276" s="5">
        <f>SUMPRODUCT(('01_Data'!$B276:$AW276&lt;&gt;"")*(1/(1+EXP(-(K276-'03_Lap_b'!$B$15:$AW$15))))^2)</f>
        <v/>
      </c>
      <c r="N276" s="5">
        <f>MEDIAN(-6,K276+(C276-L276)/MAX(L276-M276,0.000000001),6)</f>
        <v/>
      </c>
      <c r="O276" s="5">
        <f>SUMPRODUCT(('01_Data'!$B276:$AW276&lt;&gt;"")*(1/(1+EXP(-(N276-'03_Lap_b'!$B$20:$AW$20)))))</f>
        <v/>
      </c>
      <c r="P276" s="5">
        <f>SUMPRODUCT(('01_Data'!$B276:$AW276&lt;&gt;"")*(1/(1+EXP(-(N276-'03_Lap_b'!$B$20:$AW$20))))^2)</f>
        <v/>
      </c>
      <c r="Q276" s="5">
        <f>MEDIAN(-6,N276+(C276-O276)/MAX(O276-P276,0.000000001),6)</f>
        <v/>
      </c>
      <c r="R276" s="5">
        <f>SUMPRODUCT(('01_Data'!$B276:$AW276&lt;&gt;"")*(1/(1+EXP(-(Q276-'03_Lap_b'!$B$25:$AW$25)))))</f>
        <v/>
      </c>
      <c r="S276" s="5">
        <f>SUMPRODUCT(('01_Data'!$B276:$AW276&lt;&gt;"")*(1/(1+EXP(-(Q276-'03_Lap_b'!$B$25:$AW$25))))^2)</f>
        <v/>
      </c>
      <c r="T276" s="5">
        <f>MEDIAN(-6,Q276+(C276-R276)/MAX(R276-S276,0.000000001),6)</f>
        <v/>
      </c>
      <c r="U276" s="5">
        <f>SUMPRODUCT(('01_Data'!$B276:$AW276&lt;&gt;"")*(1/(1+EXP(-(T276-'03_Lap_b'!$B$30:$AW$30)))))</f>
        <v/>
      </c>
      <c r="V276" s="5">
        <f>SUMPRODUCT(('01_Data'!$B276:$AW276&lt;&gt;"")*(1/(1+EXP(-(T276-'03_Lap_b'!$B$30:$AW$30))))^2)</f>
        <v/>
      </c>
      <c r="W276" s="5">
        <f>MEDIAN(-6,T276+(C276-U276)/MAX(U276-V276,0.000000001),6)</f>
        <v/>
      </c>
      <c r="X276" s="5">
        <f>SUMPRODUCT(('01_Data'!$B276:$AW276&lt;&gt;"")*(1/(1+EXP(-(W276-'03_Lap_b'!$B$35:$AW$35)))))</f>
        <v/>
      </c>
      <c r="Y276" s="5">
        <f>SUMPRODUCT(('01_Data'!$B276:$AW276&lt;&gt;"")*(1/(1+EXP(-(W276-'03_Lap_b'!$B$35:$AW$35))))^2)</f>
        <v/>
      </c>
      <c r="Z276" s="5">
        <f>MEDIAN(-6,W276+(C276-X276)/MAX(X276-Y276,0.000000001),6)</f>
        <v/>
      </c>
      <c r="AA276" s="5">
        <f>SUMPRODUCT(('01_Data'!$B276:$AW276&lt;&gt;"")*(1/(1+EXP(-(Z276-'03_Lap_b'!$B$40:$AW$40)))))</f>
        <v/>
      </c>
      <c r="AB276" s="5">
        <f>SUMPRODUCT(('01_Data'!$B276:$AW276&lt;&gt;"")*(1/(1+EXP(-(Z276-'03_Lap_b'!$B$40:$AW$40))))^2)</f>
        <v/>
      </c>
      <c r="AC276" s="5">
        <f>MEDIAN(-6,Z276+(C276-AA276)/MAX(AA276-AB276,0.000000001),6)</f>
        <v/>
      </c>
    </row>
    <row r="277">
      <c r="A277" t="n">
        <v>276</v>
      </c>
      <c r="B277">
        <f>'01_Data'!A277</f>
        <v/>
      </c>
      <c r="C277">
        <f>SUM('01_Data'!$B277:$AW277)</f>
        <v/>
      </c>
      <c r="D277">
        <f>COUNT('01_Data'!$B277:$AW277)</f>
        <v/>
      </c>
      <c r="E277" s="5">
        <f>MEDIAN(-6,LN((C277+0.3)/(D277-C277+0.3)),6)</f>
        <v/>
      </c>
      <c r="F277" s="5">
        <f>SUMPRODUCT(('01_Data'!$B277:$AW277&lt;&gt;"")*(1/(1+EXP(-(E277-'03_Lap_b'!$B$5:$AW$5)))))</f>
        <v/>
      </c>
      <c r="G277" s="5">
        <f>SUMPRODUCT(('01_Data'!$B277:$AW277&lt;&gt;"")*(1/(1+EXP(-(E277-'03_Lap_b'!$B$5:$AW$5))))^2)</f>
        <v/>
      </c>
      <c r="H277" s="5">
        <f>MEDIAN(-6,E277+(C277-F277)/MAX(F277-G277,0.000000001),6)</f>
        <v/>
      </c>
      <c r="I277" s="5">
        <f>SUMPRODUCT(('01_Data'!$B277:$AW277&lt;&gt;"")*(1/(1+EXP(-(H277-'03_Lap_b'!$B$10:$AW$10)))))</f>
        <v/>
      </c>
      <c r="J277" s="5">
        <f>SUMPRODUCT(('01_Data'!$B277:$AW277&lt;&gt;"")*(1/(1+EXP(-(H277-'03_Lap_b'!$B$10:$AW$10))))^2)</f>
        <v/>
      </c>
      <c r="K277" s="5">
        <f>MEDIAN(-6,H277+(C277-I277)/MAX(I277-J277,0.000000001),6)</f>
        <v/>
      </c>
      <c r="L277" s="5">
        <f>SUMPRODUCT(('01_Data'!$B277:$AW277&lt;&gt;"")*(1/(1+EXP(-(K277-'03_Lap_b'!$B$15:$AW$15)))))</f>
        <v/>
      </c>
      <c r="M277" s="5">
        <f>SUMPRODUCT(('01_Data'!$B277:$AW277&lt;&gt;"")*(1/(1+EXP(-(K277-'03_Lap_b'!$B$15:$AW$15))))^2)</f>
        <v/>
      </c>
      <c r="N277" s="5">
        <f>MEDIAN(-6,K277+(C277-L277)/MAX(L277-M277,0.000000001),6)</f>
        <v/>
      </c>
      <c r="O277" s="5">
        <f>SUMPRODUCT(('01_Data'!$B277:$AW277&lt;&gt;"")*(1/(1+EXP(-(N277-'03_Lap_b'!$B$20:$AW$20)))))</f>
        <v/>
      </c>
      <c r="P277" s="5">
        <f>SUMPRODUCT(('01_Data'!$B277:$AW277&lt;&gt;"")*(1/(1+EXP(-(N277-'03_Lap_b'!$B$20:$AW$20))))^2)</f>
        <v/>
      </c>
      <c r="Q277" s="5">
        <f>MEDIAN(-6,N277+(C277-O277)/MAX(O277-P277,0.000000001),6)</f>
        <v/>
      </c>
      <c r="R277" s="5">
        <f>SUMPRODUCT(('01_Data'!$B277:$AW277&lt;&gt;"")*(1/(1+EXP(-(Q277-'03_Lap_b'!$B$25:$AW$25)))))</f>
        <v/>
      </c>
      <c r="S277" s="5">
        <f>SUMPRODUCT(('01_Data'!$B277:$AW277&lt;&gt;"")*(1/(1+EXP(-(Q277-'03_Lap_b'!$B$25:$AW$25))))^2)</f>
        <v/>
      </c>
      <c r="T277" s="5">
        <f>MEDIAN(-6,Q277+(C277-R277)/MAX(R277-S277,0.000000001),6)</f>
        <v/>
      </c>
      <c r="U277" s="5">
        <f>SUMPRODUCT(('01_Data'!$B277:$AW277&lt;&gt;"")*(1/(1+EXP(-(T277-'03_Lap_b'!$B$30:$AW$30)))))</f>
        <v/>
      </c>
      <c r="V277" s="5">
        <f>SUMPRODUCT(('01_Data'!$B277:$AW277&lt;&gt;"")*(1/(1+EXP(-(T277-'03_Lap_b'!$B$30:$AW$30))))^2)</f>
        <v/>
      </c>
      <c r="W277" s="5">
        <f>MEDIAN(-6,T277+(C277-U277)/MAX(U277-V277,0.000000001),6)</f>
        <v/>
      </c>
      <c r="X277" s="5">
        <f>SUMPRODUCT(('01_Data'!$B277:$AW277&lt;&gt;"")*(1/(1+EXP(-(W277-'03_Lap_b'!$B$35:$AW$35)))))</f>
        <v/>
      </c>
      <c r="Y277" s="5">
        <f>SUMPRODUCT(('01_Data'!$B277:$AW277&lt;&gt;"")*(1/(1+EXP(-(W277-'03_Lap_b'!$B$35:$AW$35))))^2)</f>
        <v/>
      </c>
      <c r="Z277" s="5">
        <f>MEDIAN(-6,W277+(C277-X277)/MAX(X277-Y277,0.000000001),6)</f>
        <v/>
      </c>
      <c r="AA277" s="5">
        <f>SUMPRODUCT(('01_Data'!$B277:$AW277&lt;&gt;"")*(1/(1+EXP(-(Z277-'03_Lap_b'!$B$40:$AW$40)))))</f>
        <v/>
      </c>
      <c r="AB277" s="5">
        <f>SUMPRODUCT(('01_Data'!$B277:$AW277&lt;&gt;"")*(1/(1+EXP(-(Z277-'03_Lap_b'!$B$40:$AW$40))))^2)</f>
        <v/>
      </c>
      <c r="AC277" s="5">
        <f>MEDIAN(-6,Z277+(C277-AA277)/MAX(AA277-AB277,0.000000001),6)</f>
        <v/>
      </c>
    </row>
    <row r="278">
      <c r="A278" t="n">
        <v>277</v>
      </c>
      <c r="B278">
        <f>'01_Data'!A278</f>
        <v/>
      </c>
      <c r="C278">
        <f>SUM('01_Data'!$B278:$AW278)</f>
        <v/>
      </c>
      <c r="D278">
        <f>COUNT('01_Data'!$B278:$AW278)</f>
        <v/>
      </c>
      <c r="E278" s="5">
        <f>MEDIAN(-6,LN((C278+0.3)/(D278-C278+0.3)),6)</f>
        <v/>
      </c>
      <c r="F278" s="5">
        <f>SUMPRODUCT(('01_Data'!$B278:$AW278&lt;&gt;"")*(1/(1+EXP(-(E278-'03_Lap_b'!$B$5:$AW$5)))))</f>
        <v/>
      </c>
      <c r="G278" s="5">
        <f>SUMPRODUCT(('01_Data'!$B278:$AW278&lt;&gt;"")*(1/(1+EXP(-(E278-'03_Lap_b'!$B$5:$AW$5))))^2)</f>
        <v/>
      </c>
      <c r="H278" s="5">
        <f>MEDIAN(-6,E278+(C278-F278)/MAX(F278-G278,0.000000001),6)</f>
        <v/>
      </c>
      <c r="I278" s="5">
        <f>SUMPRODUCT(('01_Data'!$B278:$AW278&lt;&gt;"")*(1/(1+EXP(-(H278-'03_Lap_b'!$B$10:$AW$10)))))</f>
        <v/>
      </c>
      <c r="J278" s="5">
        <f>SUMPRODUCT(('01_Data'!$B278:$AW278&lt;&gt;"")*(1/(1+EXP(-(H278-'03_Lap_b'!$B$10:$AW$10))))^2)</f>
        <v/>
      </c>
      <c r="K278" s="5">
        <f>MEDIAN(-6,H278+(C278-I278)/MAX(I278-J278,0.000000001),6)</f>
        <v/>
      </c>
      <c r="L278" s="5">
        <f>SUMPRODUCT(('01_Data'!$B278:$AW278&lt;&gt;"")*(1/(1+EXP(-(K278-'03_Lap_b'!$B$15:$AW$15)))))</f>
        <v/>
      </c>
      <c r="M278" s="5">
        <f>SUMPRODUCT(('01_Data'!$B278:$AW278&lt;&gt;"")*(1/(1+EXP(-(K278-'03_Lap_b'!$B$15:$AW$15))))^2)</f>
        <v/>
      </c>
      <c r="N278" s="5">
        <f>MEDIAN(-6,K278+(C278-L278)/MAX(L278-M278,0.000000001),6)</f>
        <v/>
      </c>
      <c r="O278" s="5">
        <f>SUMPRODUCT(('01_Data'!$B278:$AW278&lt;&gt;"")*(1/(1+EXP(-(N278-'03_Lap_b'!$B$20:$AW$20)))))</f>
        <v/>
      </c>
      <c r="P278" s="5">
        <f>SUMPRODUCT(('01_Data'!$B278:$AW278&lt;&gt;"")*(1/(1+EXP(-(N278-'03_Lap_b'!$B$20:$AW$20))))^2)</f>
        <v/>
      </c>
      <c r="Q278" s="5">
        <f>MEDIAN(-6,N278+(C278-O278)/MAX(O278-P278,0.000000001),6)</f>
        <v/>
      </c>
      <c r="R278" s="5">
        <f>SUMPRODUCT(('01_Data'!$B278:$AW278&lt;&gt;"")*(1/(1+EXP(-(Q278-'03_Lap_b'!$B$25:$AW$25)))))</f>
        <v/>
      </c>
      <c r="S278" s="5">
        <f>SUMPRODUCT(('01_Data'!$B278:$AW278&lt;&gt;"")*(1/(1+EXP(-(Q278-'03_Lap_b'!$B$25:$AW$25))))^2)</f>
        <v/>
      </c>
      <c r="T278" s="5">
        <f>MEDIAN(-6,Q278+(C278-R278)/MAX(R278-S278,0.000000001),6)</f>
        <v/>
      </c>
      <c r="U278" s="5">
        <f>SUMPRODUCT(('01_Data'!$B278:$AW278&lt;&gt;"")*(1/(1+EXP(-(T278-'03_Lap_b'!$B$30:$AW$30)))))</f>
        <v/>
      </c>
      <c r="V278" s="5">
        <f>SUMPRODUCT(('01_Data'!$B278:$AW278&lt;&gt;"")*(1/(1+EXP(-(T278-'03_Lap_b'!$B$30:$AW$30))))^2)</f>
        <v/>
      </c>
      <c r="W278" s="5">
        <f>MEDIAN(-6,T278+(C278-U278)/MAX(U278-V278,0.000000001),6)</f>
        <v/>
      </c>
      <c r="X278" s="5">
        <f>SUMPRODUCT(('01_Data'!$B278:$AW278&lt;&gt;"")*(1/(1+EXP(-(W278-'03_Lap_b'!$B$35:$AW$35)))))</f>
        <v/>
      </c>
      <c r="Y278" s="5">
        <f>SUMPRODUCT(('01_Data'!$B278:$AW278&lt;&gt;"")*(1/(1+EXP(-(W278-'03_Lap_b'!$B$35:$AW$35))))^2)</f>
        <v/>
      </c>
      <c r="Z278" s="5">
        <f>MEDIAN(-6,W278+(C278-X278)/MAX(X278-Y278,0.000000001),6)</f>
        <v/>
      </c>
      <c r="AA278" s="5">
        <f>SUMPRODUCT(('01_Data'!$B278:$AW278&lt;&gt;"")*(1/(1+EXP(-(Z278-'03_Lap_b'!$B$40:$AW$40)))))</f>
        <v/>
      </c>
      <c r="AB278" s="5">
        <f>SUMPRODUCT(('01_Data'!$B278:$AW278&lt;&gt;"")*(1/(1+EXP(-(Z278-'03_Lap_b'!$B$40:$AW$40))))^2)</f>
        <v/>
      </c>
      <c r="AC278" s="5">
        <f>MEDIAN(-6,Z278+(C278-AA278)/MAX(AA278-AB278,0.000000001),6)</f>
        <v/>
      </c>
    </row>
    <row r="279">
      <c r="A279" t="n">
        <v>278</v>
      </c>
      <c r="B279">
        <f>'01_Data'!A279</f>
        <v/>
      </c>
      <c r="C279">
        <f>SUM('01_Data'!$B279:$AW279)</f>
        <v/>
      </c>
      <c r="D279">
        <f>COUNT('01_Data'!$B279:$AW279)</f>
        <v/>
      </c>
      <c r="E279" s="5">
        <f>MEDIAN(-6,LN((C279+0.3)/(D279-C279+0.3)),6)</f>
        <v/>
      </c>
      <c r="F279" s="5">
        <f>SUMPRODUCT(('01_Data'!$B279:$AW279&lt;&gt;"")*(1/(1+EXP(-(E279-'03_Lap_b'!$B$5:$AW$5)))))</f>
        <v/>
      </c>
      <c r="G279" s="5">
        <f>SUMPRODUCT(('01_Data'!$B279:$AW279&lt;&gt;"")*(1/(1+EXP(-(E279-'03_Lap_b'!$B$5:$AW$5))))^2)</f>
        <v/>
      </c>
      <c r="H279" s="5">
        <f>MEDIAN(-6,E279+(C279-F279)/MAX(F279-G279,0.000000001),6)</f>
        <v/>
      </c>
      <c r="I279" s="5">
        <f>SUMPRODUCT(('01_Data'!$B279:$AW279&lt;&gt;"")*(1/(1+EXP(-(H279-'03_Lap_b'!$B$10:$AW$10)))))</f>
        <v/>
      </c>
      <c r="J279" s="5">
        <f>SUMPRODUCT(('01_Data'!$B279:$AW279&lt;&gt;"")*(1/(1+EXP(-(H279-'03_Lap_b'!$B$10:$AW$10))))^2)</f>
        <v/>
      </c>
      <c r="K279" s="5">
        <f>MEDIAN(-6,H279+(C279-I279)/MAX(I279-J279,0.000000001),6)</f>
        <v/>
      </c>
      <c r="L279" s="5">
        <f>SUMPRODUCT(('01_Data'!$B279:$AW279&lt;&gt;"")*(1/(1+EXP(-(K279-'03_Lap_b'!$B$15:$AW$15)))))</f>
        <v/>
      </c>
      <c r="M279" s="5">
        <f>SUMPRODUCT(('01_Data'!$B279:$AW279&lt;&gt;"")*(1/(1+EXP(-(K279-'03_Lap_b'!$B$15:$AW$15))))^2)</f>
        <v/>
      </c>
      <c r="N279" s="5">
        <f>MEDIAN(-6,K279+(C279-L279)/MAX(L279-M279,0.000000001),6)</f>
        <v/>
      </c>
      <c r="O279" s="5">
        <f>SUMPRODUCT(('01_Data'!$B279:$AW279&lt;&gt;"")*(1/(1+EXP(-(N279-'03_Lap_b'!$B$20:$AW$20)))))</f>
        <v/>
      </c>
      <c r="P279" s="5">
        <f>SUMPRODUCT(('01_Data'!$B279:$AW279&lt;&gt;"")*(1/(1+EXP(-(N279-'03_Lap_b'!$B$20:$AW$20))))^2)</f>
        <v/>
      </c>
      <c r="Q279" s="5">
        <f>MEDIAN(-6,N279+(C279-O279)/MAX(O279-P279,0.000000001),6)</f>
        <v/>
      </c>
      <c r="R279" s="5">
        <f>SUMPRODUCT(('01_Data'!$B279:$AW279&lt;&gt;"")*(1/(1+EXP(-(Q279-'03_Lap_b'!$B$25:$AW$25)))))</f>
        <v/>
      </c>
      <c r="S279" s="5">
        <f>SUMPRODUCT(('01_Data'!$B279:$AW279&lt;&gt;"")*(1/(1+EXP(-(Q279-'03_Lap_b'!$B$25:$AW$25))))^2)</f>
        <v/>
      </c>
      <c r="T279" s="5">
        <f>MEDIAN(-6,Q279+(C279-R279)/MAX(R279-S279,0.000000001),6)</f>
        <v/>
      </c>
      <c r="U279" s="5">
        <f>SUMPRODUCT(('01_Data'!$B279:$AW279&lt;&gt;"")*(1/(1+EXP(-(T279-'03_Lap_b'!$B$30:$AW$30)))))</f>
        <v/>
      </c>
      <c r="V279" s="5">
        <f>SUMPRODUCT(('01_Data'!$B279:$AW279&lt;&gt;"")*(1/(1+EXP(-(T279-'03_Lap_b'!$B$30:$AW$30))))^2)</f>
        <v/>
      </c>
      <c r="W279" s="5">
        <f>MEDIAN(-6,T279+(C279-U279)/MAX(U279-V279,0.000000001),6)</f>
        <v/>
      </c>
      <c r="X279" s="5">
        <f>SUMPRODUCT(('01_Data'!$B279:$AW279&lt;&gt;"")*(1/(1+EXP(-(W279-'03_Lap_b'!$B$35:$AW$35)))))</f>
        <v/>
      </c>
      <c r="Y279" s="5">
        <f>SUMPRODUCT(('01_Data'!$B279:$AW279&lt;&gt;"")*(1/(1+EXP(-(W279-'03_Lap_b'!$B$35:$AW$35))))^2)</f>
        <v/>
      </c>
      <c r="Z279" s="5">
        <f>MEDIAN(-6,W279+(C279-X279)/MAX(X279-Y279,0.000000001),6)</f>
        <v/>
      </c>
      <c r="AA279" s="5">
        <f>SUMPRODUCT(('01_Data'!$B279:$AW279&lt;&gt;"")*(1/(1+EXP(-(Z279-'03_Lap_b'!$B$40:$AW$40)))))</f>
        <v/>
      </c>
      <c r="AB279" s="5">
        <f>SUMPRODUCT(('01_Data'!$B279:$AW279&lt;&gt;"")*(1/(1+EXP(-(Z279-'03_Lap_b'!$B$40:$AW$40))))^2)</f>
        <v/>
      </c>
      <c r="AC279" s="5">
        <f>MEDIAN(-6,Z279+(C279-AA279)/MAX(AA279-AB279,0.000000001),6)</f>
        <v/>
      </c>
    </row>
    <row r="280">
      <c r="A280" t="n">
        <v>279</v>
      </c>
      <c r="B280">
        <f>'01_Data'!A280</f>
        <v/>
      </c>
      <c r="C280">
        <f>SUM('01_Data'!$B280:$AW280)</f>
        <v/>
      </c>
      <c r="D280">
        <f>COUNT('01_Data'!$B280:$AW280)</f>
        <v/>
      </c>
      <c r="E280" s="5">
        <f>MEDIAN(-6,LN((C280+0.3)/(D280-C280+0.3)),6)</f>
        <v/>
      </c>
      <c r="F280" s="5">
        <f>SUMPRODUCT(('01_Data'!$B280:$AW280&lt;&gt;"")*(1/(1+EXP(-(E280-'03_Lap_b'!$B$5:$AW$5)))))</f>
        <v/>
      </c>
      <c r="G280" s="5">
        <f>SUMPRODUCT(('01_Data'!$B280:$AW280&lt;&gt;"")*(1/(1+EXP(-(E280-'03_Lap_b'!$B$5:$AW$5))))^2)</f>
        <v/>
      </c>
      <c r="H280" s="5">
        <f>MEDIAN(-6,E280+(C280-F280)/MAX(F280-G280,0.000000001),6)</f>
        <v/>
      </c>
      <c r="I280" s="5">
        <f>SUMPRODUCT(('01_Data'!$B280:$AW280&lt;&gt;"")*(1/(1+EXP(-(H280-'03_Lap_b'!$B$10:$AW$10)))))</f>
        <v/>
      </c>
      <c r="J280" s="5">
        <f>SUMPRODUCT(('01_Data'!$B280:$AW280&lt;&gt;"")*(1/(1+EXP(-(H280-'03_Lap_b'!$B$10:$AW$10))))^2)</f>
        <v/>
      </c>
      <c r="K280" s="5">
        <f>MEDIAN(-6,H280+(C280-I280)/MAX(I280-J280,0.000000001),6)</f>
        <v/>
      </c>
      <c r="L280" s="5">
        <f>SUMPRODUCT(('01_Data'!$B280:$AW280&lt;&gt;"")*(1/(1+EXP(-(K280-'03_Lap_b'!$B$15:$AW$15)))))</f>
        <v/>
      </c>
      <c r="M280" s="5">
        <f>SUMPRODUCT(('01_Data'!$B280:$AW280&lt;&gt;"")*(1/(1+EXP(-(K280-'03_Lap_b'!$B$15:$AW$15))))^2)</f>
        <v/>
      </c>
      <c r="N280" s="5">
        <f>MEDIAN(-6,K280+(C280-L280)/MAX(L280-M280,0.000000001),6)</f>
        <v/>
      </c>
      <c r="O280" s="5">
        <f>SUMPRODUCT(('01_Data'!$B280:$AW280&lt;&gt;"")*(1/(1+EXP(-(N280-'03_Lap_b'!$B$20:$AW$20)))))</f>
        <v/>
      </c>
      <c r="P280" s="5">
        <f>SUMPRODUCT(('01_Data'!$B280:$AW280&lt;&gt;"")*(1/(1+EXP(-(N280-'03_Lap_b'!$B$20:$AW$20))))^2)</f>
        <v/>
      </c>
      <c r="Q280" s="5">
        <f>MEDIAN(-6,N280+(C280-O280)/MAX(O280-P280,0.000000001),6)</f>
        <v/>
      </c>
      <c r="R280" s="5">
        <f>SUMPRODUCT(('01_Data'!$B280:$AW280&lt;&gt;"")*(1/(1+EXP(-(Q280-'03_Lap_b'!$B$25:$AW$25)))))</f>
        <v/>
      </c>
      <c r="S280" s="5">
        <f>SUMPRODUCT(('01_Data'!$B280:$AW280&lt;&gt;"")*(1/(1+EXP(-(Q280-'03_Lap_b'!$B$25:$AW$25))))^2)</f>
        <v/>
      </c>
      <c r="T280" s="5">
        <f>MEDIAN(-6,Q280+(C280-R280)/MAX(R280-S280,0.000000001),6)</f>
        <v/>
      </c>
      <c r="U280" s="5">
        <f>SUMPRODUCT(('01_Data'!$B280:$AW280&lt;&gt;"")*(1/(1+EXP(-(T280-'03_Lap_b'!$B$30:$AW$30)))))</f>
        <v/>
      </c>
      <c r="V280" s="5">
        <f>SUMPRODUCT(('01_Data'!$B280:$AW280&lt;&gt;"")*(1/(1+EXP(-(T280-'03_Lap_b'!$B$30:$AW$30))))^2)</f>
        <v/>
      </c>
      <c r="W280" s="5">
        <f>MEDIAN(-6,T280+(C280-U280)/MAX(U280-V280,0.000000001),6)</f>
        <v/>
      </c>
      <c r="X280" s="5">
        <f>SUMPRODUCT(('01_Data'!$B280:$AW280&lt;&gt;"")*(1/(1+EXP(-(W280-'03_Lap_b'!$B$35:$AW$35)))))</f>
        <v/>
      </c>
      <c r="Y280" s="5">
        <f>SUMPRODUCT(('01_Data'!$B280:$AW280&lt;&gt;"")*(1/(1+EXP(-(W280-'03_Lap_b'!$B$35:$AW$35))))^2)</f>
        <v/>
      </c>
      <c r="Z280" s="5">
        <f>MEDIAN(-6,W280+(C280-X280)/MAX(X280-Y280,0.000000001),6)</f>
        <v/>
      </c>
      <c r="AA280" s="5">
        <f>SUMPRODUCT(('01_Data'!$B280:$AW280&lt;&gt;"")*(1/(1+EXP(-(Z280-'03_Lap_b'!$B$40:$AW$40)))))</f>
        <v/>
      </c>
      <c r="AB280" s="5">
        <f>SUMPRODUCT(('01_Data'!$B280:$AW280&lt;&gt;"")*(1/(1+EXP(-(Z280-'03_Lap_b'!$B$40:$AW$40))))^2)</f>
        <v/>
      </c>
      <c r="AC280" s="5">
        <f>MEDIAN(-6,Z280+(C280-AA280)/MAX(AA280-AB280,0.000000001),6)</f>
        <v/>
      </c>
    </row>
    <row r="281">
      <c r="A281" t="n">
        <v>280</v>
      </c>
      <c r="B281">
        <f>'01_Data'!A281</f>
        <v/>
      </c>
      <c r="C281">
        <f>SUM('01_Data'!$B281:$AW281)</f>
        <v/>
      </c>
      <c r="D281">
        <f>COUNT('01_Data'!$B281:$AW281)</f>
        <v/>
      </c>
      <c r="E281" s="5">
        <f>MEDIAN(-6,LN((C281+0.3)/(D281-C281+0.3)),6)</f>
        <v/>
      </c>
      <c r="F281" s="5">
        <f>SUMPRODUCT(('01_Data'!$B281:$AW281&lt;&gt;"")*(1/(1+EXP(-(E281-'03_Lap_b'!$B$5:$AW$5)))))</f>
        <v/>
      </c>
      <c r="G281" s="5">
        <f>SUMPRODUCT(('01_Data'!$B281:$AW281&lt;&gt;"")*(1/(1+EXP(-(E281-'03_Lap_b'!$B$5:$AW$5))))^2)</f>
        <v/>
      </c>
      <c r="H281" s="5">
        <f>MEDIAN(-6,E281+(C281-F281)/MAX(F281-G281,0.000000001),6)</f>
        <v/>
      </c>
      <c r="I281" s="5">
        <f>SUMPRODUCT(('01_Data'!$B281:$AW281&lt;&gt;"")*(1/(1+EXP(-(H281-'03_Lap_b'!$B$10:$AW$10)))))</f>
        <v/>
      </c>
      <c r="J281" s="5">
        <f>SUMPRODUCT(('01_Data'!$B281:$AW281&lt;&gt;"")*(1/(1+EXP(-(H281-'03_Lap_b'!$B$10:$AW$10))))^2)</f>
        <v/>
      </c>
      <c r="K281" s="5">
        <f>MEDIAN(-6,H281+(C281-I281)/MAX(I281-J281,0.000000001),6)</f>
        <v/>
      </c>
      <c r="L281" s="5">
        <f>SUMPRODUCT(('01_Data'!$B281:$AW281&lt;&gt;"")*(1/(1+EXP(-(K281-'03_Lap_b'!$B$15:$AW$15)))))</f>
        <v/>
      </c>
      <c r="M281" s="5">
        <f>SUMPRODUCT(('01_Data'!$B281:$AW281&lt;&gt;"")*(1/(1+EXP(-(K281-'03_Lap_b'!$B$15:$AW$15))))^2)</f>
        <v/>
      </c>
      <c r="N281" s="5">
        <f>MEDIAN(-6,K281+(C281-L281)/MAX(L281-M281,0.000000001),6)</f>
        <v/>
      </c>
      <c r="O281" s="5">
        <f>SUMPRODUCT(('01_Data'!$B281:$AW281&lt;&gt;"")*(1/(1+EXP(-(N281-'03_Lap_b'!$B$20:$AW$20)))))</f>
        <v/>
      </c>
      <c r="P281" s="5">
        <f>SUMPRODUCT(('01_Data'!$B281:$AW281&lt;&gt;"")*(1/(1+EXP(-(N281-'03_Lap_b'!$B$20:$AW$20))))^2)</f>
        <v/>
      </c>
      <c r="Q281" s="5">
        <f>MEDIAN(-6,N281+(C281-O281)/MAX(O281-P281,0.000000001),6)</f>
        <v/>
      </c>
      <c r="R281" s="5">
        <f>SUMPRODUCT(('01_Data'!$B281:$AW281&lt;&gt;"")*(1/(1+EXP(-(Q281-'03_Lap_b'!$B$25:$AW$25)))))</f>
        <v/>
      </c>
      <c r="S281" s="5">
        <f>SUMPRODUCT(('01_Data'!$B281:$AW281&lt;&gt;"")*(1/(1+EXP(-(Q281-'03_Lap_b'!$B$25:$AW$25))))^2)</f>
        <v/>
      </c>
      <c r="T281" s="5">
        <f>MEDIAN(-6,Q281+(C281-R281)/MAX(R281-S281,0.000000001),6)</f>
        <v/>
      </c>
      <c r="U281" s="5">
        <f>SUMPRODUCT(('01_Data'!$B281:$AW281&lt;&gt;"")*(1/(1+EXP(-(T281-'03_Lap_b'!$B$30:$AW$30)))))</f>
        <v/>
      </c>
      <c r="V281" s="5">
        <f>SUMPRODUCT(('01_Data'!$B281:$AW281&lt;&gt;"")*(1/(1+EXP(-(T281-'03_Lap_b'!$B$30:$AW$30))))^2)</f>
        <v/>
      </c>
      <c r="W281" s="5">
        <f>MEDIAN(-6,T281+(C281-U281)/MAX(U281-V281,0.000000001),6)</f>
        <v/>
      </c>
      <c r="X281" s="5">
        <f>SUMPRODUCT(('01_Data'!$B281:$AW281&lt;&gt;"")*(1/(1+EXP(-(W281-'03_Lap_b'!$B$35:$AW$35)))))</f>
        <v/>
      </c>
      <c r="Y281" s="5">
        <f>SUMPRODUCT(('01_Data'!$B281:$AW281&lt;&gt;"")*(1/(1+EXP(-(W281-'03_Lap_b'!$B$35:$AW$35))))^2)</f>
        <v/>
      </c>
      <c r="Z281" s="5">
        <f>MEDIAN(-6,W281+(C281-X281)/MAX(X281-Y281,0.000000001),6)</f>
        <v/>
      </c>
      <c r="AA281" s="5">
        <f>SUMPRODUCT(('01_Data'!$B281:$AW281&lt;&gt;"")*(1/(1+EXP(-(Z281-'03_Lap_b'!$B$40:$AW$40)))))</f>
        <v/>
      </c>
      <c r="AB281" s="5">
        <f>SUMPRODUCT(('01_Data'!$B281:$AW281&lt;&gt;"")*(1/(1+EXP(-(Z281-'03_Lap_b'!$B$40:$AW$40))))^2)</f>
        <v/>
      </c>
      <c r="AC281" s="5">
        <f>MEDIAN(-6,Z281+(C281-AA281)/MAX(AA281-AB281,0.000000001),6)</f>
        <v/>
      </c>
    </row>
    <row r="282">
      <c r="A282" t="n">
        <v>281</v>
      </c>
      <c r="B282">
        <f>'01_Data'!A282</f>
        <v/>
      </c>
      <c r="C282">
        <f>SUM('01_Data'!$B282:$AW282)</f>
        <v/>
      </c>
      <c r="D282">
        <f>COUNT('01_Data'!$B282:$AW282)</f>
        <v/>
      </c>
      <c r="E282" s="5">
        <f>MEDIAN(-6,LN((C282+0.3)/(D282-C282+0.3)),6)</f>
        <v/>
      </c>
      <c r="F282" s="5">
        <f>SUMPRODUCT(('01_Data'!$B282:$AW282&lt;&gt;"")*(1/(1+EXP(-(E282-'03_Lap_b'!$B$5:$AW$5)))))</f>
        <v/>
      </c>
      <c r="G282" s="5">
        <f>SUMPRODUCT(('01_Data'!$B282:$AW282&lt;&gt;"")*(1/(1+EXP(-(E282-'03_Lap_b'!$B$5:$AW$5))))^2)</f>
        <v/>
      </c>
      <c r="H282" s="5">
        <f>MEDIAN(-6,E282+(C282-F282)/MAX(F282-G282,0.000000001),6)</f>
        <v/>
      </c>
      <c r="I282" s="5">
        <f>SUMPRODUCT(('01_Data'!$B282:$AW282&lt;&gt;"")*(1/(1+EXP(-(H282-'03_Lap_b'!$B$10:$AW$10)))))</f>
        <v/>
      </c>
      <c r="J282" s="5">
        <f>SUMPRODUCT(('01_Data'!$B282:$AW282&lt;&gt;"")*(1/(1+EXP(-(H282-'03_Lap_b'!$B$10:$AW$10))))^2)</f>
        <v/>
      </c>
      <c r="K282" s="5">
        <f>MEDIAN(-6,H282+(C282-I282)/MAX(I282-J282,0.000000001),6)</f>
        <v/>
      </c>
      <c r="L282" s="5">
        <f>SUMPRODUCT(('01_Data'!$B282:$AW282&lt;&gt;"")*(1/(1+EXP(-(K282-'03_Lap_b'!$B$15:$AW$15)))))</f>
        <v/>
      </c>
      <c r="M282" s="5">
        <f>SUMPRODUCT(('01_Data'!$B282:$AW282&lt;&gt;"")*(1/(1+EXP(-(K282-'03_Lap_b'!$B$15:$AW$15))))^2)</f>
        <v/>
      </c>
      <c r="N282" s="5">
        <f>MEDIAN(-6,K282+(C282-L282)/MAX(L282-M282,0.000000001),6)</f>
        <v/>
      </c>
      <c r="O282" s="5">
        <f>SUMPRODUCT(('01_Data'!$B282:$AW282&lt;&gt;"")*(1/(1+EXP(-(N282-'03_Lap_b'!$B$20:$AW$20)))))</f>
        <v/>
      </c>
      <c r="P282" s="5">
        <f>SUMPRODUCT(('01_Data'!$B282:$AW282&lt;&gt;"")*(1/(1+EXP(-(N282-'03_Lap_b'!$B$20:$AW$20))))^2)</f>
        <v/>
      </c>
      <c r="Q282" s="5">
        <f>MEDIAN(-6,N282+(C282-O282)/MAX(O282-P282,0.000000001),6)</f>
        <v/>
      </c>
      <c r="R282" s="5">
        <f>SUMPRODUCT(('01_Data'!$B282:$AW282&lt;&gt;"")*(1/(1+EXP(-(Q282-'03_Lap_b'!$B$25:$AW$25)))))</f>
        <v/>
      </c>
      <c r="S282" s="5">
        <f>SUMPRODUCT(('01_Data'!$B282:$AW282&lt;&gt;"")*(1/(1+EXP(-(Q282-'03_Lap_b'!$B$25:$AW$25))))^2)</f>
        <v/>
      </c>
      <c r="T282" s="5">
        <f>MEDIAN(-6,Q282+(C282-R282)/MAX(R282-S282,0.000000001),6)</f>
        <v/>
      </c>
      <c r="U282" s="5">
        <f>SUMPRODUCT(('01_Data'!$B282:$AW282&lt;&gt;"")*(1/(1+EXP(-(T282-'03_Lap_b'!$B$30:$AW$30)))))</f>
        <v/>
      </c>
      <c r="V282" s="5">
        <f>SUMPRODUCT(('01_Data'!$B282:$AW282&lt;&gt;"")*(1/(1+EXP(-(T282-'03_Lap_b'!$B$30:$AW$30))))^2)</f>
        <v/>
      </c>
      <c r="W282" s="5">
        <f>MEDIAN(-6,T282+(C282-U282)/MAX(U282-V282,0.000000001),6)</f>
        <v/>
      </c>
      <c r="X282" s="5">
        <f>SUMPRODUCT(('01_Data'!$B282:$AW282&lt;&gt;"")*(1/(1+EXP(-(W282-'03_Lap_b'!$B$35:$AW$35)))))</f>
        <v/>
      </c>
      <c r="Y282" s="5">
        <f>SUMPRODUCT(('01_Data'!$B282:$AW282&lt;&gt;"")*(1/(1+EXP(-(W282-'03_Lap_b'!$B$35:$AW$35))))^2)</f>
        <v/>
      </c>
      <c r="Z282" s="5">
        <f>MEDIAN(-6,W282+(C282-X282)/MAX(X282-Y282,0.000000001),6)</f>
        <v/>
      </c>
      <c r="AA282" s="5">
        <f>SUMPRODUCT(('01_Data'!$B282:$AW282&lt;&gt;"")*(1/(1+EXP(-(Z282-'03_Lap_b'!$B$40:$AW$40)))))</f>
        <v/>
      </c>
      <c r="AB282" s="5">
        <f>SUMPRODUCT(('01_Data'!$B282:$AW282&lt;&gt;"")*(1/(1+EXP(-(Z282-'03_Lap_b'!$B$40:$AW$40))))^2)</f>
        <v/>
      </c>
      <c r="AC282" s="5">
        <f>MEDIAN(-6,Z282+(C282-AA282)/MAX(AA282-AB282,0.000000001),6)</f>
        <v/>
      </c>
    </row>
    <row r="283">
      <c r="A283" t="n">
        <v>282</v>
      </c>
      <c r="B283">
        <f>'01_Data'!A283</f>
        <v/>
      </c>
      <c r="C283">
        <f>SUM('01_Data'!$B283:$AW283)</f>
        <v/>
      </c>
      <c r="D283">
        <f>COUNT('01_Data'!$B283:$AW283)</f>
        <v/>
      </c>
      <c r="E283" s="5">
        <f>MEDIAN(-6,LN((C283+0.3)/(D283-C283+0.3)),6)</f>
        <v/>
      </c>
      <c r="F283" s="5">
        <f>SUMPRODUCT(('01_Data'!$B283:$AW283&lt;&gt;"")*(1/(1+EXP(-(E283-'03_Lap_b'!$B$5:$AW$5)))))</f>
        <v/>
      </c>
      <c r="G283" s="5">
        <f>SUMPRODUCT(('01_Data'!$B283:$AW283&lt;&gt;"")*(1/(1+EXP(-(E283-'03_Lap_b'!$B$5:$AW$5))))^2)</f>
        <v/>
      </c>
      <c r="H283" s="5">
        <f>MEDIAN(-6,E283+(C283-F283)/MAX(F283-G283,0.000000001),6)</f>
        <v/>
      </c>
      <c r="I283" s="5">
        <f>SUMPRODUCT(('01_Data'!$B283:$AW283&lt;&gt;"")*(1/(1+EXP(-(H283-'03_Lap_b'!$B$10:$AW$10)))))</f>
        <v/>
      </c>
      <c r="J283" s="5">
        <f>SUMPRODUCT(('01_Data'!$B283:$AW283&lt;&gt;"")*(1/(1+EXP(-(H283-'03_Lap_b'!$B$10:$AW$10))))^2)</f>
        <v/>
      </c>
      <c r="K283" s="5">
        <f>MEDIAN(-6,H283+(C283-I283)/MAX(I283-J283,0.000000001),6)</f>
        <v/>
      </c>
      <c r="L283" s="5">
        <f>SUMPRODUCT(('01_Data'!$B283:$AW283&lt;&gt;"")*(1/(1+EXP(-(K283-'03_Lap_b'!$B$15:$AW$15)))))</f>
        <v/>
      </c>
      <c r="M283" s="5">
        <f>SUMPRODUCT(('01_Data'!$B283:$AW283&lt;&gt;"")*(1/(1+EXP(-(K283-'03_Lap_b'!$B$15:$AW$15))))^2)</f>
        <v/>
      </c>
      <c r="N283" s="5">
        <f>MEDIAN(-6,K283+(C283-L283)/MAX(L283-M283,0.000000001),6)</f>
        <v/>
      </c>
      <c r="O283" s="5">
        <f>SUMPRODUCT(('01_Data'!$B283:$AW283&lt;&gt;"")*(1/(1+EXP(-(N283-'03_Lap_b'!$B$20:$AW$20)))))</f>
        <v/>
      </c>
      <c r="P283" s="5">
        <f>SUMPRODUCT(('01_Data'!$B283:$AW283&lt;&gt;"")*(1/(1+EXP(-(N283-'03_Lap_b'!$B$20:$AW$20))))^2)</f>
        <v/>
      </c>
      <c r="Q283" s="5">
        <f>MEDIAN(-6,N283+(C283-O283)/MAX(O283-P283,0.000000001),6)</f>
        <v/>
      </c>
      <c r="R283" s="5">
        <f>SUMPRODUCT(('01_Data'!$B283:$AW283&lt;&gt;"")*(1/(1+EXP(-(Q283-'03_Lap_b'!$B$25:$AW$25)))))</f>
        <v/>
      </c>
      <c r="S283" s="5">
        <f>SUMPRODUCT(('01_Data'!$B283:$AW283&lt;&gt;"")*(1/(1+EXP(-(Q283-'03_Lap_b'!$B$25:$AW$25))))^2)</f>
        <v/>
      </c>
      <c r="T283" s="5">
        <f>MEDIAN(-6,Q283+(C283-R283)/MAX(R283-S283,0.000000001),6)</f>
        <v/>
      </c>
      <c r="U283" s="5">
        <f>SUMPRODUCT(('01_Data'!$B283:$AW283&lt;&gt;"")*(1/(1+EXP(-(T283-'03_Lap_b'!$B$30:$AW$30)))))</f>
        <v/>
      </c>
      <c r="V283" s="5">
        <f>SUMPRODUCT(('01_Data'!$B283:$AW283&lt;&gt;"")*(1/(1+EXP(-(T283-'03_Lap_b'!$B$30:$AW$30))))^2)</f>
        <v/>
      </c>
      <c r="W283" s="5">
        <f>MEDIAN(-6,T283+(C283-U283)/MAX(U283-V283,0.000000001),6)</f>
        <v/>
      </c>
      <c r="X283" s="5">
        <f>SUMPRODUCT(('01_Data'!$B283:$AW283&lt;&gt;"")*(1/(1+EXP(-(W283-'03_Lap_b'!$B$35:$AW$35)))))</f>
        <v/>
      </c>
      <c r="Y283" s="5">
        <f>SUMPRODUCT(('01_Data'!$B283:$AW283&lt;&gt;"")*(1/(1+EXP(-(W283-'03_Lap_b'!$B$35:$AW$35))))^2)</f>
        <v/>
      </c>
      <c r="Z283" s="5">
        <f>MEDIAN(-6,W283+(C283-X283)/MAX(X283-Y283,0.000000001),6)</f>
        <v/>
      </c>
      <c r="AA283" s="5">
        <f>SUMPRODUCT(('01_Data'!$B283:$AW283&lt;&gt;"")*(1/(1+EXP(-(Z283-'03_Lap_b'!$B$40:$AW$40)))))</f>
        <v/>
      </c>
      <c r="AB283" s="5">
        <f>SUMPRODUCT(('01_Data'!$B283:$AW283&lt;&gt;"")*(1/(1+EXP(-(Z283-'03_Lap_b'!$B$40:$AW$40))))^2)</f>
        <v/>
      </c>
      <c r="AC283" s="5">
        <f>MEDIAN(-6,Z283+(C283-AA283)/MAX(AA283-AB283,0.000000001),6)</f>
        <v/>
      </c>
    </row>
    <row r="284">
      <c r="A284" t="n">
        <v>283</v>
      </c>
      <c r="B284">
        <f>'01_Data'!A284</f>
        <v/>
      </c>
      <c r="C284">
        <f>SUM('01_Data'!$B284:$AW284)</f>
        <v/>
      </c>
      <c r="D284">
        <f>COUNT('01_Data'!$B284:$AW284)</f>
        <v/>
      </c>
      <c r="E284" s="5">
        <f>MEDIAN(-6,LN((C284+0.3)/(D284-C284+0.3)),6)</f>
        <v/>
      </c>
      <c r="F284" s="5">
        <f>SUMPRODUCT(('01_Data'!$B284:$AW284&lt;&gt;"")*(1/(1+EXP(-(E284-'03_Lap_b'!$B$5:$AW$5)))))</f>
        <v/>
      </c>
      <c r="G284" s="5">
        <f>SUMPRODUCT(('01_Data'!$B284:$AW284&lt;&gt;"")*(1/(1+EXP(-(E284-'03_Lap_b'!$B$5:$AW$5))))^2)</f>
        <v/>
      </c>
      <c r="H284" s="5">
        <f>MEDIAN(-6,E284+(C284-F284)/MAX(F284-G284,0.000000001),6)</f>
        <v/>
      </c>
      <c r="I284" s="5">
        <f>SUMPRODUCT(('01_Data'!$B284:$AW284&lt;&gt;"")*(1/(1+EXP(-(H284-'03_Lap_b'!$B$10:$AW$10)))))</f>
        <v/>
      </c>
      <c r="J284" s="5">
        <f>SUMPRODUCT(('01_Data'!$B284:$AW284&lt;&gt;"")*(1/(1+EXP(-(H284-'03_Lap_b'!$B$10:$AW$10))))^2)</f>
        <v/>
      </c>
      <c r="K284" s="5">
        <f>MEDIAN(-6,H284+(C284-I284)/MAX(I284-J284,0.000000001),6)</f>
        <v/>
      </c>
      <c r="L284" s="5">
        <f>SUMPRODUCT(('01_Data'!$B284:$AW284&lt;&gt;"")*(1/(1+EXP(-(K284-'03_Lap_b'!$B$15:$AW$15)))))</f>
        <v/>
      </c>
      <c r="M284" s="5">
        <f>SUMPRODUCT(('01_Data'!$B284:$AW284&lt;&gt;"")*(1/(1+EXP(-(K284-'03_Lap_b'!$B$15:$AW$15))))^2)</f>
        <v/>
      </c>
      <c r="N284" s="5">
        <f>MEDIAN(-6,K284+(C284-L284)/MAX(L284-M284,0.000000001),6)</f>
        <v/>
      </c>
      <c r="O284" s="5">
        <f>SUMPRODUCT(('01_Data'!$B284:$AW284&lt;&gt;"")*(1/(1+EXP(-(N284-'03_Lap_b'!$B$20:$AW$20)))))</f>
        <v/>
      </c>
      <c r="P284" s="5">
        <f>SUMPRODUCT(('01_Data'!$B284:$AW284&lt;&gt;"")*(1/(1+EXP(-(N284-'03_Lap_b'!$B$20:$AW$20))))^2)</f>
        <v/>
      </c>
      <c r="Q284" s="5">
        <f>MEDIAN(-6,N284+(C284-O284)/MAX(O284-P284,0.000000001),6)</f>
        <v/>
      </c>
      <c r="R284" s="5">
        <f>SUMPRODUCT(('01_Data'!$B284:$AW284&lt;&gt;"")*(1/(1+EXP(-(Q284-'03_Lap_b'!$B$25:$AW$25)))))</f>
        <v/>
      </c>
      <c r="S284" s="5">
        <f>SUMPRODUCT(('01_Data'!$B284:$AW284&lt;&gt;"")*(1/(1+EXP(-(Q284-'03_Lap_b'!$B$25:$AW$25))))^2)</f>
        <v/>
      </c>
      <c r="T284" s="5">
        <f>MEDIAN(-6,Q284+(C284-R284)/MAX(R284-S284,0.000000001),6)</f>
        <v/>
      </c>
      <c r="U284" s="5">
        <f>SUMPRODUCT(('01_Data'!$B284:$AW284&lt;&gt;"")*(1/(1+EXP(-(T284-'03_Lap_b'!$B$30:$AW$30)))))</f>
        <v/>
      </c>
      <c r="V284" s="5">
        <f>SUMPRODUCT(('01_Data'!$B284:$AW284&lt;&gt;"")*(1/(1+EXP(-(T284-'03_Lap_b'!$B$30:$AW$30))))^2)</f>
        <v/>
      </c>
      <c r="W284" s="5">
        <f>MEDIAN(-6,T284+(C284-U284)/MAX(U284-V284,0.000000001),6)</f>
        <v/>
      </c>
      <c r="X284" s="5">
        <f>SUMPRODUCT(('01_Data'!$B284:$AW284&lt;&gt;"")*(1/(1+EXP(-(W284-'03_Lap_b'!$B$35:$AW$35)))))</f>
        <v/>
      </c>
      <c r="Y284" s="5">
        <f>SUMPRODUCT(('01_Data'!$B284:$AW284&lt;&gt;"")*(1/(1+EXP(-(W284-'03_Lap_b'!$B$35:$AW$35))))^2)</f>
        <v/>
      </c>
      <c r="Z284" s="5">
        <f>MEDIAN(-6,W284+(C284-X284)/MAX(X284-Y284,0.000000001),6)</f>
        <v/>
      </c>
      <c r="AA284" s="5">
        <f>SUMPRODUCT(('01_Data'!$B284:$AW284&lt;&gt;"")*(1/(1+EXP(-(Z284-'03_Lap_b'!$B$40:$AW$40)))))</f>
        <v/>
      </c>
      <c r="AB284" s="5">
        <f>SUMPRODUCT(('01_Data'!$B284:$AW284&lt;&gt;"")*(1/(1+EXP(-(Z284-'03_Lap_b'!$B$40:$AW$40))))^2)</f>
        <v/>
      </c>
      <c r="AC284" s="5">
        <f>MEDIAN(-6,Z284+(C284-AA284)/MAX(AA284-AB284,0.000000001),6)</f>
        <v/>
      </c>
    </row>
    <row r="285">
      <c r="A285" t="n">
        <v>284</v>
      </c>
      <c r="B285">
        <f>'01_Data'!A285</f>
        <v/>
      </c>
      <c r="C285">
        <f>SUM('01_Data'!$B285:$AW285)</f>
        <v/>
      </c>
      <c r="D285">
        <f>COUNT('01_Data'!$B285:$AW285)</f>
        <v/>
      </c>
      <c r="E285" s="5">
        <f>MEDIAN(-6,LN((C285+0.3)/(D285-C285+0.3)),6)</f>
        <v/>
      </c>
      <c r="F285" s="5">
        <f>SUMPRODUCT(('01_Data'!$B285:$AW285&lt;&gt;"")*(1/(1+EXP(-(E285-'03_Lap_b'!$B$5:$AW$5)))))</f>
        <v/>
      </c>
      <c r="G285" s="5">
        <f>SUMPRODUCT(('01_Data'!$B285:$AW285&lt;&gt;"")*(1/(1+EXP(-(E285-'03_Lap_b'!$B$5:$AW$5))))^2)</f>
        <v/>
      </c>
      <c r="H285" s="5">
        <f>MEDIAN(-6,E285+(C285-F285)/MAX(F285-G285,0.000000001),6)</f>
        <v/>
      </c>
      <c r="I285" s="5">
        <f>SUMPRODUCT(('01_Data'!$B285:$AW285&lt;&gt;"")*(1/(1+EXP(-(H285-'03_Lap_b'!$B$10:$AW$10)))))</f>
        <v/>
      </c>
      <c r="J285" s="5">
        <f>SUMPRODUCT(('01_Data'!$B285:$AW285&lt;&gt;"")*(1/(1+EXP(-(H285-'03_Lap_b'!$B$10:$AW$10))))^2)</f>
        <v/>
      </c>
      <c r="K285" s="5">
        <f>MEDIAN(-6,H285+(C285-I285)/MAX(I285-J285,0.000000001),6)</f>
        <v/>
      </c>
      <c r="L285" s="5">
        <f>SUMPRODUCT(('01_Data'!$B285:$AW285&lt;&gt;"")*(1/(1+EXP(-(K285-'03_Lap_b'!$B$15:$AW$15)))))</f>
        <v/>
      </c>
      <c r="M285" s="5">
        <f>SUMPRODUCT(('01_Data'!$B285:$AW285&lt;&gt;"")*(1/(1+EXP(-(K285-'03_Lap_b'!$B$15:$AW$15))))^2)</f>
        <v/>
      </c>
      <c r="N285" s="5">
        <f>MEDIAN(-6,K285+(C285-L285)/MAX(L285-M285,0.000000001),6)</f>
        <v/>
      </c>
      <c r="O285" s="5">
        <f>SUMPRODUCT(('01_Data'!$B285:$AW285&lt;&gt;"")*(1/(1+EXP(-(N285-'03_Lap_b'!$B$20:$AW$20)))))</f>
        <v/>
      </c>
      <c r="P285" s="5">
        <f>SUMPRODUCT(('01_Data'!$B285:$AW285&lt;&gt;"")*(1/(1+EXP(-(N285-'03_Lap_b'!$B$20:$AW$20))))^2)</f>
        <v/>
      </c>
      <c r="Q285" s="5">
        <f>MEDIAN(-6,N285+(C285-O285)/MAX(O285-P285,0.000000001),6)</f>
        <v/>
      </c>
      <c r="R285" s="5">
        <f>SUMPRODUCT(('01_Data'!$B285:$AW285&lt;&gt;"")*(1/(1+EXP(-(Q285-'03_Lap_b'!$B$25:$AW$25)))))</f>
        <v/>
      </c>
      <c r="S285" s="5">
        <f>SUMPRODUCT(('01_Data'!$B285:$AW285&lt;&gt;"")*(1/(1+EXP(-(Q285-'03_Lap_b'!$B$25:$AW$25))))^2)</f>
        <v/>
      </c>
      <c r="T285" s="5">
        <f>MEDIAN(-6,Q285+(C285-R285)/MAX(R285-S285,0.000000001),6)</f>
        <v/>
      </c>
      <c r="U285" s="5">
        <f>SUMPRODUCT(('01_Data'!$B285:$AW285&lt;&gt;"")*(1/(1+EXP(-(T285-'03_Lap_b'!$B$30:$AW$30)))))</f>
        <v/>
      </c>
      <c r="V285" s="5">
        <f>SUMPRODUCT(('01_Data'!$B285:$AW285&lt;&gt;"")*(1/(1+EXP(-(T285-'03_Lap_b'!$B$30:$AW$30))))^2)</f>
        <v/>
      </c>
      <c r="W285" s="5">
        <f>MEDIAN(-6,T285+(C285-U285)/MAX(U285-V285,0.000000001),6)</f>
        <v/>
      </c>
      <c r="X285" s="5">
        <f>SUMPRODUCT(('01_Data'!$B285:$AW285&lt;&gt;"")*(1/(1+EXP(-(W285-'03_Lap_b'!$B$35:$AW$35)))))</f>
        <v/>
      </c>
      <c r="Y285" s="5">
        <f>SUMPRODUCT(('01_Data'!$B285:$AW285&lt;&gt;"")*(1/(1+EXP(-(W285-'03_Lap_b'!$B$35:$AW$35))))^2)</f>
        <v/>
      </c>
      <c r="Z285" s="5">
        <f>MEDIAN(-6,W285+(C285-X285)/MAX(X285-Y285,0.000000001),6)</f>
        <v/>
      </c>
      <c r="AA285" s="5">
        <f>SUMPRODUCT(('01_Data'!$B285:$AW285&lt;&gt;"")*(1/(1+EXP(-(Z285-'03_Lap_b'!$B$40:$AW$40)))))</f>
        <v/>
      </c>
      <c r="AB285" s="5">
        <f>SUMPRODUCT(('01_Data'!$B285:$AW285&lt;&gt;"")*(1/(1+EXP(-(Z285-'03_Lap_b'!$B$40:$AW$40))))^2)</f>
        <v/>
      </c>
      <c r="AC285" s="5">
        <f>MEDIAN(-6,Z285+(C285-AA285)/MAX(AA285-AB285,0.000000001),6)</f>
        <v/>
      </c>
    </row>
    <row r="286">
      <c r="A286" t="n">
        <v>285</v>
      </c>
      <c r="B286">
        <f>'01_Data'!A286</f>
        <v/>
      </c>
      <c r="C286">
        <f>SUM('01_Data'!$B286:$AW286)</f>
        <v/>
      </c>
      <c r="D286">
        <f>COUNT('01_Data'!$B286:$AW286)</f>
        <v/>
      </c>
      <c r="E286" s="5">
        <f>MEDIAN(-6,LN((C286+0.3)/(D286-C286+0.3)),6)</f>
        <v/>
      </c>
      <c r="F286" s="5">
        <f>SUMPRODUCT(('01_Data'!$B286:$AW286&lt;&gt;"")*(1/(1+EXP(-(E286-'03_Lap_b'!$B$5:$AW$5)))))</f>
        <v/>
      </c>
      <c r="G286" s="5">
        <f>SUMPRODUCT(('01_Data'!$B286:$AW286&lt;&gt;"")*(1/(1+EXP(-(E286-'03_Lap_b'!$B$5:$AW$5))))^2)</f>
        <v/>
      </c>
      <c r="H286" s="5">
        <f>MEDIAN(-6,E286+(C286-F286)/MAX(F286-G286,0.000000001),6)</f>
        <v/>
      </c>
      <c r="I286" s="5">
        <f>SUMPRODUCT(('01_Data'!$B286:$AW286&lt;&gt;"")*(1/(1+EXP(-(H286-'03_Lap_b'!$B$10:$AW$10)))))</f>
        <v/>
      </c>
      <c r="J286" s="5">
        <f>SUMPRODUCT(('01_Data'!$B286:$AW286&lt;&gt;"")*(1/(1+EXP(-(H286-'03_Lap_b'!$B$10:$AW$10))))^2)</f>
        <v/>
      </c>
      <c r="K286" s="5">
        <f>MEDIAN(-6,H286+(C286-I286)/MAX(I286-J286,0.000000001),6)</f>
        <v/>
      </c>
      <c r="L286" s="5">
        <f>SUMPRODUCT(('01_Data'!$B286:$AW286&lt;&gt;"")*(1/(1+EXP(-(K286-'03_Lap_b'!$B$15:$AW$15)))))</f>
        <v/>
      </c>
      <c r="M286" s="5">
        <f>SUMPRODUCT(('01_Data'!$B286:$AW286&lt;&gt;"")*(1/(1+EXP(-(K286-'03_Lap_b'!$B$15:$AW$15))))^2)</f>
        <v/>
      </c>
      <c r="N286" s="5">
        <f>MEDIAN(-6,K286+(C286-L286)/MAX(L286-M286,0.000000001),6)</f>
        <v/>
      </c>
      <c r="O286" s="5">
        <f>SUMPRODUCT(('01_Data'!$B286:$AW286&lt;&gt;"")*(1/(1+EXP(-(N286-'03_Lap_b'!$B$20:$AW$20)))))</f>
        <v/>
      </c>
      <c r="P286" s="5">
        <f>SUMPRODUCT(('01_Data'!$B286:$AW286&lt;&gt;"")*(1/(1+EXP(-(N286-'03_Lap_b'!$B$20:$AW$20))))^2)</f>
        <v/>
      </c>
      <c r="Q286" s="5">
        <f>MEDIAN(-6,N286+(C286-O286)/MAX(O286-P286,0.000000001),6)</f>
        <v/>
      </c>
      <c r="R286" s="5">
        <f>SUMPRODUCT(('01_Data'!$B286:$AW286&lt;&gt;"")*(1/(1+EXP(-(Q286-'03_Lap_b'!$B$25:$AW$25)))))</f>
        <v/>
      </c>
      <c r="S286" s="5">
        <f>SUMPRODUCT(('01_Data'!$B286:$AW286&lt;&gt;"")*(1/(1+EXP(-(Q286-'03_Lap_b'!$B$25:$AW$25))))^2)</f>
        <v/>
      </c>
      <c r="T286" s="5">
        <f>MEDIAN(-6,Q286+(C286-R286)/MAX(R286-S286,0.000000001),6)</f>
        <v/>
      </c>
      <c r="U286" s="5">
        <f>SUMPRODUCT(('01_Data'!$B286:$AW286&lt;&gt;"")*(1/(1+EXP(-(T286-'03_Lap_b'!$B$30:$AW$30)))))</f>
        <v/>
      </c>
      <c r="V286" s="5">
        <f>SUMPRODUCT(('01_Data'!$B286:$AW286&lt;&gt;"")*(1/(1+EXP(-(T286-'03_Lap_b'!$B$30:$AW$30))))^2)</f>
        <v/>
      </c>
      <c r="W286" s="5">
        <f>MEDIAN(-6,T286+(C286-U286)/MAX(U286-V286,0.000000001),6)</f>
        <v/>
      </c>
      <c r="X286" s="5">
        <f>SUMPRODUCT(('01_Data'!$B286:$AW286&lt;&gt;"")*(1/(1+EXP(-(W286-'03_Lap_b'!$B$35:$AW$35)))))</f>
        <v/>
      </c>
      <c r="Y286" s="5">
        <f>SUMPRODUCT(('01_Data'!$B286:$AW286&lt;&gt;"")*(1/(1+EXP(-(W286-'03_Lap_b'!$B$35:$AW$35))))^2)</f>
        <v/>
      </c>
      <c r="Z286" s="5">
        <f>MEDIAN(-6,W286+(C286-X286)/MAX(X286-Y286,0.000000001),6)</f>
        <v/>
      </c>
      <c r="AA286" s="5">
        <f>SUMPRODUCT(('01_Data'!$B286:$AW286&lt;&gt;"")*(1/(1+EXP(-(Z286-'03_Lap_b'!$B$40:$AW$40)))))</f>
        <v/>
      </c>
      <c r="AB286" s="5">
        <f>SUMPRODUCT(('01_Data'!$B286:$AW286&lt;&gt;"")*(1/(1+EXP(-(Z286-'03_Lap_b'!$B$40:$AW$40))))^2)</f>
        <v/>
      </c>
      <c r="AC286" s="5">
        <f>MEDIAN(-6,Z286+(C286-AA286)/MAX(AA286-AB286,0.000000001),6)</f>
        <v/>
      </c>
    </row>
    <row r="287">
      <c r="A287" t="n">
        <v>286</v>
      </c>
      <c r="B287">
        <f>'01_Data'!A287</f>
        <v/>
      </c>
      <c r="C287">
        <f>SUM('01_Data'!$B287:$AW287)</f>
        <v/>
      </c>
      <c r="D287">
        <f>COUNT('01_Data'!$B287:$AW287)</f>
        <v/>
      </c>
      <c r="E287" s="5">
        <f>MEDIAN(-6,LN((C287+0.3)/(D287-C287+0.3)),6)</f>
        <v/>
      </c>
      <c r="F287" s="5">
        <f>SUMPRODUCT(('01_Data'!$B287:$AW287&lt;&gt;"")*(1/(1+EXP(-(E287-'03_Lap_b'!$B$5:$AW$5)))))</f>
        <v/>
      </c>
      <c r="G287" s="5">
        <f>SUMPRODUCT(('01_Data'!$B287:$AW287&lt;&gt;"")*(1/(1+EXP(-(E287-'03_Lap_b'!$B$5:$AW$5))))^2)</f>
        <v/>
      </c>
      <c r="H287" s="5">
        <f>MEDIAN(-6,E287+(C287-F287)/MAX(F287-G287,0.000000001),6)</f>
        <v/>
      </c>
      <c r="I287" s="5">
        <f>SUMPRODUCT(('01_Data'!$B287:$AW287&lt;&gt;"")*(1/(1+EXP(-(H287-'03_Lap_b'!$B$10:$AW$10)))))</f>
        <v/>
      </c>
      <c r="J287" s="5">
        <f>SUMPRODUCT(('01_Data'!$B287:$AW287&lt;&gt;"")*(1/(1+EXP(-(H287-'03_Lap_b'!$B$10:$AW$10))))^2)</f>
        <v/>
      </c>
      <c r="K287" s="5">
        <f>MEDIAN(-6,H287+(C287-I287)/MAX(I287-J287,0.000000001),6)</f>
        <v/>
      </c>
      <c r="L287" s="5">
        <f>SUMPRODUCT(('01_Data'!$B287:$AW287&lt;&gt;"")*(1/(1+EXP(-(K287-'03_Lap_b'!$B$15:$AW$15)))))</f>
        <v/>
      </c>
      <c r="M287" s="5">
        <f>SUMPRODUCT(('01_Data'!$B287:$AW287&lt;&gt;"")*(1/(1+EXP(-(K287-'03_Lap_b'!$B$15:$AW$15))))^2)</f>
        <v/>
      </c>
      <c r="N287" s="5">
        <f>MEDIAN(-6,K287+(C287-L287)/MAX(L287-M287,0.000000001),6)</f>
        <v/>
      </c>
      <c r="O287" s="5">
        <f>SUMPRODUCT(('01_Data'!$B287:$AW287&lt;&gt;"")*(1/(1+EXP(-(N287-'03_Lap_b'!$B$20:$AW$20)))))</f>
        <v/>
      </c>
      <c r="P287" s="5">
        <f>SUMPRODUCT(('01_Data'!$B287:$AW287&lt;&gt;"")*(1/(1+EXP(-(N287-'03_Lap_b'!$B$20:$AW$20))))^2)</f>
        <v/>
      </c>
      <c r="Q287" s="5">
        <f>MEDIAN(-6,N287+(C287-O287)/MAX(O287-P287,0.000000001),6)</f>
        <v/>
      </c>
      <c r="R287" s="5">
        <f>SUMPRODUCT(('01_Data'!$B287:$AW287&lt;&gt;"")*(1/(1+EXP(-(Q287-'03_Lap_b'!$B$25:$AW$25)))))</f>
        <v/>
      </c>
      <c r="S287" s="5">
        <f>SUMPRODUCT(('01_Data'!$B287:$AW287&lt;&gt;"")*(1/(1+EXP(-(Q287-'03_Lap_b'!$B$25:$AW$25))))^2)</f>
        <v/>
      </c>
      <c r="T287" s="5">
        <f>MEDIAN(-6,Q287+(C287-R287)/MAX(R287-S287,0.000000001),6)</f>
        <v/>
      </c>
      <c r="U287" s="5">
        <f>SUMPRODUCT(('01_Data'!$B287:$AW287&lt;&gt;"")*(1/(1+EXP(-(T287-'03_Lap_b'!$B$30:$AW$30)))))</f>
        <v/>
      </c>
      <c r="V287" s="5">
        <f>SUMPRODUCT(('01_Data'!$B287:$AW287&lt;&gt;"")*(1/(1+EXP(-(T287-'03_Lap_b'!$B$30:$AW$30))))^2)</f>
        <v/>
      </c>
      <c r="W287" s="5">
        <f>MEDIAN(-6,T287+(C287-U287)/MAX(U287-V287,0.000000001),6)</f>
        <v/>
      </c>
      <c r="X287" s="5">
        <f>SUMPRODUCT(('01_Data'!$B287:$AW287&lt;&gt;"")*(1/(1+EXP(-(W287-'03_Lap_b'!$B$35:$AW$35)))))</f>
        <v/>
      </c>
      <c r="Y287" s="5">
        <f>SUMPRODUCT(('01_Data'!$B287:$AW287&lt;&gt;"")*(1/(1+EXP(-(W287-'03_Lap_b'!$B$35:$AW$35))))^2)</f>
        <v/>
      </c>
      <c r="Z287" s="5">
        <f>MEDIAN(-6,W287+(C287-X287)/MAX(X287-Y287,0.000000001),6)</f>
        <v/>
      </c>
      <c r="AA287" s="5">
        <f>SUMPRODUCT(('01_Data'!$B287:$AW287&lt;&gt;"")*(1/(1+EXP(-(Z287-'03_Lap_b'!$B$40:$AW$40)))))</f>
        <v/>
      </c>
      <c r="AB287" s="5">
        <f>SUMPRODUCT(('01_Data'!$B287:$AW287&lt;&gt;"")*(1/(1+EXP(-(Z287-'03_Lap_b'!$B$40:$AW$40))))^2)</f>
        <v/>
      </c>
      <c r="AC287" s="5">
        <f>MEDIAN(-6,Z287+(C287-AA287)/MAX(AA287-AB287,0.000000001),6)</f>
        <v/>
      </c>
    </row>
    <row r="288">
      <c r="A288" t="n">
        <v>287</v>
      </c>
      <c r="B288">
        <f>'01_Data'!A288</f>
        <v/>
      </c>
      <c r="C288">
        <f>SUM('01_Data'!$B288:$AW288)</f>
        <v/>
      </c>
      <c r="D288">
        <f>COUNT('01_Data'!$B288:$AW288)</f>
        <v/>
      </c>
      <c r="E288" s="5">
        <f>MEDIAN(-6,LN((C288+0.3)/(D288-C288+0.3)),6)</f>
        <v/>
      </c>
      <c r="F288" s="5">
        <f>SUMPRODUCT(('01_Data'!$B288:$AW288&lt;&gt;"")*(1/(1+EXP(-(E288-'03_Lap_b'!$B$5:$AW$5)))))</f>
        <v/>
      </c>
      <c r="G288" s="5">
        <f>SUMPRODUCT(('01_Data'!$B288:$AW288&lt;&gt;"")*(1/(1+EXP(-(E288-'03_Lap_b'!$B$5:$AW$5))))^2)</f>
        <v/>
      </c>
      <c r="H288" s="5">
        <f>MEDIAN(-6,E288+(C288-F288)/MAX(F288-G288,0.000000001),6)</f>
        <v/>
      </c>
      <c r="I288" s="5">
        <f>SUMPRODUCT(('01_Data'!$B288:$AW288&lt;&gt;"")*(1/(1+EXP(-(H288-'03_Lap_b'!$B$10:$AW$10)))))</f>
        <v/>
      </c>
      <c r="J288" s="5">
        <f>SUMPRODUCT(('01_Data'!$B288:$AW288&lt;&gt;"")*(1/(1+EXP(-(H288-'03_Lap_b'!$B$10:$AW$10))))^2)</f>
        <v/>
      </c>
      <c r="K288" s="5">
        <f>MEDIAN(-6,H288+(C288-I288)/MAX(I288-J288,0.000000001),6)</f>
        <v/>
      </c>
      <c r="L288" s="5">
        <f>SUMPRODUCT(('01_Data'!$B288:$AW288&lt;&gt;"")*(1/(1+EXP(-(K288-'03_Lap_b'!$B$15:$AW$15)))))</f>
        <v/>
      </c>
      <c r="M288" s="5">
        <f>SUMPRODUCT(('01_Data'!$B288:$AW288&lt;&gt;"")*(1/(1+EXP(-(K288-'03_Lap_b'!$B$15:$AW$15))))^2)</f>
        <v/>
      </c>
      <c r="N288" s="5">
        <f>MEDIAN(-6,K288+(C288-L288)/MAX(L288-M288,0.000000001),6)</f>
        <v/>
      </c>
      <c r="O288" s="5">
        <f>SUMPRODUCT(('01_Data'!$B288:$AW288&lt;&gt;"")*(1/(1+EXP(-(N288-'03_Lap_b'!$B$20:$AW$20)))))</f>
        <v/>
      </c>
      <c r="P288" s="5">
        <f>SUMPRODUCT(('01_Data'!$B288:$AW288&lt;&gt;"")*(1/(1+EXP(-(N288-'03_Lap_b'!$B$20:$AW$20))))^2)</f>
        <v/>
      </c>
      <c r="Q288" s="5">
        <f>MEDIAN(-6,N288+(C288-O288)/MAX(O288-P288,0.000000001),6)</f>
        <v/>
      </c>
      <c r="R288" s="5">
        <f>SUMPRODUCT(('01_Data'!$B288:$AW288&lt;&gt;"")*(1/(1+EXP(-(Q288-'03_Lap_b'!$B$25:$AW$25)))))</f>
        <v/>
      </c>
      <c r="S288" s="5">
        <f>SUMPRODUCT(('01_Data'!$B288:$AW288&lt;&gt;"")*(1/(1+EXP(-(Q288-'03_Lap_b'!$B$25:$AW$25))))^2)</f>
        <v/>
      </c>
      <c r="T288" s="5">
        <f>MEDIAN(-6,Q288+(C288-R288)/MAX(R288-S288,0.000000001),6)</f>
        <v/>
      </c>
      <c r="U288" s="5">
        <f>SUMPRODUCT(('01_Data'!$B288:$AW288&lt;&gt;"")*(1/(1+EXP(-(T288-'03_Lap_b'!$B$30:$AW$30)))))</f>
        <v/>
      </c>
      <c r="V288" s="5">
        <f>SUMPRODUCT(('01_Data'!$B288:$AW288&lt;&gt;"")*(1/(1+EXP(-(T288-'03_Lap_b'!$B$30:$AW$30))))^2)</f>
        <v/>
      </c>
      <c r="W288" s="5">
        <f>MEDIAN(-6,T288+(C288-U288)/MAX(U288-V288,0.000000001),6)</f>
        <v/>
      </c>
      <c r="X288" s="5">
        <f>SUMPRODUCT(('01_Data'!$B288:$AW288&lt;&gt;"")*(1/(1+EXP(-(W288-'03_Lap_b'!$B$35:$AW$35)))))</f>
        <v/>
      </c>
      <c r="Y288" s="5">
        <f>SUMPRODUCT(('01_Data'!$B288:$AW288&lt;&gt;"")*(1/(1+EXP(-(W288-'03_Lap_b'!$B$35:$AW$35))))^2)</f>
        <v/>
      </c>
      <c r="Z288" s="5">
        <f>MEDIAN(-6,W288+(C288-X288)/MAX(X288-Y288,0.000000001),6)</f>
        <v/>
      </c>
      <c r="AA288" s="5">
        <f>SUMPRODUCT(('01_Data'!$B288:$AW288&lt;&gt;"")*(1/(1+EXP(-(Z288-'03_Lap_b'!$B$40:$AW$40)))))</f>
        <v/>
      </c>
      <c r="AB288" s="5">
        <f>SUMPRODUCT(('01_Data'!$B288:$AW288&lt;&gt;"")*(1/(1+EXP(-(Z288-'03_Lap_b'!$B$40:$AW$40))))^2)</f>
        <v/>
      </c>
      <c r="AC288" s="5">
        <f>MEDIAN(-6,Z288+(C288-AA288)/MAX(AA288-AB288,0.000000001),6)</f>
        <v/>
      </c>
    </row>
    <row r="289">
      <c r="A289" t="n">
        <v>288</v>
      </c>
      <c r="B289">
        <f>'01_Data'!A289</f>
        <v/>
      </c>
      <c r="C289">
        <f>SUM('01_Data'!$B289:$AW289)</f>
        <v/>
      </c>
      <c r="D289">
        <f>COUNT('01_Data'!$B289:$AW289)</f>
        <v/>
      </c>
      <c r="E289" s="5">
        <f>MEDIAN(-6,LN((C289+0.3)/(D289-C289+0.3)),6)</f>
        <v/>
      </c>
      <c r="F289" s="5">
        <f>SUMPRODUCT(('01_Data'!$B289:$AW289&lt;&gt;"")*(1/(1+EXP(-(E289-'03_Lap_b'!$B$5:$AW$5)))))</f>
        <v/>
      </c>
      <c r="G289" s="5">
        <f>SUMPRODUCT(('01_Data'!$B289:$AW289&lt;&gt;"")*(1/(1+EXP(-(E289-'03_Lap_b'!$B$5:$AW$5))))^2)</f>
        <v/>
      </c>
      <c r="H289" s="5">
        <f>MEDIAN(-6,E289+(C289-F289)/MAX(F289-G289,0.000000001),6)</f>
        <v/>
      </c>
      <c r="I289" s="5">
        <f>SUMPRODUCT(('01_Data'!$B289:$AW289&lt;&gt;"")*(1/(1+EXP(-(H289-'03_Lap_b'!$B$10:$AW$10)))))</f>
        <v/>
      </c>
      <c r="J289" s="5">
        <f>SUMPRODUCT(('01_Data'!$B289:$AW289&lt;&gt;"")*(1/(1+EXP(-(H289-'03_Lap_b'!$B$10:$AW$10))))^2)</f>
        <v/>
      </c>
      <c r="K289" s="5">
        <f>MEDIAN(-6,H289+(C289-I289)/MAX(I289-J289,0.000000001),6)</f>
        <v/>
      </c>
      <c r="L289" s="5">
        <f>SUMPRODUCT(('01_Data'!$B289:$AW289&lt;&gt;"")*(1/(1+EXP(-(K289-'03_Lap_b'!$B$15:$AW$15)))))</f>
        <v/>
      </c>
      <c r="M289" s="5">
        <f>SUMPRODUCT(('01_Data'!$B289:$AW289&lt;&gt;"")*(1/(1+EXP(-(K289-'03_Lap_b'!$B$15:$AW$15))))^2)</f>
        <v/>
      </c>
      <c r="N289" s="5">
        <f>MEDIAN(-6,K289+(C289-L289)/MAX(L289-M289,0.000000001),6)</f>
        <v/>
      </c>
      <c r="O289" s="5">
        <f>SUMPRODUCT(('01_Data'!$B289:$AW289&lt;&gt;"")*(1/(1+EXP(-(N289-'03_Lap_b'!$B$20:$AW$20)))))</f>
        <v/>
      </c>
      <c r="P289" s="5">
        <f>SUMPRODUCT(('01_Data'!$B289:$AW289&lt;&gt;"")*(1/(1+EXP(-(N289-'03_Lap_b'!$B$20:$AW$20))))^2)</f>
        <v/>
      </c>
      <c r="Q289" s="5">
        <f>MEDIAN(-6,N289+(C289-O289)/MAX(O289-P289,0.000000001),6)</f>
        <v/>
      </c>
      <c r="R289" s="5">
        <f>SUMPRODUCT(('01_Data'!$B289:$AW289&lt;&gt;"")*(1/(1+EXP(-(Q289-'03_Lap_b'!$B$25:$AW$25)))))</f>
        <v/>
      </c>
      <c r="S289" s="5">
        <f>SUMPRODUCT(('01_Data'!$B289:$AW289&lt;&gt;"")*(1/(1+EXP(-(Q289-'03_Lap_b'!$B$25:$AW$25))))^2)</f>
        <v/>
      </c>
      <c r="T289" s="5">
        <f>MEDIAN(-6,Q289+(C289-R289)/MAX(R289-S289,0.000000001),6)</f>
        <v/>
      </c>
      <c r="U289" s="5">
        <f>SUMPRODUCT(('01_Data'!$B289:$AW289&lt;&gt;"")*(1/(1+EXP(-(T289-'03_Lap_b'!$B$30:$AW$30)))))</f>
        <v/>
      </c>
      <c r="V289" s="5">
        <f>SUMPRODUCT(('01_Data'!$B289:$AW289&lt;&gt;"")*(1/(1+EXP(-(T289-'03_Lap_b'!$B$30:$AW$30))))^2)</f>
        <v/>
      </c>
      <c r="W289" s="5">
        <f>MEDIAN(-6,T289+(C289-U289)/MAX(U289-V289,0.000000001),6)</f>
        <v/>
      </c>
      <c r="X289" s="5">
        <f>SUMPRODUCT(('01_Data'!$B289:$AW289&lt;&gt;"")*(1/(1+EXP(-(W289-'03_Lap_b'!$B$35:$AW$35)))))</f>
        <v/>
      </c>
      <c r="Y289" s="5">
        <f>SUMPRODUCT(('01_Data'!$B289:$AW289&lt;&gt;"")*(1/(1+EXP(-(W289-'03_Lap_b'!$B$35:$AW$35))))^2)</f>
        <v/>
      </c>
      <c r="Z289" s="5">
        <f>MEDIAN(-6,W289+(C289-X289)/MAX(X289-Y289,0.000000001),6)</f>
        <v/>
      </c>
      <c r="AA289" s="5">
        <f>SUMPRODUCT(('01_Data'!$B289:$AW289&lt;&gt;"")*(1/(1+EXP(-(Z289-'03_Lap_b'!$B$40:$AW$40)))))</f>
        <v/>
      </c>
      <c r="AB289" s="5">
        <f>SUMPRODUCT(('01_Data'!$B289:$AW289&lt;&gt;"")*(1/(1+EXP(-(Z289-'03_Lap_b'!$B$40:$AW$40))))^2)</f>
        <v/>
      </c>
      <c r="AC289" s="5">
        <f>MEDIAN(-6,Z289+(C289-AA289)/MAX(AA289-AB289,0.000000001),6)</f>
        <v/>
      </c>
    </row>
    <row r="290">
      <c r="A290" t="n">
        <v>289</v>
      </c>
      <c r="B290">
        <f>'01_Data'!A290</f>
        <v/>
      </c>
      <c r="C290">
        <f>SUM('01_Data'!$B290:$AW290)</f>
        <v/>
      </c>
      <c r="D290">
        <f>COUNT('01_Data'!$B290:$AW290)</f>
        <v/>
      </c>
      <c r="E290" s="5">
        <f>MEDIAN(-6,LN((C290+0.3)/(D290-C290+0.3)),6)</f>
        <v/>
      </c>
      <c r="F290" s="5">
        <f>SUMPRODUCT(('01_Data'!$B290:$AW290&lt;&gt;"")*(1/(1+EXP(-(E290-'03_Lap_b'!$B$5:$AW$5)))))</f>
        <v/>
      </c>
      <c r="G290" s="5">
        <f>SUMPRODUCT(('01_Data'!$B290:$AW290&lt;&gt;"")*(1/(1+EXP(-(E290-'03_Lap_b'!$B$5:$AW$5))))^2)</f>
        <v/>
      </c>
      <c r="H290" s="5">
        <f>MEDIAN(-6,E290+(C290-F290)/MAX(F290-G290,0.000000001),6)</f>
        <v/>
      </c>
      <c r="I290" s="5">
        <f>SUMPRODUCT(('01_Data'!$B290:$AW290&lt;&gt;"")*(1/(1+EXP(-(H290-'03_Lap_b'!$B$10:$AW$10)))))</f>
        <v/>
      </c>
      <c r="J290" s="5">
        <f>SUMPRODUCT(('01_Data'!$B290:$AW290&lt;&gt;"")*(1/(1+EXP(-(H290-'03_Lap_b'!$B$10:$AW$10))))^2)</f>
        <v/>
      </c>
      <c r="K290" s="5">
        <f>MEDIAN(-6,H290+(C290-I290)/MAX(I290-J290,0.000000001),6)</f>
        <v/>
      </c>
      <c r="L290" s="5">
        <f>SUMPRODUCT(('01_Data'!$B290:$AW290&lt;&gt;"")*(1/(1+EXP(-(K290-'03_Lap_b'!$B$15:$AW$15)))))</f>
        <v/>
      </c>
      <c r="M290" s="5">
        <f>SUMPRODUCT(('01_Data'!$B290:$AW290&lt;&gt;"")*(1/(1+EXP(-(K290-'03_Lap_b'!$B$15:$AW$15))))^2)</f>
        <v/>
      </c>
      <c r="N290" s="5">
        <f>MEDIAN(-6,K290+(C290-L290)/MAX(L290-M290,0.000000001),6)</f>
        <v/>
      </c>
      <c r="O290" s="5">
        <f>SUMPRODUCT(('01_Data'!$B290:$AW290&lt;&gt;"")*(1/(1+EXP(-(N290-'03_Lap_b'!$B$20:$AW$20)))))</f>
        <v/>
      </c>
      <c r="P290" s="5">
        <f>SUMPRODUCT(('01_Data'!$B290:$AW290&lt;&gt;"")*(1/(1+EXP(-(N290-'03_Lap_b'!$B$20:$AW$20))))^2)</f>
        <v/>
      </c>
      <c r="Q290" s="5">
        <f>MEDIAN(-6,N290+(C290-O290)/MAX(O290-P290,0.000000001),6)</f>
        <v/>
      </c>
      <c r="R290" s="5">
        <f>SUMPRODUCT(('01_Data'!$B290:$AW290&lt;&gt;"")*(1/(1+EXP(-(Q290-'03_Lap_b'!$B$25:$AW$25)))))</f>
        <v/>
      </c>
      <c r="S290" s="5">
        <f>SUMPRODUCT(('01_Data'!$B290:$AW290&lt;&gt;"")*(1/(1+EXP(-(Q290-'03_Lap_b'!$B$25:$AW$25))))^2)</f>
        <v/>
      </c>
      <c r="T290" s="5">
        <f>MEDIAN(-6,Q290+(C290-R290)/MAX(R290-S290,0.000000001),6)</f>
        <v/>
      </c>
      <c r="U290" s="5">
        <f>SUMPRODUCT(('01_Data'!$B290:$AW290&lt;&gt;"")*(1/(1+EXP(-(T290-'03_Lap_b'!$B$30:$AW$30)))))</f>
        <v/>
      </c>
      <c r="V290" s="5">
        <f>SUMPRODUCT(('01_Data'!$B290:$AW290&lt;&gt;"")*(1/(1+EXP(-(T290-'03_Lap_b'!$B$30:$AW$30))))^2)</f>
        <v/>
      </c>
      <c r="W290" s="5">
        <f>MEDIAN(-6,T290+(C290-U290)/MAX(U290-V290,0.000000001),6)</f>
        <v/>
      </c>
      <c r="X290" s="5">
        <f>SUMPRODUCT(('01_Data'!$B290:$AW290&lt;&gt;"")*(1/(1+EXP(-(W290-'03_Lap_b'!$B$35:$AW$35)))))</f>
        <v/>
      </c>
      <c r="Y290" s="5">
        <f>SUMPRODUCT(('01_Data'!$B290:$AW290&lt;&gt;"")*(1/(1+EXP(-(W290-'03_Lap_b'!$B$35:$AW$35))))^2)</f>
        <v/>
      </c>
      <c r="Z290" s="5">
        <f>MEDIAN(-6,W290+(C290-X290)/MAX(X290-Y290,0.000000001),6)</f>
        <v/>
      </c>
      <c r="AA290" s="5">
        <f>SUMPRODUCT(('01_Data'!$B290:$AW290&lt;&gt;"")*(1/(1+EXP(-(Z290-'03_Lap_b'!$B$40:$AW$40)))))</f>
        <v/>
      </c>
      <c r="AB290" s="5">
        <f>SUMPRODUCT(('01_Data'!$B290:$AW290&lt;&gt;"")*(1/(1+EXP(-(Z290-'03_Lap_b'!$B$40:$AW$40))))^2)</f>
        <v/>
      </c>
      <c r="AC290" s="5">
        <f>MEDIAN(-6,Z290+(C290-AA290)/MAX(AA290-AB290,0.000000001),6)</f>
        <v/>
      </c>
    </row>
    <row r="291">
      <c r="A291" t="n">
        <v>290</v>
      </c>
      <c r="B291">
        <f>'01_Data'!A291</f>
        <v/>
      </c>
      <c r="C291">
        <f>SUM('01_Data'!$B291:$AW291)</f>
        <v/>
      </c>
      <c r="D291">
        <f>COUNT('01_Data'!$B291:$AW291)</f>
        <v/>
      </c>
      <c r="E291" s="5">
        <f>MEDIAN(-6,LN((C291+0.3)/(D291-C291+0.3)),6)</f>
        <v/>
      </c>
      <c r="F291" s="5">
        <f>SUMPRODUCT(('01_Data'!$B291:$AW291&lt;&gt;"")*(1/(1+EXP(-(E291-'03_Lap_b'!$B$5:$AW$5)))))</f>
        <v/>
      </c>
      <c r="G291" s="5">
        <f>SUMPRODUCT(('01_Data'!$B291:$AW291&lt;&gt;"")*(1/(1+EXP(-(E291-'03_Lap_b'!$B$5:$AW$5))))^2)</f>
        <v/>
      </c>
      <c r="H291" s="5">
        <f>MEDIAN(-6,E291+(C291-F291)/MAX(F291-G291,0.000000001),6)</f>
        <v/>
      </c>
      <c r="I291" s="5">
        <f>SUMPRODUCT(('01_Data'!$B291:$AW291&lt;&gt;"")*(1/(1+EXP(-(H291-'03_Lap_b'!$B$10:$AW$10)))))</f>
        <v/>
      </c>
      <c r="J291" s="5">
        <f>SUMPRODUCT(('01_Data'!$B291:$AW291&lt;&gt;"")*(1/(1+EXP(-(H291-'03_Lap_b'!$B$10:$AW$10))))^2)</f>
        <v/>
      </c>
      <c r="K291" s="5">
        <f>MEDIAN(-6,H291+(C291-I291)/MAX(I291-J291,0.000000001),6)</f>
        <v/>
      </c>
      <c r="L291" s="5">
        <f>SUMPRODUCT(('01_Data'!$B291:$AW291&lt;&gt;"")*(1/(1+EXP(-(K291-'03_Lap_b'!$B$15:$AW$15)))))</f>
        <v/>
      </c>
      <c r="M291" s="5">
        <f>SUMPRODUCT(('01_Data'!$B291:$AW291&lt;&gt;"")*(1/(1+EXP(-(K291-'03_Lap_b'!$B$15:$AW$15))))^2)</f>
        <v/>
      </c>
      <c r="N291" s="5">
        <f>MEDIAN(-6,K291+(C291-L291)/MAX(L291-M291,0.000000001),6)</f>
        <v/>
      </c>
      <c r="O291" s="5">
        <f>SUMPRODUCT(('01_Data'!$B291:$AW291&lt;&gt;"")*(1/(1+EXP(-(N291-'03_Lap_b'!$B$20:$AW$20)))))</f>
        <v/>
      </c>
      <c r="P291" s="5">
        <f>SUMPRODUCT(('01_Data'!$B291:$AW291&lt;&gt;"")*(1/(1+EXP(-(N291-'03_Lap_b'!$B$20:$AW$20))))^2)</f>
        <v/>
      </c>
      <c r="Q291" s="5">
        <f>MEDIAN(-6,N291+(C291-O291)/MAX(O291-P291,0.000000001),6)</f>
        <v/>
      </c>
      <c r="R291" s="5">
        <f>SUMPRODUCT(('01_Data'!$B291:$AW291&lt;&gt;"")*(1/(1+EXP(-(Q291-'03_Lap_b'!$B$25:$AW$25)))))</f>
        <v/>
      </c>
      <c r="S291" s="5">
        <f>SUMPRODUCT(('01_Data'!$B291:$AW291&lt;&gt;"")*(1/(1+EXP(-(Q291-'03_Lap_b'!$B$25:$AW$25))))^2)</f>
        <v/>
      </c>
      <c r="T291" s="5">
        <f>MEDIAN(-6,Q291+(C291-R291)/MAX(R291-S291,0.000000001),6)</f>
        <v/>
      </c>
      <c r="U291" s="5">
        <f>SUMPRODUCT(('01_Data'!$B291:$AW291&lt;&gt;"")*(1/(1+EXP(-(T291-'03_Lap_b'!$B$30:$AW$30)))))</f>
        <v/>
      </c>
      <c r="V291" s="5">
        <f>SUMPRODUCT(('01_Data'!$B291:$AW291&lt;&gt;"")*(1/(1+EXP(-(T291-'03_Lap_b'!$B$30:$AW$30))))^2)</f>
        <v/>
      </c>
      <c r="W291" s="5">
        <f>MEDIAN(-6,T291+(C291-U291)/MAX(U291-V291,0.000000001),6)</f>
        <v/>
      </c>
      <c r="X291" s="5">
        <f>SUMPRODUCT(('01_Data'!$B291:$AW291&lt;&gt;"")*(1/(1+EXP(-(W291-'03_Lap_b'!$B$35:$AW$35)))))</f>
        <v/>
      </c>
      <c r="Y291" s="5">
        <f>SUMPRODUCT(('01_Data'!$B291:$AW291&lt;&gt;"")*(1/(1+EXP(-(W291-'03_Lap_b'!$B$35:$AW$35))))^2)</f>
        <v/>
      </c>
      <c r="Z291" s="5">
        <f>MEDIAN(-6,W291+(C291-X291)/MAX(X291-Y291,0.000000001),6)</f>
        <v/>
      </c>
      <c r="AA291" s="5">
        <f>SUMPRODUCT(('01_Data'!$B291:$AW291&lt;&gt;"")*(1/(1+EXP(-(Z291-'03_Lap_b'!$B$40:$AW$40)))))</f>
        <v/>
      </c>
      <c r="AB291" s="5">
        <f>SUMPRODUCT(('01_Data'!$B291:$AW291&lt;&gt;"")*(1/(1+EXP(-(Z291-'03_Lap_b'!$B$40:$AW$40))))^2)</f>
        <v/>
      </c>
      <c r="AC291" s="5">
        <f>MEDIAN(-6,Z291+(C291-AA291)/MAX(AA291-AB291,0.000000001),6)</f>
        <v/>
      </c>
    </row>
    <row r="292">
      <c r="A292" t="n">
        <v>291</v>
      </c>
      <c r="B292">
        <f>'01_Data'!A292</f>
        <v/>
      </c>
      <c r="C292">
        <f>SUM('01_Data'!$B292:$AW292)</f>
        <v/>
      </c>
      <c r="D292">
        <f>COUNT('01_Data'!$B292:$AW292)</f>
        <v/>
      </c>
      <c r="E292" s="5">
        <f>MEDIAN(-6,LN((C292+0.3)/(D292-C292+0.3)),6)</f>
        <v/>
      </c>
      <c r="F292" s="5">
        <f>SUMPRODUCT(('01_Data'!$B292:$AW292&lt;&gt;"")*(1/(1+EXP(-(E292-'03_Lap_b'!$B$5:$AW$5)))))</f>
        <v/>
      </c>
      <c r="G292" s="5">
        <f>SUMPRODUCT(('01_Data'!$B292:$AW292&lt;&gt;"")*(1/(1+EXP(-(E292-'03_Lap_b'!$B$5:$AW$5))))^2)</f>
        <v/>
      </c>
      <c r="H292" s="5">
        <f>MEDIAN(-6,E292+(C292-F292)/MAX(F292-G292,0.000000001),6)</f>
        <v/>
      </c>
      <c r="I292" s="5">
        <f>SUMPRODUCT(('01_Data'!$B292:$AW292&lt;&gt;"")*(1/(1+EXP(-(H292-'03_Lap_b'!$B$10:$AW$10)))))</f>
        <v/>
      </c>
      <c r="J292" s="5">
        <f>SUMPRODUCT(('01_Data'!$B292:$AW292&lt;&gt;"")*(1/(1+EXP(-(H292-'03_Lap_b'!$B$10:$AW$10))))^2)</f>
        <v/>
      </c>
      <c r="K292" s="5">
        <f>MEDIAN(-6,H292+(C292-I292)/MAX(I292-J292,0.000000001),6)</f>
        <v/>
      </c>
      <c r="L292" s="5">
        <f>SUMPRODUCT(('01_Data'!$B292:$AW292&lt;&gt;"")*(1/(1+EXP(-(K292-'03_Lap_b'!$B$15:$AW$15)))))</f>
        <v/>
      </c>
      <c r="M292" s="5">
        <f>SUMPRODUCT(('01_Data'!$B292:$AW292&lt;&gt;"")*(1/(1+EXP(-(K292-'03_Lap_b'!$B$15:$AW$15))))^2)</f>
        <v/>
      </c>
      <c r="N292" s="5">
        <f>MEDIAN(-6,K292+(C292-L292)/MAX(L292-M292,0.000000001),6)</f>
        <v/>
      </c>
      <c r="O292" s="5">
        <f>SUMPRODUCT(('01_Data'!$B292:$AW292&lt;&gt;"")*(1/(1+EXP(-(N292-'03_Lap_b'!$B$20:$AW$20)))))</f>
        <v/>
      </c>
      <c r="P292" s="5">
        <f>SUMPRODUCT(('01_Data'!$B292:$AW292&lt;&gt;"")*(1/(1+EXP(-(N292-'03_Lap_b'!$B$20:$AW$20))))^2)</f>
        <v/>
      </c>
      <c r="Q292" s="5">
        <f>MEDIAN(-6,N292+(C292-O292)/MAX(O292-P292,0.000000001),6)</f>
        <v/>
      </c>
      <c r="R292" s="5">
        <f>SUMPRODUCT(('01_Data'!$B292:$AW292&lt;&gt;"")*(1/(1+EXP(-(Q292-'03_Lap_b'!$B$25:$AW$25)))))</f>
        <v/>
      </c>
      <c r="S292" s="5">
        <f>SUMPRODUCT(('01_Data'!$B292:$AW292&lt;&gt;"")*(1/(1+EXP(-(Q292-'03_Lap_b'!$B$25:$AW$25))))^2)</f>
        <v/>
      </c>
      <c r="T292" s="5">
        <f>MEDIAN(-6,Q292+(C292-R292)/MAX(R292-S292,0.000000001),6)</f>
        <v/>
      </c>
      <c r="U292" s="5">
        <f>SUMPRODUCT(('01_Data'!$B292:$AW292&lt;&gt;"")*(1/(1+EXP(-(T292-'03_Lap_b'!$B$30:$AW$30)))))</f>
        <v/>
      </c>
      <c r="V292" s="5">
        <f>SUMPRODUCT(('01_Data'!$B292:$AW292&lt;&gt;"")*(1/(1+EXP(-(T292-'03_Lap_b'!$B$30:$AW$30))))^2)</f>
        <v/>
      </c>
      <c r="W292" s="5">
        <f>MEDIAN(-6,T292+(C292-U292)/MAX(U292-V292,0.000000001),6)</f>
        <v/>
      </c>
      <c r="X292" s="5">
        <f>SUMPRODUCT(('01_Data'!$B292:$AW292&lt;&gt;"")*(1/(1+EXP(-(W292-'03_Lap_b'!$B$35:$AW$35)))))</f>
        <v/>
      </c>
      <c r="Y292" s="5">
        <f>SUMPRODUCT(('01_Data'!$B292:$AW292&lt;&gt;"")*(1/(1+EXP(-(W292-'03_Lap_b'!$B$35:$AW$35))))^2)</f>
        <v/>
      </c>
      <c r="Z292" s="5">
        <f>MEDIAN(-6,W292+(C292-X292)/MAX(X292-Y292,0.000000001),6)</f>
        <v/>
      </c>
      <c r="AA292" s="5">
        <f>SUMPRODUCT(('01_Data'!$B292:$AW292&lt;&gt;"")*(1/(1+EXP(-(Z292-'03_Lap_b'!$B$40:$AW$40)))))</f>
        <v/>
      </c>
      <c r="AB292" s="5">
        <f>SUMPRODUCT(('01_Data'!$B292:$AW292&lt;&gt;"")*(1/(1+EXP(-(Z292-'03_Lap_b'!$B$40:$AW$40))))^2)</f>
        <v/>
      </c>
      <c r="AC292" s="5">
        <f>MEDIAN(-6,Z292+(C292-AA292)/MAX(AA292-AB292,0.000000001),6)</f>
        <v/>
      </c>
    </row>
    <row r="293">
      <c r="A293" t="n">
        <v>292</v>
      </c>
      <c r="B293">
        <f>'01_Data'!A293</f>
        <v/>
      </c>
      <c r="C293">
        <f>SUM('01_Data'!$B293:$AW293)</f>
        <v/>
      </c>
      <c r="D293">
        <f>COUNT('01_Data'!$B293:$AW293)</f>
        <v/>
      </c>
      <c r="E293" s="5">
        <f>MEDIAN(-6,LN((C293+0.3)/(D293-C293+0.3)),6)</f>
        <v/>
      </c>
      <c r="F293" s="5">
        <f>SUMPRODUCT(('01_Data'!$B293:$AW293&lt;&gt;"")*(1/(1+EXP(-(E293-'03_Lap_b'!$B$5:$AW$5)))))</f>
        <v/>
      </c>
      <c r="G293" s="5">
        <f>SUMPRODUCT(('01_Data'!$B293:$AW293&lt;&gt;"")*(1/(1+EXP(-(E293-'03_Lap_b'!$B$5:$AW$5))))^2)</f>
        <v/>
      </c>
      <c r="H293" s="5">
        <f>MEDIAN(-6,E293+(C293-F293)/MAX(F293-G293,0.000000001),6)</f>
        <v/>
      </c>
      <c r="I293" s="5">
        <f>SUMPRODUCT(('01_Data'!$B293:$AW293&lt;&gt;"")*(1/(1+EXP(-(H293-'03_Lap_b'!$B$10:$AW$10)))))</f>
        <v/>
      </c>
      <c r="J293" s="5">
        <f>SUMPRODUCT(('01_Data'!$B293:$AW293&lt;&gt;"")*(1/(1+EXP(-(H293-'03_Lap_b'!$B$10:$AW$10))))^2)</f>
        <v/>
      </c>
      <c r="K293" s="5">
        <f>MEDIAN(-6,H293+(C293-I293)/MAX(I293-J293,0.000000001),6)</f>
        <v/>
      </c>
      <c r="L293" s="5">
        <f>SUMPRODUCT(('01_Data'!$B293:$AW293&lt;&gt;"")*(1/(1+EXP(-(K293-'03_Lap_b'!$B$15:$AW$15)))))</f>
        <v/>
      </c>
      <c r="M293" s="5">
        <f>SUMPRODUCT(('01_Data'!$B293:$AW293&lt;&gt;"")*(1/(1+EXP(-(K293-'03_Lap_b'!$B$15:$AW$15))))^2)</f>
        <v/>
      </c>
      <c r="N293" s="5">
        <f>MEDIAN(-6,K293+(C293-L293)/MAX(L293-M293,0.000000001),6)</f>
        <v/>
      </c>
      <c r="O293" s="5">
        <f>SUMPRODUCT(('01_Data'!$B293:$AW293&lt;&gt;"")*(1/(1+EXP(-(N293-'03_Lap_b'!$B$20:$AW$20)))))</f>
        <v/>
      </c>
      <c r="P293" s="5">
        <f>SUMPRODUCT(('01_Data'!$B293:$AW293&lt;&gt;"")*(1/(1+EXP(-(N293-'03_Lap_b'!$B$20:$AW$20))))^2)</f>
        <v/>
      </c>
      <c r="Q293" s="5">
        <f>MEDIAN(-6,N293+(C293-O293)/MAX(O293-P293,0.000000001),6)</f>
        <v/>
      </c>
      <c r="R293" s="5">
        <f>SUMPRODUCT(('01_Data'!$B293:$AW293&lt;&gt;"")*(1/(1+EXP(-(Q293-'03_Lap_b'!$B$25:$AW$25)))))</f>
        <v/>
      </c>
      <c r="S293" s="5">
        <f>SUMPRODUCT(('01_Data'!$B293:$AW293&lt;&gt;"")*(1/(1+EXP(-(Q293-'03_Lap_b'!$B$25:$AW$25))))^2)</f>
        <v/>
      </c>
      <c r="T293" s="5">
        <f>MEDIAN(-6,Q293+(C293-R293)/MAX(R293-S293,0.000000001),6)</f>
        <v/>
      </c>
      <c r="U293" s="5">
        <f>SUMPRODUCT(('01_Data'!$B293:$AW293&lt;&gt;"")*(1/(1+EXP(-(T293-'03_Lap_b'!$B$30:$AW$30)))))</f>
        <v/>
      </c>
      <c r="V293" s="5">
        <f>SUMPRODUCT(('01_Data'!$B293:$AW293&lt;&gt;"")*(1/(1+EXP(-(T293-'03_Lap_b'!$B$30:$AW$30))))^2)</f>
        <v/>
      </c>
      <c r="W293" s="5">
        <f>MEDIAN(-6,T293+(C293-U293)/MAX(U293-V293,0.000000001),6)</f>
        <v/>
      </c>
      <c r="X293" s="5">
        <f>SUMPRODUCT(('01_Data'!$B293:$AW293&lt;&gt;"")*(1/(1+EXP(-(W293-'03_Lap_b'!$B$35:$AW$35)))))</f>
        <v/>
      </c>
      <c r="Y293" s="5">
        <f>SUMPRODUCT(('01_Data'!$B293:$AW293&lt;&gt;"")*(1/(1+EXP(-(W293-'03_Lap_b'!$B$35:$AW$35))))^2)</f>
        <v/>
      </c>
      <c r="Z293" s="5">
        <f>MEDIAN(-6,W293+(C293-X293)/MAX(X293-Y293,0.000000001),6)</f>
        <v/>
      </c>
      <c r="AA293" s="5">
        <f>SUMPRODUCT(('01_Data'!$B293:$AW293&lt;&gt;"")*(1/(1+EXP(-(Z293-'03_Lap_b'!$B$40:$AW$40)))))</f>
        <v/>
      </c>
      <c r="AB293" s="5">
        <f>SUMPRODUCT(('01_Data'!$B293:$AW293&lt;&gt;"")*(1/(1+EXP(-(Z293-'03_Lap_b'!$B$40:$AW$40))))^2)</f>
        <v/>
      </c>
      <c r="AC293" s="5">
        <f>MEDIAN(-6,Z293+(C293-AA293)/MAX(AA293-AB293,0.000000001),6)</f>
        <v/>
      </c>
    </row>
    <row r="294">
      <c r="A294" t="n">
        <v>293</v>
      </c>
      <c r="B294">
        <f>'01_Data'!A294</f>
        <v/>
      </c>
      <c r="C294">
        <f>SUM('01_Data'!$B294:$AW294)</f>
        <v/>
      </c>
      <c r="D294">
        <f>COUNT('01_Data'!$B294:$AW294)</f>
        <v/>
      </c>
      <c r="E294" s="5">
        <f>MEDIAN(-6,LN((C294+0.3)/(D294-C294+0.3)),6)</f>
        <v/>
      </c>
      <c r="F294" s="5">
        <f>SUMPRODUCT(('01_Data'!$B294:$AW294&lt;&gt;"")*(1/(1+EXP(-(E294-'03_Lap_b'!$B$5:$AW$5)))))</f>
        <v/>
      </c>
      <c r="G294" s="5">
        <f>SUMPRODUCT(('01_Data'!$B294:$AW294&lt;&gt;"")*(1/(1+EXP(-(E294-'03_Lap_b'!$B$5:$AW$5))))^2)</f>
        <v/>
      </c>
      <c r="H294" s="5">
        <f>MEDIAN(-6,E294+(C294-F294)/MAX(F294-G294,0.000000001),6)</f>
        <v/>
      </c>
      <c r="I294" s="5">
        <f>SUMPRODUCT(('01_Data'!$B294:$AW294&lt;&gt;"")*(1/(1+EXP(-(H294-'03_Lap_b'!$B$10:$AW$10)))))</f>
        <v/>
      </c>
      <c r="J294" s="5">
        <f>SUMPRODUCT(('01_Data'!$B294:$AW294&lt;&gt;"")*(1/(1+EXP(-(H294-'03_Lap_b'!$B$10:$AW$10))))^2)</f>
        <v/>
      </c>
      <c r="K294" s="5">
        <f>MEDIAN(-6,H294+(C294-I294)/MAX(I294-J294,0.000000001),6)</f>
        <v/>
      </c>
      <c r="L294" s="5">
        <f>SUMPRODUCT(('01_Data'!$B294:$AW294&lt;&gt;"")*(1/(1+EXP(-(K294-'03_Lap_b'!$B$15:$AW$15)))))</f>
        <v/>
      </c>
      <c r="M294" s="5">
        <f>SUMPRODUCT(('01_Data'!$B294:$AW294&lt;&gt;"")*(1/(1+EXP(-(K294-'03_Lap_b'!$B$15:$AW$15))))^2)</f>
        <v/>
      </c>
      <c r="N294" s="5">
        <f>MEDIAN(-6,K294+(C294-L294)/MAX(L294-M294,0.000000001),6)</f>
        <v/>
      </c>
      <c r="O294" s="5">
        <f>SUMPRODUCT(('01_Data'!$B294:$AW294&lt;&gt;"")*(1/(1+EXP(-(N294-'03_Lap_b'!$B$20:$AW$20)))))</f>
        <v/>
      </c>
      <c r="P294" s="5">
        <f>SUMPRODUCT(('01_Data'!$B294:$AW294&lt;&gt;"")*(1/(1+EXP(-(N294-'03_Lap_b'!$B$20:$AW$20))))^2)</f>
        <v/>
      </c>
      <c r="Q294" s="5">
        <f>MEDIAN(-6,N294+(C294-O294)/MAX(O294-P294,0.000000001),6)</f>
        <v/>
      </c>
      <c r="R294" s="5">
        <f>SUMPRODUCT(('01_Data'!$B294:$AW294&lt;&gt;"")*(1/(1+EXP(-(Q294-'03_Lap_b'!$B$25:$AW$25)))))</f>
        <v/>
      </c>
      <c r="S294" s="5">
        <f>SUMPRODUCT(('01_Data'!$B294:$AW294&lt;&gt;"")*(1/(1+EXP(-(Q294-'03_Lap_b'!$B$25:$AW$25))))^2)</f>
        <v/>
      </c>
      <c r="T294" s="5">
        <f>MEDIAN(-6,Q294+(C294-R294)/MAX(R294-S294,0.000000001),6)</f>
        <v/>
      </c>
      <c r="U294" s="5">
        <f>SUMPRODUCT(('01_Data'!$B294:$AW294&lt;&gt;"")*(1/(1+EXP(-(T294-'03_Lap_b'!$B$30:$AW$30)))))</f>
        <v/>
      </c>
      <c r="V294" s="5">
        <f>SUMPRODUCT(('01_Data'!$B294:$AW294&lt;&gt;"")*(1/(1+EXP(-(T294-'03_Lap_b'!$B$30:$AW$30))))^2)</f>
        <v/>
      </c>
      <c r="W294" s="5">
        <f>MEDIAN(-6,T294+(C294-U294)/MAX(U294-V294,0.000000001),6)</f>
        <v/>
      </c>
      <c r="X294" s="5">
        <f>SUMPRODUCT(('01_Data'!$B294:$AW294&lt;&gt;"")*(1/(1+EXP(-(W294-'03_Lap_b'!$B$35:$AW$35)))))</f>
        <v/>
      </c>
      <c r="Y294" s="5">
        <f>SUMPRODUCT(('01_Data'!$B294:$AW294&lt;&gt;"")*(1/(1+EXP(-(W294-'03_Lap_b'!$B$35:$AW$35))))^2)</f>
        <v/>
      </c>
      <c r="Z294" s="5">
        <f>MEDIAN(-6,W294+(C294-X294)/MAX(X294-Y294,0.000000001),6)</f>
        <v/>
      </c>
      <c r="AA294" s="5">
        <f>SUMPRODUCT(('01_Data'!$B294:$AW294&lt;&gt;"")*(1/(1+EXP(-(Z294-'03_Lap_b'!$B$40:$AW$40)))))</f>
        <v/>
      </c>
      <c r="AB294" s="5">
        <f>SUMPRODUCT(('01_Data'!$B294:$AW294&lt;&gt;"")*(1/(1+EXP(-(Z294-'03_Lap_b'!$B$40:$AW$40))))^2)</f>
        <v/>
      </c>
      <c r="AC294" s="5">
        <f>MEDIAN(-6,Z294+(C294-AA294)/MAX(AA294-AB294,0.000000001),6)</f>
        <v/>
      </c>
    </row>
    <row r="295">
      <c r="A295" t="n">
        <v>294</v>
      </c>
      <c r="B295">
        <f>'01_Data'!A295</f>
        <v/>
      </c>
      <c r="C295">
        <f>SUM('01_Data'!$B295:$AW295)</f>
        <v/>
      </c>
      <c r="D295">
        <f>COUNT('01_Data'!$B295:$AW295)</f>
        <v/>
      </c>
      <c r="E295" s="5">
        <f>MEDIAN(-6,LN((C295+0.3)/(D295-C295+0.3)),6)</f>
        <v/>
      </c>
      <c r="F295" s="5">
        <f>SUMPRODUCT(('01_Data'!$B295:$AW295&lt;&gt;"")*(1/(1+EXP(-(E295-'03_Lap_b'!$B$5:$AW$5)))))</f>
        <v/>
      </c>
      <c r="G295" s="5">
        <f>SUMPRODUCT(('01_Data'!$B295:$AW295&lt;&gt;"")*(1/(1+EXP(-(E295-'03_Lap_b'!$B$5:$AW$5))))^2)</f>
        <v/>
      </c>
      <c r="H295" s="5">
        <f>MEDIAN(-6,E295+(C295-F295)/MAX(F295-G295,0.000000001),6)</f>
        <v/>
      </c>
      <c r="I295" s="5">
        <f>SUMPRODUCT(('01_Data'!$B295:$AW295&lt;&gt;"")*(1/(1+EXP(-(H295-'03_Lap_b'!$B$10:$AW$10)))))</f>
        <v/>
      </c>
      <c r="J295" s="5">
        <f>SUMPRODUCT(('01_Data'!$B295:$AW295&lt;&gt;"")*(1/(1+EXP(-(H295-'03_Lap_b'!$B$10:$AW$10))))^2)</f>
        <v/>
      </c>
      <c r="K295" s="5">
        <f>MEDIAN(-6,H295+(C295-I295)/MAX(I295-J295,0.000000001),6)</f>
        <v/>
      </c>
      <c r="L295" s="5">
        <f>SUMPRODUCT(('01_Data'!$B295:$AW295&lt;&gt;"")*(1/(1+EXP(-(K295-'03_Lap_b'!$B$15:$AW$15)))))</f>
        <v/>
      </c>
      <c r="M295" s="5">
        <f>SUMPRODUCT(('01_Data'!$B295:$AW295&lt;&gt;"")*(1/(1+EXP(-(K295-'03_Lap_b'!$B$15:$AW$15))))^2)</f>
        <v/>
      </c>
      <c r="N295" s="5">
        <f>MEDIAN(-6,K295+(C295-L295)/MAX(L295-M295,0.000000001),6)</f>
        <v/>
      </c>
      <c r="O295" s="5">
        <f>SUMPRODUCT(('01_Data'!$B295:$AW295&lt;&gt;"")*(1/(1+EXP(-(N295-'03_Lap_b'!$B$20:$AW$20)))))</f>
        <v/>
      </c>
      <c r="P295" s="5">
        <f>SUMPRODUCT(('01_Data'!$B295:$AW295&lt;&gt;"")*(1/(1+EXP(-(N295-'03_Lap_b'!$B$20:$AW$20))))^2)</f>
        <v/>
      </c>
      <c r="Q295" s="5">
        <f>MEDIAN(-6,N295+(C295-O295)/MAX(O295-P295,0.000000001),6)</f>
        <v/>
      </c>
      <c r="R295" s="5">
        <f>SUMPRODUCT(('01_Data'!$B295:$AW295&lt;&gt;"")*(1/(1+EXP(-(Q295-'03_Lap_b'!$B$25:$AW$25)))))</f>
        <v/>
      </c>
      <c r="S295" s="5">
        <f>SUMPRODUCT(('01_Data'!$B295:$AW295&lt;&gt;"")*(1/(1+EXP(-(Q295-'03_Lap_b'!$B$25:$AW$25))))^2)</f>
        <v/>
      </c>
      <c r="T295" s="5">
        <f>MEDIAN(-6,Q295+(C295-R295)/MAX(R295-S295,0.000000001),6)</f>
        <v/>
      </c>
      <c r="U295" s="5">
        <f>SUMPRODUCT(('01_Data'!$B295:$AW295&lt;&gt;"")*(1/(1+EXP(-(T295-'03_Lap_b'!$B$30:$AW$30)))))</f>
        <v/>
      </c>
      <c r="V295" s="5">
        <f>SUMPRODUCT(('01_Data'!$B295:$AW295&lt;&gt;"")*(1/(1+EXP(-(T295-'03_Lap_b'!$B$30:$AW$30))))^2)</f>
        <v/>
      </c>
      <c r="W295" s="5">
        <f>MEDIAN(-6,T295+(C295-U295)/MAX(U295-V295,0.000000001),6)</f>
        <v/>
      </c>
      <c r="X295" s="5">
        <f>SUMPRODUCT(('01_Data'!$B295:$AW295&lt;&gt;"")*(1/(1+EXP(-(W295-'03_Lap_b'!$B$35:$AW$35)))))</f>
        <v/>
      </c>
      <c r="Y295" s="5">
        <f>SUMPRODUCT(('01_Data'!$B295:$AW295&lt;&gt;"")*(1/(1+EXP(-(W295-'03_Lap_b'!$B$35:$AW$35))))^2)</f>
        <v/>
      </c>
      <c r="Z295" s="5">
        <f>MEDIAN(-6,W295+(C295-X295)/MAX(X295-Y295,0.000000001),6)</f>
        <v/>
      </c>
      <c r="AA295" s="5">
        <f>SUMPRODUCT(('01_Data'!$B295:$AW295&lt;&gt;"")*(1/(1+EXP(-(Z295-'03_Lap_b'!$B$40:$AW$40)))))</f>
        <v/>
      </c>
      <c r="AB295" s="5">
        <f>SUMPRODUCT(('01_Data'!$B295:$AW295&lt;&gt;"")*(1/(1+EXP(-(Z295-'03_Lap_b'!$B$40:$AW$40))))^2)</f>
        <v/>
      </c>
      <c r="AC295" s="5">
        <f>MEDIAN(-6,Z295+(C295-AA295)/MAX(AA295-AB295,0.000000001),6)</f>
        <v/>
      </c>
    </row>
    <row r="296">
      <c r="A296" t="n">
        <v>295</v>
      </c>
      <c r="B296">
        <f>'01_Data'!A296</f>
        <v/>
      </c>
      <c r="C296">
        <f>SUM('01_Data'!$B296:$AW296)</f>
        <v/>
      </c>
      <c r="D296">
        <f>COUNT('01_Data'!$B296:$AW296)</f>
        <v/>
      </c>
      <c r="E296" s="5">
        <f>MEDIAN(-6,LN((C296+0.3)/(D296-C296+0.3)),6)</f>
        <v/>
      </c>
      <c r="F296" s="5">
        <f>SUMPRODUCT(('01_Data'!$B296:$AW296&lt;&gt;"")*(1/(1+EXP(-(E296-'03_Lap_b'!$B$5:$AW$5)))))</f>
        <v/>
      </c>
      <c r="G296" s="5">
        <f>SUMPRODUCT(('01_Data'!$B296:$AW296&lt;&gt;"")*(1/(1+EXP(-(E296-'03_Lap_b'!$B$5:$AW$5))))^2)</f>
        <v/>
      </c>
      <c r="H296" s="5">
        <f>MEDIAN(-6,E296+(C296-F296)/MAX(F296-G296,0.000000001),6)</f>
        <v/>
      </c>
      <c r="I296" s="5">
        <f>SUMPRODUCT(('01_Data'!$B296:$AW296&lt;&gt;"")*(1/(1+EXP(-(H296-'03_Lap_b'!$B$10:$AW$10)))))</f>
        <v/>
      </c>
      <c r="J296" s="5">
        <f>SUMPRODUCT(('01_Data'!$B296:$AW296&lt;&gt;"")*(1/(1+EXP(-(H296-'03_Lap_b'!$B$10:$AW$10))))^2)</f>
        <v/>
      </c>
      <c r="K296" s="5">
        <f>MEDIAN(-6,H296+(C296-I296)/MAX(I296-J296,0.000000001),6)</f>
        <v/>
      </c>
      <c r="L296" s="5">
        <f>SUMPRODUCT(('01_Data'!$B296:$AW296&lt;&gt;"")*(1/(1+EXP(-(K296-'03_Lap_b'!$B$15:$AW$15)))))</f>
        <v/>
      </c>
      <c r="M296" s="5">
        <f>SUMPRODUCT(('01_Data'!$B296:$AW296&lt;&gt;"")*(1/(1+EXP(-(K296-'03_Lap_b'!$B$15:$AW$15))))^2)</f>
        <v/>
      </c>
      <c r="N296" s="5">
        <f>MEDIAN(-6,K296+(C296-L296)/MAX(L296-M296,0.000000001),6)</f>
        <v/>
      </c>
      <c r="O296" s="5">
        <f>SUMPRODUCT(('01_Data'!$B296:$AW296&lt;&gt;"")*(1/(1+EXP(-(N296-'03_Lap_b'!$B$20:$AW$20)))))</f>
        <v/>
      </c>
      <c r="P296" s="5">
        <f>SUMPRODUCT(('01_Data'!$B296:$AW296&lt;&gt;"")*(1/(1+EXP(-(N296-'03_Lap_b'!$B$20:$AW$20))))^2)</f>
        <v/>
      </c>
      <c r="Q296" s="5">
        <f>MEDIAN(-6,N296+(C296-O296)/MAX(O296-P296,0.000000001),6)</f>
        <v/>
      </c>
      <c r="R296" s="5">
        <f>SUMPRODUCT(('01_Data'!$B296:$AW296&lt;&gt;"")*(1/(1+EXP(-(Q296-'03_Lap_b'!$B$25:$AW$25)))))</f>
        <v/>
      </c>
      <c r="S296" s="5">
        <f>SUMPRODUCT(('01_Data'!$B296:$AW296&lt;&gt;"")*(1/(1+EXP(-(Q296-'03_Lap_b'!$B$25:$AW$25))))^2)</f>
        <v/>
      </c>
      <c r="T296" s="5">
        <f>MEDIAN(-6,Q296+(C296-R296)/MAX(R296-S296,0.000000001),6)</f>
        <v/>
      </c>
      <c r="U296" s="5">
        <f>SUMPRODUCT(('01_Data'!$B296:$AW296&lt;&gt;"")*(1/(1+EXP(-(T296-'03_Lap_b'!$B$30:$AW$30)))))</f>
        <v/>
      </c>
      <c r="V296" s="5">
        <f>SUMPRODUCT(('01_Data'!$B296:$AW296&lt;&gt;"")*(1/(1+EXP(-(T296-'03_Lap_b'!$B$30:$AW$30))))^2)</f>
        <v/>
      </c>
      <c r="W296" s="5">
        <f>MEDIAN(-6,T296+(C296-U296)/MAX(U296-V296,0.000000001),6)</f>
        <v/>
      </c>
      <c r="X296" s="5">
        <f>SUMPRODUCT(('01_Data'!$B296:$AW296&lt;&gt;"")*(1/(1+EXP(-(W296-'03_Lap_b'!$B$35:$AW$35)))))</f>
        <v/>
      </c>
      <c r="Y296" s="5">
        <f>SUMPRODUCT(('01_Data'!$B296:$AW296&lt;&gt;"")*(1/(1+EXP(-(W296-'03_Lap_b'!$B$35:$AW$35))))^2)</f>
        <v/>
      </c>
      <c r="Z296" s="5">
        <f>MEDIAN(-6,W296+(C296-X296)/MAX(X296-Y296,0.000000001),6)</f>
        <v/>
      </c>
      <c r="AA296" s="5">
        <f>SUMPRODUCT(('01_Data'!$B296:$AW296&lt;&gt;"")*(1/(1+EXP(-(Z296-'03_Lap_b'!$B$40:$AW$40)))))</f>
        <v/>
      </c>
      <c r="AB296" s="5">
        <f>SUMPRODUCT(('01_Data'!$B296:$AW296&lt;&gt;"")*(1/(1+EXP(-(Z296-'03_Lap_b'!$B$40:$AW$40))))^2)</f>
        <v/>
      </c>
      <c r="AC296" s="5">
        <f>MEDIAN(-6,Z296+(C296-AA296)/MAX(AA296-AB296,0.000000001),6)</f>
        <v/>
      </c>
    </row>
    <row r="297">
      <c r="A297" t="n">
        <v>296</v>
      </c>
      <c r="B297">
        <f>'01_Data'!A297</f>
        <v/>
      </c>
      <c r="C297">
        <f>SUM('01_Data'!$B297:$AW297)</f>
        <v/>
      </c>
      <c r="D297">
        <f>COUNT('01_Data'!$B297:$AW297)</f>
        <v/>
      </c>
      <c r="E297" s="5">
        <f>MEDIAN(-6,LN((C297+0.3)/(D297-C297+0.3)),6)</f>
        <v/>
      </c>
      <c r="F297" s="5">
        <f>SUMPRODUCT(('01_Data'!$B297:$AW297&lt;&gt;"")*(1/(1+EXP(-(E297-'03_Lap_b'!$B$5:$AW$5)))))</f>
        <v/>
      </c>
      <c r="G297" s="5">
        <f>SUMPRODUCT(('01_Data'!$B297:$AW297&lt;&gt;"")*(1/(1+EXP(-(E297-'03_Lap_b'!$B$5:$AW$5))))^2)</f>
        <v/>
      </c>
      <c r="H297" s="5">
        <f>MEDIAN(-6,E297+(C297-F297)/MAX(F297-G297,0.000000001),6)</f>
        <v/>
      </c>
      <c r="I297" s="5">
        <f>SUMPRODUCT(('01_Data'!$B297:$AW297&lt;&gt;"")*(1/(1+EXP(-(H297-'03_Lap_b'!$B$10:$AW$10)))))</f>
        <v/>
      </c>
      <c r="J297" s="5">
        <f>SUMPRODUCT(('01_Data'!$B297:$AW297&lt;&gt;"")*(1/(1+EXP(-(H297-'03_Lap_b'!$B$10:$AW$10))))^2)</f>
        <v/>
      </c>
      <c r="K297" s="5">
        <f>MEDIAN(-6,H297+(C297-I297)/MAX(I297-J297,0.000000001),6)</f>
        <v/>
      </c>
      <c r="L297" s="5">
        <f>SUMPRODUCT(('01_Data'!$B297:$AW297&lt;&gt;"")*(1/(1+EXP(-(K297-'03_Lap_b'!$B$15:$AW$15)))))</f>
        <v/>
      </c>
      <c r="M297" s="5">
        <f>SUMPRODUCT(('01_Data'!$B297:$AW297&lt;&gt;"")*(1/(1+EXP(-(K297-'03_Lap_b'!$B$15:$AW$15))))^2)</f>
        <v/>
      </c>
      <c r="N297" s="5">
        <f>MEDIAN(-6,K297+(C297-L297)/MAX(L297-M297,0.000000001),6)</f>
        <v/>
      </c>
      <c r="O297" s="5">
        <f>SUMPRODUCT(('01_Data'!$B297:$AW297&lt;&gt;"")*(1/(1+EXP(-(N297-'03_Lap_b'!$B$20:$AW$20)))))</f>
        <v/>
      </c>
      <c r="P297" s="5">
        <f>SUMPRODUCT(('01_Data'!$B297:$AW297&lt;&gt;"")*(1/(1+EXP(-(N297-'03_Lap_b'!$B$20:$AW$20))))^2)</f>
        <v/>
      </c>
      <c r="Q297" s="5">
        <f>MEDIAN(-6,N297+(C297-O297)/MAX(O297-P297,0.000000001),6)</f>
        <v/>
      </c>
      <c r="R297" s="5">
        <f>SUMPRODUCT(('01_Data'!$B297:$AW297&lt;&gt;"")*(1/(1+EXP(-(Q297-'03_Lap_b'!$B$25:$AW$25)))))</f>
        <v/>
      </c>
      <c r="S297" s="5">
        <f>SUMPRODUCT(('01_Data'!$B297:$AW297&lt;&gt;"")*(1/(1+EXP(-(Q297-'03_Lap_b'!$B$25:$AW$25))))^2)</f>
        <v/>
      </c>
      <c r="T297" s="5">
        <f>MEDIAN(-6,Q297+(C297-R297)/MAX(R297-S297,0.000000001),6)</f>
        <v/>
      </c>
      <c r="U297" s="5">
        <f>SUMPRODUCT(('01_Data'!$B297:$AW297&lt;&gt;"")*(1/(1+EXP(-(T297-'03_Lap_b'!$B$30:$AW$30)))))</f>
        <v/>
      </c>
      <c r="V297" s="5">
        <f>SUMPRODUCT(('01_Data'!$B297:$AW297&lt;&gt;"")*(1/(1+EXP(-(T297-'03_Lap_b'!$B$30:$AW$30))))^2)</f>
        <v/>
      </c>
      <c r="W297" s="5">
        <f>MEDIAN(-6,T297+(C297-U297)/MAX(U297-V297,0.000000001),6)</f>
        <v/>
      </c>
      <c r="X297" s="5">
        <f>SUMPRODUCT(('01_Data'!$B297:$AW297&lt;&gt;"")*(1/(1+EXP(-(W297-'03_Lap_b'!$B$35:$AW$35)))))</f>
        <v/>
      </c>
      <c r="Y297" s="5">
        <f>SUMPRODUCT(('01_Data'!$B297:$AW297&lt;&gt;"")*(1/(1+EXP(-(W297-'03_Lap_b'!$B$35:$AW$35))))^2)</f>
        <v/>
      </c>
      <c r="Z297" s="5">
        <f>MEDIAN(-6,W297+(C297-X297)/MAX(X297-Y297,0.000000001),6)</f>
        <v/>
      </c>
      <c r="AA297" s="5">
        <f>SUMPRODUCT(('01_Data'!$B297:$AW297&lt;&gt;"")*(1/(1+EXP(-(Z297-'03_Lap_b'!$B$40:$AW$40)))))</f>
        <v/>
      </c>
      <c r="AB297" s="5">
        <f>SUMPRODUCT(('01_Data'!$B297:$AW297&lt;&gt;"")*(1/(1+EXP(-(Z297-'03_Lap_b'!$B$40:$AW$40))))^2)</f>
        <v/>
      </c>
      <c r="AC297" s="5">
        <f>MEDIAN(-6,Z297+(C297-AA297)/MAX(AA297-AB297,0.000000001),6)</f>
        <v/>
      </c>
    </row>
    <row r="298">
      <c r="A298" t="n">
        <v>297</v>
      </c>
      <c r="B298">
        <f>'01_Data'!A298</f>
        <v/>
      </c>
      <c r="C298">
        <f>SUM('01_Data'!$B298:$AW298)</f>
        <v/>
      </c>
      <c r="D298">
        <f>COUNT('01_Data'!$B298:$AW298)</f>
        <v/>
      </c>
      <c r="E298" s="5">
        <f>MEDIAN(-6,LN((C298+0.3)/(D298-C298+0.3)),6)</f>
        <v/>
      </c>
      <c r="F298" s="5">
        <f>SUMPRODUCT(('01_Data'!$B298:$AW298&lt;&gt;"")*(1/(1+EXP(-(E298-'03_Lap_b'!$B$5:$AW$5)))))</f>
        <v/>
      </c>
      <c r="G298" s="5">
        <f>SUMPRODUCT(('01_Data'!$B298:$AW298&lt;&gt;"")*(1/(1+EXP(-(E298-'03_Lap_b'!$B$5:$AW$5))))^2)</f>
        <v/>
      </c>
      <c r="H298" s="5">
        <f>MEDIAN(-6,E298+(C298-F298)/MAX(F298-G298,0.000000001),6)</f>
        <v/>
      </c>
      <c r="I298" s="5">
        <f>SUMPRODUCT(('01_Data'!$B298:$AW298&lt;&gt;"")*(1/(1+EXP(-(H298-'03_Lap_b'!$B$10:$AW$10)))))</f>
        <v/>
      </c>
      <c r="J298" s="5">
        <f>SUMPRODUCT(('01_Data'!$B298:$AW298&lt;&gt;"")*(1/(1+EXP(-(H298-'03_Lap_b'!$B$10:$AW$10))))^2)</f>
        <v/>
      </c>
      <c r="K298" s="5">
        <f>MEDIAN(-6,H298+(C298-I298)/MAX(I298-J298,0.000000001),6)</f>
        <v/>
      </c>
      <c r="L298" s="5">
        <f>SUMPRODUCT(('01_Data'!$B298:$AW298&lt;&gt;"")*(1/(1+EXP(-(K298-'03_Lap_b'!$B$15:$AW$15)))))</f>
        <v/>
      </c>
      <c r="M298" s="5">
        <f>SUMPRODUCT(('01_Data'!$B298:$AW298&lt;&gt;"")*(1/(1+EXP(-(K298-'03_Lap_b'!$B$15:$AW$15))))^2)</f>
        <v/>
      </c>
      <c r="N298" s="5">
        <f>MEDIAN(-6,K298+(C298-L298)/MAX(L298-M298,0.000000001),6)</f>
        <v/>
      </c>
      <c r="O298" s="5">
        <f>SUMPRODUCT(('01_Data'!$B298:$AW298&lt;&gt;"")*(1/(1+EXP(-(N298-'03_Lap_b'!$B$20:$AW$20)))))</f>
        <v/>
      </c>
      <c r="P298" s="5">
        <f>SUMPRODUCT(('01_Data'!$B298:$AW298&lt;&gt;"")*(1/(1+EXP(-(N298-'03_Lap_b'!$B$20:$AW$20))))^2)</f>
        <v/>
      </c>
      <c r="Q298" s="5">
        <f>MEDIAN(-6,N298+(C298-O298)/MAX(O298-P298,0.000000001),6)</f>
        <v/>
      </c>
      <c r="R298" s="5">
        <f>SUMPRODUCT(('01_Data'!$B298:$AW298&lt;&gt;"")*(1/(1+EXP(-(Q298-'03_Lap_b'!$B$25:$AW$25)))))</f>
        <v/>
      </c>
      <c r="S298" s="5">
        <f>SUMPRODUCT(('01_Data'!$B298:$AW298&lt;&gt;"")*(1/(1+EXP(-(Q298-'03_Lap_b'!$B$25:$AW$25))))^2)</f>
        <v/>
      </c>
      <c r="T298" s="5">
        <f>MEDIAN(-6,Q298+(C298-R298)/MAX(R298-S298,0.000000001),6)</f>
        <v/>
      </c>
      <c r="U298" s="5">
        <f>SUMPRODUCT(('01_Data'!$B298:$AW298&lt;&gt;"")*(1/(1+EXP(-(T298-'03_Lap_b'!$B$30:$AW$30)))))</f>
        <v/>
      </c>
      <c r="V298" s="5">
        <f>SUMPRODUCT(('01_Data'!$B298:$AW298&lt;&gt;"")*(1/(1+EXP(-(T298-'03_Lap_b'!$B$30:$AW$30))))^2)</f>
        <v/>
      </c>
      <c r="W298" s="5">
        <f>MEDIAN(-6,T298+(C298-U298)/MAX(U298-V298,0.000000001),6)</f>
        <v/>
      </c>
      <c r="X298" s="5">
        <f>SUMPRODUCT(('01_Data'!$B298:$AW298&lt;&gt;"")*(1/(1+EXP(-(W298-'03_Lap_b'!$B$35:$AW$35)))))</f>
        <v/>
      </c>
      <c r="Y298" s="5">
        <f>SUMPRODUCT(('01_Data'!$B298:$AW298&lt;&gt;"")*(1/(1+EXP(-(W298-'03_Lap_b'!$B$35:$AW$35))))^2)</f>
        <v/>
      </c>
      <c r="Z298" s="5">
        <f>MEDIAN(-6,W298+(C298-X298)/MAX(X298-Y298,0.000000001),6)</f>
        <v/>
      </c>
      <c r="AA298" s="5">
        <f>SUMPRODUCT(('01_Data'!$B298:$AW298&lt;&gt;"")*(1/(1+EXP(-(Z298-'03_Lap_b'!$B$40:$AW$40)))))</f>
        <v/>
      </c>
      <c r="AB298" s="5">
        <f>SUMPRODUCT(('01_Data'!$B298:$AW298&lt;&gt;"")*(1/(1+EXP(-(Z298-'03_Lap_b'!$B$40:$AW$40))))^2)</f>
        <v/>
      </c>
      <c r="AC298" s="5">
        <f>MEDIAN(-6,Z298+(C298-AA298)/MAX(AA298-AB298,0.000000001),6)</f>
        <v/>
      </c>
    </row>
    <row r="299">
      <c r="A299" t="n">
        <v>298</v>
      </c>
      <c r="B299">
        <f>'01_Data'!A299</f>
        <v/>
      </c>
      <c r="C299">
        <f>SUM('01_Data'!$B299:$AW299)</f>
        <v/>
      </c>
      <c r="D299">
        <f>COUNT('01_Data'!$B299:$AW299)</f>
        <v/>
      </c>
      <c r="E299" s="5">
        <f>MEDIAN(-6,LN((C299+0.3)/(D299-C299+0.3)),6)</f>
        <v/>
      </c>
      <c r="F299" s="5">
        <f>SUMPRODUCT(('01_Data'!$B299:$AW299&lt;&gt;"")*(1/(1+EXP(-(E299-'03_Lap_b'!$B$5:$AW$5)))))</f>
        <v/>
      </c>
      <c r="G299" s="5">
        <f>SUMPRODUCT(('01_Data'!$B299:$AW299&lt;&gt;"")*(1/(1+EXP(-(E299-'03_Lap_b'!$B$5:$AW$5))))^2)</f>
        <v/>
      </c>
      <c r="H299" s="5">
        <f>MEDIAN(-6,E299+(C299-F299)/MAX(F299-G299,0.000000001),6)</f>
        <v/>
      </c>
      <c r="I299" s="5">
        <f>SUMPRODUCT(('01_Data'!$B299:$AW299&lt;&gt;"")*(1/(1+EXP(-(H299-'03_Lap_b'!$B$10:$AW$10)))))</f>
        <v/>
      </c>
      <c r="J299" s="5">
        <f>SUMPRODUCT(('01_Data'!$B299:$AW299&lt;&gt;"")*(1/(1+EXP(-(H299-'03_Lap_b'!$B$10:$AW$10))))^2)</f>
        <v/>
      </c>
      <c r="K299" s="5">
        <f>MEDIAN(-6,H299+(C299-I299)/MAX(I299-J299,0.000000001),6)</f>
        <v/>
      </c>
      <c r="L299" s="5">
        <f>SUMPRODUCT(('01_Data'!$B299:$AW299&lt;&gt;"")*(1/(1+EXP(-(K299-'03_Lap_b'!$B$15:$AW$15)))))</f>
        <v/>
      </c>
      <c r="M299" s="5">
        <f>SUMPRODUCT(('01_Data'!$B299:$AW299&lt;&gt;"")*(1/(1+EXP(-(K299-'03_Lap_b'!$B$15:$AW$15))))^2)</f>
        <v/>
      </c>
      <c r="N299" s="5">
        <f>MEDIAN(-6,K299+(C299-L299)/MAX(L299-M299,0.000000001),6)</f>
        <v/>
      </c>
      <c r="O299" s="5">
        <f>SUMPRODUCT(('01_Data'!$B299:$AW299&lt;&gt;"")*(1/(1+EXP(-(N299-'03_Lap_b'!$B$20:$AW$20)))))</f>
        <v/>
      </c>
      <c r="P299" s="5">
        <f>SUMPRODUCT(('01_Data'!$B299:$AW299&lt;&gt;"")*(1/(1+EXP(-(N299-'03_Lap_b'!$B$20:$AW$20))))^2)</f>
        <v/>
      </c>
      <c r="Q299" s="5">
        <f>MEDIAN(-6,N299+(C299-O299)/MAX(O299-P299,0.000000001),6)</f>
        <v/>
      </c>
      <c r="R299" s="5">
        <f>SUMPRODUCT(('01_Data'!$B299:$AW299&lt;&gt;"")*(1/(1+EXP(-(Q299-'03_Lap_b'!$B$25:$AW$25)))))</f>
        <v/>
      </c>
      <c r="S299" s="5">
        <f>SUMPRODUCT(('01_Data'!$B299:$AW299&lt;&gt;"")*(1/(1+EXP(-(Q299-'03_Lap_b'!$B$25:$AW$25))))^2)</f>
        <v/>
      </c>
      <c r="T299" s="5">
        <f>MEDIAN(-6,Q299+(C299-R299)/MAX(R299-S299,0.000000001),6)</f>
        <v/>
      </c>
      <c r="U299" s="5">
        <f>SUMPRODUCT(('01_Data'!$B299:$AW299&lt;&gt;"")*(1/(1+EXP(-(T299-'03_Lap_b'!$B$30:$AW$30)))))</f>
        <v/>
      </c>
      <c r="V299" s="5">
        <f>SUMPRODUCT(('01_Data'!$B299:$AW299&lt;&gt;"")*(1/(1+EXP(-(T299-'03_Lap_b'!$B$30:$AW$30))))^2)</f>
        <v/>
      </c>
      <c r="W299" s="5">
        <f>MEDIAN(-6,T299+(C299-U299)/MAX(U299-V299,0.000000001),6)</f>
        <v/>
      </c>
      <c r="X299" s="5">
        <f>SUMPRODUCT(('01_Data'!$B299:$AW299&lt;&gt;"")*(1/(1+EXP(-(W299-'03_Lap_b'!$B$35:$AW$35)))))</f>
        <v/>
      </c>
      <c r="Y299" s="5">
        <f>SUMPRODUCT(('01_Data'!$B299:$AW299&lt;&gt;"")*(1/(1+EXP(-(W299-'03_Lap_b'!$B$35:$AW$35))))^2)</f>
        <v/>
      </c>
      <c r="Z299" s="5">
        <f>MEDIAN(-6,W299+(C299-X299)/MAX(X299-Y299,0.000000001),6)</f>
        <v/>
      </c>
      <c r="AA299" s="5">
        <f>SUMPRODUCT(('01_Data'!$B299:$AW299&lt;&gt;"")*(1/(1+EXP(-(Z299-'03_Lap_b'!$B$40:$AW$40)))))</f>
        <v/>
      </c>
      <c r="AB299" s="5">
        <f>SUMPRODUCT(('01_Data'!$B299:$AW299&lt;&gt;"")*(1/(1+EXP(-(Z299-'03_Lap_b'!$B$40:$AW$40))))^2)</f>
        <v/>
      </c>
      <c r="AC299" s="5">
        <f>MEDIAN(-6,Z299+(C299-AA299)/MAX(AA299-AB299,0.000000001),6)</f>
        <v/>
      </c>
    </row>
    <row r="300">
      <c r="A300" t="n">
        <v>299</v>
      </c>
      <c r="B300">
        <f>'01_Data'!A300</f>
        <v/>
      </c>
      <c r="C300">
        <f>SUM('01_Data'!$B300:$AW300)</f>
        <v/>
      </c>
      <c r="D300">
        <f>COUNT('01_Data'!$B300:$AW300)</f>
        <v/>
      </c>
      <c r="E300" s="5">
        <f>MEDIAN(-6,LN((C300+0.3)/(D300-C300+0.3)),6)</f>
        <v/>
      </c>
      <c r="F300" s="5">
        <f>SUMPRODUCT(('01_Data'!$B300:$AW300&lt;&gt;"")*(1/(1+EXP(-(E300-'03_Lap_b'!$B$5:$AW$5)))))</f>
        <v/>
      </c>
      <c r="G300" s="5">
        <f>SUMPRODUCT(('01_Data'!$B300:$AW300&lt;&gt;"")*(1/(1+EXP(-(E300-'03_Lap_b'!$B$5:$AW$5))))^2)</f>
        <v/>
      </c>
      <c r="H300" s="5">
        <f>MEDIAN(-6,E300+(C300-F300)/MAX(F300-G300,0.000000001),6)</f>
        <v/>
      </c>
      <c r="I300" s="5">
        <f>SUMPRODUCT(('01_Data'!$B300:$AW300&lt;&gt;"")*(1/(1+EXP(-(H300-'03_Lap_b'!$B$10:$AW$10)))))</f>
        <v/>
      </c>
      <c r="J300" s="5">
        <f>SUMPRODUCT(('01_Data'!$B300:$AW300&lt;&gt;"")*(1/(1+EXP(-(H300-'03_Lap_b'!$B$10:$AW$10))))^2)</f>
        <v/>
      </c>
      <c r="K300" s="5">
        <f>MEDIAN(-6,H300+(C300-I300)/MAX(I300-J300,0.000000001),6)</f>
        <v/>
      </c>
      <c r="L300" s="5">
        <f>SUMPRODUCT(('01_Data'!$B300:$AW300&lt;&gt;"")*(1/(1+EXP(-(K300-'03_Lap_b'!$B$15:$AW$15)))))</f>
        <v/>
      </c>
      <c r="M300" s="5">
        <f>SUMPRODUCT(('01_Data'!$B300:$AW300&lt;&gt;"")*(1/(1+EXP(-(K300-'03_Lap_b'!$B$15:$AW$15))))^2)</f>
        <v/>
      </c>
      <c r="N300" s="5">
        <f>MEDIAN(-6,K300+(C300-L300)/MAX(L300-M300,0.000000001),6)</f>
        <v/>
      </c>
      <c r="O300" s="5">
        <f>SUMPRODUCT(('01_Data'!$B300:$AW300&lt;&gt;"")*(1/(1+EXP(-(N300-'03_Lap_b'!$B$20:$AW$20)))))</f>
        <v/>
      </c>
      <c r="P300" s="5">
        <f>SUMPRODUCT(('01_Data'!$B300:$AW300&lt;&gt;"")*(1/(1+EXP(-(N300-'03_Lap_b'!$B$20:$AW$20))))^2)</f>
        <v/>
      </c>
      <c r="Q300" s="5">
        <f>MEDIAN(-6,N300+(C300-O300)/MAX(O300-P300,0.000000001),6)</f>
        <v/>
      </c>
      <c r="R300" s="5">
        <f>SUMPRODUCT(('01_Data'!$B300:$AW300&lt;&gt;"")*(1/(1+EXP(-(Q300-'03_Lap_b'!$B$25:$AW$25)))))</f>
        <v/>
      </c>
      <c r="S300" s="5">
        <f>SUMPRODUCT(('01_Data'!$B300:$AW300&lt;&gt;"")*(1/(1+EXP(-(Q300-'03_Lap_b'!$B$25:$AW$25))))^2)</f>
        <v/>
      </c>
      <c r="T300" s="5">
        <f>MEDIAN(-6,Q300+(C300-R300)/MAX(R300-S300,0.000000001),6)</f>
        <v/>
      </c>
      <c r="U300" s="5">
        <f>SUMPRODUCT(('01_Data'!$B300:$AW300&lt;&gt;"")*(1/(1+EXP(-(T300-'03_Lap_b'!$B$30:$AW$30)))))</f>
        <v/>
      </c>
      <c r="V300" s="5">
        <f>SUMPRODUCT(('01_Data'!$B300:$AW300&lt;&gt;"")*(1/(1+EXP(-(T300-'03_Lap_b'!$B$30:$AW$30))))^2)</f>
        <v/>
      </c>
      <c r="W300" s="5">
        <f>MEDIAN(-6,T300+(C300-U300)/MAX(U300-V300,0.000000001),6)</f>
        <v/>
      </c>
      <c r="X300" s="5">
        <f>SUMPRODUCT(('01_Data'!$B300:$AW300&lt;&gt;"")*(1/(1+EXP(-(W300-'03_Lap_b'!$B$35:$AW$35)))))</f>
        <v/>
      </c>
      <c r="Y300" s="5">
        <f>SUMPRODUCT(('01_Data'!$B300:$AW300&lt;&gt;"")*(1/(1+EXP(-(W300-'03_Lap_b'!$B$35:$AW$35))))^2)</f>
        <v/>
      </c>
      <c r="Z300" s="5">
        <f>MEDIAN(-6,W300+(C300-X300)/MAX(X300-Y300,0.000000001),6)</f>
        <v/>
      </c>
      <c r="AA300" s="5">
        <f>SUMPRODUCT(('01_Data'!$B300:$AW300&lt;&gt;"")*(1/(1+EXP(-(Z300-'03_Lap_b'!$B$40:$AW$40)))))</f>
        <v/>
      </c>
      <c r="AB300" s="5">
        <f>SUMPRODUCT(('01_Data'!$B300:$AW300&lt;&gt;"")*(1/(1+EXP(-(Z300-'03_Lap_b'!$B$40:$AW$40))))^2)</f>
        <v/>
      </c>
      <c r="AC300" s="5">
        <f>MEDIAN(-6,Z300+(C300-AA300)/MAX(AA300-AB300,0.000000001),6)</f>
        <v/>
      </c>
    </row>
    <row r="301">
      <c r="A301" t="n">
        <v>300</v>
      </c>
      <c r="B301">
        <f>'01_Data'!A301</f>
        <v/>
      </c>
      <c r="C301">
        <f>SUM('01_Data'!$B301:$AW301)</f>
        <v/>
      </c>
      <c r="D301">
        <f>COUNT('01_Data'!$B301:$AW301)</f>
        <v/>
      </c>
      <c r="E301" s="5">
        <f>MEDIAN(-6,LN((C301+0.3)/(D301-C301+0.3)),6)</f>
        <v/>
      </c>
      <c r="F301" s="5">
        <f>SUMPRODUCT(('01_Data'!$B301:$AW301&lt;&gt;"")*(1/(1+EXP(-(E301-'03_Lap_b'!$B$5:$AW$5)))))</f>
        <v/>
      </c>
      <c r="G301" s="5">
        <f>SUMPRODUCT(('01_Data'!$B301:$AW301&lt;&gt;"")*(1/(1+EXP(-(E301-'03_Lap_b'!$B$5:$AW$5))))^2)</f>
        <v/>
      </c>
      <c r="H301" s="5">
        <f>MEDIAN(-6,E301+(C301-F301)/MAX(F301-G301,0.000000001),6)</f>
        <v/>
      </c>
      <c r="I301" s="5">
        <f>SUMPRODUCT(('01_Data'!$B301:$AW301&lt;&gt;"")*(1/(1+EXP(-(H301-'03_Lap_b'!$B$10:$AW$10)))))</f>
        <v/>
      </c>
      <c r="J301" s="5">
        <f>SUMPRODUCT(('01_Data'!$B301:$AW301&lt;&gt;"")*(1/(1+EXP(-(H301-'03_Lap_b'!$B$10:$AW$10))))^2)</f>
        <v/>
      </c>
      <c r="K301" s="5">
        <f>MEDIAN(-6,H301+(C301-I301)/MAX(I301-J301,0.000000001),6)</f>
        <v/>
      </c>
      <c r="L301" s="5">
        <f>SUMPRODUCT(('01_Data'!$B301:$AW301&lt;&gt;"")*(1/(1+EXP(-(K301-'03_Lap_b'!$B$15:$AW$15)))))</f>
        <v/>
      </c>
      <c r="M301" s="5">
        <f>SUMPRODUCT(('01_Data'!$B301:$AW301&lt;&gt;"")*(1/(1+EXP(-(K301-'03_Lap_b'!$B$15:$AW$15))))^2)</f>
        <v/>
      </c>
      <c r="N301" s="5">
        <f>MEDIAN(-6,K301+(C301-L301)/MAX(L301-M301,0.000000001),6)</f>
        <v/>
      </c>
      <c r="O301" s="5">
        <f>SUMPRODUCT(('01_Data'!$B301:$AW301&lt;&gt;"")*(1/(1+EXP(-(N301-'03_Lap_b'!$B$20:$AW$20)))))</f>
        <v/>
      </c>
      <c r="P301" s="5">
        <f>SUMPRODUCT(('01_Data'!$B301:$AW301&lt;&gt;"")*(1/(1+EXP(-(N301-'03_Lap_b'!$B$20:$AW$20))))^2)</f>
        <v/>
      </c>
      <c r="Q301" s="5">
        <f>MEDIAN(-6,N301+(C301-O301)/MAX(O301-P301,0.000000001),6)</f>
        <v/>
      </c>
      <c r="R301" s="5">
        <f>SUMPRODUCT(('01_Data'!$B301:$AW301&lt;&gt;"")*(1/(1+EXP(-(Q301-'03_Lap_b'!$B$25:$AW$25)))))</f>
        <v/>
      </c>
      <c r="S301" s="5">
        <f>SUMPRODUCT(('01_Data'!$B301:$AW301&lt;&gt;"")*(1/(1+EXP(-(Q301-'03_Lap_b'!$B$25:$AW$25))))^2)</f>
        <v/>
      </c>
      <c r="T301" s="5">
        <f>MEDIAN(-6,Q301+(C301-R301)/MAX(R301-S301,0.000000001),6)</f>
        <v/>
      </c>
      <c r="U301" s="5">
        <f>SUMPRODUCT(('01_Data'!$B301:$AW301&lt;&gt;"")*(1/(1+EXP(-(T301-'03_Lap_b'!$B$30:$AW$30)))))</f>
        <v/>
      </c>
      <c r="V301" s="5">
        <f>SUMPRODUCT(('01_Data'!$B301:$AW301&lt;&gt;"")*(1/(1+EXP(-(T301-'03_Lap_b'!$B$30:$AW$30))))^2)</f>
        <v/>
      </c>
      <c r="W301" s="5">
        <f>MEDIAN(-6,T301+(C301-U301)/MAX(U301-V301,0.000000001),6)</f>
        <v/>
      </c>
      <c r="X301" s="5">
        <f>SUMPRODUCT(('01_Data'!$B301:$AW301&lt;&gt;"")*(1/(1+EXP(-(W301-'03_Lap_b'!$B$35:$AW$35)))))</f>
        <v/>
      </c>
      <c r="Y301" s="5">
        <f>SUMPRODUCT(('01_Data'!$B301:$AW301&lt;&gt;"")*(1/(1+EXP(-(W301-'03_Lap_b'!$B$35:$AW$35))))^2)</f>
        <v/>
      </c>
      <c r="Z301" s="5">
        <f>MEDIAN(-6,W301+(C301-X301)/MAX(X301-Y301,0.000000001),6)</f>
        <v/>
      </c>
      <c r="AA301" s="5">
        <f>SUMPRODUCT(('01_Data'!$B301:$AW301&lt;&gt;"")*(1/(1+EXP(-(Z301-'03_Lap_b'!$B$40:$AW$40)))))</f>
        <v/>
      </c>
      <c r="AB301" s="5">
        <f>SUMPRODUCT(('01_Data'!$B301:$AW301&lt;&gt;"")*(1/(1+EXP(-(Z301-'03_Lap_b'!$B$40:$AW$40))))^2)</f>
        <v/>
      </c>
      <c r="AC301" s="5">
        <f>MEDIAN(-6,Z301+(C301-AA301)/MAX(AA301-AB301,0.000000001),6)</f>
        <v/>
      </c>
    </row>
    <row r="302">
      <c r="A302" t="n">
        <v>301</v>
      </c>
      <c r="B302">
        <f>'01_Data'!A302</f>
        <v/>
      </c>
      <c r="C302">
        <f>SUM('01_Data'!$B302:$AW302)</f>
        <v/>
      </c>
      <c r="D302">
        <f>COUNT('01_Data'!$B302:$AW302)</f>
        <v/>
      </c>
      <c r="E302" s="5">
        <f>MEDIAN(-6,LN((C302+0.3)/(D302-C302+0.3)),6)</f>
        <v/>
      </c>
      <c r="F302" s="5">
        <f>SUMPRODUCT(('01_Data'!$B302:$AW302&lt;&gt;"")*(1/(1+EXP(-(E302-'03_Lap_b'!$B$5:$AW$5)))))</f>
        <v/>
      </c>
      <c r="G302" s="5">
        <f>SUMPRODUCT(('01_Data'!$B302:$AW302&lt;&gt;"")*(1/(1+EXP(-(E302-'03_Lap_b'!$B$5:$AW$5))))^2)</f>
        <v/>
      </c>
      <c r="H302" s="5">
        <f>MEDIAN(-6,E302+(C302-F302)/MAX(F302-G302,0.000000001),6)</f>
        <v/>
      </c>
      <c r="I302" s="5">
        <f>SUMPRODUCT(('01_Data'!$B302:$AW302&lt;&gt;"")*(1/(1+EXP(-(H302-'03_Lap_b'!$B$10:$AW$10)))))</f>
        <v/>
      </c>
      <c r="J302" s="5">
        <f>SUMPRODUCT(('01_Data'!$B302:$AW302&lt;&gt;"")*(1/(1+EXP(-(H302-'03_Lap_b'!$B$10:$AW$10))))^2)</f>
        <v/>
      </c>
      <c r="K302" s="5">
        <f>MEDIAN(-6,H302+(C302-I302)/MAX(I302-J302,0.000000001),6)</f>
        <v/>
      </c>
      <c r="L302" s="5">
        <f>SUMPRODUCT(('01_Data'!$B302:$AW302&lt;&gt;"")*(1/(1+EXP(-(K302-'03_Lap_b'!$B$15:$AW$15)))))</f>
        <v/>
      </c>
      <c r="M302" s="5">
        <f>SUMPRODUCT(('01_Data'!$B302:$AW302&lt;&gt;"")*(1/(1+EXP(-(K302-'03_Lap_b'!$B$15:$AW$15))))^2)</f>
        <v/>
      </c>
      <c r="N302" s="5">
        <f>MEDIAN(-6,K302+(C302-L302)/MAX(L302-M302,0.000000001),6)</f>
        <v/>
      </c>
      <c r="O302" s="5">
        <f>SUMPRODUCT(('01_Data'!$B302:$AW302&lt;&gt;"")*(1/(1+EXP(-(N302-'03_Lap_b'!$B$20:$AW$20)))))</f>
        <v/>
      </c>
      <c r="P302" s="5">
        <f>SUMPRODUCT(('01_Data'!$B302:$AW302&lt;&gt;"")*(1/(1+EXP(-(N302-'03_Lap_b'!$B$20:$AW$20))))^2)</f>
        <v/>
      </c>
      <c r="Q302" s="5">
        <f>MEDIAN(-6,N302+(C302-O302)/MAX(O302-P302,0.000000001),6)</f>
        <v/>
      </c>
      <c r="R302" s="5">
        <f>SUMPRODUCT(('01_Data'!$B302:$AW302&lt;&gt;"")*(1/(1+EXP(-(Q302-'03_Lap_b'!$B$25:$AW$25)))))</f>
        <v/>
      </c>
      <c r="S302" s="5">
        <f>SUMPRODUCT(('01_Data'!$B302:$AW302&lt;&gt;"")*(1/(1+EXP(-(Q302-'03_Lap_b'!$B$25:$AW$25))))^2)</f>
        <v/>
      </c>
      <c r="T302" s="5">
        <f>MEDIAN(-6,Q302+(C302-R302)/MAX(R302-S302,0.000000001),6)</f>
        <v/>
      </c>
      <c r="U302" s="5">
        <f>SUMPRODUCT(('01_Data'!$B302:$AW302&lt;&gt;"")*(1/(1+EXP(-(T302-'03_Lap_b'!$B$30:$AW$30)))))</f>
        <v/>
      </c>
      <c r="V302" s="5">
        <f>SUMPRODUCT(('01_Data'!$B302:$AW302&lt;&gt;"")*(1/(1+EXP(-(T302-'03_Lap_b'!$B$30:$AW$30))))^2)</f>
        <v/>
      </c>
      <c r="W302" s="5">
        <f>MEDIAN(-6,T302+(C302-U302)/MAX(U302-V302,0.000000001),6)</f>
        <v/>
      </c>
      <c r="X302" s="5">
        <f>SUMPRODUCT(('01_Data'!$B302:$AW302&lt;&gt;"")*(1/(1+EXP(-(W302-'03_Lap_b'!$B$35:$AW$35)))))</f>
        <v/>
      </c>
      <c r="Y302" s="5">
        <f>SUMPRODUCT(('01_Data'!$B302:$AW302&lt;&gt;"")*(1/(1+EXP(-(W302-'03_Lap_b'!$B$35:$AW$35))))^2)</f>
        <v/>
      </c>
      <c r="Z302" s="5">
        <f>MEDIAN(-6,W302+(C302-X302)/MAX(X302-Y302,0.000000001),6)</f>
        <v/>
      </c>
      <c r="AA302" s="5">
        <f>SUMPRODUCT(('01_Data'!$B302:$AW302&lt;&gt;"")*(1/(1+EXP(-(Z302-'03_Lap_b'!$B$40:$AW$40)))))</f>
        <v/>
      </c>
      <c r="AB302" s="5">
        <f>SUMPRODUCT(('01_Data'!$B302:$AW302&lt;&gt;"")*(1/(1+EXP(-(Z302-'03_Lap_b'!$B$40:$AW$40))))^2)</f>
        <v/>
      </c>
      <c r="AC302" s="5">
        <f>MEDIAN(-6,Z302+(C302-AA302)/MAX(AA302-AB302,0.000000001),6)</f>
        <v/>
      </c>
    </row>
    <row r="303">
      <c r="A303" t="n">
        <v>302</v>
      </c>
      <c r="B303">
        <f>'01_Data'!A303</f>
        <v/>
      </c>
      <c r="C303">
        <f>SUM('01_Data'!$B303:$AW303)</f>
        <v/>
      </c>
      <c r="D303">
        <f>COUNT('01_Data'!$B303:$AW303)</f>
        <v/>
      </c>
      <c r="E303" s="5">
        <f>MEDIAN(-6,LN((C303+0.3)/(D303-C303+0.3)),6)</f>
        <v/>
      </c>
      <c r="F303" s="5">
        <f>SUMPRODUCT(('01_Data'!$B303:$AW303&lt;&gt;"")*(1/(1+EXP(-(E303-'03_Lap_b'!$B$5:$AW$5)))))</f>
        <v/>
      </c>
      <c r="G303" s="5">
        <f>SUMPRODUCT(('01_Data'!$B303:$AW303&lt;&gt;"")*(1/(1+EXP(-(E303-'03_Lap_b'!$B$5:$AW$5))))^2)</f>
        <v/>
      </c>
      <c r="H303" s="5">
        <f>MEDIAN(-6,E303+(C303-F303)/MAX(F303-G303,0.000000001),6)</f>
        <v/>
      </c>
      <c r="I303" s="5">
        <f>SUMPRODUCT(('01_Data'!$B303:$AW303&lt;&gt;"")*(1/(1+EXP(-(H303-'03_Lap_b'!$B$10:$AW$10)))))</f>
        <v/>
      </c>
      <c r="J303" s="5">
        <f>SUMPRODUCT(('01_Data'!$B303:$AW303&lt;&gt;"")*(1/(1+EXP(-(H303-'03_Lap_b'!$B$10:$AW$10))))^2)</f>
        <v/>
      </c>
      <c r="K303" s="5">
        <f>MEDIAN(-6,H303+(C303-I303)/MAX(I303-J303,0.000000001),6)</f>
        <v/>
      </c>
      <c r="L303" s="5">
        <f>SUMPRODUCT(('01_Data'!$B303:$AW303&lt;&gt;"")*(1/(1+EXP(-(K303-'03_Lap_b'!$B$15:$AW$15)))))</f>
        <v/>
      </c>
      <c r="M303" s="5">
        <f>SUMPRODUCT(('01_Data'!$B303:$AW303&lt;&gt;"")*(1/(1+EXP(-(K303-'03_Lap_b'!$B$15:$AW$15))))^2)</f>
        <v/>
      </c>
      <c r="N303" s="5">
        <f>MEDIAN(-6,K303+(C303-L303)/MAX(L303-M303,0.000000001),6)</f>
        <v/>
      </c>
      <c r="O303" s="5">
        <f>SUMPRODUCT(('01_Data'!$B303:$AW303&lt;&gt;"")*(1/(1+EXP(-(N303-'03_Lap_b'!$B$20:$AW$20)))))</f>
        <v/>
      </c>
      <c r="P303" s="5">
        <f>SUMPRODUCT(('01_Data'!$B303:$AW303&lt;&gt;"")*(1/(1+EXP(-(N303-'03_Lap_b'!$B$20:$AW$20))))^2)</f>
        <v/>
      </c>
      <c r="Q303" s="5">
        <f>MEDIAN(-6,N303+(C303-O303)/MAX(O303-P303,0.000000001),6)</f>
        <v/>
      </c>
      <c r="R303" s="5">
        <f>SUMPRODUCT(('01_Data'!$B303:$AW303&lt;&gt;"")*(1/(1+EXP(-(Q303-'03_Lap_b'!$B$25:$AW$25)))))</f>
        <v/>
      </c>
      <c r="S303" s="5">
        <f>SUMPRODUCT(('01_Data'!$B303:$AW303&lt;&gt;"")*(1/(1+EXP(-(Q303-'03_Lap_b'!$B$25:$AW$25))))^2)</f>
        <v/>
      </c>
      <c r="T303" s="5">
        <f>MEDIAN(-6,Q303+(C303-R303)/MAX(R303-S303,0.000000001),6)</f>
        <v/>
      </c>
      <c r="U303" s="5">
        <f>SUMPRODUCT(('01_Data'!$B303:$AW303&lt;&gt;"")*(1/(1+EXP(-(T303-'03_Lap_b'!$B$30:$AW$30)))))</f>
        <v/>
      </c>
      <c r="V303" s="5">
        <f>SUMPRODUCT(('01_Data'!$B303:$AW303&lt;&gt;"")*(1/(1+EXP(-(T303-'03_Lap_b'!$B$30:$AW$30))))^2)</f>
        <v/>
      </c>
      <c r="W303" s="5">
        <f>MEDIAN(-6,T303+(C303-U303)/MAX(U303-V303,0.000000001),6)</f>
        <v/>
      </c>
      <c r="X303" s="5">
        <f>SUMPRODUCT(('01_Data'!$B303:$AW303&lt;&gt;"")*(1/(1+EXP(-(W303-'03_Lap_b'!$B$35:$AW$35)))))</f>
        <v/>
      </c>
      <c r="Y303" s="5">
        <f>SUMPRODUCT(('01_Data'!$B303:$AW303&lt;&gt;"")*(1/(1+EXP(-(W303-'03_Lap_b'!$B$35:$AW$35))))^2)</f>
        <v/>
      </c>
      <c r="Z303" s="5">
        <f>MEDIAN(-6,W303+(C303-X303)/MAX(X303-Y303,0.000000001),6)</f>
        <v/>
      </c>
      <c r="AA303" s="5">
        <f>SUMPRODUCT(('01_Data'!$B303:$AW303&lt;&gt;"")*(1/(1+EXP(-(Z303-'03_Lap_b'!$B$40:$AW$40)))))</f>
        <v/>
      </c>
      <c r="AB303" s="5">
        <f>SUMPRODUCT(('01_Data'!$B303:$AW303&lt;&gt;"")*(1/(1+EXP(-(Z303-'03_Lap_b'!$B$40:$AW$40))))^2)</f>
        <v/>
      </c>
      <c r="AC303" s="5">
        <f>MEDIAN(-6,Z303+(C303-AA303)/MAX(AA303-AB303,0.000000001),6)</f>
        <v/>
      </c>
    </row>
    <row r="304">
      <c r="A304" t="n">
        <v>303</v>
      </c>
      <c r="B304">
        <f>'01_Data'!A304</f>
        <v/>
      </c>
      <c r="C304">
        <f>SUM('01_Data'!$B304:$AW304)</f>
        <v/>
      </c>
      <c r="D304">
        <f>COUNT('01_Data'!$B304:$AW304)</f>
        <v/>
      </c>
      <c r="E304" s="5">
        <f>MEDIAN(-6,LN((C304+0.3)/(D304-C304+0.3)),6)</f>
        <v/>
      </c>
      <c r="F304" s="5">
        <f>SUMPRODUCT(('01_Data'!$B304:$AW304&lt;&gt;"")*(1/(1+EXP(-(E304-'03_Lap_b'!$B$5:$AW$5)))))</f>
        <v/>
      </c>
      <c r="G304" s="5">
        <f>SUMPRODUCT(('01_Data'!$B304:$AW304&lt;&gt;"")*(1/(1+EXP(-(E304-'03_Lap_b'!$B$5:$AW$5))))^2)</f>
        <v/>
      </c>
      <c r="H304" s="5">
        <f>MEDIAN(-6,E304+(C304-F304)/MAX(F304-G304,0.000000001),6)</f>
        <v/>
      </c>
      <c r="I304" s="5">
        <f>SUMPRODUCT(('01_Data'!$B304:$AW304&lt;&gt;"")*(1/(1+EXP(-(H304-'03_Lap_b'!$B$10:$AW$10)))))</f>
        <v/>
      </c>
      <c r="J304" s="5">
        <f>SUMPRODUCT(('01_Data'!$B304:$AW304&lt;&gt;"")*(1/(1+EXP(-(H304-'03_Lap_b'!$B$10:$AW$10))))^2)</f>
        <v/>
      </c>
      <c r="K304" s="5">
        <f>MEDIAN(-6,H304+(C304-I304)/MAX(I304-J304,0.000000001),6)</f>
        <v/>
      </c>
      <c r="L304" s="5">
        <f>SUMPRODUCT(('01_Data'!$B304:$AW304&lt;&gt;"")*(1/(1+EXP(-(K304-'03_Lap_b'!$B$15:$AW$15)))))</f>
        <v/>
      </c>
      <c r="M304" s="5">
        <f>SUMPRODUCT(('01_Data'!$B304:$AW304&lt;&gt;"")*(1/(1+EXP(-(K304-'03_Lap_b'!$B$15:$AW$15))))^2)</f>
        <v/>
      </c>
      <c r="N304" s="5">
        <f>MEDIAN(-6,K304+(C304-L304)/MAX(L304-M304,0.000000001),6)</f>
        <v/>
      </c>
      <c r="O304" s="5">
        <f>SUMPRODUCT(('01_Data'!$B304:$AW304&lt;&gt;"")*(1/(1+EXP(-(N304-'03_Lap_b'!$B$20:$AW$20)))))</f>
        <v/>
      </c>
      <c r="P304" s="5">
        <f>SUMPRODUCT(('01_Data'!$B304:$AW304&lt;&gt;"")*(1/(1+EXP(-(N304-'03_Lap_b'!$B$20:$AW$20))))^2)</f>
        <v/>
      </c>
      <c r="Q304" s="5">
        <f>MEDIAN(-6,N304+(C304-O304)/MAX(O304-P304,0.000000001),6)</f>
        <v/>
      </c>
      <c r="R304" s="5">
        <f>SUMPRODUCT(('01_Data'!$B304:$AW304&lt;&gt;"")*(1/(1+EXP(-(Q304-'03_Lap_b'!$B$25:$AW$25)))))</f>
        <v/>
      </c>
      <c r="S304" s="5">
        <f>SUMPRODUCT(('01_Data'!$B304:$AW304&lt;&gt;"")*(1/(1+EXP(-(Q304-'03_Lap_b'!$B$25:$AW$25))))^2)</f>
        <v/>
      </c>
      <c r="T304" s="5">
        <f>MEDIAN(-6,Q304+(C304-R304)/MAX(R304-S304,0.000000001),6)</f>
        <v/>
      </c>
      <c r="U304" s="5">
        <f>SUMPRODUCT(('01_Data'!$B304:$AW304&lt;&gt;"")*(1/(1+EXP(-(T304-'03_Lap_b'!$B$30:$AW$30)))))</f>
        <v/>
      </c>
      <c r="V304" s="5">
        <f>SUMPRODUCT(('01_Data'!$B304:$AW304&lt;&gt;"")*(1/(1+EXP(-(T304-'03_Lap_b'!$B$30:$AW$30))))^2)</f>
        <v/>
      </c>
      <c r="W304" s="5">
        <f>MEDIAN(-6,T304+(C304-U304)/MAX(U304-V304,0.000000001),6)</f>
        <v/>
      </c>
      <c r="X304" s="5">
        <f>SUMPRODUCT(('01_Data'!$B304:$AW304&lt;&gt;"")*(1/(1+EXP(-(W304-'03_Lap_b'!$B$35:$AW$35)))))</f>
        <v/>
      </c>
      <c r="Y304" s="5">
        <f>SUMPRODUCT(('01_Data'!$B304:$AW304&lt;&gt;"")*(1/(1+EXP(-(W304-'03_Lap_b'!$B$35:$AW$35))))^2)</f>
        <v/>
      </c>
      <c r="Z304" s="5">
        <f>MEDIAN(-6,W304+(C304-X304)/MAX(X304-Y304,0.000000001),6)</f>
        <v/>
      </c>
      <c r="AA304" s="5">
        <f>SUMPRODUCT(('01_Data'!$B304:$AW304&lt;&gt;"")*(1/(1+EXP(-(Z304-'03_Lap_b'!$B$40:$AW$40)))))</f>
        <v/>
      </c>
      <c r="AB304" s="5">
        <f>SUMPRODUCT(('01_Data'!$B304:$AW304&lt;&gt;"")*(1/(1+EXP(-(Z304-'03_Lap_b'!$B$40:$AW$40))))^2)</f>
        <v/>
      </c>
      <c r="AC304" s="5">
        <f>MEDIAN(-6,Z304+(C304-AA304)/MAX(AA304-AB304,0.000000001),6)</f>
        <v/>
      </c>
    </row>
    <row r="305">
      <c r="A305" t="n">
        <v>304</v>
      </c>
      <c r="B305">
        <f>'01_Data'!A305</f>
        <v/>
      </c>
      <c r="C305">
        <f>SUM('01_Data'!$B305:$AW305)</f>
        <v/>
      </c>
      <c r="D305">
        <f>COUNT('01_Data'!$B305:$AW305)</f>
        <v/>
      </c>
      <c r="E305" s="5">
        <f>MEDIAN(-6,LN((C305+0.3)/(D305-C305+0.3)),6)</f>
        <v/>
      </c>
      <c r="F305" s="5">
        <f>SUMPRODUCT(('01_Data'!$B305:$AW305&lt;&gt;"")*(1/(1+EXP(-(E305-'03_Lap_b'!$B$5:$AW$5)))))</f>
        <v/>
      </c>
      <c r="G305" s="5">
        <f>SUMPRODUCT(('01_Data'!$B305:$AW305&lt;&gt;"")*(1/(1+EXP(-(E305-'03_Lap_b'!$B$5:$AW$5))))^2)</f>
        <v/>
      </c>
      <c r="H305" s="5">
        <f>MEDIAN(-6,E305+(C305-F305)/MAX(F305-G305,0.000000001),6)</f>
        <v/>
      </c>
      <c r="I305" s="5">
        <f>SUMPRODUCT(('01_Data'!$B305:$AW305&lt;&gt;"")*(1/(1+EXP(-(H305-'03_Lap_b'!$B$10:$AW$10)))))</f>
        <v/>
      </c>
      <c r="J305" s="5">
        <f>SUMPRODUCT(('01_Data'!$B305:$AW305&lt;&gt;"")*(1/(1+EXP(-(H305-'03_Lap_b'!$B$10:$AW$10))))^2)</f>
        <v/>
      </c>
      <c r="K305" s="5">
        <f>MEDIAN(-6,H305+(C305-I305)/MAX(I305-J305,0.000000001),6)</f>
        <v/>
      </c>
      <c r="L305" s="5">
        <f>SUMPRODUCT(('01_Data'!$B305:$AW305&lt;&gt;"")*(1/(1+EXP(-(K305-'03_Lap_b'!$B$15:$AW$15)))))</f>
        <v/>
      </c>
      <c r="M305" s="5">
        <f>SUMPRODUCT(('01_Data'!$B305:$AW305&lt;&gt;"")*(1/(1+EXP(-(K305-'03_Lap_b'!$B$15:$AW$15))))^2)</f>
        <v/>
      </c>
      <c r="N305" s="5">
        <f>MEDIAN(-6,K305+(C305-L305)/MAX(L305-M305,0.000000001),6)</f>
        <v/>
      </c>
      <c r="O305" s="5">
        <f>SUMPRODUCT(('01_Data'!$B305:$AW305&lt;&gt;"")*(1/(1+EXP(-(N305-'03_Lap_b'!$B$20:$AW$20)))))</f>
        <v/>
      </c>
      <c r="P305" s="5">
        <f>SUMPRODUCT(('01_Data'!$B305:$AW305&lt;&gt;"")*(1/(1+EXP(-(N305-'03_Lap_b'!$B$20:$AW$20))))^2)</f>
        <v/>
      </c>
      <c r="Q305" s="5">
        <f>MEDIAN(-6,N305+(C305-O305)/MAX(O305-P305,0.000000001),6)</f>
        <v/>
      </c>
      <c r="R305" s="5">
        <f>SUMPRODUCT(('01_Data'!$B305:$AW305&lt;&gt;"")*(1/(1+EXP(-(Q305-'03_Lap_b'!$B$25:$AW$25)))))</f>
        <v/>
      </c>
      <c r="S305" s="5">
        <f>SUMPRODUCT(('01_Data'!$B305:$AW305&lt;&gt;"")*(1/(1+EXP(-(Q305-'03_Lap_b'!$B$25:$AW$25))))^2)</f>
        <v/>
      </c>
      <c r="T305" s="5">
        <f>MEDIAN(-6,Q305+(C305-R305)/MAX(R305-S305,0.000000001),6)</f>
        <v/>
      </c>
      <c r="U305" s="5">
        <f>SUMPRODUCT(('01_Data'!$B305:$AW305&lt;&gt;"")*(1/(1+EXP(-(T305-'03_Lap_b'!$B$30:$AW$30)))))</f>
        <v/>
      </c>
      <c r="V305" s="5">
        <f>SUMPRODUCT(('01_Data'!$B305:$AW305&lt;&gt;"")*(1/(1+EXP(-(T305-'03_Lap_b'!$B$30:$AW$30))))^2)</f>
        <v/>
      </c>
      <c r="W305" s="5">
        <f>MEDIAN(-6,T305+(C305-U305)/MAX(U305-V305,0.000000001),6)</f>
        <v/>
      </c>
      <c r="X305" s="5">
        <f>SUMPRODUCT(('01_Data'!$B305:$AW305&lt;&gt;"")*(1/(1+EXP(-(W305-'03_Lap_b'!$B$35:$AW$35)))))</f>
        <v/>
      </c>
      <c r="Y305" s="5">
        <f>SUMPRODUCT(('01_Data'!$B305:$AW305&lt;&gt;"")*(1/(1+EXP(-(W305-'03_Lap_b'!$B$35:$AW$35))))^2)</f>
        <v/>
      </c>
      <c r="Z305" s="5">
        <f>MEDIAN(-6,W305+(C305-X305)/MAX(X305-Y305,0.000000001),6)</f>
        <v/>
      </c>
      <c r="AA305" s="5">
        <f>SUMPRODUCT(('01_Data'!$B305:$AW305&lt;&gt;"")*(1/(1+EXP(-(Z305-'03_Lap_b'!$B$40:$AW$40)))))</f>
        <v/>
      </c>
      <c r="AB305" s="5">
        <f>SUMPRODUCT(('01_Data'!$B305:$AW305&lt;&gt;"")*(1/(1+EXP(-(Z305-'03_Lap_b'!$B$40:$AW$40))))^2)</f>
        <v/>
      </c>
      <c r="AC305" s="5">
        <f>MEDIAN(-6,Z305+(C305-AA305)/MAX(AA305-AB305,0.000000001),6)</f>
        <v/>
      </c>
    </row>
    <row r="306">
      <c r="A306" t="n">
        <v>305</v>
      </c>
      <c r="B306">
        <f>'01_Data'!A306</f>
        <v/>
      </c>
      <c r="C306">
        <f>SUM('01_Data'!$B306:$AW306)</f>
        <v/>
      </c>
      <c r="D306">
        <f>COUNT('01_Data'!$B306:$AW306)</f>
        <v/>
      </c>
      <c r="E306" s="5">
        <f>MEDIAN(-6,LN((C306+0.3)/(D306-C306+0.3)),6)</f>
        <v/>
      </c>
      <c r="F306" s="5">
        <f>SUMPRODUCT(('01_Data'!$B306:$AW306&lt;&gt;"")*(1/(1+EXP(-(E306-'03_Lap_b'!$B$5:$AW$5)))))</f>
        <v/>
      </c>
      <c r="G306" s="5">
        <f>SUMPRODUCT(('01_Data'!$B306:$AW306&lt;&gt;"")*(1/(1+EXP(-(E306-'03_Lap_b'!$B$5:$AW$5))))^2)</f>
        <v/>
      </c>
      <c r="H306" s="5">
        <f>MEDIAN(-6,E306+(C306-F306)/MAX(F306-G306,0.000000001),6)</f>
        <v/>
      </c>
      <c r="I306" s="5">
        <f>SUMPRODUCT(('01_Data'!$B306:$AW306&lt;&gt;"")*(1/(1+EXP(-(H306-'03_Lap_b'!$B$10:$AW$10)))))</f>
        <v/>
      </c>
      <c r="J306" s="5">
        <f>SUMPRODUCT(('01_Data'!$B306:$AW306&lt;&gt;"")*(1/(1+EXP(-(H306-'03_Lap_b'!$B$10:$AW$10))))^2)</f>
        <v/>
      </c>
      <c r="K306" s="5">
        <f>MEDIAN(-6,H306+(C306-I306)/MAX(I306-J306,0.000000001),6)</f>
        <v/>
      </c>
      <c r="L306" s="5">
        <f>SUMPRODUCT(('01_Data'!$B306:$AW306&lt;&gt;"")*(1/(1+EXP(-(K306-'03_Lap_b'!$B$15:$AW$15)))))</f>
        <v/>
      </c>
      <c r="M306" s="5">
        <f>SUMPRODUCT(('01_Data'!$B306:$AW306&lt;&gt;"")*(1/(1+EXP(-(K306-'03_Lap_b'!$B$15:$AW$15))))^2)</f>
        <v/>
      </c>
      <c r="N306" s="5">
        <f>MEDIAN(-6,K306+(C306-L306)/MAX(L306-M306,0.000000001),6)</f>
        <v/>
      </c>
      <c r="O306" s="5">
        <f>SUMPRODUCT(('01_Data'!$B306:$AW306&lt;&gt;"")*(1/(1+EXP(-(N306-'03_Lap_b'!$B$20:$AW$20)))))</f>
        <v/>
      </c>
      <c r="P306" s="5">
        <f>SUMPRODUCT(('01_Data'!$B306:$AW306&lt;&gt;"")*(1/(1+EXP(-(N306-'03_Lap_b'!$B$20:$AW$20))))^2)</f>
        <v/>
      </c>
      <c r="Q306" s="5">
        <f>MEDIAN(-6,N306+(C306-O306)/MAX(O306-P306,0.000000001),6)</f>
        <v/>
      </c>
      <c r="R306" s="5">
        <f>SUMPRODUCT(('01_Data'!$B306:$AW306&lt;&gt;"")*(1/(1+EXP(-(Q306-'03_Lap_b'!$B$25:$AW$25)))))</f>
        <v/>
      </c>
      <c r="S306" s="5">
        <f>SUMPRODUCT(('01_Data'!$B306:$AW306&lt;&gt;"")*(1/(1+EXP(-(Q306-'03_Lap_b'!$B$25:$AW$25))))^2)</f>
        <v/>
      </c>
      <c r="T306" s="5">
        <f>MEDIAN(-6,Q306+(C306-R306)/MAX(R306-S306,0.000000001),6)</f>
        <v/>
      </c>
      <c r="U306" s="5">
        <f>SUMPRODUCT(('01_Data'!$B306:$AW306&lt;&gt;"")*(1/(1+EXP(-(T306-'03_Lap_b'!$B$30:$AW$30)))))</f>
        <v/>
      </c>
      <c r="V306" s="5">
        <f>SUMPRODUCT(('01_Data'!$B306:$AW306&lt;&gt;"")*(1/(1+EXP(-(T306-'03_Lap_b'!$B$30:$AW$30))))^2)</f>
        <v/>
      </c>
      <c r="W306" s="5">
        <f>MEDIAN(-6,T306+(C306-U306)/MAX(U306-V306,0.000000001),6)</f>
        <v/>
      </c>
      <c r="X306" s="5">
        <f>SUMPRODUCT(('01_Data'!$B306:$AW306&lt;&gt;"")*(1/(1+EXP(-(W306-'03_Lap_b'!$B$35:$AW$35)))))</f>
        <v/>
      </c>
      <c r="Y306" s="5">
        <f>SUMPRODUCT(('01_Data'!$B306:$AW306&lt;&gt;"")*(1/(1+EXP(-(W306-'03_Lap_b'!$B$35:$AW$35))))^2)</f>
        <v/>
      </c>
      <c r="Z306" s="5">
        <f>MEDIAN(-6,W306+(C306-X306)/MAX(X306-Y306,0.000000001),6)</f>
        <v/>
      </c>
      <c r="AA306" s="5">
        <f>SUMPRODUCT(('01_Data'!$B306:$AW306&lt;&gt;"")*(1/(1+EXP(-(Z306-'03_Lap_b'!$B$40:$AW$40)))))</f>
        <v/>
      </c>
      <c r="AB306" s="5">
        <f>SUMPRODUCT(('01_Data'!$B306:$AW306&lt;&gt;"")*(1/(1+EXP(-(Z306-'03_Lap_b'!$B$40:$AW$40))))^2)</f>
        <v/>
      </c>
      <c r="AC306" s="5">
        <f>MEDIAN(-6,Z306+(C306-AA306)/MAX(AA306-AB306,0.000000001),6)</f>
        <v/>
      </c>
    </row>
    <row r="307">
      <c r="A307" t="n">
        <v>306</v>
      </c>
      <c r="B307">
        <f>'01_Data'!A307</f>
        <v/>
      </c>
      <c r="C307">
        <f>SUM('01_Data'!$B307:$AW307)</f>
        <v/>
      </c>
      <c r="D307">
        <f>COUNT('01_Data'!$B307:$AW307)</f>
        <v/>
      </c>
      <c r="E307" s="5">
        <f>MEDIAN(-6,LN((C307+0.3)/(D307-C307+0.3)),6)</f>
        <v/>
      </c>
      <c r="F307" s="5">
        <f>SUMPRODUCT(('01_Data'!$B307:$AW307&lt;&gt;"")*(1/(1+EXP(-(E307-'03_Lap_b'!$B$5:$AW$5)))))</f>
        <v/>
      </c>
      <c r="G307" s="5">
        <f>SUMPRODUCT(('01_Data'!$B307:$AW307&lt;&gt;"")*(1/(1+EXP(-(E307-'03_Lap_b'!$B$5:$AW$5))))^2)</f>
        <v/>
      </c>
      <c r="H307" s="5">
        <f>MEDIAN(-6,E307+(C307-F307)/MAX(F307-G307,0.000000001),6)</f>
        <v/>
      </c>
      <c r="I307" s="5">
        <f>SUMPRODUCT(('01_Data'!$B307:$AW307&lt;&gt;"")*(1/(1+EXP(-(H307-'03_Lap_b'!$B$10:$AW$10)))))</f>
        <v/>
      </c>
      <c r="J307" s="5">
        <f>SUMPRODUCT(('01_Data'!$B307:$AW307&lt;&gt;"")*(1/(1+EXP(-(H307-'03_Lap_b'!$B$10:$AW$10))))^2)</f>
        <v/>
      </c>
      <c r="K307" s="5">
        <f>MEDIAN(-6,H307+(C307-I307)/MAX(I307-J307,0.000000001),6)</f>
        <v/>
      </c>
      <c r="L307" s="5">
        <f>SUMPRODUCT(('01_Data'!$B307:$AW307&lt;&gt;"")*(1/(1+EXP(-(K307-'03_Lap_b'!$B$15:$AW$15)))))</f>
        <v/>
      </c>
      <c r="M307" s="5">
        <f>SUMPRODUCT(('01_Data'!$B307:$AW307&lt;&gt;"")*(1/(1+EXP(-(K307-'03_Lap_b'!$B$15:$AW$15))))^2)</f>
        <v/>
      </c>
      <c r="N307" s="5">
        <f>MEDIAN(-6,K307+(C307-L307)/MAX(L307-M307,0.000000001),6)</f>
        <v/>
      </c>
      <c r="O307" s="5">
        <f>SUMPRODUCT(('01_Data'!$B307:$AW307&lt;&gt;"")*(1/(1+EXP(-(N307-'03_Lap_b'!$B$20:$AW$20)))))</f>
        <v/>
      </c>
      <c r="P307" s="5">
        <f>SUMPRODUCT(('01_Data'!$B307:$AW307&lt;&gt;"")*(1/(1+EXP(-(N307-'03_Lap_b'!$B$20:$AW$20))))^2)</f>
        <v/>
      </c>
      <c r="Q307" s="5">
        <f>MEDIAN(-6,N307+(C307-O307)/MAX(O307-P307,0.000000001),6)</f>
        <v/>
      </c>
      <c r="R307" s="5">
        <f>SUMPRODUCT(('01_Data'!$B307:$AW307&lt;&gt;"")*(1/(1+EXP(-(Q307-'03_Lap_b'!$B$25:$AW$25)))))</f>
        <v/>
      </c>
      <c r="S307" s="5">
        <f>SUMPRODUCT(('01_Data'!$B307:$AW307&lt;&gt;"")*(1/(1+EXP(-(Q307-'03_Lap_b'!$B$25:$AW$25))))^2)</f>
        <v/>
      </c>
      <c r="T307" s="5">
        <f>MEDIAN(-6,Q307+(C307-R307)/MAX(R307-S307,0.000000001),6)</f>
        <v/>
      </c>
      <c r="U307" s="5">
        <f>SUMPRODUCT(('01_Data'!$B307:$AW307&lt;&gt;"")*(1/(1+EXP(-(T307-'03_Lap_b'!$B$30:$AW$30)))))</f>
        <v/>
      </c>
      <c r="V307" s="5">
        <f>SUMPRODUCT(('01_Data'!$B307:$AW307&lt;&gt;"")*(1/(1+EXP(-(T307-'03_Lap_b'!$B$30:$AW$30))))^2)</f>
        <v/>
      </c>
      <c r="W307" s="5">
        <f>MEDIAN(-6,T307+(C307-U307)/MAX(U307-V307,0.000000001),6)</f>
        <v/>
      </c>
      <c r="X307" s="5">
        <f>SUMPRODUCT(('01_Data'!$B307:$AW307&lt;&gt;"")*(1/(1+EXP(-(W307-'03_Lap_b'!$B$35:$AW$35)))))</f>
        <v/>
      </c>
      <c r="Y307" s="5">
        <f>SUMPRODUCT(('01_Data'!$B307:$AW307&lt;&gt;"")*(1/(1+EXP(-(W307-'03_Lap_b'!$B$35:$AW$35))))^2)</f>
        <v/>
      </c>
      <c r="Z307" s="5">
        <f>MEDIAN(-6,W307+(C307-X307)/MAX(X307-Y307,0.000000001),6)</f>
        <v/>
      </c>
      <c r="AA307" s="5">
        <f>SUMPRODUCT(('01_Data'!$B307:$AW307&lt;&gt;"")*(1/(1+EXP(-(Z307-'03_Lap_b'!$B$40:$AW$40)))))</f>
        <v/>
      </c>
      <c r="AB307" s="5">
        <f>SUMPRODUCT(('01_Data'!$B307:$AW307&lt;&gt;"")*(1/(1+EXP(-(Z307-'03_Lap_b'!$B$40:$AW$40))))^2)</f>
        <v/>
      </c>
      <c r="AC307" s="5">
        <f>MEDIAN(-6,Z307+(C307-AA307)/MAX(AA307-AB307,0.000000001),6)</f>
        <v/>
      </c>
    </row>
    <row r="308">
      <c r="A308" t="n">
        <v>307</v>
      </c>
      <c r="B308">
        <f>'01_Data'!A308</f>
        <v/>
      </c>
      <c r="C308">
        <f>SUM('01_Data'!$B308:$AW308)</f>
        <v/>
      </c>
      <c r="D308">
        <f>COUNT('01_Data'!$B308:$AW308)</f>
        <v/>
      </c>
      <c r="E308" s="5">
        <f>MEDIAN(-6,LN((C308+0.3)/(D308-C308+0.3)),6)</f>
        <v/>
      </c>
      <c r="F308" s="5">
        <f>SUMPRODUCT(('01_Data'!$B308:$AW308&lt;&gt;"")*(1/(1+EXP(-(E308-'03_Lap_b'!$B$5:$AW$5)))))</f>
        <v/>
      </c>
      <c r="G308" s="5">
        <f>SUMPRODUCT(('01_Data'!$B308:$AW308&lt;&gt;"")*(1/(1+EXP(-(E308-'03_Lap_b'!$B$5:$AW$5))))^2)</f>
        <v/>
      </c>
      <c r="H308" s="5">
        <f>MEDIAN(-6,E308+(C308-F308)/MAX(F308-G308,0.000000001),6)</f>
        <v/>
      </c>
      <c r="I308" s="5">
        <f>SUMPRODUCT(('01_Data'!$B308:$AW308&lt;&gt;"")*(1/(1+EXP(-(H308-'03_Lap_b'!$B$10:$AW$10)))))</f>
        <v/>
      </c>
      <c r="J308" s="5">
        <f>SUMPRODUCT(('01_Data'!$B308:$AW308&lt;&gt;"")*(1/(1+EXP(-(H308-'03_Lap_b'!$B$10:$AW$10))))^2)</f>
        <v/>
      </c>
      <c r="K308" s="5">
        <f>MEDIAN(-6,H308+(C308-I308)/MAX(I308-J308,0.000000001),6)</f>
        <v/>
      </c>
      <c r="L308" s="5">
        <f>SUMPRODUCT(('01_Data'!$B308:$AW308&lt;&gt;"")*(1/(1+EXP(-(K308-'03_Lap_b'!$B$15:$AW$15)))))</f>
        <v/>
      </c>
      <c r="M308" s="5">
        <f>SUMPRODUCT(('01_Data'!$B308:$AW308&lt;&gt;"")*(1/(1+EXP(-(K308-'03_Lap_b'!$B$15:$AW$15))))^2)</f>
        <v/>
      </c>
      <c r="N308" s="5">
        <f>MEDIAN(-6,K308+(C308-L308)/MAX(L308-M308,0.000000001),6)</f>
        <v/>
      </c>
      <c r="O308" s="5">
        <f>SUMPRODUCT(('01_Data'!$B308:$AW308&lt;&gt;"")*(1/(1+EXP(-(N308-'03_Lap_b'!$B$20:$AW$20)))))</f>
        <v/>
      </c>
      <c r="P308" s="5">
        <f>SUMPRODUCT(('01_Data'!$B308:$AW308&lt;&gt;"")*(1/(1+EXP(-(N308-'03_Lap_b'!$B$20:$AW$20))))^2)</f>
        <v/>
      </c>
      <c r="Q308" s="5">
        <f>MEDIAN(-6,N308+(C308-O308)/MAX(O308-P308,0.000000001),6)</f>
        <v/>
      </c>
      <c r="R308" s="5">
        <f>SUMPRODUCT(('01_Data'!$B308:$AW308&lt;&gt;"")*(1/(1+EXP(-(Q308-'03_Lap_b'!$B$25:$AW$25)))))</f>
        <v/>
      </c>
      <c r="S308" s="5">
        <f>SUMPRODUCT(('01_Data'!$B308:$AW308&lt;&gt;"")*(1/(1+EXP(-(Q308-'03_Lap_b'!$B$25:$AW$25))))^2)</f>
        <v/>
      </c>
      <c r="T308" s="5">
        <f>MEDIAN(-6,Q308+(C308-R308)/MAX(R308-S308,0.000000001),6)</f>
        <v/>
      </c>
      <c r="U308" s="5">
        <f>SUMPRODUCT(('01_Data'!$B308:$AW308&lt;&gt;"")*(1/(1+EXP(-(T308-'03_Lap_b'!$B$30:$AW$30)))))</f>
        <v/>
      </c>
      <c r="V308" s="5">
        <f>SUMPRODUCT(('01_Data'!$B308:$AW308&lt;&gt;"")*(1/(1+EXP(-(T308-'03_Lap_b'!$B$30:$AW$30))))^2)</f>
        <v/>
      </c>
      <c r="W308" s="5">
        <f>MEDIAN(-6,T308+(C308-U308)/MAX(U308-V308,0.000000001),6)</f>
        <v/>
      </c>
      <c r="X308" s="5">
        <f>SUMPRODUCT(('01_Data'!$B308:$AW308&lt;&gt;"")*(1/(1+EXP(-(W308-'03_Lap_b'!$B$35:$AW$35)))))</f>
        <v/>
      </c>
      <c r="Y308" s="5">
        <f>SUMPRODUCT(('01_Data'!$B308:$AW308&lt;&gt;"")*(1/(1+EXP(-(W308-'03_Lap_b'!$B$35:$AW$35))))^2)</f>
        <v/>
      </c>
      <c r="Z308" s="5">
        <f>MEDIAN(-6,W308+(C308-X308)/MAX(X308-Y308,0.000000001),6)</f>
        <v/>
      </c>
      <c r="AA308" s="5">
        <f>SUMPRODUCT(('01_Data'!$B308:$AW308&lt;&gt;"")*(1/(1+EXP(-(Z308-'03_Lap_b'!$B$40:$AW$40)))))</f>
        <v/>
      </c>
      <c r="AB308" s="5">
        <f>SUMPRODUCT(('01_Data'!$B308:$AW308&lt;&gt;"")*(1/(1+EXP(-(Z308-'03_Lap_b'!$B$40:$AW$40))))^2)</f>
        <v/>
      </c>
      <c r="AC308" s="5">
        <f>MEDIAN(-6,Z308+(C308-AA308)/MAX(AA308-AB308,0.000000001),6)</f>
        <v/>
      </c>
    </row>
    <row r="309">
      <c r="A309" t="n">
        <v>308</v>
      </c>
      <c r="B309">
        <f>'01_Data'!A309</f>
        <v/>
      </c>
      <c r="C309">
        <f>SUM('01_Data'!$B309:$AW309)</f>
        <v/>
      </c>
      <c r="D309">
        <f>COUNT('01_Data'!$B309:$AW309)</f>
        <v/>
      </c>
      <c r="E309" s="5">
        <f>MEDIAN(-6,LN((C309+0.3)/(D309-C309+0.3)),6)</f>
        <v/>
      </c>
      <c r="F309" s="5">
        <f>SUMPRODUCT(('01_Data'!$B309:$AW309&lt;&gt;"")*(1/(1+EXP(-(E309-'03_Lap_b'!$B$5:$AW$5)))))</f>
        <v/>
      </c>
      <c r="G309" s="5">
        <f>SUMPRODUCT(('01_Data'!$B309:$AW309&lt;&gt;"")*(1/(1+EXP(-(E309-'03_Lap_b'!$B$5:$AW$5))))^2)</f>
        <v/>
      </c>
      <c r="H309" s="5">
        <f>MEDIAN(-6,E309+(C309-F309)/MAX(F309-G309,0.000000001),6)</f>
        <v/>
      </c>
      <c r="I309" s="5">
        <f>SUMPRODUCT(('01_Data'!$B309:$AW309&lt;&gt;"")*(1/(1+EXP(-(H309-'03_Lap_b'!$B$10:$AW$10)))))</f>
        <v/>
      </c>
      <c r="J309" s="5">
        <f>SUMPRODUCT(('01_Data'!$B309:$AW309&lt;&gt;"")*(1/(1+EXP(-(H309-'03_Lap_b'!$B$10:$AW$10))))^2)</f>
        <v/>
      </c>
      <c r="K309" s="5">
        <f>MEDIAN(-6,H309+(C309-I309)/MAX(I309-J309,0.000000001),6)</f>
        <v/>
      </c>
      <c r="L309" s="5">
        <f>SUMPRODUCT(('01_Data'!$B309:$AW309&lt;&gt;"")*(1/(1+EXP(-(K309-'03_Lap_b'!$B$15:$AW$15)))))</f>
        <v/>
      </c>
      <c r="M309" s="5">
        <f>SUMPRODUCT(('01_Data'!$B309:$AW309&lt;&gt;"")*(1/(1+EXP(-(K309-'03_Lap_b'!$B$15:$AW$15))))^2)</f>
        <v/>
      </c>
      <c r="N309" s="5">
        <f>MEDIAN(-6,K309+(C309-L309)/MAX(L309-M309,0.000000001),6)</f>
        <v/>
      </c>
      <c r="O309" s="5">
        <f>SUMPRODUCT(('01_Data'!$B309:$AW309&lt;&gt;"")*(1/(1+EXP(-(N309-'03_Lap_b'!$B$20:$AW$20)))))</f>
        <v/>
      </c>
      <c r="P309" s="5">
        <f>SUMPRODUCT(('01_Data'!$B309:$AW309&lt;&gt;"")*(1/(1+EXP(-(N309-'03_Lap_b'!$B$20:$AW$20))))^2)</f>
        <v/>
      </c>
      <c r="Q309" s="5">
        <f>MEDIAN(-6,N309+(C309-O309)/MAX(O309-P309,0.000000001),6)</f>
        <v/>
      </c>
      <c r="R309" s="5">
        <f>SUMPRODUCT(('01_Data'!$B309:$AW309&lt;&gt;"")*(1/(1+EXP(-(Q309-'03_Lap_b'!$B$25:$AW$25)))))</f>
        <v/>
      </c>
      <c r="S309" s="5">
        <f>SUMPRODUCT(('01_Data'!$B309:$AW309&lt;&gt;"")*(1/(1+EXP(-(Q309-'03_Lap_b'!$B$25:$AW$25))))^2)</f>
        <v/>
      </c>
      <c r="T309" s="5">
        <f>MEDIAN(-6,Q309+(C309-R309)/MAX(R309-S309,0.000000001),6)</f>
        <v/>
      </c>
      <c r="U309" s="5">
        <f>SUMPRODUCT(('01_Data'!$B309:$AW309&lt;&gt;"")*(1/(1+EXP(-(T309-'03_Lap_b'!$B$30:$AW$30)))))</f>
        <v/>
      </c>
      <c r="V309" s="5">
        <f>SUMPRODUCT(('01_Data'!$B309:$AW309&lt;&gt;"")*(1/(1+EXP(-(T309-'03_Lap_b'!$B$30:$AW$30))))^2)</f>
        <v/>
      </c>
      <c r="W309" s="5">
        <f>MEDIAN(-6,T309+(C309-U309)/MAX(U309-V309,0.000000001),6)</f>
        <v/>
      </c>
      <c r="X309" s="5">
        <f>SUMPRODUCT(('01_Data'!$B309:$AW309&lt;&gt;"")*(1/(1+EXP(-(W309-'03_Lap_b'!$B$35:$AW$35)))))</f>
        <v/>
      </c>
      <c r="Y309" s="5">
        <f>SUMPRODUCT(('01_Data'!$B309:$AW309&lt;&gt;"")*(1/(1+EXP(-(W309-'03_Lap_b'!$B$35:$AW$35))))^2)</f>
        <v/>
      </c>
      <c r="Z309" s="5">
        <f>MEDIAN(-6,W309+(C309-X309)/MAX(X309-Y309,0.000000001),6)</f>
        <v/>
      </c>
      <c r="AA309" s="5">
        <f>SUMPRODUCT(('01_Data'!$B309:$AW309&lt;&gt;"")*(1/(1+EXP(-(Z309-'03_Lap_b'!$B$40:$AW$40)))))</f>
        <v/>
      </c>
      <c r="AB309" s="5">
        <f>SUMPRODUCT(('01_Data'!$B309:$AW309&lt;&gt;"")*(1/(1+EXP(-(Z309-'03_Lap_b'!$B$40:$AW$40))))^2)</f>
        <v/>
      </c>
      <c r="AC309" s="5">
        <f>MEDIAN(-6,Z309+(C309-AA309)/MAX(AA309-AB309,0.000000001),6)</f>
        <v/>
      </c>
    </row>
    <row r="310">
      <c r="A310" t="n">
        <v>309</v>
      </c>
      <c r="B310">
        <f>'01_Data'!A310</f>
        <v/>
      </c>
      <c r="C310">
        <f>SUM('01_Data'!$B310:$AW310)</f>
        <v/>
      </c>
      <c r="D310">
        <f>COUNT('01_Data'!$B310:$AW310)</f>
        <v/>
      </c>
      <c r="E310" s="5">
        <f>MEDIAN(-6,LN((C310+0.3)/(D310-C310+0.3)),6)</f>
        <v/>
      </c>
      <c r="F310" s="5">
        <f>SUMPRODUCT(('01_Data'!$B310:$AW310&lt;&gt;"")*(1/(1+EXP(-(E310-'03_Lap_b'!$B$5:$AW$5)))))</f>
        <v/>
      </c>
      <c r="G310" s="5">
        <f>SUMPRODUCT(('01_Data'!$B310:$AW310&lt;&gt;"")*(1/(1+EXP(-(E310-'03_Lap_b'!$B$5:$AW$5))))^2)</f>
        <v/>
      </c>
      <c r="H310" s="5">
        <f>MEDIAN(-6,E310+(C310-F310)/MAX(F310-G310,0.000000001),6)</f>
        <v/>
      </c>
      <c r="I310" s="5">
        <f>SUMPRODUCT(('01_Data'!$B310:$AW310&lt;&gt;"")*(1/(1+EXP(-(H310-'03_Lap_b'!$B$10:$AW$10)))))</f>
        <v/>
      </c>
      <c r="J310" s="5">
        <f>SUMPRODUCT(('01_Data'!$B310:$AW310&lt;&gt;"")*(1/(1+EXP(-(H310-'03_Lap_b'!$B$10:$AW$10))))^2)</f>
        <v/>
      </c>
      <c r="K310" s="5">
        <f>MEDIAN(-6,H310+(C310-I310)/MAX(I310-J310,0.000000001),6)</f>
        <v/>
      </c>
      <c r="L310" s="5">
        <f>SUMPRODUCT(('01_Data'!$B310:$AW310&lt;&gt;"")*(1/(1+EXP(-(K310-'03_Lap_b'!$B$15:$AW$15)))))</f>
        <v/>
      </c>
      <c r="M310" s="5">
        <f>SUMPRODUCT(('01_Data'!$B310:$AW310&lt;&gt;"")*(1/(1+EXP(-(K310-'03_Lap_b'!$B$15:$AW$15))))^2)</f>
        <v/>
      </c>
      <c r="N310" s="5">
        <f>MEDIAN(-6,K310+(C310-L310)/MAX(L310-M310,0.000000001),6)</f>
        <v/>
      </c>
      <c r="O310" s="5">
        <f>SUMPRODUCT(('01_Data'!$B310:$AW310&lt;&gt;"")*(1/(1+EXP(-(N310-'03_Lap_b'!$B$20:$AW$20)))))</f>
        <v/>
      </c>
      <c r="P310" s="5">
        <f>SUMPRODUCT(('01_Data'!$B310:$AW310&lt;&gt;"")*(1/(1+EXP(-(N310-'03_Lap_b'!$B$20:$AW$20))))^2)</f>
        <v/>
      </c>
      <c r="Q310" s="5">
        <f>MEDIAN(-6,N310+(C310-O310)/MAX(O310-P310,0.000000001),6)</f>
        <v/>
      </c>
      <c r="R310" s="5">
        <f>SUMPRODUCT(('01_Data'!$B310:$AW310&lt;&gt;"")*(1/(1+EXP(-(Q310-'03_Lap_b'!$B$25:$AW$25)))))</f>
        <v/>
      </c>
      <c r="S310" s="5">
        <f>SUMPRODUCT(('01_Data'!$B310:$AW310&lt;&gt;"")*(1/(1+EXP(-(Q310-'03_Lap_b'!$B$25:$AW$25))))^2)</f>
        <v/>
      </c>
      <c r="T310" s="5">
        <f>MEDIAN(-6,Q310+(C310-R310)/MAX(R310-S310,0.000000001),6)</f>
        <v/>
      </c>
      <c r="U310" s="5">
        <f>SUMPRODUCT(('01_Data'!$B310:$AW310&lt;&gt;"")*(1/(1+EXP(-(T310-'03_Lap_b'!$B$30:$AW$30)))))</f>
        <v/>
      </c>
      <c r="V310" s="5">
        <f>SUMPRODUCT(('01_Data'!$B310:$AW310&lt;&gt;"")*(1/(1+EXP(-(T310-'03_Lap_b'!$B$30:$AW$30))))^2)</f>
        <v/>
      </c>
      <c r="W310" s="5">
        <f>MEDIAN(-6,T310+(C310-U310)/MAX(U310-V310,0.000000001),6)</f>
        <v/>
      </c>
      <c r="X310" s="5">
        <f>SUMPRODUCT(('01_Data'!$B310:$AW310&lt;&gt;"")*(1/(1+EXP(-(W310-'03_Lap_b'!$B$35:$AW$35)))))</f>
        <v/>
      </c>
      <c r="Y310" s="5">
        <f>SUMPRODUCT(('01_Data'!$B310:$AW310&lt;&gt;"")*(1/(1+EXP(-(W310-'03_Lap_b'!$B$35:$AW$35))))^2)</f>
        <v/>
      </c>
      <c r="Z310" s="5">
        <f>MEDIAN(-6,W310+(C310-X310)/MAX(X310-Y310,0.000000001),6)</f>
        <v/>
      </c>
      <c r="AA310" s="5">
        <f>SUMPRODUCT(('01_Data'!$B310:$AW310&lt;&gt;"")*(1/(1+EXP(-(Z310-'03_Lap_b'!$B$40:$AW$40)))))</f>
        <v/>
      </c>
      <c r="AB310" s="5">
        <f>SUMPRODUCT(('01_Data'!$B310:$AW310&lt;&gt;"")*(1/(1+EXP(-(Z310-'03_Lap_b'!$B$40:$AW$40))))^2)</f>
        <v/>
      </c>
      <c r="AC310" s="5">
        <f>MEDIAN(-6,Z310+(C310-AA310)/MAX(AA310-AB310,0.000000001),6)</f>
        <v/>
      </c>
    </row>
    <row r="311">
      <c r="A311" t="n">
        <v>310</v>
      </c>
      <c r="B311">
        <f>'01_Data'!A311</f>
        <v/>
      </c>
      <c r="C311">
        <f>SUM('01_Data'!$B311:$AW311)</f>
        <v/>
      </c>
      <c r="D311">
        <f>COUNT('01_Data'!$B311:$AW311)</f>
        <v/>
      </c>
      <c r="E311" s="5">
        <f>MEDIAN(-6,LN((C311+0.3)/(D311-C311+0.3)),6)</f>
        <v/>
      </c>
      <c r="F311" s="5">
        <f>SUMPRODUCT(('01_Data'!$B311:$AW311&lt;&gt;"")*(1/(1+EXP(-(E311-'03_Lap_b'!$B$5:$AW$5)))))</f>
        <v/>
      </c>
      <c r="G311" s="5">
        <f>SUMPRODUCT(('01_Data'!$B311:$AW311&lt;&gt;"")*(1/(1+EXP(-(E311-'03_Lap_b'!$B$5:$AW$5))))^2)</f>
        <v/>
      </c>
      <c r="H311" s="5">
        <f>MEDIAN(-6,E311+(C311-F311)/MAX(F311-G311,0.000000001),6)</f>
        <v/>
      </c>
      <c r="I311" s="5">
        <f>SUMPRODUCT(('01_Data'!$B311:$AW311&lt;&gt;"")*(1/(1+EXP(-(H311-'03_Lap_b'!$B$10:$AW$10)))))</f>
        <v/>
      </c>
      <c r="J311" s="5">
        <f>SUMPRODUCT(('01_Data'!$B311:$AW311&lt;&gt;"")*(1/(1+EXP(-(H311-'03_Lap_b'!$B$10:$AW$10))))^2)</f>
        <v/>
      </c>
      <c r="K311" s="5">
        <f>MEDIAN(-6,H311+(C311-I311)/MAX(I311-J311,0.000000001),6)</f>
        <v/>
      </c>
      <c r="L311" s="5">
        <f>SUMPRODUCT(('01_Data'!$B311:$AW311&lt;&gt;"")*(1/(1+EXP(-(K311-'03_Lap_b'!$B$15:$AW$15)))))</f>
        <v/>
      </c>
      <c r="M311" s="5">
        <f>SUMPRODUCT(('01_Data'!$B311:$AW311&lt;&gt;"")*(1/(1+EXP(-(K311-'03_Lap_b'!$B$15:$AW$15))))^2)</f>
        <v/>
      </c>
      <c r="N311" s="5">
        <f>MEDIAN(-6,K311+(C311-L311)/MAX(L311-M311,0.000000001),6)</f>
        <v/>
      </c>
      <c r="O311" s="5">
        <f>SUMPRODUCT(('01_Data'!$B311:$AW311&lt;&gt;"")*(1/(1+EXP(-(N311-'03_Lap_b'!$B$20:$AW$20)))))</f>
        <v/>
      </c>
      <c r="P311" s="5">
        <f>SUMPRODUCT(('01_Data'!$B311:$AW311&lt;&gt;"")*(1/(1+EXP(-(N311-'03_Lap_b'!$B$20:$AW$20))))^2)</f>
        <v/>
      </c>
      <c r="Q311" s="5">
        <f>MEDIAN(-6,N311+(C311-O311)/MAX(O311-P311,0.000000001),6)</f>
        <v/>
      </c>
      <c r="R311" s="5">
        <f>SUMPRODUCT(('01_Data'!$B311:$AW311&lt;&gt;"")*(1/(1+EXP(-(Q311-'03_Lap_b'!$B$25:$AW$25)))))</f>
        <v/>
      </c>
      <c r="S311" s="5">
        <f>SUMPRODUCT(('01_Data'!$B311:$AW311&lt;&gt;"")*(1/(1+EXP(-(Q311-'03_Lap_b'!$B$25:$AW$25))))^2)</f>
        <v/>
      </c>
      <c r="T311" s="5">
        <f>MEDIAN(-6,Q311+(C311-R311)/MAX(R311-S311,0.000000001),6)</f>
        <v/>
      </c>
      <c r="U311" s="5">
        <f>SUMPRODUCT(('01_Data'!$B311:$AW311&lt;&gt;"")*(1/(1+EXP(-(T311-'03_Lap_b'!$B$30:$AW$30)))))</f>
        <v/>
      </c>
      <c r="V311" s="5">
        <f>SUMPRODUCT(('01_Data'!$B311:$AW311&lt;&gt;"")*(1/(1+EXP(-(T311-'03_Lap_b'!$B$30:$AW$30))))^2)</f>
        <v/>
      </c>
      <c r="W311" s="5">
        <f>MEDIAN(-6,T311+(C311-U311)/MAX(U311-V311,0.000000001),6)</f>
        <v/>
      </c>
      <c r="X311" s="5">
        <f>SUMPRODUCT(('01_Data'!$B311:$AW311&lt;&gt;"")*(1/(1+EXP(-(W311-'03_Lap_b'!$B$35:$AW$35)))))</f>
        <v/>
      </c>
      <c r="Y311" s="5">
        <f>SUMPRODUCT(('01_Data'!$B311:$AW311&lt;&gt;"")*(1/(1+EXP(-(W311-'03_Lap_b'!$B$35:$AW$35))))^2)</f>
        <v/>
      </c>
      <c r="Z311" s="5">
        <f>MEDIAN(-6,W311+(C311-X311)/MAX(X311-Y311,0.000000001),6)</f>
        <v/>
      </c>
      <c r="AA311" s="5">
        <f>SUMPRODUCT(('01_Data'!$B311:$AW311&lt;&gt;"")*(1/(1+EXP(-(Z311-'03_Lap_b'!$B$40:$AW$40)))))</f>
        <v/>
      </c>
      <c r="AB311" s="5">
        <f>SUMPRODUCT(('01_Data'!$B311:$AW311&lt;&gt;"")*(1/(1+EXP(-(Z311-'03_Lap_b'!$B$40:$AW$40))))^2)</f>
        <v/>
      </c>
      <c r="AC311" s="5">
        <f>MEDIAN(-6,Z311+(C311-AA311)/MAX(AA311-AB311,0.000000001),6)</f>
        <v/>
      </c>
    </row>
    <row r="312">
      <c r="A312" t="n">
        <v>311</v>
      </c>
      <c r="B312">
        <f>'01_Data'!A312</f>
        <v/>
      </c>
      <c r="C312">
        <f>SUM('01_Data'!$B312:$AW312)</f>
        <v/>
      </c>
      <c r="D312">
        <f>COUNT('01_Data'!$B312:$AW312)</f>
        <v/>
      </c>
      <c r="E312" s="5">
        <f>MEDIAN(-6,LN((C312+0.3)/(D312-C312+0.3)),6)</f>
        <v/>
      </c>
      <c r="F312" s="5">
        <f>SUMPRODUCT(('01_Data'!$B312:$AW312&lt;&gt;"")*(1/(1+EXP(-(E312-'03_Lap_b'!$B$5:$AW$5)))))</f>
        <v/>
      </c>
      <c r="G312" s="5">
        <f>SUMPRODUCT(('01_Data'!$B312:$AW312&lt;&gt;"")*(1/(1+EXP(-(E312-'03_Lap_b'!$B$5:$AW$5))))^2)</f>
        <v/>
      </c>
      <c r="H312" s="5">
        <f>MEDIAN(-6,E312+(C312-F312)/MAX(F312-G312,0.000000001),6)</f>
        <v/>
      </c>
      <c r="I312" s="5">
        <f>SUMPRODUCT(('01_Data'!$B312:$AW312&lt;&gt;"")*(1/(1+EXP(-(H312-'03_Lap_b'!$B$10:$AW$10)))))</f>
        <v/>
      </c>
      <c r="J312" s="5">
        <f>SUMPRODUCT(('01_Data'!$B312:$AW312&lt;&gt;"")*(1/(1+EXP(-(H312-'03_Lap_b'!$B$10:$AW$10))))^2)</f>
        <v/>
      </c>
      <c r="K312" s="5">
        <f>MEDIAN(-6,H312+(C312-I312)/MAX(I312-J312,0.000000001),6)</f>
        <v/>
      </c>
      <c r="L312" s="5">
        <f>SUMPRODUCT(('01_Data'!$B312:$AW312&lt;&gt;"")*(1/(1+EXP(-(K312-'03_Lap_b'!$B$15:$AW$15)))))</f>
        <v/>
      </c>
      <c r="M312" s="5">
        <f>SUMPRODUCT(('01_Data'!$B312:$AW312&lt;&gt;"")*(1/(1+EXP(-(K312-'03_Lap_b'!$B$15:$AW$15))))^2)</f>
        <v/>
      </c>
      <c r="N312" s="5">
        <f>MEDIAN(-6,K312+(C312-L312)/MAX(L312-M312,0.000000001),6)</f>
        <v/>
      </c>
      <c r="O312" s="5">
        <f>SUMPRODUCT(('01_Data'!$B312:$AW312&lt;&gt;"")*(1/(1+EXP(-(N312-'03_Lap_b'!$B$20:$AW$20)))))</f>
        <v/>
      </c>
      <c r="P312" s="5">
        <f>SUMPRODUCT(('01_Data'!$B312:$AW312&lt;&gt;"")*(1/(1+EXP(-(N312-'03_Lap_b'!$B$20:$AW$20))))^2)</f>
        <v/>
      </c>
      <c r="Q312" s="5">
        <f>MEDIAN(-6,N312+(C312-O312)/MAX(O312-P312,0.000000001),6)</f>
        <v/>
      </c>
      <c r="R312" s="5">
        <f>SUMPRODUCT(('01_Data'!$B312:$AW312&lt;&gt;"")*(1/(1+EXP(-(Q312-'03_Lap_b'!$B$25:$AW$25)))))</f>
        <v/>
      </c>
      <c r="S312" s="5">
        <f>SUMPRODUCT(('01_Data'!$B312:$AW312&lt;&gt;"")*(1/(1+EXP(-(Q312-'03_Lap_b'!$B$25:$AW$25))))^2)</f>
        <v/>
      </c>
      <c r="T312" s="5">
        <f>MEDIAN(-6,Q312+(C312-R312)/MAX(R312-S312,0.000000001),6)</f>
        <v/>
      </c>
      <c r="U312" s="5">
        <f>SUMPRODUCT(('01_Data'!$B312:$AW312&lt;&gt;"")*(1/(1+EXP(-(T312-'03_Lap_b'!$B$30:$AW$30)))))</f>
        <v/>
      </c>
      <c r="V312" s="5">
        <f>SUMPRODUCT(('01_Data'!$B312:$AW312&lt;&gt;"")*(1/(1+EXP(-(T312-'03_Lap_b'!$B$30:$AW$30))))^2)</f>
        <v/>
      </c>
      <c r="W312" s="5">
        <f>MEDIAN(-6,T312+(C312-U312)/MAX(U312-V312,0.000000001),6)</f>
        <v/>
      </c>
      <c r="X312" s="5">
        <f>SUMPRODUCT(('01_Data'!$B312:$AW312&lt;&gt;"")*(1/(1+EXP(-(W312-'03_Lap_b'!$B$35:$AW$35)))))</f>
        <v/>
      </c>
      <c r="Y312" s="5">
        <f>SUMPRODUCT(('01_Data'!$B312:$AW312&lt;&gt;"")*(1/(1+EXP(-(W312-'03_Lap_b'!$B$35:$AW$35))))^2)</f>
        <v/>
      </c>
      <c r="Z312" s="5">
        <f>MEDIAN(-6,W312+(C312-X312)/MAX(X312-Y312,0.000000001),6)</f>
        <v/>
      </c>
      <c r="AA312" s="5">
        <f>SUMPRODUCT(('01_Data'!$B312:$AW312&lt;&gt;"")*(1/(1+EXP(-(Z312-'03_Lap_b'!$B$40:$AW$40)))))</f>
        <v/>
      </c>
      <c r="AB312" s="5">
        <f>SUMPRODUCT(('01_Data'!$B312:$AW312&lt;&gt;"")*(1/(1+EXP(-(Z312-'03_Lap_b'!$B$40:$AW$40))))^2)</f>
        <v/>
      </c>
      <c r="AC312" s="5">
        <f>MEDIAN(-6,Z312+(C312-AA312)/MAX(AA312-AB312,0.000000001),6)</f>
        <v/>
      </c>
    </row>
    <row r="313">
      <c r="A313" t="n">
        <v>312</v>
      </c>
      <c r="B313">
        <f>'01_Data'!A313</f>
        <v/>
      </c>
      <c r="C313">
        <f>SUM('01_Data'!$B313:$AW313)</f>
        <v/>
      </c>
      <c r="D313">
        <f>COUNT('01_Data'!$B313:$AW313)</f>
        <v/>
      </c>
      <c r="E313" s="5">
        <f>MEDIAN(-6,LN((C313+0.3)/(D313-C313+0.3)),6)</f>
        <v/>
      </c>
      <c r="F313" s="5">
        <f>SUMPRODUCT(('01_Data'!$B313:$AW313&lt;&gt;"")*(1/(1+EXP(-(E313-'03_Lap_b'!$B$5:$AW$5)))))</f>
        <v/>
      </c>
      <c r="G313" s="5">
        <f>SUMPRODUCT(('01_Data'!$B313:$AW313&lt;&gt;"")*(1/(1+EXP(-(E313-'03_Lap_b'!$B$5:$AW$5))))^2)</f>
        <v/>
      </c>
      <c r="H313" s="5">
        <f>MEDIAN(-6,E313+(C313-F313)/MAX(F313-G313,0.000000001),6)</f>
        <v/>
      </c>
      <c r="I313" s="5">
        <f>SUMPRODUCT(('01_Data'!$B313:$AW313&lt;&gt;"")*(1/(1+EXP(-(H313-'03_Lap_b'!$B$10:$AW$10)))))</f>
        <v/>
      </c>
      <c r="J313" s="5">
        <f>SUMPRODUCT(('01_Data'!$B313:$AW313&lt;&gt;"")*(1/(1+EXP(-(H313-'03_Lap_b'!$B$10:$AW$10))))^2)</f>
        <v/>
      </c>
      <c r="K313" s="5">
        <f>MEDIAN(-6,H313+(C313-I313)/MAX(I313-J313,0.000000001),6)</f>
        <v/>
      </c>
      <c r="L313" s="5">
        <f>SUMPRODUCT(('01_Data'!$B313:$AW313&lt;&gt;"")*(1/(1+EXP(-(K313-'03_Lap_b'!$B$15:$AW$15)))))</f>
        <v/>
      </c>
      <c r="M313" s="5">
        <f>SUMPRODUCT(('01_Data'!$B313:$AW313&lt;&gt;"")*(1/(1+EXP(-(K313-'03_Lap_b'!$B$15:$AW$15))))^2)</f>
        <v/>
      </c>
      <c r="N313" s="5">
        <f>MEDIAN(-6,K313+(C313-L313)/MAX(L313-M313,0.000000001),6)</f>
        <v/>
      </c>
      <c r="O313" s="5">
        <f>SUMPRODUCT(('01_Data'!$B313:$AW313&lt;&gt;"")*(1/(1+EXP(-(N313-'03_Lap_b'!$B$20:$AW$20)))))</f>
        <v/>
      </c>
      <c r="P313" s="5">
        <f>SUMPRODUCT(('01_Data'!$B313:$AW313&lt;&gt;"")*(1/(1+EXP(-(N313-'03_Lap_b'!$B$20:$AW$20))))^2)</f>
        <v/>
      </c>
      <c r="Q313" s="5">
        <f>MEDIAN(-6,N313+(C313-O313)/MAX(O313-P313,0.000000001),6)</f>
        <v/>
      </c>
      <c r="R313" s="5">
        <f>SUMPRODUCT(('01_Data'!$B313:$AW313&lt;&gt;"")*(1/(1+EXP(-(Q313-'03_Lap_b'!$B$25:$AW$25)))))</f>
        <v/>
      </c>
      <c r="S313" s="5">
        <f>SUMPRODUCT(('01_Data'!$B313:$AW313&lt;&gt;"")*(1/(1+EXP(-(Q313-'03_Lap_b'!$B$25:$AW$25))))^2)</f>
        <v/>
      </c>
      <c r="T313" s="5">
        <f>MEDIAN(-6,Q313+(C313-R313)/MAX(R313-S313,0.000000001),6)</f>
        <v/>
      </c>
      <c r="U313" s="5">
        <f>SUMPRODUCT(('01_Data'!$B313:$AW313&lt;&gt;"")*(1/(1+EXP(-(T313-'03_Lap_b'!$B$30:$AW$30)))))</f>
        <v/>
      </c>
      <c r="V313" s="5">
        <f>SUMPRODUCT(('01_Data'!$B313:$AW313&lt;&gt;"")*(1/(1+EXP(-(T313-'03_Lap_b'!$B$30:$AW$30))))^2)</f>
        <v/>
      </c>
      <c r="W313" s="5">
        <f>MEDIAN(-6,T313+(C313-U313)/MAX(U313-V313,0.000000001),6)</f>
        <v/>
      </c>
      <c r="X313" s="5">
        <f>SUMPRODUCT(('01_Data'!$B313:$AW313&lt;&gt;"")*(1/(1+EXP(-(W313-'03_Lap_b'!$B$35:$AW$35)))))</f>
        <v/>
      </c>
      <c r="Y313" s="5">
        <f>SUMPRODUCT(('01_Data'!$B313:$AW313&lt;&gt;"")*(1/(1+EXP(-(W313-'03_Lap_b'!$B$35:$AW$35))))^2)</f>
        <v/>
      </c>
      <c r="Z313" s="5">
        <f>MEDIAN(-6,W313+(C313-X313)/MAX(X313-Y313,0.000000001),6)</f>
        <v/>
      </c>
      <c r="AA313" s="5">
        <f>SUMPRODUCT(('01_Data'!$B313:$AW313&lt;&gt;"")*(1/(1+EXP(-(Z313-'03_Lap_b'!$B$40:$AW$40)))))</f>
        <v/>
      </c>
      <c r="AB313" s="5">
        <f>SUMPRODUCT(('01_Data'!$B313:$AW313&lt;&gt;"")*(1/(1+EXP(-(Z313-'03_Lap_b'!$B$40:$AW$40))))^2)</f>
        <v/>
      </c>
      <c r="AC313" s="5">
        <f>MEDIAN(-6,Z313+(C313-AA313)/MAX(AA313-AB313,0.000000001),6)</f>
        <v/>
      </c>
    </row>
    <row r="314">
      <c r="A314" t="n">
        <v>313</v>
      </c>
      <c r="B314">
        <f>'01_Data'!A314</f>
        <v/>
      </c>
      <c r="C314">
        <f>SUM('01_Data'!$B314:$AW314)</f>
        <v/>
      </c>
      <c r="D314">
        <f>COUNT('01_Data'!$B314:$AW314)</f>
        <v/>
      </c>
      <c r="E314" s="5">
        <f>MEDIAN(-6,LN((C314+0.3)/(D314-C314+0.3)),6)</f>
        <v/>
      </c>
      <c r="F314" s="5">
        <f>SUMPRODUCT(('01_Data'!$B314:$AW314&lt;&gt;"")*(1/(1+EXP(-(E314-'03_Lap_b'!$B$5:$AW$5)))))</f>
        <v/>
      </c>
      <c r="G314" s="5">
        <f>SUMPRODUCT(('01_Data'!$B314:$AW314&lt;&gt;"")*(1/(1+EXP(-(E314-'03_Lap_b'!$B$5:$AW$5))))^2)</f>
        <v/>
      </c>
      <c r="H314" s="5">
        <f>MEDIAN(-6,E314+(C314-F314)/MAX(F314-G314,0.000000001),6)</f>
        <v/>
      </c>
      <c r="I314" s="5">
        <f>SUMPRODUCT(('01_Data'!$B314:$AW314&lt;&gt;"")*(1/(1+EXP(-(H314-'03_Lap_b'!$B$10:$AW$10)))))</f>
        <v/>
      </c>
      <c r="J314" s="5">
        <f>SUMPRODUCT(('01_Data'!$B314:$AW314&lt;&gt;"")*(1/(1+EXP(-(H314-'03_Lap_b'!$B$10:$AW$10))))^2)</f>
        <v/>
      </c>
      <c r="K314" s="5">
        <f>MEDIAN(-6,H314+(C314-I314)/MAX(I314-J314,0.000000001),6)</f>
        <v/>
      </c>
      <c r="L314" s="5">
        <f>SUMPRODUCT(('01_Data'!$B314:$AW314&lt;&gt;"")*(1/(1+EXP(-(K314-'03_Lap_b'!$B$15:$AW$15)))))</f>
        <v/>
      </c>
      <c r="M314" s="5">
        <f>SUMPRODUCT(('01_Data'!$B314:$AW314&lt;&gt;"")*(1/(1+EXP(-(K314-'03_Lap_b'!$B$15:$AW$15))))^2)</f>
        <v/>
      </c>
      <c r="N314" s="5">
        <f>MEDIAN(-6,K314+(C314-L314)/MAX(L314-M314,0.000000001),6)</f>
        <v/>
      </c>
      <c r="O314" s="5">
        <f>SUMPRODUCT(('01_Data'!$B314:$AW314&lt;&gt;"")*(1/(1+EXP(-(N314-'03_Lap_b'!$B$20:$AW$20)))))</f>
        <v/>
      </c>
      <c r="P314" s="5">
        <f>SUMPRODUCT(('01_Data'!$B314:$AW314&lt;&gt;"")*(1/(1+EXP(-(N314-'03_Lap_b'!$B$20:$AW$20))))^2)</f>
        <v/>
      </c>
      <c r="Q314" s="5">
        <f>MEDIAN(-6,N314+(C314-O314)/MAX(O314-P314,0.000000001),6)</f>
        <v/>
      </c>
      <c r="R314" s="5">
        <f>SUMPRODUCT(('01_Data'!$B314:$AW314&lt;&gt;"")*(1/(1+EXP(-(Q314-'03_Lap_b'!$B$25:$AW$25)))))</f>
        <v/>
      </c>
      <c r="S314" s="5">
        <f>SUMPRODUCT(('01_Data'!$B314:$AW314&lt;&gt;"")*(1/(1+EXP(-(Q314-'03_Lap_b'!$B$25:$AW$25))))^2)</f>
        <v/>
      </c>
      <c r="T314" s="5">
        <f>MEDIAN(-6,Q314+(C314-R314)/MAX(R314-S314,0.000000001),6)</f>
        <v/>
      </c>
      <c r="U314" s="5">
        <f>SUMPRODUCT(('01_Data'!$B314:$AW314&lt;&gt;"")*(1/(1+EXP(-(T314-'03_Lap_b'!$B$30:$AW$30)))))</f>
        <v/>
      </c>
      <c r="V314" s="5">
        <f>SUMPRODUCT(('01_Data'!$B314:$AW314&lt;&gt;"")*(1/(1+EXP(-(T314-'03_Lap_b'!$B$30:$AW$30))))^2)</f>
        <v/>
      </c>
      <c r="W314" s="5">
        <f>MEDIAN(-6,T314+(C314-U314)/MAX(U314-V314,0.000000001),6)</f>
        <v/>
      </c>
      <c r="X314" s="5">
        <f>SUMPRODUCT(('01_Data'!$B314:$AW314&lt;&gt;"")*(1/(1+EXP(-(W314-'03_Lap_b'!$B$35:$AW$35)))))</f>
        <v/>
      </c>
      <c r="Y314" s="5">
        <f>SUMPRODUCT(('01_Data'!$B314:$AW314&lt;&gt;"")*(1/(1+EXP(-(W314-'03_Lap_b'!$B$35:$AW$35))))^2)</f>
        <v/>
      </c>
      <c r="Z314" s="5">
        <f>MEDIAN(-6,W314+(C314-X314)/MAX(X314-Y314,0.000000001),6)</f>
        <v/>
      </c>
      <c r="AA314" s="5">
        <f>SUMPRODUCT(('01_Data'!$B314:$AW314&lt;&gt;"")*(1/(1+EXP(-(Z314-'03_Lap_b'!$B$40:$AW$40)))))</f>
        <v/>
      </c>
      <c r="AB314" s="5">
        <f>SUMPRODUCT(('01_Data'!$B314:$AW314&lt;&gt;"")*(1/(1+EXP(-(Z314-'03_Lap_b'!$B$40:$AW$40))))^2)</f>
        <v/>
      </c>
      <c r="AC314" s="5">
        <f>MEDIAN(-6,Z314+(C314-AA314)/MAX(AA314-AB314,0.000000001),6)</f>
        <v/>
      </c>
    </row>
    <row r="315">
      <c r="A315" t="n">
        <v>314</v>
      </c>
      <c r="B315">
        <f>'01_Data'!A315</f>
        <v/>
      </c>
      <c r="C315">
        <f>SUM('01_Data'!$B315:$AW315)</f>
        <v/>
      </c>
      <c r="D315">
        <f>COUNT('01_Data'!$B315:$AW315)</f>
        <v/>
      </c>
      <c r="E315" s="5">
        <f>MEDIAN(-6,LN((C315+0.3)/(D315-C315+0.3)),6)</f>
        <v/>
      </c>
      <c r="F315" s="5">
        <f>SUMPRODUCT(('01_Data'!$B315:$AW315&lt;&gt;"")*(1/(1+EXP(-(E315-'03_Lap_b'!$B$5:$AW$5)))))</f>
        <v/>
      </c>
      <c r="G315" s="5">
        <f>SUMPRODUCT(('01_Data'!$B315:$AW315&lt;&gt;"")*(1/(1+EXP(-(E315-'03_Lap_b'!$B$5:$AW$5))))^2)</f>
        <v/>
      </c>
      <c r="H315" s="5">
        <f>MEDIAN(-6,E315+(C315-F315)/MAX(F315-G315,0.000000001),6)</f>
        <v/>
      </c>
      <c r="I315" s="5">
        <f>SUMPRODUCT(('01_Data'!$B315:$AW315&lt;&gt;"")*(1/(1+EXP(-(H315-'03_Lap_b'!$B$10:$AW$10)))))</f>
        <v/>
      </c>
      <c r="J315" s="5">
        <f>SUMPRODUCT(('01_Data'!$B315:$AW315&lt;&gt;"")*(1/(1+EXP(-(H315-'03_Lap_b'!$B$10:$AW$10))))^2)</f>
        <v/>
      </c>
      <c r="K315" s="5">
        <f>MEDIAN(-6,H315+(C315-I315)/MAX(I315-J315,0.000000001),6)</f>
        <v/>
      </c>
      <c r="L315" s="5">
        <f>SUMPRODUCT(('01_Data'!$B315:$AW315&lt;&gt;"")*(1/(1+EXP(-(K315-'03_Lap_b'!$B$15:$AW$15)))))</f>
        <v/>
      </c>
      <c r="M315" s="5">
        <f>SUMPRODUCT(('01_Data'!$B315:$AW315&lt;&gt;"")*(1/(1+EXP(-(K315-'03_Lap_b'!$B$15:$AW$15))))^2)</f>
        <v/>
      </c>
      <c r="N315" s="5">
        <f>MEDIAN(-6,K315+(C315-L315)/MAX(L315-M315,0.000000001),6)</f>
        <v/>
      </c>
      <c r="O315" s="5">
        <f>SUMPRODUCT(('01_Data'!$B315:$AW315&lt;&gt;"")*(1/(1+EXP(-(N315-'03_Lap_b'!$B$20:$AW$20)))))</f>
        <v/>
      </c>
      <c r="P315" s="5">
        <f>SUMPRODUCT(('01_Data'!$B315:$AW315&lt;&gt;"")*(1/(1+EXP(-(N315-'03_Lap_b'!$B$20:$AW$20))))^2)</f>
        <v/>
      </c>
      <c r="Q315" s="5">
        <f>MEDIAN(-6,N315+(C315-O315)/MAX(O315-P315,0.000000001),6)</f>
        <v/>
      </c>
      <c r="R315" s="5">
        <f>SUMPRODUCT(('01_Data'!$B315:$AW315&lt;&gt;"")*(1/(1+EXP(-(Q315-'03_Lap_b'!$B$25:$AW$25)))))</f>
        <v/>
      </c>
      <c r="S315" s="5">
        <f>SUMPRODUCT(('01_Data'!$B315:$AW315&lt;&gt;"")*(1/(1+EXP(-(Q315-'03_Lap_b'!$B$25:$AW$25))))^2)</f>
        <v/>
      </c>
      <c r="T315" s="5">
        <f>MEDIAN(-6,Q315+(C315-R315)/MAX(R315-S315,0.000000001),6)</f>
        <v/>
      </c>
      <c r="U315" s="5">
        <f>SUMPRODUCT(('01_Data'!$B315:$AW315&lt;&gt;"")*(1/(1+EXP(-(T315-'03_Lap_b'!$B$30:$AW$30)))))</f>
        <v/>
      </c>
      <c r="V315" s="5">
        <f>SUMPRODUCT(('01_Data'!$B315:$AW315&lt;&gt;"")*(1/(1+EXP(-(T315-'03_Lap_b'!$B$30:$AW$30))))^2)</f>
        <v/>
      </c>
      <c r="W315" s="5">
        <f>MEDIAN(-6,T315+(C315-U315)/MAX(U315-V315,0.000000001),6)</f>
        <v/>
      </c>
      <c r="X315" s="5">
        <f>SUMPRODUCT(('01_Data'!$B315:$AW315&lt;&gt;"")*(1/(1+EXP(-(W315-'03_Lap_b'!$B$35:$AW$35)))))</f>
        <v/>
      </c>
      <c r="Y315" s="5">
        <f>SUMPRODUCT(('01_Data'!$B315:$AW315&lt;&gt;"")*(1/(1+EXP(-(W315-'03_Lap_b'!$B$35:$AW$35))))^2)</f>
        <v/>
      </c>
      <c r="Z315" s="5">
        <f>MEDIAN(-6,W315+(C315-X315)/MAX(X315-Y315,0.000000001),6)</f>
        <v/>
      </c>
      <c r="AA315" s="5">
        <f>SUMPRODUCT(('01_Data'!$B315:$AW315&lt;&gt;"")*(1/(1+EXP(-(Z315-'03_Lap_b'!$B$40:$AW$40)))))</f>
        <v/>
      </c>
      <c r="AB315" s="5">
        <f>SUMPRODUCT(('01_Data'!$B315:$AW315&lt;&gt;"")*(1/(1+EXP(-(Z315-'03_Lap_b'!$B$40:$AW$40))))^2)</f>
        <v/>
      </c>
      <c r="AC315" s="5">
        <f>MEDIAN(-6,Z315+(C315-AA315)/MAX(AA315-AB315,0.000000001),6)</f>
        <v/>
      </c>
    </row>
    <row r="316">
      <c r="A316" t="n">
        <v>315</v>
      </c>
      <c r="B316">
        <f>'01_Data'!A316</f>
        <v/>
      </c>
      <c r="C316">
        <f>SUM('01_Data'!$B316:$AW316)</f>
        <v/>
      </c>
      <c r="D316">
        <f>COUNT('01_Data'!$B316:$AW316)</f>
        <v/>
      </c>
      <c r="E316" s="5">
        <f>MEDIAN(-6,LN((C316+0.3)/(D316-C316+0.3)),6)</f>
        <v/>
      </c>
      <c r="F316" s="5">
        <f>SUMPRODUCT(('01_Data'!$B316:$AW316&lt;&gt;"")*(1/(1+EXP(-(E316-'03_Lap_b'!$B$5:$AW$5)))))</f>
        <v/>
      </c>
      <c r="G316" s="5">
        <f>SUMPRODUCT(('01_Data'!$B316:$AW316&lt;&gt;"")*(1/(1+EXP(-(E316-'03_Lap_b'!$B$5:$AW$5))))^2)</f>
        <v/>
      </c>
      <c r="H316" s="5">
        <f>MEDIAN(-6,E316+(C316-F316)/MAX(F316-G316,0.000000001),6)</f>
        <v/>
      </c>
      <c r="I316" s="5">
        <f>SUMPRODUCT(('01_Data'!$B316:$AW316&lt;&gt;"")*(1/(1+EXP(-(H316-'03_Lap_b'!$B$10:$AW$10)))))</f>
        <v/>
      </c>
      <c r="J316" s="5">
        <f>SUMPRODUCT(('01_Data'!$B316:$AW316&lt;&gt;"")*(1/(1+EXP(-(H316-'03_Lap_b'!$B$10:$AW$10))))^2)</f>
        <v/>
      </c>
      <c r="K316" s="5">
        <f>MEDIAN(-6,H316+(C316-I316)/MAX(I316-J316,0.000000001),6)</f>
        <v/>
      </c>
      <c r="L316" s="5">
        <f>SUMPRODUCT(('01_Data'!$B316:$AW316&lt;&gt;"")*(1/(1+EXP(-(K316-'03_Lap_b'!$B$15:$AW$15)))))</f>
        <v/>
      </c>
      <c r="M316" s="5">
        <f>SUMPRODUCT(('01_Data'!$B316:$AW316&lt;&gt;"")*(1/(1+EXP(-(K316-'03_Lap_b'!$B$15:$AW$15))))^2)</f>
        <v/>
      </c>
      <c r="N316" s="5">
        <f>MEDIAN(-6,K316+(C316-L316)/MAX(L316-M316,0.000000001),6)</f>
        <v/>
      </c>
      <c r="O316" s="5">
        <f>SUMPRODUCT(('01_Data'!$B316:$AW316&lt;&gt;"")*(1/(1+EXP(-(N316-'03_Lap_b'!$B$20:$AW$20)))))</f>
        <v/>
      </c>
      <c r="P316" s="5">
        <f>SUMPRODUCT(('01_Data'!$B316:$AW316&lt;&gt;"")*(1/(1+EXP(-(N316-'03_Lap_b'!$B$20:$AW$20))))^2)</f>
        <v/>
      </c>
      <c r="Q316" s="5">
        <f>MEDIAN(-6,N316+(C316-O316)/MAX(O316-P316,0.000000001),6)</f>
        <v/>
      </c>
      <c r="R316" s="5">
        <f>SUMPRODUCT(('01_Data'!$B316:$AW316&lt;&gt;"")*(1/(1+EXP(-(Q316-'03_Lap_b'!$B$25:$AW$25)))))</f>
        <v/>
      </c>
      <c r="S316" s="5">
        <f>SUMPRODUCT(('01_Data'!$B316:$AW316&lt;&gt;"")*(1/(1+EXP(-(Q316-'03_Lap_b'!$B$25:$AW$25))))^2)</f>
        <v/>
      </c>
      <c r="T316" s="5">
        <f>MEDIAN(-6,Q316+(C316-R316)/MAX(R316-S316,0.000000001),6)</f>
        <v/>
      </c>
      <c r="U316" s="5">
        <f>SUMPRODUCT(('01_Data'!$B316:$AW316&lt;&gt;"")*(1/(1+EXP(-(T316-'03_Lap_b'!$B$30:$AW$30)))))</f>
        <v/>
      </c>
      <c r="V316" s="5">
        <f>SUMPRODUCT(('01_Data'!$B316:$AW316&lt;&gt;"")*(1/(1+EXP(-(T316-'03_Lap_b'!$B$30:$AW$30))))^2)</f>
        <v/>
      </c>
      <c r="W316" s="5">
        <f>MEDIAN(-6,T316+(C316-U316)/MAX(U316-V316,0.000000001),6)</f>
        <v/>
      </c>
      <c r="X316" s="5">
        <f>SUMPRODUCT(('01_Data'!$B316:$AW316&lt;&gt;"")*(1/(1+EXP(-(W316-'03_Lap_b'!$B$35:$AW$35)))))</f>
        <v/>
      </c>
      <c r="Y316" s="5">
        <f>SUMPRODUCT(('01_Data'!$B316:$AW316&lt;&gt;"")*(1/(1+EXP(-(W316-'03_Lap_b'!$B$35:$AW$35))))^2)</f>
        <v/>
      </c>
      <c r="Z316" s="5">
        <f>MEDIAN(-6,W316+(C316-X316)/MAX(X316-Y316,0.000000001),6)</f>
        <v/>
      </c>
      <c r="AA316" s="5">
        <f>SUMPRODUCT(('01_Data'!$B316:$AW316&lt;&gt;"")*(1/(1+EXP(-(Z316-'03_Lap_b'!$B$40:$AW$40)))))</f>
        <v/>
      </c>
      <c r="AB316" s="5">
        <f>SUMPRODUCT(('01_Data'!$B316:$AW316&lt;&gt;"")*(1/(1+EXP(-(Z316-'03_Lap_b'!$B$40:$AW$40))))^2)</f>
        <v/>
      </c>
      <c r="AC316" s="5">
        <f>MEDIAN(-6,Z316+(C316-AA316)/MAX(AA316-AB316,0.000000001),6)</f>
        <v/>
      </c>
    </row>
    <row r="317">
      <c r="A317" t="n">
        <v>316</v>
      </c>
      <c r="B317">
        <f>'01_Data'!A317</f>
        <v/>
      </c>
      <c r="C317">
        <f>SUM('01_Data'!$B317:$AW317)</f>
        <v/>
      </c>
      <c r="D317">
        <f>COUNT('01_Data'!$B317:$AW317)</f>
        <v/>
      </c>
      <c r="E317" s="5">
        <f>MEDIAN(-6,LN((C317+0.3)/(D317-C317+0.3)),6)</f>
        <v/>
      </c>
      <c r="F317" s="5">
        <f>SUMPRODUCT(('01_Data'!$B317:$AW317&lt;&gt;"")*(1/(1+EXP(-(E317-'03_Lap_b'!$B$5:$AW$5)))))</f>
        <v/>
      </c>
      <c r="G317" s="5">
        <f>SUMPRODUCT(('01_Data'!$B317:$AW317&lt;&gt;"")*(1/(1+EXP(-(E317-'03_Lap_b'!$B$5:$AW$5))))^2)</f>
        <v/>
      </c>
      <c r="H317" s="5">
        <f>MEDIAN(-6,E317+(C317-F317)/MAX(F317-G317,0.000000001),6)</f>
        <v/>
      </c>
      <c r="I317" s="5">
        <f>SUMPRODUCT(('01_Data'!$B317:$AW317&lt;&gt;"")*(1/(1+EXP(-(H317-'03_Lap_b'!$B$10:$AW$10)))))</f>
        <v/>
      </c>
      <c r="J317" s="5">
        <f>SUMPRODUCT(('01_Data'!$B317:$AW317&lt;&gt;"")*(1/(1+EXP(-(H317-'03_Lap_b'!$B$10:$AW$10))))^2)</f>
        <v/>
      </c>
      <c r="K317" s="5">
        <f>MEDIAN(-6,H317+(C317-I317)/MAX(I317-J317,0.000000001),6)</f>
        <v/>
      </c>
      <c r="L317" s="5">
        <f>SUMPRODUCT(('01_Data'!$B317:$AW317&lt;&gt;"")*(1/(1+EXP(-(K317-'03_Lap_b'!$B$15:$AW$15)))))</f>
        <v/>
      </c>
      <c r="M317" s="5">
        <f>SUMPRODUCT(('01_Data'!$B317:$AW317&lt;&gt;"")*(1/(1+EXP(-(K317-'03_Lap_b'!$B$15:$AW$15))))^2)</f>
        <v/>
      </c>
      <c r="N317" s="5">
        <f>MEDIAN(-6,K317+(C317-L317)/MAX(L317-M317,0.000000001),6)</f>
        <v/>
      </c>
      <c r="O317" s="5">
        <f>SUMPRODUCT(('01_Data'!$B317:$AW317&lt;&gt;"")*(1/(1+EXP(-(N317-'03_Lap_b'!$B$20:$AW$20)))))</f>
        <v/>
      </c>
      <c r="P317" s="5">
        <f>SUMPRODUCT(('01_Data'!$B317:$AW317&lt;&gt;"")*(1/(1+EXP(-(N317-'03_Lap_b'!$B$20:$AW$20))))^2)</f>
        <v/>
      </c>
      <c r="Q317" s="5">
        <f>MEDIAN(-6,N317+(C317-O317)/MAX(O317-P317,0.000000001),6)</f>
        <v/>
      </c>
      <c r="R317" s="5">
        <f>SUMPRODUCT(('01_Data'!$B317:$AW317&lt;&gt;"")*(1/(1+EXP(-(Q317-'03_Lap_b'!$B$25:$AW$25)))))</f>
        <v/>
      </c>
      <c r="S317" s="5">
        <f>SUMPRODUCT(('01_Data'!$B317:$AW317&lt;&gt;"")*(1/(1+EXP(-(Q317-'03_Lap_b'!$B$25:$AW$25))))^2)</f>
        <v/>
      </c>
      <c r="T317" s="5">
        <f>MEDIAN(-6,Q317+(C317-R317)/MAX(R317-S317,0.000000001),6)</f>
        <v/>
      </c>
      <c r="U317" s="5">
        <f>SUMPRODUCT(('01_Data'!$B317:$AW317&lt;&gt;"")*(1/(1+EXP(-(T317-'03_Lap_b'!$B$30:$AW$30)))))</f>
        <v/>
      </c>
      <c r="V317" s="5">
        <f>SUMPRODUCT(('01_Data'!$B317:$AW317&lt;&gt;"")*(1/(1+EXP(-(T317-'03_Lap_b'!$B$30:$AW$30))))^2)</f>
        <v/>
      </c>
      <c r="W317" s="5">
        <f>MEDIAN(-6,T317+(C317-U317)/MAX(U317-V317,0.000000001),6)</f>
        <v/>
      </c>
      <c r="X317" s="5">
        <f>SUMPRODUCT(('01_Data'!$B317:$AW317&lt;&gt;"")*(1/(1+EXP(-(W317-'03_Lap_b'!$B$35:$AW$35)))))</f>
        <v/>
      </c>
      <c r="Y317" s="5">
        <f>SUMPRODUCT(('01_Data'!$B317:$AW317&lt;&gt;"")*(1/(1+EXP(-(W317-'03_Lap_b'!$B$35:$AW$35))))^2)</f>
        <v/>
      </c>
      <c r="Z317" s="5">
        <f>MEDIAN(-6,W317+(C317-X317)/MAX(X317-Y317,0.000000001),6)</f>
        <v/>
      </c>
      <c r="AA317" s="5">
        <f>SUMPRODUCT(('01_Data'!$B317:$AW317&lt;&gt;"")*(1/(1+EXP(-(Z317-'03_Lap_b'!$B$40:$AW$40)))))</f>
        <v/>
      </c>
      <c r="AB317" s="5">
        <f>SUMPRODUCT(('01_Data'!$B317:$AW317&lt;&gt;"")*(1/(1+EXP(-(Z317-'03_Lap_b'!$B$40:$AW$40))))^2)</f>
        <v/>
      </c>
      <c r="AC317" s="5">
        <f>MEDIAN(-6,Z317+(C317-AA317)/MAX(AA317-AB317,0.000000001),6)</f>
        <v/>
      </c>
    </row>
    <row r="318">
      <c r="A318" t="n">
        <v>317</v>
      </c>
      <c r="B318">
        <f>'01_Data'!A318</f>
        <v/>
      </c>
      <c r="C318">
        <f>SUM('01_Data'!$B318:$AW318)</f>
        <v/>
      </c>
      <c r="D318">
        <f>COUNT('01_Data'!$B318:$AW318)</f>
        <v/>
      </c>
      <c r="E318" s="5">
        <f>MEDIAN(-6,LN((C318+0.3)/(D318-C318+0.3)),6)</f>
        <v/>
      </c>
      <c r="F318" s="5">
        <f>SUMPRODUCT(('01_Data'!$B318:$AW318&lt;&gt;"")*(1/(1+EXP(-(E318-'03_Lap_b'!$B$5:$AW$5)))))</f>
        <v/>
      </c>
      <c r="G318" s="5">
        <f>SUMPRODUCT(('01_Data'!$B318:$AW318&lt;&gt;"")*(1/(1+EXP(-(E318-'03_Lap_b'!$B$5:$AW$5))))^2)</f>
        <v/>
      </c>
      <c r="H318" s="5">
        <f>MEDIAN(-6,E318+(C318-F318)/MAX(F318-G318,0.000000001),6)</f>
        <v/>
      </c>
      <c r="I318" s="5">
        <f>SUMPRODUCT(('01_Data'!$B318:$AW318&lt;&gt;"")*(1/(1+EXP(-(H318-'03_Lap_b'!$B$10:$AW$10)))))</f>
        <v/>
      </c>
      <c r="J318" s="5">
        <f>SUMPRODUCT(('01_Data'!$B318:$AW318&lt;&gt;"")*(1/(1+EXP(-(H318-'03_Lap_b'!$B$10:$AW$10))))^2)</f>
        <v/>
      </c>
      <c r="K318" s="5">
        <f>MEDIAN(-6,H318+(C318-I318)/MAX(I318-J318,0.000000001),6)</f>
        <v/>
      </c>
      <c r="L318" s="5">
        <f>SUMPRODUCT(('01_Data'!$B318:$AW318&lt;&gt;"")*(1/(1+EXP(-(K318-'03_Lap_b'!$B$15:$AW$15)))))</f>
        <v/>
      </c>
      <c r="M318" s="5">
        <f>SUMPRODUCT(('01_Data'!$B318:$AW318&lt;&gt;"")*(1/(1+EXP(-(K318-'03_Lap_b'!$B$15:$AW$15))))^2)</f>
        <v/>
      </c>
      <c r="N318" s="5">
        <f>MEDIAN(-6,K318+(C318-L318)/MAX(L318-M318,0.000000001),6)</f>
        <v/>
      </c>
      <c r="O318" s="5">
        <f>SUMPRODUCT(('01_Data'!$B318:$AW318&lt;&gt;"")*(1/(1+EXP(-(N318-'03_Lap_b'!$B$20:$AW$20)))))</f>
        <v/>
      </c>
      <c r="P318" s="5">
        <f>SUMPRODUCT(('01_Data'!$B318:$AW318&lt;&gt;"")*(1/(1+EXP(-(N318-'03_Lap_b'!$B$20:$AW$20))))^2)</f>
        <v/>
      </c>
      <c r="Q318" s="5">
        <f>MEDIAN(-6,N318+(C318-O318)/MAX(O318-P318,0.000000001),6)</f>
        <v/>
      </c>
      <c r="R318" s="5">
        <f>SUMPRODUCT(('01_Data'!$B318:$AW318&lt;&gt;"")*(1/(1+EXP(-(Q318-'03_Lap_b'!$B$25:$AW$25)))))</f>
        <v/>
      </c>
      <c r="S318" s="5">
        <f>SUMPRODUCT(('01_Data'!$B318:$AW318&lt;&gt;"")*(1/(1+EXP(-(Q318-'03_Lap_b'!$B$25:$AW$25))))^2)</f>
        <v/>
      </c>
      <c r="T318" s="5">
        <f>MEDIAN(-6,Q318+(C318-R318)/MAX(R318-S318,0.000000001),6)</f>
        <v/>
      </c>
      <c r="U318" s="5">
        <f>SUMPRODUCT(('01_Data'!$B318:$AW318&lt;&gt;"")*(1/(1+EXP(-(T318-'03_Lap_b'!$B$30:$AW$30)))))</f>
        <v/>
      </c>
      <c r="V318" s="5">
        <f>SUMPRODUCT(('01_Data'!$B318:$AW318&lt;&gt;"")*(1/(1+EXP(-(T318-'03_Lap_b'!$B$30:$AW$30))))^2)</f>
        <v/>
      </c>
      <c r="W318" s="5">
        <f>MEDIAN(-6,T318+(C318-U318)/MAX(U318-V318,0.000000001),6)</f>
        <v/>
      </c>
      <c r="X318" s="5">
        <f>SUMPRODUCT(('01_Data'!$B318:$AW318&lt;&gt;"")*(1/(1+EXP(-(W318-'03_Lap_b'!$B$35:$AW$35)))))</f>
        <v/>
      </c>
      <c r="Y318" s="5">
        <f>SUMPRODUCT(('01_Data'!$B318:$AW318&lt;&gt;"")*(1/(1+EXP(-(W318-'03_Lap_b'!$B$35:$AW$35))))^2)</f>
        <v/>
      </c>
      <c r="Z318" s="5">
        <f>MEDIAN(-6,W318+(C318-X318)/MAX(X318-Y318,0.000000001),6)</f>
        <v/>
      </c>
      <c r="AA318" s="5">
        <f>SUMPRODUCT(('01_Data'!$B318:$AW318&lt;&gt;"")*(1/(1+EXP(-(Z318-'03_Lap_b'!$B$40:$AW$40)))))</f>
        <v/>
      </c>
      <c r="AB318" s="5">
        <f>SUMPRODUCT(('01_Data'!$B318:$AW318&lt;&gt;"")*(1/(1+EXP(-(Z318-'03_Lap_b'!$B$40:$AW$40))))^2)</f>
        <v/>
      </c>
      <c r="AC318" s="5">
        <f>MEDIAN(-6,Z318+(C318-AA318)/MAX(AA318-AB318,0.000000001),6)</f>
        <v/>
      </c>
    </row>
    <row r="319">
      <c r="A319" t="n">
        <v>318</v>
      </c>
      <c r="B319">
        <f>'01_Data'!A319</f>
        <v/>
      </c>
      <c r="C319">
        <f>SUM('01_Data'!$B319:$AW319)</f>
        <v/>
      </c>
      <c r="D319">
        <f>COUNT('01_Data'!$B319:$AW319)</f>
        <v/>
      </c>
      <c r="E319" s="5">
        <f>MEDIAN(-6,LN((C319+0.3)/(D319-C319+0.3)),6)</f>
        <v/>
      </c>
      <c r="F319" s="5">
        <f>SUMPRODUCT(('01_Data'!$B319:$AW319&lt;&gt;"")*(1/(1+EXP(-(E319-'03_Lap_b'!$B$5:$AW$5)))))</f>
        <v/>
      </c>
      <c r="G319" s="5">
        <f>SUMPRODUCT(('01_Data'!$B319:$AW319&lt;&gt;"")*(1/(1+EXP(-(E319-'03_Lap_b'!$B$5:$AW$5))))^2)</f>
        <v/>
      </c>
      <c r="H319" s="5">
        <f>MEDIAN(-6,E319+(C319-F319)/MAX(F319-G319,0.000000001),6)</f>
        <v/>
      </c>
      <c r="I319" s="5">
        <f>SUMPRODUCT(('01_Data'!$B319:$AW319&lt;&gt;"")*(1/(1+EXP(-(H319-'03_Lap_b'!$B$10:$AW$10)))))</f>
        <v/>
      </c>
      <c r="J319" s="5">
        <f>SUMPRODUCT(('01_Data'!$B319:$AW319&lt;&gt;"")*(1/(1+EXP(-(H319-'03_Lap_b'!$B$10:$AW$10))))^2)</f>
        <v/>
      </c>
      <c r="K319" s="5">
        <f>MEDIAN(-6,H319+(C319-I319)/MAX(I319-J319,0.000000001),6)</f>
        <v/>
      </c>
      <c r="L319" s="5">
        <f>SUMPRODUCT(('01_Data'!$B319:$AW319&lt;&gt;"")*(1/(1+EXP(-(K319-'03_Lap_b'!$B$15:$AW$15)))))</f>
        <v/>
      </c>
      <c r="M319" s="5">
        <f>SUMPRODUCT(('01_Data'!$B319:$AW319&lt;&gt;"")*(1/(1+EXP(-(K319-'03_Lap_b'!$B$15:$AW$15))))^2)</f>
        <v/>
      </c>
      <c r="N319" s="5">
        <f>MEDIAN(-6,K319+(C319-L319)/MAX(L319-M319,0.000000001),6)</f>
        <v/>
      </c>
      <c r="O319" s="5">
        <f>SUMPRODUCT(('01_Data'!$B319:$AW319&lt;&gt;"")*(1/(1+EXP(-(N319-'03_Lap_b'!$B$20:$AW$20)))))</f>
        <v/>
      </c>
      <c r="P319" s="5">
        <f>SUMPRODUCT(('01_Data'!$B319:$AW319&lt;&gt;"")*(1/(1+EXP(-(N319-'03_Lap_b'!$B$20:$AW$20))))^2)</f>
        <v/>
      </c>
      <c r="Q319" s="5">
        <f>MEDIAN(-6,N319+(C319-O319)/MAX(O319-P319,0.000000001),6)</f>
        <v/>
      </c>
      <c r="R319" s="5">
        <f>SUMPRODUCT(('01_Data'!$B319:$AW319&lt;&gt;"")*(1/(1+EXP(-(Q319-'03_Lap_b'!$B$25:$AW$25)))))</f>
        <v/>
      </c>
      <c r="S319" s="5">
        <f>SUMPRODUCT(('01_Data'!$B319:$AW319&lt;&gt;"")*(1/(1+EXP(-(Q319-'03_Lap_b'!$B$25:$AW$25))))^2)</f>
        <v/>
      </c>
      <c r="T319" s="5">
        <f>MEDIAN(-6,Q319+(C319-R319)/MAX(R319-S319,0.000000001),6)</f>
        <v/>
      </c>
      <c r="U319" s="5">
        <f>SUMPRODUCT(('01_Data'!$B319:$AW319&lt;&gt;"")*(1/(1+EXP(-(T319-'03_Lap_b'!$B$30:$AW$30)))))</f>
        <v/>
      </c>
      <c r="V319" s="5">
        <f>SUMPRODUCT(('01_Data'!$B319:$AW319&lt;&gt;"")*(1/(1+EXP(-(T319-'03_Lap_b'!$B$30:$AW$30))))^2)</f>
        <v/>
      </c>
      <c r="W319" s="5">
        <f>MEDIAN(-6,T319+(C319-U319)/MAX(U319-V319,0.000000001),6)</f>
        <v/>
      </c>
      <c r="X319" s="5">
        <f>SUMPRODUCT(('01_Data'!$B319:$AW319&lt;&gt;"")*(1/(1+EXP(-(W319-'03_Lap_b'!$B$35:$AW$35)))))</f>
        <v/>
      </c>
      <c r="Y319" s="5">
        <f>SUMPRODUCT(('01_Data'!$B319:$AW319&lt;&gt;"")*(1/(1+EXP(-(W319-'03_Lap_b'!$B$35:$AW$35))))^2)</f>
        <v/>
      </c>
      <c r="Z319" s="5">
        <f>MEDIAN(-6,W319+(C319-X319)/MAX(X319-Y319,0.000000001),6)</f>
        <v/>
      </c>
      <c r="AA319" s="5">
        <f>SUMPRODUCT(('01_Data'!$B319:$AW319&lt;&gt;"")*(1/(1+EXP(-(Z319-'03_Lap_b'!$B$40:$AW$40)))))</f>
        <v/>
      </c>
      <c r="AB319" s="5">
        <f>SUMPRODUCT(('01_Data'!$B319:$AW319&lt;&gt;"")*(1/(1+EXP(-(Z319-'03_Lap_b'!$B$40:$AW$40))))^2)</f>
        <v/>
      </c>
      <c r="AC319" s="5">
        <f>MEDIAN(-6,Z319+(C319-AA319)/MAX(AA319-AB319,0.000000001),6)</f>
        <v/>
      </c>
    </row>
    <row r="320">
      <c r="A320" t="n">
        <v>319</v>
      </c>
      <c r="B320">
        <f>'01_Data'!A320</f>
        <v/>
      </c>
      <c r="C320">
        <f>SUM('01_Data'!$B320:$AW320)</f>
        <v/>
      </c>
      <c r="D320">
        <f>COUNT('01_Data'!$B320:$AW320)</f>
        <v/>
      </c>
      <c r="E320" s="5">
        <f>MEDIAN(-6,LN((C320+0.3)/(D320-C320+0.3)),6)</f>
        <v/>
      </c>
      <c r="F320" s="5">
        <f>SUMPRODUCT(('01_Data'!$B320:$AW320&lt;&gt;"")*(1/(1+EXP(-(E320-'03_Lap_b'!$B$5:$AW$5)))))</f>
        <v/>
      </c>
      <c r="G320" s="5">
        <f>SUMPRODUCT(('01_Data'!$B320:$AW320&lt;&gt;"")*(1/(1+EXP(-(E320-'03_Lap_b'!$B$5:$AW$5))))^2)</f>
        <v/>
      </c>
      <c r="H320" s="5">
        <f>MEDIAN(-6,E320+(C320-F320)/MAX(F320-G320,0.000000001),6)</f>
        <v/>
      </c>
      <c r="I320" s="5">
        <f>SUMPRODUCT(('01_Data'!$B320:$AW320&lt;&gt;"")*(1/(1+EXP(-(H320-'03_Lap_b'!$B$10:$AW$10)))))</f>
        <v/>
      </c>
      <c r="J320" s="5">
        <f>SUMPRODUCT(('01_Data'!$B320:$AW320&lt;&gt;"")*(1/(1+EXP(-(H320-'03_Lap_b'!$B$10:$AW$10))))^2)</f>
        <v/>
      </c>
      <c r="K320" s="5">
        <f>MEDIAN(-6,H320+(C320-I320)/MAX(I320-J320,0.000000001),6)</f>
        <v/>
      </c>
      <c r="L320" s="5">
        <f>SUMPRODUCT(('01_Data'!$B320:$AW320&lt;&gt;"")*(1/(1+EXP(-(K320-'03_Lap_b'!$B$15:$AW$15)))))</f>
        <v/>
      </c>
      <c r="M320" s="5">
        <f>SUMPRODUCT(('01_Data'!$B320:$AW320&lt;&gt;"")*(1/(1+EXP(-(K320-'03_Lap_b'!$B$15:$AW$15))))^2)</f>
        <v/>
      </c>
      <c r="N320" s="5">
        <f>MEDIAN(-6,K320+(C320-L320)/MAX(L320-M320,0.000000001),6)</f>
        <v/>
      </c>
      <c r="O320" s="5">
        <f>SUMPRODUCT(('01_Data'!$B320:$AW320&lt;&gt;"")*(1/(1+EXP(-(N320-'03_Lap_b'!$B$20:$AW$20)))))</f>
        <v/>
      </c>
      <c r="P320" s="5">
        <f>SUMPRODUCT(('01_Data'!$B320:$AW320&lt;&gt;"")*(1/(1+EXP(-(N320-'03_Lap_b'!$B$20:$AW$20))))^2)</f>
        <v/>
      </c>
      <c r="Q320" s="5">
        <f>MEDIAN(-6,N320+(C320-O320)/MAX(O320-P320,0.000000001),6)</f>
        <v/>
      </c>
      <c r="R320" s="5">
        <f>SUMPRODUCT(('01_Data'!$B320:$AW320&lt;&gt;"")*(1/(1+EXP(-(Q320-'03_Lap_b'!$B$25:$AW$25)))))</f>
        <v/>
      </c>
      <c r="S320" s="5">
        <f>SUMPRODUCT(('01_Data'!$B320:$AW320&lt;&gt;"")*(1/(1+EXP(-(Q320-'03_Lap_b'!$B$25:$AW$25))))^2)</f>
        <v/>
      </c>
      <c r="T320" s="5">
        <f>MEDIAN(-6,Q320+(C320-R320)/MAX(R320-S320,0.000000001),6)</f>
        <v/>
      </c>
      <c r="U320" s="5">
        <f>SUMPRODUCT(('01_Data'!$B320:$AW320&lt;&gt;"")*(1/(1+EXP(-(T320-'03_Lap_b'!$B$30:$AW$30)))))</f>
        <v/>
      </c>
      <c r="V320" s="5">
        <f>SUMPRODUCT(('01_Data'!$B320:$AW320&lt;&gt;"")*(1/(1+EXP(-(T320-'03_Lap_b'!$B$30:$AW$30))))^2)</f>
        <v/>
      </c>
      <c r="W320" s="5">
        <f>MEDIAN(-6,T320+(C320-U320)/MAX(U320-V320,0.000000001),6)</f>
        <v/>
      </c>
      <c r="X320" s="5">
        <f>SUMPRODUCT(('01_Data'!$B320:$AW320&lt;&gt;"")*(1/(1+EXP(-(W320-'03_Lap_b'!$B$35:$AW$35)))))</f>
        <v/>
      </c>
      <c r="Y320" s="5">
        <f>SUMPRODUCT(('01_Data'!$B320:$AW320&lt;&gt;"")*(1/(1+EXP(-(W320-'03_Lap_b'!$B$35:$AW$35))))^2)</f>
        <v/>
      </c>
      <c r="Z320" s="5">
        <f>MEDIAN(-6,W320+(C320-X320)/MAX(X320-Y320,0.000000001),6)</f>
        <v/>
      </c>
      <c r="AA320" s="5">
        <f>SUMPRODUCT(('01_Data'!$B320:$AW320&lt;&gt;"")*(1/(1+EXP(-(Z320-'03_Lap_b'!$B$40:$AW$40)))))</f>
        <v/>
      </c>
      <c r="AB320" s="5">
        <f>SUMPRODUCT(('01_Data'!$B320:$AW320&lt;&gt;"")*(1/(1+EXP(-(Z320-'03_Lap_b'!$B$40:$AW$40))))^2)</f>
        <v/>
      </c>
      <c r="AC320" s="5">
        <f>MEDIAN(-6,Z320+(C320-AA320)/MAX(AA320-AB320,0.000000001),6)</f>
        <v/>
      </c>
    </row>
    <row r="321">
      <c r="A321" t="n">
        <v>320</v>
      </c>
      <c r="B321">
        <f>'01_Data'!A321</f>
        <v/>
      </c>
      <c r="C321">
        <f>SUM('01_Data'!$B321:$AW321)</f>
        <v/>
      </c>
      <c r="D321">
        <f>COUNT('01_Data'!$B321:$AW321)</f>
        <v/>
      </c>
      <c r="E321" s="5">
        <f>MEDIAN(-6,LN((C321+0.3)/(D321-C321+0.3)),6)</f>
        <v/>
      </c>
      <c r="F321" s="5">
        <f>SUMPRODUCT(('01_Data'!$B321:$AW321&lt;&gt;"")*(1/(1+EXP(-(E321-'03_Lap_b'!$B$5:$AW$5)))))</f>
        <v/>
      </c>
      <c r="G321" s="5">
        <f>SUMPRODUCT(('01_Data'!$B321:$AW321&lt;&gt;"")*(1/(1+EXP(-(E321-'03_Lap_b'!$B$5:$AW$5))))^2)</f>
        <v/>
      </c>
      <c r="H321" s="5">
        <f>MEDIAN(-6,E321+(C321-F321)/MAX(F321-G321,0.000000001),6)</f>
        <v/>
      </c>
      <c r="I321" s="5">
        <f>SUMPRODUCT(('01_Data'!$B321:$AW321&lt;&gt;"")*(1/(1+EXP(-(H321-'03_Lap_b'!$B$10:$AW$10)))))</f>
        <v/>
      </c>
      <c r="J321" s="5">
        <f>SUMPRODUCT(('01_Data'!$B321:$AW321&lt;&gt;"")*(1/(1+EXP(-(H321-'03_Lap_b'!$B$10:$AW$10))))^2)</f>
        <v/>
      </c>
      <c r="K321" s="5">
        <f>MEDIAN(-6,H321+(C321-I321)/MAX(I321-J321,0.000000001),6)</f>
        <v/>
      </c>
      <c r="L321" s="5">
        <f>SUMPRODUCT(('01_Data'!$B321:$AW321&lt;&gt;"")*(1/(1+EXP(-(K321-'03_Lap_b'!$B$15:$AW$15)))))</f>
        <v/>
      </c>
      <c r="M321" s="5">
        <f>SUMPRODUCT(('01_Data'!$B321:$AW321&lt;&gt;"")*(1/(1+EXP(-(K321-'03_Lap_b'!$B$15:$AW$15))))^2)</f>
        <v/>
      </c>
      <c r="N321" s="5">
        <f>MEDIAN(-6,K321+(C321-L321)/MAX(L321-M321,0.000000001),6)</f>
        <v/>
      </c>
      <c r="O321" s="5">
        <f>SUMPRODUCT(('01_Data'!$B321:$AW321&lt;&gt;"")*(1/(1+EXP(-(N321-'03_Lap_b'!$B$20:$AW$20)))))</f>
        <v/>
      </c>
      <c r="P321" s="5">
        <f>SUMPRODUCT(('01_Data'!$B321:$AW321&lt;&gt;"")*(1/(1+EXP(-(N321-'03_Lap_b'!$B$20:$AW$20))))^2)</f>
        <v/>
      </c>
      <c r="Q321" s="5">
        <f>MEDIAN(-6,N321+(C321-O321)/MAX(O321-P321,0.000000001),6)</f>
        <v/>
      </c>
      <c r="R321" s="5">
        <f>SUMPRODUCT(('01_Data'!$B321:$AW321&lt;&gt;"")*(1/(1+EXP(-(Q321-'03_Lap_b'!$B$25:$AW$25)))))</f>
        <v/>
      </c>
      <c r="S321" s="5">
        <f>SUMPRODUCT(('01_Data'!$B321:$AW321&lt;&gt;"")*(1/(1+EXP(-(Q321-'03_Lap_b'!$B$25:$AW$25))))^2)</f>
        <v/>
      </c>
      <c r="T321" s="5">
        <f>MEDIAN(-6,Q321+(C321-R321)/MAX(R321-S321,0.000000001),6)</f>
        <v/>
      </c>
      <c r="U321" s="5">
        <f>SUMPRODUCT(('01_Data'!$B321:$AW321&lt;&gt;"")*(1/(1+EXP(-(T321-'03_Lap_b'!$B$30:$AW$30)))))</f>
        <v/>
      </c>
      <c r="V321" s="5">
        <f>SUMPRODUCT(('01_Data'!$B321:$AW321&lt;&gt;"")*(1/(1+EXP(-(T321-'03_Lap_b'!$B$30:$AW$30))))^2)</f>
        <v/>
      </c>
      <c r="W321" s="5">
        <f>MEDIAN(-6,T321+(C321-U321)/MAX(U321-V321,0.000000001),6)</f>
        <v/>
      </c>
      <c r="X321" s="5">
        <f>SUMPRODUCT(('01_Data'!$B321:$AW321&lt;&gt;"")*(1/(1+EXP(-(W321-'03_Lap_b'!$B$35:$AW$35)))))</f>
        <v/>
      </c>
      <c r="Y321" s="5">
        <f>SUMPRODUCT(('01_Data'!$B321:$AW321&lt;&gt;"")*(1/(1+EXP(-(W321-'03_Lap_b'!$B$35:$AW$35))))^2)</f>
        <v/>
      </c>
      <c r="Z321" s="5">
        <f>MEDIAN(-6,W321+(C321-X321)/MAX(X321-Y321,0.000000001),6)</f>
        <v/>
      </c>
      <c r="AA321" s="5">
        <f>SUMPRODUCT(('01_Data'!$B321:$AW321&lt;&gt;"")*(1/(1+EXP(-(Z321-'03_Lap_b'!$B$40:$AW$40)))))</f>
        <v/>
      </c>
      <c r="AB321" s="5">
        <f>SUMPRODUCT(('01_Data'!$B321:$AW321&lt;&gt;"")*(1/(1+EXP(-(Z321-'03_Lap_b'!$B$40:$AW$40))))^2)</f>
        <v/>
      </c>
      <c r="AC321" s="5">
        <f>MEDIAN(-6,Z321+(C321-AA321)/MAX(AA321-AB321,0.000000001),6)</f>
        <v/>
      </c>
    </row>
    <row r="322">
      <c r="A322" t="n">
        <v>321</v>
      </c>
      <c r="B322">
        <f>'01_Data'!A322</f>
        <v/>
      </c>
      <c r="C322">
        <f>SUM('01_Data'!$B322:$AW322)</f>
        <v/>
      </c>
      <c r="D322">
        <f>COUNT('01_Data'!$B322:$AW322)</f>
        <v/>
      </c>
      <c r="E322" s="5">
        <f>MEDIAN(-6,LN((C322+0.3)/(D322-C322+0.3)),6)</f>
        <v/>
      </c>
      <c r="F322" s="5">
        <f>SUMPRODUCT(('01_Data'!$B322:$AW322&lt;&gt;"")*(1/(1+EXP(-(E322-'03_Lap_b'!$B$5:$AW$5)))))</f>
        <v/>
      </c>
      <c r="G322" s="5">
        <f>SUMPRODUCT(('01_Data'!$B322:$AW322&lt;&gt;"")*(1/(1+EXP(-(E322-'03_Lap_b'!$B$5:$AW$5))))^2)</f>
        <v/>
      </c>
      <c r="H322" s="5">
        <f>MEDIAN(-6,E322+(C322-F322)/MAX(F322-G322,0.000000001),6)</f>
        <v/>
      </c>
      <c r="I322" s="5">
        <f>SUMPRODUCT(('01_Data'!$B322:$AW322&lt;&gt;"")*(1/(1+EXP(-(H322-'03_Lap_b'!$B$10:$AW$10)))))</f>
        <v/>
      </c>
      <c r="J322" s="5">
        <f>SUMPRODUCT(('01_Data'!$B322:$AW322&lt;&gt;"")*(1/(1+EXP(-(H322-'03_Lap_b'!$B$10:$AW$10))))^2)</f>
        <v/>
      </c>
      <c r="K322" s="5">
        <f>MEDIAN(-6,H322+(C322-I322)/MAX(I322-J322,0.000000001),6)</f>
        <v/>
      </c>
      <c r="L322" s="5">
        <f>SUMPRODUCT(('01_Data'!$B322:$AW322&lt;&gt;"")*(1/(1+EXP(-(K322-'03_Lap_b'!$B$15:$AW$15)))))</f>
        <v/>
      </c>
      <c r="M322" s="5">
        <f>SUMPRODUCT(('01_Data'!$B322:$AW322&lt;&gt;"")*(1/(1+EXP(-(K322-'03_Lap_b'!$B$15:$AW$15))))^2)</f>
        <v/>
      </c>
      <c r="N322" s="5">
        <f>MEDIAN(-6,K322+(C322-L322)/MAX(L322-M322,0.000000001),6)</f>
        <v/>
      </c>
      <c r="O322" s="5">
        <f>SUMPRODUCT(('01_Data'!$B322:$AW322&lt;&gt;"")*(1/(1+EXP(-(N322-'03_Lap_b'!$B$20:$AW$20)))))</f>
        <v/>
      </c>
      <c r="P322" s="5">
        <f>SUMPRODUCT(('01_Data'!$B322:$AW322&lt;&gt;"")*(1/(1+EXP(-(N322-'03_Lap_b'!$B$20:$AW$20))))^2)</f>
        <v/>
      </c>
      <c r="Q322" s="5">
        <f>MEDIAN(-6,N322+(C322-O322)/MAX(O322-P322,0.000000001),6)</f>
        <v/>
      </c>
      <c r="R322" s="5">
        <f>SUMPRODUCT(('01_Data'!$B322:$AW322&lt;&gt;"")*(1/(1+EXP(-(Q322-'03_Lap_b'!$B$25:$AW$25)))))</f>
        <v/>
      </c>
      <c r="S322" s="5">
        <f>SUMPRODUCT(('01_Data'!$B322:$AW322&lt;&gt;"")*(1/(1+EXP(-(Q322-'03_Lap_b'!$B$25:$AW$25))))^2)</f>
        <v/>
      </c>
      <c r="T322" s="5">
        <f>MEDIAN(-6,Q322+(C322-R322)/MAX(R322-S322,0.000000001),6)</f>
        <v/>
      </c>
      <c r="U322" s="5">
        <f>SUMPRODUCT(('01_Data'!$B322:$AW322&lt;&gt;"")*(1/(1+EXP(-(T322-'03_Lap_b'!$B$30:$AW$30)))))</f>
        <v/>
      </c>
      <c r="V322" s="5">
        <f>SUMPRODUCT(('01_Data'!$B322:$AW322&lt;&gt;"")*(1/(1+EXP(-(T322-'03_Lap_b'!$B$30:$AW$30))))^2)</f>
        <v/>
      </c>
      <c r="W322" s="5">
        <f>MEDIAN(-6,T322+(C322-U322)/MAX(U322-V322,0.000000001),6)</f>
        <v/>
      </c>
      <c r="X322" s="5">
        <f>SUMPRODUCT(('01_Data'!$B322:$AW322&lt;&gt;"")*(1/(1+EXP(-(W322-'03_Lap_b'!$B$35:$AW$35)))))</f>
        <v/>
      </c>
      <c r="Y322" s="5">
        <f>SUMPRODUCT(('01_Data'!$B322:$AW322&lt;&gt;"")*(1/(1+EXP(-(W322-'03_Lap_b'!$B$35:$AW$35))))^2)</f>
        <v/>
      </c>
      <c r="Z322" s="5">
        <f>MEDIAN(-6,W322+(C322-X322)/MAX(X322-Y322,0.000000001),6)</f>
        <v/>
      </c>
      <c r="AA322" s="5">
        <f>SUMPRODUCT(('01_Data'!$B322:$AW322&lt;&gt;"")*(1/(1+EXP(-(Z322-'03_Lap_b'!$B$40:$AW$40)))))</f>
        <v/>
      </c>
      <c r="AB322" s="5">
        <f>SUMPRODUCT(('01_Data'!$B322:$AW322&lt;&gt;"")*(1/(1+EXP(-(Z322-'03_Lap_b'!$B$40:$AW$40))))^2)</f>
        <v/>
      </c>
      <c r="AC322" s="5">
        <f>MEDIAN(-6,Z322+(C322-AA322)/MAX(AA322-AB322,0.000000001),6)</f>
        <v/>
      </c>
    </row>
    <row r="323">
      <c r="A323" t="n">
        <v>322</v>
      </c>
      <c r="B323">
        <f>'01_Data'!A323</f>
        <v/>
      </c>
      <c r="C323">
        <f>SUM('01_Data'!$B323:$AW323)</f>
        <v/>
      </c>
      <c r="D323">
        <f>COUNT('01_Data'!$B323:$AW323)</f>
        <v/>
      </c>
      <c r="E323" s="5">
        <f>MEDIAN(-6,LN((C323+0.3)/(D323-C323+0.3)),6)</f>
        <v/>
      </c>
      <c r="F323" s="5">
        <f>SUMPRODUCT(('01_Data'!$B323:$AW323&lt;&gt;"")*(1/(1+EXP(-(E323-'03_Lap_b'!$B$5:$AW$5)))))</f>
        <v/>
      </c>
      <c r="G323" s="5">
        <f>SUMPRODUCT(('01_Data'!$B323:$AW323&lt;&gt;"")*(1/(1+EXP(-(E323-'03_Lap_b'!$B$5:$AW$5))))^2)</f>
        <v/>
      </c>
      <c r="H323" s="5">
        <f>MEDIAN(-6,E323+(C323-F323)/MAX(F323-G323,0.000000001),6)</f>
        <v/>
      </c>
      <c r="I323" s="5">
        <f>SUMPRODUCT(('01_Data'!$B323:$AW323&lt;&gt;"")*(1/(1+EXP(-(H323-'03_Lap_b'!$B$10:$AW$10)))))</f>
        <v/>
      </c>
      <c r="J323" s="5">
        <f>SUMPRODUCT(('01_Data'!$B323:$AW323&lt;&gt;"")*(1/(1+EXP(-(H323-'03_Lap_b'!$B$10:$AW$10))))^2)</f>
        <v/>
      </c>
      <c r="K323" s="5">
        <f>MEDIAN(-6,H323+(C323-I323)/MAX(I323-J323,0.000000001),6)</f>
        <v/>
      </c>
      <c r="L323" s="5">
        <f>SUMPRODUCT(('01_Data'!$B323:$AW323&lt;&gt;"")*(1/(1+EXP(-(K323-'03_Lap_b'!$B$15:$AW$15)))))</f>
        <v/>
      </c>
      <c r="M323" s="5">
        <f>SUMPRODUCT(('01_Data'!$B323:$AW323&lt;&gt;"")*(1/(1+EXP(-(K323-'03_Lap_b'!$B$15:$AW$15))))^2)</f>
        <v/>
      </c>
      <c r="N323" s="5">
        <f>MEDIAN(-6,K323+(C323-L323)/MAX(L323-M323,0.000000001),6)</f>
        <v/>
      </c>
      <c r="O323" s="5">
        <f>SUMPRODUCT(('01_Data'!$B323:$AW323&lt;&gt;"")*(1/(1+EXP(-(N323-'03_Lap_b'!$B$20:$AW$20)))))</f>
        <v/>
      </c>
      <c r="P323" s="5">
        <f>SUMPRODUCT(('01_Data'!$B323:$AW323&lt;&gt;"")*(1/(1+EXP(-(N323-'03_Lap_b'!$B$20:$AW$20))))^2)</f>
        <v/>
      </c>
      <c r="Q323" s="5">
        <f>MEDIAN(-6,N323+(C323-O323)/MAX(O323-P323,0.000000001),6)</f>
        <v/>
      </c>
      <c r="R323" s="5">
        <f>SUMPRODUCT(('01_Data'!$B323:$AW323&lt;&gt;"")*(1/(1+EXP(-(Q323-'03_Lap_b'!$B$25:$AW$25)))))</f>
        <v/>
      </c>
      <c r="S323" s="5">
        <f>SUMPRODUCT(('01_Data'!$B323:$AW323&lt;&gt;"")*(1/(1+EXP(-(Q323-'03_Lap_b'!$B$25:$AW$25))))^2)</f>
        <v/>
      </c>
      <c r="T323" s="5">
        <f>MEDIAN(-6,Q323+(C323-R323)/MAX(R323-S323,0.000000001),6)</f>
        <v/>
      </c>
      <c r="U323" s="5">
        <f>SUMPRODUCT(('01_Data'!$B323:$AW323&lt;&gt;"")*(1/(1+EXP(-(T323-'03_Lap_b'!$B$30:$AW$30)))))</f>
        <v/>
      </c>
      <c r="V323" s="5">
        <f>SUMPRODUCT(('01_Data'!$B323:$AW323&lt;&gt;"")*(1/(1+EXP(-(T323-'03_Lap_b'!$B$30:$AW$30))))^2)</f>
        <v/>
      </c>
      <c r="W323" s="5">
        <f>MEDIAN(-6,T323+(C323-U323)/MAX(U323-V323,0.000000001),6)</f>
        <v/>
      </c>
      <c r="X323" s="5">
        <f>SUMPRODUCT(('01_Data'!$B323:$AW323&lt;&gt;"")*(1/(1+EXP(-(W323-'03_Lap_b'!$B$35:$AW$35)))))</f>
        <v/>
      </c>
      <c r="Y323" s="5">
        <f>SUMPRODUCT(('01_Data'!$B323:$AW323&lt;&gt;"")*(1/(1+EXP(-(W323-'03_Lap_b'!$B$35:$AW$35))))^2)</f>
        <v/>
      </c>
      <c r="Z323" s="5">
        <f>MEDIAN(-6,W323+(C323-X323)/MAX(X323-Y323,0.000000001),6)</f>
        <v/>
      </c>
      <c r="AA323" s="5">
        <f>SUMPRODUCT(('01_Data'!$B323:$AW323&lt;&gt;"")*(1/(1+EXP(-(Z323-'03_Lap_b'!$B$40:$AW$40)))))</f>
        <v/>
      </c>
      <c r="AB323" s="5">
        <f>SUMPRODUCT(('01_Data'!$B323:$AW323&lt;&gt;"")*(1/(1+EXP(-(Z323-'03_Lap_b'!$B$40:$AW$40))))^2)</f>
        <v/>
      </c>
      <c r="AC323" s="5">
        <f>MEDIAN(-6,Z323+(C323-AA323)/MAX(AA323-AB323,0.000000001),6)</f>
        <v/>
      </c>
    </row>
    <row r="324">
      <c r="A324" t="n">
        <v>323</v>
      </c>
      <c r="B324">
        <f>'01_Data'!A324</f>
        <v/>
      </c>
      <c r="C324">
        <f>SUM('01_Data'!$B324:$AW324)</f>
        <v/>
      </c>
      <c r="D324">
        <f>COUNT('01_Data'!$B324:$AW324)</f>
        <v/>
      </c>
      <c r="E324" s="5">
        <f>MEDIAN(-6,LN((C324+0.3)/(D324-C324+0.3)),6)</f>
        <v/>
      </c>
      <c r="F324" s="5">
        <f>SUMPRODUCT(('01_Data'!$B324:$AW324&lt;&gt;"")*(1/(1+EXP(-(E324-'03_Lap_b'!$B$5:$AW$5)))))</f>
        <v/>
      </c>
      <c r="G324" s="5">
        <f>SUMPRODUCT(('01_Data'!$B324:$AW324&lt;&gt;"")*(1/(1+EXP(-(E324-'03_Lap_b'!$B$5:$AW$5))))^2)</f>
        <v/>
      </c>
      <c r="H324" s="5">
        <f>MEDIAN(-6,E324+(C324-F324)/MAX(F324-G324,0.000000001),6)</f>
        <v/>
      </c>
      <c r="I324" s="5">
        <f>SUMPRODUCT(('01_Data'!$B324:$AW324&lt;&gt;"")*(1/(1+EXP(-(H324-'03_Lap_b'!$B$10:$AW$10)))))</f>
        <v/>
      </c>
      <c r="J324" s="5">
        <f>SUMPRODUCT(('01_Data'!$B324:$AW324&lt;&gt;"")*(1/(1+EXP(-(H324-'03_Lap_b'!$B$10:$AW$10))))^2)</f>
        <v/>
      </c>
      <c r="K324" s="5">
        <f>MEDIAN(-6,H324+(C324-I324)/MAX(I324-J324,0.000000001),6)</f>
        <v/>
      </c>
      <c r="L324" s="5">
        <f>SUMPRODUCT(('01_Data'!$B324:$AW324&lt;&gt;"")*(1/(1+EXP(-(K324-'03_Lap_b'!$B$15:$AW$15)))))</f>
        <v/>
      </c>
      <c r="M324" s="5">
        <f>SUMPRODUCT(('01_Data'!$B324:$AW324&lt;&gt;"")*(1/(1+EXP(-(K324-'03_Lap_b'!$B$15:$AW$15))))^2)</f>
        <v/>
      </c>
      <c r="N324" s="5">
        <f>MEDIAN(-6,K324+(C324-L324)/MAX(L324-M324,0.000000001),6)</f>
        <v/>
      </c>
      <c r="O324" s="5">
        <f>SUMPRODUCT(('01_Data'!$B324:$AW324&lt;&gt;"")*(1/(1+EXP(-(N324-'03_Lap_b'!$B$20:$AW$20)))))</f>
        <v/>
      </c>
      <c r="P324" s="5">
        <f>SUMPRODUCT(('01_Data'!$B324:$AW324&lt;&gt;"")*(1/(1+EXP(-(N324-'03_Lap_b'!$B$20:$AW$20))))^2)</f>
        <v/>
      </c>
      <c r="Q324" s="5">
        <f>MEDIAN(-6,N324+(C324-O324)/MAX(O324-P324,0.000000001),6)</f>
        <v/>
      </c>
      <c r="R324" s="5">
        <f>SUMPRODUCT(('01_Data'!$B324:$AW324&lt;&gt;"")*(1/(1+EXP(-(Q324-'03_Lap_b'!$B$25:$AW$25)))))</f>
        <v/>
      </c>
      <c r="S324" s="5">
        <f>SUMPRODUCT(('01_Data'!$B324:$AW324&lt;&gt;"")*(1/(1+EXP(-(Q324-'03_Lap_b'!$B$25:$AW$25))))^2)</f>
        <v/>
      </c>
      <c r="T324" s="5">
        <f>MEDIAN(-6,Q324+(C324-R324)/MAX(R324-S324,0.000000001),6)</f>
        <v/>
      </c>
      <c r="U324" s="5">
        <f>SUMPRODUCT(('01_Data'!$B324:$AW324&lt;&gt;"")*(1/(1+EXP(-(T324-'03_Lap_b'!$B$30:$AW$30)))))</f>
        <v/>
      </c>
      <c r="V324" s="5">
        <f>SUMPRODUCT(('01_Data'!$B324:$AW324&lt;&gt;"")*(1/(1+EXP(-(T324-'03_Lap_b'!$B$30:$AW$30))))^2)</f>
        <v/>
      </c>
      <c r="W324" s="5">
        <f>MEDIAN(-6,T324+(C324-U324)/MAX(U324-V324,0.000000001),6)</f>
        <v/>
      </c>
      <c r="X324" s="5">
        <f>SUMPRODUCT(('01_Data'!$B324:$AW324&lt;&gt;"")*(1/(1+EXP(-(W324-'03_Lap_b'!$B$35:$AW$35)))))</f>
        <v/>
      </c>
      <c r="Y324" s="5">
        <f>SUMPRODUCT(('01_Data'!$B324:$AW324&lt;&gt;"")*(1/(1+EXP(-(W324-'03_Lap_b'!$B$35:$AW$35))))^2)</f>
        <v/>
      </c>
      <c r="Z324" s="5">
        <f>MEDIAN(-6,W324+(C324-X324)/MAX(X324-Y324,0.000000001),6)</f>
        <v/>
      </c>
      <c r="AA324" s="5">
        <f>SUMPRODUCT(('01_Data'!$B324:$AW324&lt;&gt;"")*(1/(1+EXP(-(Z324-'03_Lap_b'!$B$40:$AW$40)))))</f>
        <v/>
      </c>
      <c r="AB324" s="5">
        <f>SUMPRODUCT(('01_Data'!$B324:$AW324&lt;&gt;"")*(1/(1+EXP(-(Z324-'03_Lap_b'!$B$40:$AW$40))))^2)</f>
        <v/>
      </c>
      <c r="AC324" s="5">
        <f>MEDIAN(-6,Z324+(C324-AA324)/MAX(AA324-AB324,0.000000001),6)</f>
        <v/>
      </c>
    </row>
    <row r="325">
      <c r="A325" t="n">
        <v>324</v>
      </c>
      <c r="B325">
        <f>'01_Data'!A325</f>
        <v/>
      </c>
      <c r="C325">
        <f>SUM('01_Data'!$B325:$AW325)</f>
        <v/>
      </c>
      <c r="D325">
        <f>COUNT('01_Data'!$B325:$AW325)</f>
        <v/>
      </c>
      <c r="E325" s="5">
        <f>MEDIAN(-6,LN((C325+0.3)/(D325-C325+0.3)),6)</f>
        <v/>
      </c>
      <c r="F325" s="5">
        <f>SUMPRODUCT(('01_Data'!$B325:$AW325&lt;&gt;"")*(1/(1+EXP(-(E325-'03_Lap_b'!$B$5:$AW$5)))))</f>
        <v/>
      </c>
      <c r="G325" s="5">
        <f>SUMPRODUCT(('01_Data'!$B325:$AW325&lt;&gt;"")*(1/(1+EXP(-(E325-'03_Lap_b'!$B$5:$AW$5))))^2)</f>
        <v/>
      </c>
      <c r="H325" s="5">
        <f>MEDIAN(-6,E325+(C325-F325)/MAX(F325-G325,0.000000001),6)</f>
        <v/>
      </c>
      <c r="I325" s="5">
        <f>SUMPRODUCT(('01_Data'!$B325:$AW325&lt;&gt;"")*(1/(1+EXP(-(H325-'03_Lap_b'!$B$10:$AW$10)))))</f>
        <v/>
      </c>
      <c r="J325" s="5">
        <f>SUMPRODUCT(('01_Data'!$B325:$AW325&lt;&gt;"")*(1/(1+EXP(-(H325-'03_Lap_b'!$B$10:$AW$10))))^2)</f>
        <v/>
      </c>
      <c r="K325" s="5">
        <f>MEDIAN(-6,H325+(C325-I325)/MAX(I325-J325,0.000000001),6)</f>
        <v/>
      </c>
      <c r="L325" s="5">
        <f>SUMPRODUCT(('01_Data'!$B325:$AW325&lt;&gt;"")*(1/(1+EXP(-(K325-'03_Lap_b'!$B$15:$AW$15)))))</f>
        <v/>
      </c>
      <c r="M325" s="5">
        <f>SUMPRODUCT(('01_Data'!$B325:$AW325&lt;&gt;"")*(1/(1+EXP(-(K325-'03_Lap_b'!$B$15:$AW$15))))^2)</f>
        <v/>
      </c>
      <c r="N325" s="5">
        <f>MEDIAN(-6,K325+(C325-L325)/MAX(L325-M325,0.000000001),6)</f>
        <v/>
      </c>
      <c r="O325" s="5">
        <f>SUMPRODUCT(('01_Data'!$B325:$AW325&lt;&gt;"")*(1/(1+EXP(-(N325-'03_Lap_b'!$B$20:$AW$20)))))</f>
        <v/>
      </c>
      <c r="P325" s="5">
        <f>SUMPRODUCT(('01_Data'!$B325:$AW325&lt;&gt;"")*(1/(1+EXP(-(N325-'03_Lap_b'!$B$20:$AW$20))))^2)</f>
        <v/>
      </c>
      <c r="Q325" s="5">
        <f>MEDIAN(-6,N325+(C325-O325)/MAX(O325-P325,0.000000001),6)</f>
        <v/>
      </c>
      <c r="R325" s="5">
        <f>SUMPRODUCT(('01_Data'!$B325:$AW325&lt;&gt;"")*(1/(1+EXP(-(Q325-'03_Lap_b'!$B$25:$AW$25)))))</f>
        <v/>
      </c>
      <c r="S325" s="5">
        <f>SUMPRODUCT(('01_Data'!$B325:$AW325&lt;&gt;"")*(1/(1+EXP(-(Q325-'03_Lap_b'!$B$25:$AW$25))))^2)</f>
        <v/>
      </c>
      <c r="T325" s="5">
        <f>MEDIAN(-6,Q325+(C325-R325)/MAX(R325-S325,0.000000001),6)</f>
        <v/>
      </c>
      <c r="U325" s="5">
        <f>SUMPRODUCT(('01_Data'!$B325:$AW325&lt;&gt;"")*(1/(1+EXP(-(T325-'03_Lap_b'!$B$30:$AW$30)))))</f>
        <v/>
      </c>
      <c r="V325" s="5">
        <f>SUMPRODUCT(('01_Data'!$B325:$AW325&lt;&gt;"")*(1/(1+EXP(-(T325-'03_Lap_b'!$B$30:$AW$30))))^2)</f>
        <v/>
      </c>
      <c r="W325" s="5">
        <f>MEDIAN(-6,T325+(C325-U325)/MAX(U325-V325,0.000000001),6)</f>
        <v/>
      </c>
      <c r="X325" s="5">
        <f>SUMPRODUCT(('01_Data'!$B325:$AW325&lt;&gt;"")*(1/(1+EXP(-(W325-'03_Lap_b'!$B$35:$AW$35)))))</f>
        <v/>
      </c>
      <c r="Y325" s="5">
        <f>SUMPRODUCT(('01_Data'!$B325:$AW325&lt;&gt;"")*(1/(1+EXP(-(W325-'03_Lap_b'!$B$35:$AW$35))))^2)</f>
        <v/>
      </c>
      <c r="Z325" s="5">
        <f>MEDIAN(-6,W325+(C325-X325)/MAX(X325-Y325,0.000000001),6)</f>
        <v/>
      </c>
      <c r="AA325" s="5">
        <f>SUMPRODUCT(('01_Data'!$B325:$AW325&lt;&gt;"")*(1/(1+EXP(-(Z325-'03_Lap_b'!$B$40:$AW$40)))))</f>
        <v/>
      </c>
      <c r="AB325" s="5">
        <f>SUMPRODUCT(('01_Data'!$B325:$AW325&lt;&gt;"")*(1/(1+EXP(-(Z325-'03_Lap_b'!$B$40:$AW$40))))^2)</f>
        <v/>
      </c>
      <c r="AC325" s="5">
        <f>MEDIAN(-6,Z325+(C325-AA325)/MAX(AA325-AB325,0.000000001),6)</f>
        <v/>
      </c>
    </row>
    <row r="326">
      <c r="A326" t="n">
        <v>325</v>
      </c>
      <c r="B326">
        <f>'01_Data'!A326</f>
        <v/>
      </c>
      <c r="C326">
        <f>SUM('01_Data'!$B326:$AW326)</f>
        <v/>
      </c>
      <c r="D326">
        <f>COUNT('01_Data'!$B326:$AW326)</f>
        <v/>
      </c>
      <c r="E326" s="5">
        <f>MEDIAN(-6,LN((C326+0.3)/(D326-C326+0.3)),6)</f>
        <v/>
      </c>
      <c r="F326" s="5">
        <f>SUMPRODUCT(('01_Data'!$B326:$AW326&lt;&gt;"")*(1/(1+EXP(-(E326-'03_Lap_b'!$B$5:$AW$5)))))</f>
        <v/>
      </c>
      <c r="G326" s="5">
        <f>SUMPRODUCT(('01_Data'!$B326:$AW326&lt;&gt;"")*(1/(1+EXP(-(E326-'03_Lap_b'!$B$5:$AW$5))))^2)</f>
        <v/>
      </c>
      <c r="H326" s="5">
        <f>MEDIAN(-6,E326+(C326-F326)/MAX(F326-G326,0.000000001),6)</f>
        <v/>
      </c>
      <c r="I326" s="5">
        <f>SUMPRODUCT(('01_Data'!$B326:$AW326&lt;&gt;"")*(1/(1+EXP(-(H326-'03_Lap_b'!$B$10:$AW$10)))))</f>
        <v/>
      </c>
      <c r="J326" s="5">
        <f>SUMPRODUCT(('01_Data'!$B326:$AW326&lt;&gt;"")*(1/(1+EXP(-(H326-'03_Lap_b'!$B$10:$AW$10))))^2)</f>
        <v/>
      </c>
      <c r="K326" s="5">
        <f>MEDIAN(-6,H326+(C326-I326)/MAX(I326-J326,0.000000001),6)</f>
        <v/>
      </c>
      <c r="L326" s="5">
        <f>SUMPRODUCT(('01_Data'!$B326:$AW326&lt;&gt;"")*(1/(1+EXP(-(K326-'03_Lap_b'!$B$15:$AW$15)))))</f>
        <v/>
      </c>
      <c r="M326" s="5">
        <f>SUMPRODUCT(('01_Data'!$B326:$AW326&lt;&gt;"")*(1/(1+EXP(-(K326-'03_Lap_b'!$B$15:$AW$15))))^2)</f>
        <v/>
      </c>
      <c r="N326" s="5">
        <f>MEDIAN(-6,K326+(C326-L326)/MAX(L326-M326,0.000000001),6)</f>
        <v/>
      </c>
      <c r="O326" s="5">
        <f>SUMPRODUCT(('01_Data'!$B326:$AW326&lt;&gt;"")*(1/(1+EXP(-(N326-'03_Lap_b'!$B$20:$AW$20)))))</f>
        <v/>
      </c>
      <c r="P326" s="5">
        <f>SUMPRODUCT(('01_Data'!$B326:$AW326&lt;&gt;"")*(1/(1+EXP(-(N326-'03_Lap_b'!$B$20:$AW$20))))^2)</f>
        <v/>
      </c>
      <c r="Q326" s="5">
        <f>MEDIAN(-6,N326+(C326-O326)/MAX(O326-P326,0.000000001),6)</f>
        <v/>
      </c>
      <c r="R326" s="5">
        <f>SUMPRODUCT(('01_Data'!$B326:$AW326&lt;&gt;"")*(1/(1+EXP(-(Q326-'03_Lap_b'!$B$25:$AW$25)))))</f>
        <v/>
      </c>
      <c r="S326" s="5">
        <f>SUMPRODUCT(('01_Data'!$B326:$AW326&lt;&gt;"")*(1/(1+EXP(-(Q326-'03_Lap_b'!$B$25:$AW$25))))^2)</f>
        <v/>
      </c>
      <c r="T326" s="5">
        <f>MEDIAN(-6,Q326+(C326-R326)/MAX(R326-S326,0.000000001),6)</f>
        <v/>
      </c>
      <c r="U326" s="5">
        <f>SUMPRODUCT(('01_Data'!$B326:$AW326&lt;&gt;"")*(1/(1+EXP(-(T326-'03_Lap_b'!$B$30:$AW$30)))))</f>
        <v/>
      </c>
      <c r="V326" s="5">
        <f>SUMPRODUCT(('01_Data'!$B326:$AW326&lt;&gt;"")*(1/(1+EXP(-(T326-'03_Lap_b'!$B$30:$AW$30))))^2)</f>
        <v/>
      </c>
      <c r="W326" s="5">
        <f>MEDIAN(-6,T326+(C326-U326)/MAX(U326-V326,0.000000001),6)</f>
        <v/>
      </c>
      <c r="X326" s="5">
        <f>SUMPRODUCT(('01_Data'!$B326:$AW326&lt;&gt;"")*(1/(1+EXP(-(W326-'03_Lap_b'!$B$35:$AW$35)))))</f>
        <v/>
      </c>
      <c r="Y326" s="5">
        <f>SUMPRODUCT(('01_Data'!$B326:$AW326&lt;&gt;"")*(1/(1+EXP(-(W326-'03_Lap_b'!$B$35:$AW$35))))^2)</f>
        <v/>
      </c>
      <c r="Z326" s="5">
        <f>MEDIAN(-6,W326+(C326-X326)/MAX(X326-Y326,0.000000001),6)</f>
        <v/>
      </c>
      <c r="AA326" s="5">
        <f>SUMPRODUCT(('01_Data'!$B326:$AW326&lt;&gt;"")*(1/(1+EXP(-(Z326-'03_Lap_b'!$B$40:$AW$40)))))</f>
        <v/>
      </c>
      <c r="AB326" s="5">
        <f>SUMPRODUCT(('01_Data'!$B326:$AW326&lt;&gt;"")*(1/(1+EXP(-(Z326-'03_Lap_b'!$B$40:$AW$40))))^2)</f>
        <v/>
      </c>
      <c r="AC326" s="5">
        <f>MEDIAN(-6,Z326+(C326-AA326)/MAX(AA326-AB326,0.000000001),6)</f>
        <v/>
      </c>
    </row>
    <row r="327">
      <c r="A327" t="n">
        <v>326</v>
      </c>
      <c r="B327">
        <f>'01_Data'!A327</f>
        <v/>
      </c>
      <c r="C327">
        <f>SUM('01_Data'!$B327:$AW327)</f>
        <v/>
      </c>
      <c r="D327">
        <f>COUNT('01_Data'!$B327:$AW327)</f>
        <v/>
      </c>
      <c r="E327" s="5">
        <f>MEDIAN(-6,LN((C327+0.3)/(D327-C327+0.3)),6)</f>
        <v/>
      </c>
      <c r="F327" s="5">
        <f>SUMPRODUCT(('01_Data'!$B327:$AW327&lt;&gt;"")*(1/(1+EXP(-(E327-'03_Lap_b'!$B$5:$AW$5)))))</f>
        <v/>
      </c>
      <c r="G327" s="5">
        <f>SUMPRODUCT(('01_Data'!$B327:$AW327&lt;&gt;"")*(1/(1+EXP(-(E327-'03_Lap_b'!$B$5:$AW$5))))^2)</f>
        <v/>
      </c>
      <c r="H327" s="5">
        <f>MEDIAN(-6,E327+(C327-F327)/MAX(F327-G327,0.000000001),6)</f>
        <v/>
      </c>
      <c r="I327" s="5">
        <f>SUMPRODUCT(('01_Data'!$B327:$AW327&lt;&gt;"")*(1/(1+EXP(-(H327-'03_Lap_b'!$B$10:$AW$10)))))</f>
        <v/>
      </c>
      <c r="J327" s="5">
        <f>SUMPRODUCT(('01_Data'!$B327:$AW327&lt;&gt;"")*(1/(1+EXP(-(H327-'03_Lap_b'!$B$10:$AW$10))))^2)</f>
        <v/>
      </c>
      <c r="K327" s="5">
        <f>MEDIAN(-6,H327+(C327-I327)/MAX(I327-J327,0.000000001),6)</f>
        <v/>
      </c>
      <c r="L327" s="5">
        <f>SUMPRODUCT(('01_Data'!$B327:$AW327&lt;&gt;"")*(1/(1+EXP(-(K327-'03_Lap_b'!$B$15:$AW$15)))))</f>
        <v/>
      </c>
      <c r="M327" s="5">
        <f>SUMPRODUCT(('01_Data'!$B327:$AW327&lt;&gt;"")*(1/(1+EXP(-(K327-'03_Lap_b'!$B$15:$AW$15))))^2)</f>
        <v/>
      </c>
      <c r="N327" s="5">
        <f>MEDIAN(-6,K327+(C327-L327)/MAX(L327-M327,0.000000001),6)</f>
        <v/>
      </c>
      <c r="O327" s="5">
        <f>SUMPRODUCT(('01_Data'!$B327:$AW327&lt;&gt;"")*(1/(1+EXP(-(N327-'03_Lap_b'!$B$20:$AW$20)))))</f>
        <v/>
      </c>
      <c r="P327" s="5">
        <f>SUMPRODUCT(('01_Data'!$B327:$AW327&lt;&gt;"")*(1/(1+EXP(-(N327-'03_Lap_b'!$B$20:$AW$20))))^2)</f>
        <v/>
      </c>
      <c r="Q327" s="5">
        <f>MEDIAN(-6,N327+(C327-O327)/MAX(O327-P327,0.000000001),6)</f>
        <v/>
      </c>
      <c r="R327" s="5">
        <f>SUMPRODUCT(('01_Data'!$B327:$AW327&lt;&gt;"")*(1/(1+EXP(-(Q327-'03_Lap_b'!$B$25:$AW$25)))))</f>
        <v/>
      </c>
      <c r="S327" s="5">
        <f>SUMPRODUCT(('01_Data'!$B327:$AW327&lt;&gt;"")*(1/(1+EXP(-(Q327-'03_Lap_b'!$B$25:$AW$25))))^2)</f>
        <v/>
      </c>
      <c r="T327" s="5">
        <f>MEDIAN(-6,Q327+(C327-R327)/MAX(R327-S327,0.000000001),6)</f>
        <v/>
      </c>
      <c r="U327" s="5">
        <f>SUMPRODUCT(('01_Data'!$B327:$AW327&lt;&gt;"")*(1/(1+EXP(-(T327-'03_Lap_b'!$B$30:$AW$30)))))</f>
        <v/>
      </c>
      <c r="V327" s="5">
        <f>SUMPRODUCT(('01_Data'!$B327:$AW327&lt;&gt;"")*(1/(1+EXP(-(T327-'03_Lap_b'!$B$30:$AW$30))))^2)</f>
        <v/>
      </c>
      <c r="W327" s="5">
        <f>MEDIAN(-6,T327+(C327-U327)/MAX(U327-V327,0.000000001),6)</f>
        <v/>
      </c>
      <c r="X327" s="5">
        <f>SUMPRODUCT(('01_Data'!$B327:$AW327&lt;&gt;"")*(1/(1+EXP(-(W327-'03_Lap_b'!$B$35:$AW$35)))))</f>
        <v/>
      </c>
      <c r="Y327" s="5">
        <f>SUMPRODUCT(('01_Data'!$B327:$AW327&lt;&gt;"")*(1/(1+EXP(-(W327-'03_Lap_b'!$B$35:$AW$35))))^2)</f>
        <v/>
      </c>
      <c r="Z327" s="5">
        <f>MEDIAN(-6,W327+(C327-X327)/MAX(X327-Y327,0.000000001),6)</f>
        <v/>
      </c>
      <c r="AA327" s="5">
        <f>SUMPRODUCT(('01_Data'!$B327:$AW327&lt;&gt;"")*(1/(1+EXP(-(Z327-'03_Lap_b'!$B$40:$AW$40)))))</f>
        <v/>
      </c>
      <c r="AB327" s="5">
        <f>SUMPRODUCT(('01_Data'!$B327:$AW327&lt;&gt;"")*(1/(1+EXP(-(Z327-'03_Lap_b'!$B$40:$AW$40))))^2)</f>
        <v/>
      </c>
      <c r="AC327" s="5">
        <f>MEDIAN(-6,Z327+(C327-AA327)/MAX(AA327-AB327,0.000000001),6)</f>
        <v/>
      </c>
    </row>
    <row r="328">
      <c r="A328" t="n">
        <v>327</v>
      </c>
      <c r="B328">
        <f>'01_Data'!A328</f>
        <v/>
      </c>
      <c r="C328">
        <f>SUM('01_Data'!$B328:$AW328)</f>
        <v/>
      </c>
      <c r="D328">
        <f>COUNT('01_Data'!$B328:$AW328)</f>
        <v/>
      </c>
      <c r="E328" s="5">
        <f>MEDIAN(-6,LN((C328+0.3)/(D328-C328+0.3)),6)</f>
        <v/>
      </c>
      <c r="F328" s="5">
        <f>SUMPRODUCT(('01_Data'!$B328:$AW328&lt;&gt;"")*(1/(1+EXP(-(E328-'03_Lap_b'!$B$5:$AW$5)))))</f>
        <v/>
      </c>
      <c r="G328" s="5">
        <f>SUMPRODUCT(('01_Data'!$B328:$AW328&lt;&gt;"")*(1/(1+EXP(-(E328-'03_Lap_b'!$B$5:$AW$5))))^2)</f>
        <v/>
      </c>
      <c r="H328" s="5">
        <f>MEDIAN(-6,E328+(C328-F328)/MAX(F328-G328,0.000000001),6)</f>
        <v/>
      </c>
      <c r="I328" s="5">
        <f>SUMPRODUCT(('01_Data'!$B328:$AW328&lt;&gt;"")*(1/(1+EXP(-(H328-'03_Lap_b'!$B$10:$AW$10)))))</f>
        <v/>
      </c>
      <c r="J328" s="5">
        <f>SUMPRODUCT(('01_Data'!$B328:$AW328&lt;&gt;"")*(1/(1+EXP(-(H328-'03_Lap_b'!$B$10:$AW$10))))^2)</f>
        <v/>
      </c>
      <c r="K328" s="5">
        <f>MEDIAN(-6,H328+(C328-I328)/MAX(I328-J328,0.000000001),6)</f>
        <v/>
      </c>
      <c r="L328" s="5">
        <f>SUMPRODUCT(('01_Data'!$B328:$AW328&lt;&gt;"")*(1/(1+EXP(-(K328-'03_Lap_b'!$B$15:$AW$15)))))</f>
        <v/>
      </c>
      <c r="M328" s="5">
        <f>SUMPRODUCT(('01_Data'!$B328:$AW328&lt;&gt;"")*(1/(1+EXP(-(K328-'03_Lap_b'!$B$15:$AW$15))))^2)</f>
        <v/>
      </c>
      <c r="N328" s="5">
        <f>MEDIAN(-6,K328+(C328-L328)/MAX(L328-M328,0.000000001),6)</f>
        <v/>
      </c>
      <c r="O328" s="5">
        <f>SUMPRODUCT(('01_Data'!$B328:$AW328&lt;&gt;"")*(1/(1+EXP(-(N328-'03_Lap_b'!$B$20:$AW$20)))))</f>
        <v/>
      </c>
      <c r="P328" s="5">
        <f>SUMPRODUCT(('01_Data'!$B328:$AW328&lt;&gt;"")*(1/(1+EXP(-(N328-'03_Lap_b'!$B$20:$AW$20))))^2)</f>
        <v/>
      </c>
      <c r="Q328" s="5">
        <f>MEDIAN(-6,N328+(C328-O328)/MAX(O328-P328,0.000000001),6)</f>
        <v/>
      </c>
      <c r="R328" s="5">
        <f>SUMPRODUCT(('01_Data'!$B328:$AW328&lt;&gt;"")*(1/(1+EXP(-(Q328-'03_Lap_b'!$B$25:$AW$25)))))</f>
        <v/>
      </c>
      <c r="S328" s="5">
        <f>SUMPRODUCT(('01_Data'!$B328:$AW328&lt;&gt;"")*(1/(1+EXP(-(Q328-'03_Lap_b'!$B$25:$AW$25))))^2)</f>
        <v/>
      </c>
      <c r="T328" s="5">
        <f>MEDIAN(-6,Q328+(C328-R328)/MAX(R328-S328,0.000000001),6)</f>
        <v/>
      </c>
      <c r="U328" s="5">
        <f>SUMPRODUCT(('01_Data'!$B328:$AW328&lt;&gt;"")*(1/(1+EXP(-(T328-'03_Lap_b'!$B$30:$AW$30)))))</f>
        <v/>
      </c>
      <c r="V328" s="5">
        <f>SUMPRODUCT(('01_Data'!$B328:$AW328&lt;&gt;"")*(1/(1+EXP(-(T328-'03_Lap_b'!$B$30:$AW$30))))^2)</f>
        <v/>
      </c>
      <c r="W328" s="5">
        <f>MEDIAN(-6,T328+(C328-U328)/MAX(U328-V328,0.000000001),6)</f>
        <v/>
      </c>
      <c r="X328" s="5">
        <f>SUMPRODUCT(('01_Data'!$B328:$AW328&lt;&gt;"")*(1/(1+EXP(-(W328-'03_Lap_b'!$B$35:$AW$35)))))</f>
        <v/>
      </c>
      <c r="Y328" s="5">
        <f>SUMPRODUCT(('01_Data'!$B328:$AW328&lt;&gt;"")*(1/(1+EXP(-(W328-'03_Lap_b'!$B$35:$AW$35))))^2)</f>
        <v/>
      </c>
      <c r="Z328" s="5">
        <f>MEDIAN(-6,W328+(C328-X328)/MAX(X328-Y328,0.000000001),6)</f>
        <v/>
      </c>
      <c r="AA328" s="5">
        <f>SUMPRODUCT(('01_Data'!$B328:$AW328&lt;&gt;"")*(1/(1+EXP(-(Z328-'03_Lap_b'!$B$40:$AW$40)))))</f>
        <v/>
      </c>
      <c r="AB328" s="5">
        <f>SUMPRODUCT(('01_Data'!$B328:$AW328&lt;&gt;"")*(1/(1+EXP(-(Z328-'03_Lap_b'!$B$40:$AW$40))))^2)</f>
        <v/>
      </c>
      <c r="AC328" s="5">
        <f>MEDIAN(-6,Z328+(C328-AA328)/MAX(AA328-AB328,0.000000001),6)</f>
        <v/>
      </c>
    </row>
    <row r="329">
      <c r="A329" t="n">
        <v>328</v>
      </c>
      <c r="B329">
        <f>'01_Data'!A329</f>
        <v/>
      </c>
      <c r="C329">
        <f>SUM('01_Data'!$B329:$AW329)</f>
        <v/>
      </c>
      <c r="D329">
        <f>COUNT('01_Data'!$B329:$AW329)</f>
        <v/>
      </c>
      <c r="E329" s="5">
        <f>MEDIAN(-6,LN((C329+0.3)/(D329-C329+0.3)),6)</f>
        <v/>
      </c>
      <c r="F329" s="5">
        <f>SUMPRODUCT(('01_Data'!$B329:$AW329&lt;&gt;"")*(1/(1+EXP(-(E329-'03_Lap_b'!$B$5:$AW$5)))))</f>
        <v/>
      </c>
      <c r="G329" s="5">
        <f>SUMPRODUCT(('01_Data'!$B329:$AW329&lt;&gt;"")*(1/(1+EXP(-(E329-'03_Lap_b'!$B$5:$AW$5))))^2)</f>
        <v/>
      </c>
      <c r="H329" s="5">
        <f>MEDIAN(-6,E329+(C329-F329)/MAX(F329-G329,0.000000001),6)</f>
        <v/>
      </c>
      <c r="I329" s="5">
        <f>SUMPRODUCT(('01_Data'!$B329:$AW329&lt;&gt;"")*(1/(1+EXP(-(H329-'03_Lap_b'!$B$10:$AW$10)))))</f>
        <v/>
      </c>
      <c r="J329" s="5">
        <f>SUMPRODUCT(('01_Data'!$B329:$AW329&lt;&gt;"")*(1/(1+EXP(-(H329-'03_Lap_b'!$B$10:$AW$10))))^2)</f>
        <v/>
      </c>
      <c r="K329" s="5">
        <f>MEDIAN(-6,H329+(C329-I329)/MAX(I329-J329,0.000000001),6)</f>
        <v/>
      </c>
      <c r="L329" s="5">
        <f>SUMPRODUCT(('01_Data'!$B329:$AW329&lt;&gt;"")*(1/(1+EXP(-(K329-'03_Lap_b'!$B$15:$AW$15)))))</f>
        <v/>
      </c>
      <c r="M329" s="5">
        <f>SUMPRODUCT(('01_Data'!$B329:$AW329&lt;&gt;"")*(1/(1+EXP(-(K329-'03_Lap_b'!$B$15:$AW$15))))^2)</f>
        <v/>
      </c>
      <c r="N329" s="5">
        <f>MEDIAN(-6,K329+(C329-L329)/MAX(L329-M329,0.000000001),6)</f>
        <v/>
      </c>
      <c r="O329" s="5">
        <f>SUMPRODUCT(('01_Data'!$B329:$AW329&lt;&gt;"")*(1/(1+EXP(-(N329-'03_Lap_b'!$B$20:$AW$20)))))</f>
        <v/>
      </c>
      <c r="P329" s="5">
        <f>SUMPRODUCT(('01_Data'!$B329:$AW329&lt;&gt;"")*(1/(1+EXP(-(N329-'03_Lap_b'!$B$20:$AW$20))))^2)</f>
        <v/>
      </c>
      <c r="Q329" s="5">
        <f>MEDIAN(-6,N329+(C329-O329)/MAX(O329-P329,0.000000001),6)</f>
        <v/>
      </c>
      <c r="R329" s="5">
        <f>SUMPRODUCT(('01_Data'!$B329:$AW329&lt;&gt;"")*(1/(1+EXP(-(Q329-'03_Lap_b'!$B$25:$AW$25)))))</f>
        <v/>
      </c>
      <c r="S329" s="5">
        <f>SUMPRODUCT(('01_Data'!$B329:$AW329&lt;&gt;"")*(1/(1+EXP(-(Q329-'03_Lap_b'!$B$25:$AW$25))))^2)</f>
        <v/>
      </c>
      <c r="T329" s="5">
        <f>MEDIAN(-6,Q329+(C329-R329)/MAX(R329-S329,0.000000001),6)</f>
        <v/>
      </c>
      <c r="U329" s="5">
        <f>SUMPRODUCT(('01_Data'!$B329:$AW329&lt;&gt;"")*(1/(1+EXP(-(T329-'03_Lap_b'!$B$30:$AW$30)))))</f>
        <v/>
      </c>
      <c r="V329" s="5">
        <f>SUMPRODUCT(('01_Data'!$B329:$AW329&lt;&gt;"")*(1/(1+EXP(-(T329-'03_Lap_b'!$B$30:$AW$30))))^2)</f>
        <v/>
      </c>
      <c r="W329" s="5">
        <f>MEDIAN(-6,T329+(C329-U329)/MAX(U329-V329,0.000000001),6)</f>
        <v/>
      </c>
      <c r="X329" s="5">
        <f>SUMPRODUCT(('01_Data'!$B329:$AW329&lt;&gt;"")*(1/(1+EXP(-(W329-'03_Lap_b'!$B$35:$AW$35)))))</f>
        <v/>
      </c>
      <c r="Y329" s="5">
        <f>SUMPRODUCT(('01_Data'!$B329:$AW329&lt;&gt;"")*(1/(1+EXP(-(W329-'03_Lap_b'!$B$35:$AW$35))))^2)</f>
        <v/>
      </c>
      <c r="Z329" s="5">
        <f>MEDIAN(-6,W329+(C329-X329)/MAX(X329-Y329,0.000000001),6)</f>
        <v/>
      </c>
      <c r="AA329" s="5">
        <f>SUMPRODUCT(('01_Data'!$B329:$AW329&lt;&gt;"")*(1/(1+EXP(-(Z329-'03_Lap_b'!$B$40:$AW$40)))))</f>
        <v/>
      </c>
      <c r="AB329" s="5">
        <f>SUMPRODUCT(('01_Data'!$B329:$AW329&lt;&gt;"")*(1/(1+EXP(-(Z329-'03_Lap_b'!$B$40:$AW$40))))^2)</f>
        <v/>
      </c>
      <c r="AC329" s="5">
        <f>MEDIAN(-6,Z329+(C329-AA329)/MAX(AA329-AB329,0.000000001),6)</f>
        <v/>
      </c>
    </row>
    <row r="330">
      <c r="A330" t="n">
        <v>329</v>
      </c>
      <c r="B330">
        <f>'01_Data'!A330</f>
        <v/>
      </c>
      <c r="C330">
        <f>SUM('01_Data'!$B330:$AW330)</f>
        <v/>
      </c>
      <c r="D330">
        <f>COUNT('01_Data'!$B330:$AW330)</f>
        <v/>
      </c>
      <c r="E330" s="5">
        <f>MEDIAN(-6,LN((C330+0.3)/(D330-C330+0.3)),6)</f>
        <v/>
      </c>
      <c r="F330" s="5">
        <f>SUMPRODUCT(('01_Data'!$B330:$AW330&lt;&gt;"")*(1/(1+EXP(-(E330-'03_Lap_b'!$B$5:$AW$5)))))</f>
        <v/>
      </c>
      <c r="G330" s="5">
        <f>SUMPRODUCT(('01_Data'!$B330:$AW330&lt;&gt;"")*(1/(1+EXP(-(E330-'03_Lap_b'!$B$5:$AW$5))))^2)</f>
        <v/>
      </c>
      <c r="H330" s="5">
        <f>MEDIAN(-6,E330+(C330-F330)/MAX(F330-G330,0.000000001),6)</f>
        <v/>
      </c>
      <c r="I330" s="5">
        <f>SUMPRODUCT(('01_Data'!$B330:$AW330&lt;&gt;"")*(1/(1+EXP(-(H330-'03_Lap_b'!$B$10:$AW$10)))))</f>
        <v/>
      </c>
      <c r="J330" s="5">
        <f>SUMPRODUCT(('01_Data'!$B330:$AW330&lt;&gt;"")*(1/(1+EXP(-(H330-'03_Lap_b'!$B$10:$AW$10))))^2)</f>
        <v/>
      </c>
      <c r="K330" s="5">
        <f>MEDIAN(-6,H330+(C330-I330)/MAX(I330-J330,0.000000001),6)</f>
        <v/>
      </c>
      <c r="L330" s="5">
        <f>SUMPRODUCT(('01_Data'!$B330:$AW330&lt;&gt;"")*(1/(1+EXP(-(K330-'03_Lap_b'!$B$15:$AW$15)))))</f>
        <v/>
      </c>
      <c r="M330" s="5">
        <f>SUMPRODUCT(('01_Data'!$B330:$AW330&lt;&gt;"")*(1/(1+EXP(-(K330-'03_Lap_b'!$B$15:$AW$15))))^2)</f>
        <v/>
      </c>
      <c r="N330" s="5">
        <f>MEDIAN(-6,K330+(C330-L330)/MAX(L330-M330,0.000000001),6)</f>
        <v/>
      </c>
      <c r="O330" s="5">
        <f>SUMPRODUCT(('01_Data'!$B330:$AW330&lt;&gt;"")*(1/(1+EXP(-(N330-'03_Lap_b'!$B$20:$AW$20)))))</f>
        <v/>
      </c>
      <c r="P330" s="5">
        <f>SUMPRODUCT(('01_Data'!$B330:$AW330&lt;&gt;"")*(1/(1+EXP(-(N330-'03_Lap_b'!$B$20:$AW$20))))^2)</f>
        <v/>
      </c>
      <c r="Q330" s="5">
        <f>MEDIAN(-6,N330+(C330-O330)/MAX(O330-P330,0.000000001),6)</f>
        <v/>
      </c>
      <c r="R330" s="5">
        <f>SUMPRODUCT(('01_Data'!$B330:$AW330&lt;&gt;"")*(1/(1+EXP(-(Q330-'03_Lap_b'!$B$25:$AW$25)))))</f>
        <v/>
      </c>
      <c r="S330" s="5">
        <f>SUMPRODUCT(('01_Data'!$B330:$AW330&lt;&gt;"")*(1/(1+EXP(-(Q330-'03_Lap_b'!$B$25:$AW$25))))^2)</f>
        <v/>
      </c>
      <c r="T330" s="5">
        <f>MEDIAN(-6,Q330+(C330-R330)/MAX(R330-S330,0.000000001),6)</f>
        <v/>
      </c>
      <c r="U330" s="5">
        <f>SUMPRODUCT(('01_Data'!$B330:$AW330&lt;&gt;"")*(1/(1+EXP(-(T330-'03_Lap_b'!$B$30:$AW$30)))))</f>
        <v/>
      </c>
      <c r="V330" s="5">
        <f>SUMPRODUCT(('01_Data'!$B330:$AW330&lt;&gt;"")*(1/(1+EXP(-(T330-'03_Lap_b'!$B$30:$AW$30))))^2)</f>
        <v/>
      </c>
      <c r="W330" s="5">
        <f>MEDIAN(-6,T330+(C330-U330)/MAX(U330-V330,0.000000001),6)</f>
        <v/>
      </c>
      <c r="X330" s="5">
        <f>SUMPRODUCT(('01_Data'!$B330:$AW330&lt;&gt;"")*(1/(1+EXP(-(W330-'03_Lap_b'!$B$35:$AW$35)))))</f>
        <v/>
      </c>
      <c r="Y330" s="5">
        <f>SUMPRODUCT(('01_Data'!$B330:$AW330&lt;&gt;"")*(1/(1+EXP(-(W330-'03_Lap_b'!$B$35:$AW$35))))^2)</f>
        <v/>
      </c>
      <c r="Z330" s="5">
        <f>MEDIAN(-6,W330+(C330-X330)/MAX(X330-Y330,0.000000001),6)</f>
        <v/>
      </c>
      <c r="AA330" s="5">
        <f>SUMPRODUCT(('01_Data'!$B330:$AW330&lt;&gt;"")*(1/(1+EXP(-(Z330-'03_Lap_b'!$B$40:$AW$40)))))</f>
        <v/>
      </c>
      <c r="AB330" s="5">
        <f>SUMPRODUCT(('01_Data'!$B330:$AW330&lt;&gt;"")*(1/(1+EXP(-(Z330-'03_Lap_b'!$B$40:$AW$40))))^2)</f>
        <v/>
      </c>
      <c r="AC330" s="5">
        <f>MEDIAN(-6,Z330+(C330-AA330)/MAX(AA330-AB330,0.000000001),6)</f>
        <v/>
      </c>
    </row>
    <row r="331">
      <c r="A331" t="n">
        <v>330</v>
      </c>
      <c r="B331">
        <f>'01_Data'!A331</f>
        <v/>
      </c>
      <c r="C331">
        <f>SUM('01_Data'!$B331:$AW331)</f>
        <v/>
      </c>
      <c r="D331">
        <f>COUNT('01_Data'!$B331:$AW331)</f>
        <v/>
      </c>
      <c r="E331" s="5">
        <f>MEDIAN(-6,LN((C331+0.3)/(D331-C331+0.3)),6)</f>
        <v/>
      </c>
      <c r="F331" s="5">
        <f>SUMPRODUCT(('01_Data'!$B331:$AW331&lt;&gt;"")*(1/(1+EXP(-(E331-'03_Lap_b'!$B$5:$AW$5)))))</f>
        <v/>
      </c>
      <c r="G331" s="5">
        <f>SUMPRODUCT(('01_Data'!$B331:$AW331&lt;&gt;"")*(1/(1+EXP(-(E331-'03_Lap_b'!$B$5:$AW$5))))^2)</f>
        <v/>
      </c>
      <c r="H331" s="5">
        <f>MEDIAN(-6,E331+(C331-F331)/MAX(F331-G331,0.000000001),6)</f>
        <v/>
      </c>
      <c r="I331" s="5">
        <f>SUMPRODUCT(('01_Data'!$B331:$AW331&lt;&gt;"")*(1/(1+EXP(-(H331-'03_Lap_b'!$B$10:$AW$10)))))</f>
        <v/>
      </c>
      <c r="J331" s="5">
        <f>SUMPRODUCT(('01_Data'!$B331:$AW331&lt;&gt;"")*(1/(1+EXP(-(H331-'03_Lap_b'!$B$10:$AW$10))))^2)</f>
        <v/>
      </c>
      <c r="K331" s="5">
        <f>MEDIAN(-6,H331+(C331-I331)/MAX(I331-J331,0.000000001),6)</f>
        <v/>
      </c>
      <c r="L331" s="5">
        <f>SUMPRODUCT(('01_Data'!$B331:$AW331&lt;&gt;"")*(1/(1+EXP(-(K331-'03_Lap_b'!$B$15:$AW$15)))))</f>
        <v/>
      </c>
      <c r="M331" s="5">
        <f>SUMPRODUCT(('01_Data'!$B331:$AW331&lt;&gt;"")*(1/(1+EXP(-(K331-'03_Lap_b'!$B$15:$AW$15))))^2)</f>
        <v/>
      </c>
      <c r="N331" s="5">
        <f>MEDIAN(-6,K331+(C331-L331)/MAX(L331-M331,0.000000001),6)</f>
        <v/>
      </c>
      <c r="O331" s="5">
        <f>SUMPRODUCT(('01_Data'!$B331:$AW331&lt;&gt;"")*(1/(1+EXP(-(N331-'03_Lap_b'!$B$20:$AW$20)))))</f>
        <v/>
      </c>
      <c r="P331" s="5">
        <f>SUMPRODUCT(('01_Data'!$B331:$AW331&lt;&gt;"")*(1/(1+EXP(-(N331-'03_Lap_b'!$B$20:$AW$20))))^2)</f>
        <v/>
      </c>
      <c r="Q331" s="5">
        <f>MEDIAN(-6,N331+(C331-O331)/MAX(O331-P331,0.000000001),6)</f>
        <v/>
      </c>
      <c r="R331" s="5">
        <f>SUMPRODUCT(('01_Data'!$B331:$AW331&lt;&gt;"")*(1/(1+EXP(-(Q331-'03_Lap_b'!$B$25:$AW$25)))))</f>
        <v/>
      </c>
      <c r="S331" s="5">
        <f>SUMPRODUCT(('01_Data'!$B331:$AW331&lt;&gt;"")*(1/(1+EXP(-(Q331-'03_Lap_b'!$B$25:$AW$25))))^2)</f>
        <v/>
      </c>
      <c r="T331" s="5">
        <f>MEDIAN(-6,Q331+(C331-R331)/MAX(R331-S331,0.000000001),6)</f>
        <v/>
      </c>
      <c r="U331" s="5">
        <f>SUMPRODUCT(('01_Data'!$B331:$AW331&lt;&gt;"")*(1/(1+EXP(-(T331-'03_Lap_b'!$B$30:$AW$30)))))</f>
        <v/>
      </c>
      <c r="V331" s="5">
        <f>SUMPRODUCT(('01_Data'!$B331:$AW331&lt;&gt;"")*(1/(1+EXP(-(T331-'03_Lap_b'!$B$30:$AW$30))))^2)</f>
        <v/>
      </c>
      <c r="W331" s="5">
        <f>MEDIAN(-6,T331+(C331-U331)/MAX(U331-V331,0.000000001),6)</f>
        <v/>
      </c>
      <c r="X331" s="5">
        <f>SUMPRODUCT(('01_Data'!$B331:$AW331&lt;&gt;"")*(1/(1+EXP(-(W331-'03_Lap_b'!$B$35:$AW$35)))))</f>
        <v/>
      </c>
      <c r="Y331" s="5">
        <f>SUMPRODUCT(('01_Data'!$B331:$AW331&lt;&gt;"")*(1/(1+EXP(-(W331-'03_Lap_b'!$B$35:$AW$35))))^2)</f>
        <v/>
      </c>
      <c r="Z331" s="5">
        <f>MEDIAN(-6,W331+(C331-X331)/MAX(X331-Y331,0.000000001),6)</f>
        <v/>
      </c>
      <c r="AA331" s="5">
        <f>SUMPRODUCT(('01_Data'!$B331:$AW331&lt;&gt;"")*(1/(1+EXP(-(Z331-'03_Lap_b'!$B$40:$AW$40)))))</f>
        <v/>
      </c>
      <c r="AB331" s="5">
        <f>SUMPRODUCT(('01_Data'!$B331:$AW331&lt;&gt;"")*(1/(1+EXP(-(Z331-'03_Lap_b'!$B$40:$AW$40))))^2)</f>
        <v/>
      </c>
      <c r="AC331" s="5">
        <f>MEDIAN(-6,Z331+(C331-AA331)/MAX(AA331-AB331,0.000000001),6)</f>
        <v/>
      </c>
    </row>
    <row r="332">
      <c r="A332" t="n">
        <v>331</v>
      </c>
      <c r="B332">
        <f>'01_Data'!A332</f>
        <v/>
      </c>
      <c r="C332">
        <f>SUM('01_Data'!$B332:$AW332)</f>
        <v/>
      </c>
      <c r="D332">
        <f>COUNT('01_Data'!$B332:$AW332)</f>
        <v/>
      </c>
      <c r="E332" s="5">
        <f>MEDIAN(-6,LN((C332+0.3)/(D332-C332+0.3)),6)</f>
        <v/>
      </c>
      <c r="F332" s="5">
        <f>SUMPRODUCT(('01_Data'!$B332:$AW332&lt;&gt;"")*(1/(1+EXP(-(E332-'03_Lap_b'!$B$5:$AW$5)))))</f>
        <v/>
      </c>
      <c r="G332" s="5">
        <f>SUMPRODUCT(('01_Data'!$B332:$AW332&lt;&gt;"")*(1/(1+EXP(-(E332-'03_Lap_b'!$B$5:$AW$5))))^2)</f>
        <v/>
      </c>
      <c r="H332" s="5">
        <f>MEDIAN(-6,E332+(C332-F332)/MAX(F332-G332,0.000000001),6)</f>
        <v/>
      </c>
      <c r="I332" s="5">
        <f>SUMPRODUCT(('01_Data'!$B332:$AW332&lt;&gt;"")*(1/(1+EXP(-(H332-'03_Lap_b'!$B$10:$AW$10)))))</f>
        <v/>
      </c>
      <c r="J332" s="5">
        <f>SUMPRODUCT(('01_Data'!$B332:$AW332&lt;&gt;"")*(1/(1+EXP(-(H332-'03_Lap_b'!$B$10:$AW$10))))^2)</f>
        <v/>
      </c>
      <c r="K332" s="5">
        <f>MEDIAN(-6,H332+(C332-I332)/MAX(I332-J332,0.000000001),6)</f>
        <v/>
      </c>
      <c r="L332" s="5">
        <f>SUMPRODUCT(('01_Data'!$B332:$AW332&lt;&gt;"")*(1/(1+EXP(-(K332-'03_Lap_b'!$B$15:$AW$15)))))</f>
        <v/>
      </c>
      <c r="M332" s="5">
        <f>SUMPRODUCT(('01_Data'!$B332:$AW332&lt;&gt;"")*(1/(1+EXP(-(K332-'03_Lap_b'!$B$15:$AW$15))))^2)</f>
        <v/>
      </c>
      <c r="N332" s="5">
        <f>MEDIAN(-6,K332+(C332-L332)/MAX(L332-M332,0.000000001),6)</f>
        <v/>
      </c>
      <c r="O332" s="5">
        <f>SUMPRODUCT(('01_Data'!$B332:$AW332&lt;&gt;"")*(1/(1+EXP(-(N332-'03_Lap_b'!$B$20:$AW$20)))))</f>
        <v/>
      </c>
      <c r="P332" s="5">
        <f>SUMPRODUCT(('01_Data'!$B332:$AW332&lt;&gt;"")*(1/(1+EXP(-(N332-'03_Lap_b'!$B$20:$AW$20))))^2)</f>
        <v/>
      </c>
      <c r="Q332" s="5">
        <f>MEDIAN(-6,N332+(C332-O332)/MAX(O332-P332,0.000000001),6)</f>
        <v/>
      </c>
      <c r="R332" s="5">
        <f>SUMPRODUCT(('01_Data'!$B332:$AW332&lt;&gt;"")*(1/(1+EXP(-(Q332-'03_Lap_b'!$B$25:$AW$25)))))</f>
        <v/>
      </c>
      <c r="S332" s="5">
        <f>SUMPRODUCT(('01_Data'!$B332:$AW332&lt;&gt;"")*(1/(1+EXP(-(Q332-'03_Lap_b'!$B$25:$AW$25))))^2)</f>
        <v/>
      </c>
      <c r="T332" s="5">
        <f>MEDIAN(-6,Q332+(C332-R332)/MAX(R332-S332,0.000000001),6)</f>
        <v/>
      </c>
      <c r="U332" s="5">
        <f>SUMPRODUCT(('01_Data'!$B332:$AW332&lt;&gt;"")*(1/(1+EXP(-(T332-'03_Lap_b'!$B$30:$AW$30)))))</f>
        <v/>
      </c>
      <c r="V332" s="5">
        <f>SUMPRODUCT(('01_Data'!$B332:$AW332&lt;&gt;"")*(1/(1+EXP(-(T332-'03_Lap_b'!$B$30:$AW$30))))^2)</f>
        <v/>
      </c>
      <c r="W332" s="5">
        <f>MEDIAN(-6,T332+(C332-U332)/MAX(U332-V332,0.000000001),6)</f>
        <v/>
      </c>
      <c r="X332" s="5">
        <f>SUMPRODUCT(('01_Data'!$B332:$AW332&lt;&gt;"")*(1/(1+EXP(-(W332-'03_Lap_b'!$B$35:$AW$35)))))</f>
        <v/>
      </c>
      <c r="Y332" s="5">
        <f>SUMPRODUCT(('01_Data'!$B332:$AW332&lt;&gt;"")*(1/(1+EXP(-(W332-'03_Lap_b'!$B$35:$AW$35))))^2)</f>
        <v/>
      </c>
      <c r="Z332" s="5">
        <f>MEDIAN(-6,W332+(C332-X332)/MAX(X332-Y332,0.000000001),6)</f>
        <v/>
      </c>
      <c r="AA332" s="5">
        <f>SUMPRODUCT(('01_Data'!$B332:$AW332&lt;&gt;"")*(1/(1+EXP(-(Z332-'03_Lap_b'!$B$40:$AW$40)))))</f>
        <v/>
      </c>
      <c r="AB332" s="5">
        <f>SUMPRODUCT(('01_Data'!$B332:$AW332&lt;&gt;"")*(1/(1+EXP(-(Z332-'03_Lap_b'!$B$40:$AW$40))))^2)</f>
        <v/>
      </c>
      <c r="AC332" s="5">
        <f>MEDIAN(-6,Z332+(C332-AA332)/MAX(AA332-AB332,0.000000001),6)</f>
        <v/>
      </c>
    </row>
    <row r="333">
      <c r="A333" t="n">
        <v>332</v>
      </c>
      <c r="B333">
        <f>'01_Data'!A333</f>
        <v/>
      </c>
      <c r="C333">
        <f>SUM('01_Data'!$B333:$AW333)</f>
        <v/>
      </c>
      <c r="D333">
        <f>COUNT('01_Data'!$B333:$AW333)</f>
        <v/>
      </c>
      <c r="E333" s="5">
        <f>MEDIAN(-6,LN((C333+0.3)/(D333-C333+0.3)),6)</f>
        <v/>
      </c>
      <c r="F333" s="5">
        <f>SUMPRODUCT(('01_Data'!$B333:$AW333&lt;&gt;"")*(1/(1+EXP(-(E333-'03_Lap_b'!$B$5:$AW$5)))))</f>
        <v/>
      </c>
      <c r="G333" s="5">
        <f>SUMPRODUCT(('01_Data'!$B333:$AW333&lt;&gt;"")*(1/(1+EXP(-(E333-'03_Lap_b'!$B$5:$AW$5))))^2)</f>
        <v/>
      </c>
      <c r="H333" s="5">
        <f>MEDIAN(-6,E333+(C333-F333)/MAX(F333-G333,0.000000001),6)</f>
        <v/>
      </c>
      <c r="I333" s="5">
        <f>SUMPRODUCT(('01_Data'!$B333:$AW333&lt;&gt;"")*(1/(1+EXP(-(H333-'03_Lap_b'!$B$10:$AW$10)))))</f>
        <v/>
      </c>
      <c r="J333" s="5">
        <f>SUMPRODUCT(('01_Data'!$B333:$AW333&lt;&gt;"")*(1/(1+EXP(-(H333-'03_Lap_b'!$B$10:$AW$10))))^2)</f>
        <v/>
      </c>
      <c r="K333" s="5">
        <f>MEDIAN(-6,H333+(C333-I333)/MAX(I333-J333,0.000000001),6)</f>
        <v/>
      </c>
      <c r="L333" s="5">
        <f>SUMPRODUCT(('01_Data'!$B333:$AW333&lt;&gt;"")*(1/(1+EXP(-(K333-'03_Lap_b'!$B$15:$AW$15)))))</f>
        <v/>
      </c>
      <c r="M333" s="5">
        <f>SUMPRODUCT(('01_Data'!$B333:$AW333&lt;&gt;"")*(1/(1+EXP(-(K333-'03_Lap_b'!$B$15:$AW$15))))^2)</f>
        <v/>
      </c>
      <c r="N333" s="5">
        <f>MEDIAN(-6,K333+(C333-L333)/MAX(L333-M333,0.000000001),6)</f>
        <v/>
      </c>
      <c r="O333" s="5">
        <f>SUMPRODUCT(('01_Data'!$B333:$AW333&lt;&gt;"")*(1/(1+EXP(-(N333-'03_Lap_b'!$B$20:$AW$20)))))</f>
        <v/>
      </c>
      <c r="P333" s="5">
        <f>SUMPRODUCT(('01_Data'!$B333:$AW333&lt;&gt;"")*(1/(1+EXP(-(N333-'03_Lap_b'!$B$20:$AW$20))))^2)</f>
        <v/>
      </c>
      <c r="Q333" s="5">
        <f>MEDIAN(-6,N333+(C333-O333)/MAX(O333-P333,0.000000001),6)</f>
        <v/>
      </c>
      <c r="R333" s="5">
        <f>SUMPRODUCT(('01_Data'!$B333:$AW333&lt;&gt;"")*(1/(1+EXP(-(Q333-'03_Lap_b'!$B$25:$AW$25)))))</f>
        <v/>
      </c>
      <c r="S333" s="5">
        <f>SUMPRODUCT(('01_Data'!$B333:$AW333&lt;&gt;"")*(1/(1+EXP(-(Q333-'03_Lap_b'!$B$25:$AW$25))))^2)</f>
        <v/>
      </c>
      <c r="T333" s="5">
        <f>MEDIAN(-6,Q333+(C333-R333)/MAX(R333-S333,0.000000001),6)</f>
        <v/>
      </c>
      <c r="U333" s="5">
        <f>SUMPRODUCT(('01_Data'!$B333:$AW333&lt;&gt;"")*(1/(1+EXP(-(T333-'03_Lap_b'!$B$30:$AW$30)))))</f>
        <v/>
      </c>
      <c r="V333" s="5">
        <f>SUMPRODUCT(('01_Data'!$B333:$AW333&lt;&gt;"")*(1/(1+EXP(-(T333-'03_Lap_b'!$B$30:$AW$30))))^2)</f>
        <v/>
      </c>
      <c r="W333" s="5">
        <f>MEDIAN(-6,T333+(C333-U333)/MAX(U333-V333,0.000000001),6)</f>
        <v/>
      </c>
      <c r="X333" s="5">
        <f>SUMPRODUCT(('01_Data'!$B333:$AW333&lt;&gt;"")*(1/(1+EXP(-(W333-'03_Lap_b'!$B$35:$AW$35)))))</f>
        <v/>
      </c>
      <c r="Y333" s="5">
        <f>SUMPRODUCT(('01_Data'!$B333:$AW333&lt;&gt;"")*(1/(1+EXP(-(W333-'03_Lap_b'!$B$35:$AW$35))))^2)</f>
        <v/>
      </c>
      <c r="Z333" s="5">
        <f>MEDIAN(-6,W333+(C333-X333)/MAX(X333-Y333,0.000000001),6)</f>
        <v/>
      </c>
      <c r="AA333" s="5">
        <f>SUMPRODUCT(('01_Data'!$B333:$AW333&lt;&gt;"")*(1/(1+EXP(-(Z333-'03_Lap_b'!$B$40:$AW$40)))))</f>
        <v/>
      </c>
      <c r="AB333" s="5">
        <f>SUMPRODUCT(('01_Data'!$B333:$AW333&lt;&gt;"")*(1/(1+EXP(-(Z333-'03_Lap_b'!$B$40:$AW$40))))^2)</f>
        <v/>
      </c>
      <c r="AC333" s="5">
        <f>MEDIAN(-6,Z333+(C333-AA333)/MAX(AA333-AB333,0.000000001),6)</f>
        <v/>
      </c>
    </row>
    <row r="334">
      <c r="A334" t="n">
        <v>333</v>
      </c>
      <c r="B334">
        <f>'01_Data'!A334</f>
        <v/>
      </c>
      <c r="C334">
        <f>SUM('01_Data'!$B334:$AW334)</f>
        <v/>
      </c>
      <c r="D334">
        <f>COUNT('01_Data'!$B334:$AW334)</f>
        <v/>
      </c>
      <c r="E334" s="5">
        <f>MEDIAN(-6,LN((C334+0.3)/(D334-C334+0.3)),6)</f>
        <v/>
      </c>
      <c r="F334" s="5">
        <f>SUMPRODUCT(('01_Data'!$B334:$AW334&lt;&gt;"")*(1/(1+EXP(-(E334-'03_Lap_b'!$B$5:$AW$5)))))</f>
        <v/>
      </c>
      <c r="G334" s="5">
        <f>SUMPRODUCT(('01_Data'!$B334:$AW334&lt;&gt;"")*(1/(1+EXP(-(E334-'03_Lap_b'!$B$5:$AW$5))))^2)</f>
        <v/>
      </c>
      <c r="H334" s="5">
        <f>MEDIAN(-6,E334+(C334-F334)/MAX(F334-G334,0.000000001),6)</f>
        <v/>
      </c>
      <c r="I334" s="5">
        <f>SUMPRODUCT(('01_Data'!$B334:$AW334&lt;&gt;"")*(1/(1+EXP(-(H334-'03_Lap_b'!$B$10:$AW$10)))))</f>
        <v/>
      </c>
      <c r="J334" s="5">
        <f>SUMPRODUCT(('01_Data'!$B334:$AW334&lt;&gt;"")*(1/(1+EXP(-(H334-'03_Lap_b'!$B$10:$AW$10))))^2)</f>
        <v/>
      </c>
      <c r="K334" s="5">
        <f>MEDIAN(-6,H334+(C334-I334)/MAX(I334-J334,0.000000001),6)</f>
        <v/>
      </c>
      <c r="L334" s="5">
        <f>SUMPRODUCT(('01_Data'!$B334:$AW334&lt;&gt;"")*(1/(1+EXP(-(K334-'03_Lap_b'!$B$15:$AW$15)))))</f>
        <v/>
      </c>
      <c r="M334" s="5">
        <f>SUMPRODUCT(('01_Data'!$B334:$AW334&lt;&gt;"")*(1/(1+EXP(-(K334-'03_Lap_b'!$B$15:$AW$15))))^2)</f>
        <v/>
      </c>
      <c r="N334" s="5">
        <f>MEDIAN(-6,K334+(C334-L334)/MAX(L334-M334,0.000000001),6)</f>
        <v/>
      </c>
      <c r="O334" s="5">
        <f>SUMPRODUCT(('01_Data'!$B334:$AW334&lt;&gt;"")*(1/(1+EXP(-(N334-'03_Lap_b'!$B$20:$AW$20)))))</f>
        <v/>
      </c>
      <c r="P334" s="5">
        <f>SUMPRODUCT(('01_Data'!$B334:$AW334&lt;&gt;"")*(1/(1+EXP(-(N334-'03_Lap_b'!$B$20:$AW$20))))^2)</f>
        <v/>
      </c>
      <c r="Q334" s="5">
        <f>MEDIAN(-6,N334+(C334-O334)/MAX(O334-P334,0.000000001),6)</f>
        <v/>
      </c>
      <c r="R334" s="5">
        <f>SUMPRODUCT(('01_Data'!$B334:$AW334&lt;&gt;"")*(1/(1+EXP(-(Q334-'03_Lap_b'!$B$25:$AW$25)))))</f>
        <v/>
      </c>
      <c r="S334" s="5">
        <f>SUMPRODUCT(('01_Data'!$B334:$AW334&lt;&gt;"")*(1/(1+EXP(-(Q334-'03_Lap_b'!$B$25:$AW$25))))^2)</f>
        <v/>
      </c>
      <c r="T334" s="5">
        <f>MEDIAN(-6,Q334+(C334-R334)/MAX(R334-S334,0.000000001),6)</f>
        <v/>
      </c>
      <c r="U334" s="5">
        <f>SUMPRODUCT(('01_Data'!$B334:$AW334&lt;&gt;"")*(1/(1+EXP(-(T334-'03_Lap_b'!$B$30:$AW$30)))))</f>
        <v/>
      </c>
      <c r="V334" s="5">
        <f>SUMPRODUCT(('01_Data'!$B334:$AW334&lt;&gt;"")*(1/(1+EXP(-(T334-'03_Lap_b'!$B$30:$AW$30))))^2)</f>
        <v/>
      </c>
      <c r="W334" s="5">
        <f>MEDIAN(-6,T334+(C334-U334)/MAX(U334-V334,0.000000001),6)</f>
        <v/>
      </c>
      <c r="X334" s="5">
        <f>SUMPRODUCT(('01_Data'!$B334:$AW334&lt;&gt;"")*(1/(1+EXP(-(W334-'03_Lap_b'!$B$35:$AW$35)))))</f>
        <v/>
      </c>
      <c r="Y334" s="5">
        <f>SUMPRODUCT(('01_Data'!$B334:$AW334&lt;&gt;"")*(1/(1+EXP(-(W334-'03_Lap_b'!$B$35:$AW$35))))^2)</f>
        <v/>
      </c>
      <c r="Z334" s="5">
        <f>MEDIAN(-6,W334+(C334-X334)/MAX(X334-Y334,0.000000001),6)</f>
        <v/>
      </c>
      <c r="AA334" s="5">
        <f>SUMPRODUCT(('01_Data'!$B334:$AW334&lt;&gt;"")*(1/(1+EXP(-(Z334-'03_Lap_b'!$B$40:$AW$40)))))</f>
        <v/>
      </c>
      <c r="AB334" s="5">
        <f>SUMPRODUCT(('01_Data'!$B334:$AW334&lt;&gt;"")*(1/(1+EXP(-(Z334-'03_Lap_b'!$B$40:$AW$40))))^2)</f>
        <v/>
      </c>
      <c r="AC334" s="5">
        <f>MEDIAN(-6,Z334+(C334-AA334)/MAX(AA334-AB334,0.000000001),6)</f>
        <v/>
      </c>
    </row>
    <row r="335">
      <c r="A335" t="n">
        <v>334</v>
      </c>
      <c r="B335">
        <f>'01_Data'!A335</f>
        <v/>
      </c>
      <c r="C335">
        <f>SUM('01_Data'!$B335:$AW335)</f>
        <v/>
      </c>
      <c r="D335">
        <f>COUNT('01_Data'!$B335:$AW335)</f>
        <v/>
      </c>
      <c r="E335" s="5">
        <f>MEDIAN(-6,LN((C335+0.3)/(D335-C335+0.3)),6)</f>
        <v/>
      </c>
      <c r="F335" s="5">
        <f>SUMPRODUCT(('01_Data'!$B335:$AW335&lt;&gt;"")*(1/(1+EXP(-(E335-'03_Lap_b'!$B$5:$AW$5)))))</f>
        <v/>
      </c>
      <c r="G335" s="5">
        <f>SUMPRODUCT(('01_Data'!$B335:$AW335&lt;&gt;"")*(1/(1+EXP(-(E335-'03_Lap_b'!$B$5:$AW$5))))^2)</f>
        <v/>
      </c>
      <c r="H335" s="5">
        <f>MEDIAN(-6,E335+(C335-F335)/MAX(F335-G335,0.000000001),6)</f>
        <v/>
      </c>
      <c r="I335" s="5">
        <f>SUMPRODUCT(('01_Data'!$B335:$AW335&lt;&gt;"")*(1/(1+EXP(-(H335-'03_Lap_b'!$B$10:$AW$10)))))</f>
        <v/>
      </c>
      <c r="J335" s="5">
        <f>SUMPRODUCT(('01_Data'!$B335:$AW335&lt;&gt;"")*(1/(1+EXP(-(H335-'03_Lap_b'!$B$10:$AW$10))))^2)</f>
        <v/>
      </c>
      <c r="K335" s="5">
        <f>MEDIAN(-6,H335+(C335-I335)/MAX(I335-J335,0.000000001),6)</f>
        <v/>
      </c>
      <c r="L335" s="5">
        <f>SUMPRODUCT(('01_Data'!$B335:$AW335&lt;&gt;"")*(1/(1+EXP(-(K335-'03_Lap_b'!$B$15:$AW$15)))))</f>
        <v/>
      </c>
      <c r="M335" s="5">
        <f>SUMPRODUCT(('01_Data'!$B335:$AW335&lt;&gt;"")*(1/(1+EXP(-(K335-'03_Lap_b'!$B$15:$AW$15))))^2)</f>
        <v/>
      </c>
      <c r="N335" s="5">
        <f>MEDIAN(-6,K335+(C335-L335)/MAX(L335-M335,0.000000001),6)</f>
        <v/>
      </c>
      <c r="O335" s="5">
        <f>SUMPRODUCT(('01_Data'!$B335:$AW335&lt;&gt;"")*(1/(1+EXP(-(N335-'03_Lap_b'!$B$20:$AW$20)))))</f>
        <v/>
      </c>
      <c r="P335" s="5">
        <f>SUMPRODUCT(('01_Data'!$B335:$AW335&lt;&gt;"")*(1/(1+EXP(-(N335-'03_Lap_b'!$B$20:$AW$20))))^2)</f>
        <v/>
      </c>
      <c r="Q335" s="5">
        <f>MEDIAN(-6,N335+(C335-O335)/MAX(O335-P335,0.000000001),6)</f>
        <v/>
      </c>
      <c r="R335" s="5">
        <f>SUMPRODUCT(('01_Data'!$B335:$AW335&lt;&gt;"")*(1/(1+EXP(-(Q335-'03_Lap_b'!$B$25:$AW$25)))))</f>
        <v/>
      </c>
      <c r="S335" s="5">
        <f>SUMPRODUCT(('01_Data'!$B335:$AW335&lt;&gt;"")*(1/(1+EXP(-(Q335-'03_Lap_b'!$B$25:$AW$25))))^2)</f>
        <v/>
      </c>
      <c r="T335" s="5">
        <f>MEDIAN(-6,Q335+(C335-R335)/MAX(R335-S335,0.000000001),6)</f>
        <v/>
      </c>
      <c r="U335" s="5">
        <f>SUMPRODUCT(('01_Data'!$B335:$AW335&lt;&gt;"")*(1/(1+EXP(-(T335-'03_Lap_b'!$B$30:$AW$30)))))</f>
        <v/>
      </c>
      <c r="V335" s="5">
        <f>SUMPRODUCT(('01_Data'!$B335:$AW335&lt;&gt;"")*(1/(1+EXP(-(T335-'03_Lap_b'!$B$30:$AW$30))))^2)</f>
        <v/>
      </c>
      <c r="W335" s="5">
        <f>MEDIAN(-6,T335+(C335-U335)/MAX(U335-V335,0.000000001),6)</f>
        <v/>
      </c>
      <c r="X335" s="5">
        <f>SUMPRODUCT(('01_Data'!$B335:$AW335&lt;&gt;"")*(1/(1+EXP(-(W335-'03_Lap_b'!$B$35:$AW$35)))))</f>
        <v/>
      </c>
      <c r="Y335" s="5">
        <f>SUMPRODUCT(('01_Data'!$B335:$AW335&lt;&gt;"")*(1/(1+EXP(-(W335-'03_Lap_b'!$B$35:$AW$35))))^2)</f>
        <v/>
      </c>
      <c r="Z335" s="5">
        <f>MEDIAN(-6,W335+(C335-X335)/MAX(X335-Y335,0.000000001),6)</f>
        <v/>
      </c>
      <c r="AA335" s="5">
        <f>SUMPRODUCT(('01_Data'!$B335:$AW335&lt;&gt;"")*(1/(1+EXP(-(Z335-'03_Lap_b'!$B$40:$AW$40)))))</f>
        <v/>
      </c>
      <c r="AB335" s="5">
        <f>SUMPRODUCT(('01_Data'!$B335:$AW335&lt;&gt;"")*(1/(1+EXP(-(Z335-'03_Lap_b'!$B$40:$AW$40))))^2)</f>
        <v/>
      </c>
      <c r="AC335" s="5">
        <f>MEDIAN(-6,Z335+(C335-AA335)/MAX(AA335-AB335,0.000000001),6)</f>
        <v/>
      </c>
    </row>
    <row r="336">
      <c r="A336" t="n">
        <v>335</v>
      </c>
      <c r="B336">
        <f>'01_Data'!A336</f>
        <v/>
      </c>
      <c r="C336">
        <f>SUM('01_Data'!$B336:$AW336)</f>
        <v/>
      </c>
      <c r="D336">
        <f>COUNT('01_Data'!$B336:$AW336)</f>
        <v/>
      </c>
      <c r="E336" s="5">
        <f>MEDIAN(-6,LN((C336+0.3)/(D336-C336+0.3)),6)</f>
        <v/>
      </c>
      <c r="F336" s="5">
        <f>SUMPRODUCT(('01_Data'!$B336:$AW336&lt;&gt;"")*(1/(1+EXP(-(E336-'03_Lap_b'!$B$5:$AW$5)))))</f>
        <v/>
      </c>
      <c r="G336" s="5">
        <f>SUMPRODUCT(('01_Data'!$B336:$AW336&lt;&gt;"")*(1/(1+EXP(-(E336-'03_Lap_b'!$B$5:$AW$5))))^2)</f>
        <v/>
      </c>
      <c r="H336" s="5">
        <f>MEDIAN(-6,E336+(C336-F336)/MAX(F336-G336,0.000000001),6)</f>
        <v/>
      </c>
      <c r="I336" s="5">
        <f>SUMPRODUCT(('01_Data'!$B336:$AW336&lt;&gt;"")*(1/(1+EXP(-(H336-'03_Lap_b'!$B$10:$AW$10)))))</f>
        <v/>
      </c>
      <c r="J336" s="5">
        <f>SUMPRODUCT(('01_Data'!$B336:$AW336&lt;&gt;"")*(1/(1+EXP(-(H336-'03_Lap_b'!$B$10:$AW$10))))^2)</f>
        <v/>
      </c>
      <c r="K336" s="5">
        <f>MEDIAN(-6,H336+(C336-I336)/MAX(I336-J336,0.000000001),6)</f>
        <v/>
      </c>
      <c r="L336" s="5">
        <f>SUMPRODUCT(('01_Data'!$B336:$AW336&lt;&gt;"")*(1/(1+EXP(-(K336-'03_Lap_b'!$B$15:$AW$15)))))</f>
        <v/>
      </c>
      <c r="M336" s="5">
        <f>SUMPRODUCT(('01_Data'!$B336:$AW336&lt;&gt;"")*(1/(1+EXP(-(K336-'03_Lap_b'!$B$15:$AW$15))))^2)</f>
        <v/>
      </c>
      <c r="N336" s="5">
        <f>MEDIAN(-6,K336+(C336-L336)/MAX(L336-M336,0.000000001),6)</f>
        <v/>
      </c>
      <c r="O336" s="5">
        <f>SUMPRODUCT(('01_Data'!$B336:$AW336&lt;&gt;"")*(1/(1+EXP(-(N336-'03_Lap_b'!$B$20:$AW$20)))))</f>
        <v/>
      </c>
      <c r="P336" s="5">
        <f>SUMPRODUCT(('01_Data'!$B336:$AW336&lt;&gt;"")*(1/(1+EXP(-(N336-'03_Lap_b'!$B$20:$AW$20))))^2)</f>
        <v/>
      </c>
      <c r="Q336" s="5">
        <f>MEDIAN(-6,N336+(C336-O336)/MAX(O336-P336,0.000000001),6)</f>
        <v/>
      </c>
      <c r="R336" s="5">
        <f>SUMPRODUCT(('01_Data'!$B336:$AW336&lt;&gt;"")*(1/(1+EXP(-(Q336-'03_Lap_b'!$B$25:$AW$25)))))</f>
        <v/>
      </c>
      <c r="S336" s="5">
        <f>SUMPRODUCT(('01_Data'!$B336:$AW336&lt;&gt;"")*(1/(1+EXP(-(Q336-'03_Lap_b'!$B$25:$AW$25))))^2)</f>
        <v/>
      </c>
      <c r="T336" s="5">
        <f>MEDIAN(-6,Q336+(C336-R336)/MAX(R336-S336,0.000000001),6)</f>
        <v/>
      </c>
      <c r="U336" s="5">
        <f>SUMPRODUCT(('01_Data'!$B336:$AW336&lt;&gt;"")*(1/(1+EXP(-(T336-'03_Lap_b'!$B$30:$AW$30)))))</f>
        <v/>
      </c>
      <c r="V336" s="5">
        <f>SUMPRODUCT(('01_Data'!$B336:$AW336&lt;&gt;"")*(1/(1+EXP(-(T336-'03_Lap_b'!$B$30:$AW$30))))^2)</f>
        <v/>
      </c>
      <c r="W336" s="5">
        <f>MEDIAN(-6,T336+(C336-U336)/MAX(U336-V336,0.000000001),6)</f>
        <v/>
      </c>
      <c r="X336" s="5">
        <f>SUMPRODUCT(('01_Data'!$B336:$AW336&lt;&gt;"")*(1/(1+EXP(-(W336-'03_Lap_b'!$B$35:$AW$35)))))</f>
        <v/>
      </c>
      <c r="Y336" s="5">
        <f>SUMPRODUCT(('01_Data'!$B336:$AW336&lt;&gt;"")*(1/(1+EXP(-(W336-'03_Lap_b'!$B$35:$AW$35))))^2)</f>
        <v/>
      </c>
      <c r="Z336" s="5">
        <f>MEDIAN(-6,W336+(C336-X336)/MAX(X336-Y336,0.000000001),6)</f>
        <v/>
      </c>
      <c r="AA336" s="5">
        <f>SUMPRODUCT(('01_Data'!$B336:$AW336&lt;&gt;"")*(1/(1+EXP(-(Z336-'03_Lap_b'!$B$40:$AW$40)))))</f>
        <v/>
      </c>
      <c r="AB336" s="5">
        <f>SUMPRODUCT(('01_Data'!$B336:$AW336&lt;&gt;"")*(1/(1+EXP(-(Z336-'03_Lap_b'!$B$40:$AW$40))))^2)</f>
        <v/>
      </c>
      <c r="AC336" s="5">
        <f>MEDIAN(-6,Z336+(C336-AA336)/MAX(AA336-AB336,0.000000001),6)</f>
        <v/>
      </c>
    </row>
    <row r="337">
      <c r="A337" t="n">
        <v>336</v>
      </c>
      <c r="B337">
        <f>'01_Data'!A337</f>
        <v/>
      </c>
      <c r="C337">
        <f>SUM('01_Data'!$B337:$AW337)</f>
        <v/>
      </c>
      <c r="D337">
        <f>COUNT('01_Data'!$B337:$AW337)</f>
        <v/>
      </c>
      <c r="E337" s="5">
        <f>MEDIAN(-6,LN((C337+0.3)/(D337-C337+0.3)),6)</f>
        <v/>
      </c>
      <c r="F337" s="5">
        <f>SUMPRODUCT(('01_Data'!$B337:$AW337&lt;&gt;"")*(1/(1+EXP(-(E337-'03_Lap_b'!$B$5:$AW$5)))))</f>
        <v/>
      </c>
      <c r="G337" s="5">
        <f>SUMPRODUCT(('01_Data'!$B337:$AW337&lt;&gt;"")*(1/(1+EXP(-(E337-'03_Lap_b'!$B$5:$AW$5))))^2)</f>
        <v/>
      </c>
      <c r="H337" s="5">
        <f>MEDIAN(-6,E337+(C337-F337)/MAX(F337-G337,0.000000001),6)</f>
        <v/>
      </c>
      <c r="I337" s="5">
        <f>SUMPRODUCT(('01_Data'!$B337:$AW337&lt;&gt;"")*(1/(1+EXP(-(H337-'03_Lap_b'!$B$10:$AW$10)))))</f>
        <v/>
      </c>
      <c r="J337" s="5">
        <f>SUMPRODUCT(('01_Data'!$B337:$AW337&lt;&gt;"")*(1/(1+EXP(-(H337-'03_Lap_b'!$B$10:$AW$10))))^2)</f>
        <v/>
      </c>
      <c r="K337" s="5">
        <f>MEDIAN(-6,H337+(C337-I337)/MAX(I337-J337,0.000000001),6)</f>
        <v/>
      </c>
      <c r="L337" s="5">
        <f>SUMPRODUCT(('01_Data'!$B337:$AW337&lt;&gt;"")*(1/(1+EXP(-(K337-'03_Lap_b'!$B$15:$AW$15)))))</f>
        <v/>
      </c>
      <c r="M337" s="5">
        <f>SUMPRODUCT(('01_Data'!$B337:$AW337&lt;&gt;"")*(1/(1+EXP(-(K337-'03_Lap_b'!$B$15:$AW$15))))^2)</f>
        <v/>
      </c>
      <c r="N337" s="5">
        <f>MEDIAN(-6,K337+(C337-L337)/MAX(L337-M337,0.000000001),6)</f>
        <v/>
      </c>
      <c r="O337" s="5">
        <f>SUMPRODUCT(('01_Data'!$B337:$AW337&lt;&gt;"")*(1/(1+EXP(-(N337-'03_Lap_b'!$B$20:$AW$20)))))</f>
        <v/>
      </c>
      <c r="P337" s="5">
        <f>SUMPRODUCT(('01_Data'!$B337:$AW337&lt;&gt;"")*(1/(1+EXP(-(N337-'03_Lap_b'!$B$20:$AW$20))))^2)</f>
        <v/>
      </c>
      <c r="Q337" s="5">
        <f>MEDIAN(-6,N337+(C337-O337)/MAX(O337-P337,0.000000001),6)</f>
        <v/>
      </c>
      <c r="R337" s="5">
        <f>SUMPRODUCT(('01_Data'!$B337:$AW337&lt;&gt;"")*(1/(1+EXP(-(Q337-'03_Lap_b'!$B$25:$AW$25)))))</f>
        <v/>
      </c>
      <c r="S337" s="5">
        <f>SUMPRODUCT(('01_Data'!$B337:$AW337&lt;&gt;"")*(1/(1+EXP(-(Q337-'03_Lap_b'!$B$25:$AW$25))))^2)</f>
        <v/>
      </c>
      <c r="T337" s="5">
        <f>MEDIAN(-6,Q337+(C337-R337)/MAX(R337-S337,0.000000001),6)</f>
        <v/>
      </c>
      <c r="U337" s="5">
        <f>SUMPRODUCT(('01_Data'!$B337:$AW337&lt;&gt;"")*(1/(1+EXP(-(T337-'03_Lap_b'!$B$30:$AW$30)))))</f>
        <v/>
      </c>
      <c r="V337" s="5">
        <f>SUMPRODUCT(('01_Data'!$B337:$AW337&lt;&gt;"")*(1/(1+EXP(-(T337-'03_Lap_b'!$B$30:$AW$30))))^2)</f>
        <v/>
      </c>
      <c r="W337" s="5">
        <f>MEDIAN(-6,T337+(C337-U337)/MAX(U337-V337,0.000000001),6)</f>
        <v/>
      </c>
      <c r="X337" s="5">
        <f>SUMPRODUCT(('01_Data'!$B337:$AW337&lt;&gt;"")*(1/(1+EXP(-(W337-'03_Lap_b'!$B$35:$AW$35)))))</f>
        <v/>
      </c>
      <c r="Y337" s="5">
        <f>SUMPRODUCT(('01_Data'!$B337:$AW337&lt;&gt;"")*(1/(1+EXP(-(W337-'03_Lap_b'!$B$35:$AW$35))))^2)</f>
        <v/>
      </c>
      <c r="Z337" s="5">
        <f>MEDIAN(-6,W337+(C337-X337)/MAX(X337-Y337,0.000000001),6)</f>
        <v/>
      </c>
      <c r="AA337" s="5">
        <f>SUMPRODUCT(('01_Data'!$B337:$AW337&lt;&gt;"")*(1/(1+EXP(-(Z337-'03_Lap_b'!$B$40:$AW$40)))))</f>
        <v/>
      </c>
      <c r="AB337" s="5">
        <f>SUMPRODUCT(('01_Data'!$B337:$AW337&lt;&gt;"")*(1/(1+EXP(-(Z337-'03_Lap_b'!$B$40:$AW$40))))^2)</f>
        <v/>
      </c>
      <c r="AC337" s="5">
        <f>MEDIAN(-6,Z337+(C337-AA337)/MAX(AA337-AB337,0.000000001),6)</f>
        <v/>
      </c>
    </row>
    <row r="338">
      <c r="A338" t="n">
        <v>337</v>
      </c>
      <c r="B338">
        <f>'01_Data'!A338</f>
        <v/>
      </c>
      <c r="C338">
        <f>SUM('01_Data'!$B338:$AW338)</f>
        <v/>
      </c>
      <c r="D338">
        <f>COUNT('01_Data'!$B338:$AW338)</f>
        <v/>
      </c>
      <c r="E338" s="5">
        <f>MEDIAN(-6,LN((C338+0.3)/(D338-C338+0.3)),6)</f>
        <v/>
      </c>
      <c r="F338" s="5">
        <f>SUMPRODUCT(('01_Data'!$B338:$AW338&lt;&gt;"")*(1/(1+EXP(-(E338-'03_Lap_b'!$B$5:$AW$5)))))</f>
        <v/>
      </c>
      <c r="G338" s="5">
        <f>SUMPRODUCT(('01_Data'!$B338:$AW338&lt;&gt;"")*(1/(1+EXP(-(E338-'03_Lap_b'!$B$5:$AW$5))))^2)</f>
        <v/>
      </c>
      <c r="H338" s="5">
        <f>MEDIAN(-6,E338+(C338-F338)/MAX(F338-G338,0.000000001),6)</f>
        <v/>
      </c>
      <c r="I338" s="5">
        <f>SUMPRODUCT(('01_Data'!$B338:$AW338&lt;&gt;"")*(1/(1+EXP(-(H338-'03_Lap_b'!$B$10:$AW$10)))))</f>
        <v/>
      </c>
      <c r="J338" s="5">
        <f>SUMPRODUCT(('01_Data'!$B338:$AW338&lt;&gt;"")*(1/(1+EXP(-(H338-'03_Lap_b'!$B$10:$AW$10))))^2)</f>
        <v/>
      </c>
      <c r="K338" s="5">
        <f>MEDIAN(-6,H338+(C338-I338)/MAX(I338-J338,0.000000001),6)</f>
        <v/>
      </c>
      <c r="L338" s="5">
        <f>SUMPRODUCT(('01_Data'!$B338:$AW338&lt;&gt;"")*(1/(1+EXP(-(K338-'03_Lap_b'!$B$15:$AW$15)))))</f>
        <v/>
      </c>
      <c r="M338" s="5">
        <f>SUMPRODUCT(('01_Data'!$B338:$AW338&lt;&gt;"")*(1/(1+EXP(-(K338-'03_Lap_b'!$B$15:$AW$15))))^2)</f>
        <v/>
      </c>
      <c r="N338" s="5">
        <f>MEDIAN(-6,K338+(C338-L338)/MAX(L338-M338,0.000000001),6)</f>
        <v/>
      </c>
      <c r="O338" s="5">
        <f>SUMPRODUCT(('01_Data'!$B338:$AW338&lt;&gt;"")*(1/(1+EXP(-(N338-'03_Lap_b'!$B$20:$AW$20)))))</f>
        <v/>
      </c>
      <c r="P338" s="5">
        <f>SUMPRODUCT(('01_Data'!$B338:$AW338&lt;&gt;"")*(1/(1+EXP(-(N338-'03_Lap_b'!$B$20:$AW$20))))^2)</f>
        <v/>
      </c>
      <c r="Q338" s="5">
        <f>MEDIAN(-6,N338+(C338-O338)/MAX(O338-P338,0.000000001),6)</f>
        <v/>
      </c>
      <c r="R338" s="5">
        <f>SUMPRODUCT(('01_Data'!$B338:$AW338&lt;&gt;"")*(1/(1+EXP(-(Q338-'03_Lap_b'!$B$25:$AW$25)))))</f>
        <v/>
      </c>
      <c r="S338" s="5">
        <f>SUMPRODUCT(('01_Data'!$B338:$AW338&lt;&gt;"")*(1/(1+EXP(-(Q338-'03_Lap_b'!$B$25:$AW$25))))^2)</f>
        <v/>
      </c>
      <c r="T338" s="5">
        <f>MEDIAN(-6,Q338+(C338-R338)/MAX(R338-S338,0.000000001),6)</f>
        <v/>
      </c>
      <c r="U338" s="5">
        <f>SUMPRODUCT(('01_Data'!$B338:$AW338&lt;&gt;"")*(1/(1+EXP(-(T338-'03_Lap_b'!$B$30:$AW$30)))))</f>
        <v/>
      </c>
      <c r="V338" s="5">
        <f>SUMPRODUCT(('01_Data'!$B338:$AW338&lt;&gt;"")*(1/(1+EXP(-(T338-'03_Lap_b'!$B$30:$AW$30))))^2)</f>
        <v/>
      </c>
      <c r="W338" s="5">
        <f>MEDIAN(-6,T338+(C338-U338)/MAX(U338-V338,0.000000001),6)</f>
        <v/>
      </c>
      <c r="X338" s="5">
        <f>SUMPRODUCT(('01_Data'!$B338:$AW338&lt;&gt;"")*(1/(1+EXP(-(W338-'03_Lap_b'!$B$35:$AW$35)))))</f>
        <v/>
      </c>
      <c r="Y338" s="5">
        <f>SUMPRODUCT(('01_Data'!$B338:$AW338&lt;&gt;"")*(1/(1+EXP(-(W338-'03_Lap_b'!$B$35:$AW$35))))^2)</f>
        <v/>
      </c>
      <c r="Z338" s="5">
        <f>MEDIAN(-6,W338+(C338-X338)/MAX(X338-Y338,0.000000001),6)</f>
        <v/>
      </c>
      <c r="AA338" s="5">
        <f>SUMPRODUCT(('01_Data'!$B338:$AW338&lt;&gt;"")*(1/(1+EXP(-(Z338-'03_Lap_b'!$B$40:$AW$40)))))</f>
        <v/>
      </c>
      <c r="AB338" s="5">
        <f>SUMPRODUCT(('01_Data'!$B338:$AW338&lt;&gt;"")*(1/(1+EXP(-(Z338-'03_Lap_b'!$B$40:$AW$40))))^2)</f>
        <v/>
      </c>
      <c r="AC338" s="5">
        <f>MEDIAN(-6,Z338+(C338-AA338)/MAX(AA338-AB338,0.000000001),6)</f>
        <v/>
      </c>
    </row>
    <row r="339">
      <c r="A339" t="n">
        <v>338</v>
      </c>
      <c r="B339">
        <f>'01_Data'!A339</f>
        <v/>
      </c>
      <c r="C339">
        <f>SUM('01_Data'!$B339:$AW339)</f>
        <v/>
      </c>
      <c r="D339">
        <f>COUNT('01_Data'!$B339:$AW339)</f>
        <v/>
      </c>
      <c r="E339" s="5">
        <f>MEDIAN(-6,LN((C339+0.3)/(D339-C339+0.3)),6)</f>
        <v/>
      </c>
      <c r="F339" s="5">
        <f>SUMPRODUCT(('01_Data'!$B339:$AW339&lt;&gt;"")*(1/(1+EXP(-(E339-'03_Lap_b'!$B$5:$AW$5)))))</f>
        <v/>
      </c>
      <c r="G339" s="5">
        <f>SUMPRODUCT(('01_Data'!$B339:$AW339&lt;&gt;"")*(1/(1+EXP(-(E339-'03_Lap_b'!$B$5:$AW$5))))^2)</f>
        <v/>
      </c>
      <c r="H339" s="5">
        <f>MEDIAN(-6,E339+(C339-F339)/MAX(F339-G339,0.000000001),6)</f>
        <v/>
      </c>
      <c r="I339" s="5">
        <f>SUMPRODUCT(('01_Data'!$B339:$AW339&lt;&gt;"")*(1/(1+EXP(-(H339-'03_Lap_b'!$B$10:$AW$10)))))</f>
        <v/>
      </c>
      <c r="J339" s="5">
        <f>SUMPRODUCT(('01_Data'!$B339:$AW339&lt;&gt;"")*(1/(1+EXP(-(H339-'03_Lap_b'!$B$10:$AW$10))))^2)</f>
        <v/>
      </c>
      <c r="K339" s="5">
        <f>MEDIAN(-6,H339+(C339-I339)/MAX(I339-J339,0.000000001),6)</f>
        <v/>
      </c>
      <c r="L339" s="5">
        <f>SUMPRODUCT(('01_Data'!$B339:$AW339&lt;&gt;"")*(1/(1+EXP(-(K339-'03_Lap_b'!$B$15:$AW$15)))))</f>
        <v/>
      </c>
      <c r="M339" s="5">
        <f>SUMPRODUCT(('01_Data'!$B339:$AW339&lt;&gt;"")*(1/(1+EXP(-(K339-'03_Lap_b'!$B$15:$AW$15))))^2)</f>
        <v/>
      </c>
      <c r="N339" s="5">
        <f>MEDIAN(-6,K339+(C339-L339)/MAX(L339-M339,0.000000001),6)</f>
        <v/>
      </c>
      <c r="O339" s="5">
        <f>SUMPRODUCT(('01_Data'!$B339:$AW339&lt;&gt;"")*(1/(1+EXP(-(N339-'03_Lap_b'!$B$20:$AW$20)))))</f>
        <v/>
      </c>
      <c r="P339" s="5">
        <f>SUMPRODUCT(('01_Data'!$B339:$AW339&lt;&gt;"")*(1/(1+EXP(-(N339-'03_Lap_b'!$B$20:$AW$20))))^2)</f>
        <v/>
      </c>
      <c r="Q339" s="5">
        <f>MEDIAN(-6,N339+(C339-O339)/MAX(O339-P339,0.000000001),6)</f>
        <v/>
      </c>
      <c r="R339" s="5">
        <f>SUMPRODUCT(('01_Data'!$B339:$AW339&lt;&gt;"")*(1/(1+EXP(-(Q339-'03_Lap_b'!$B$25:$AW$25)))))</f>
        <v/>
      </c>
      <c r="S339" s="5">
        <f>SUMPRODUCT(('01_Data'!$B339:$AW339&lt;&gt;"")*(1/(1+EXP(-(Q339-'03_Lap_b'!$B$25:$AW$25))))^2)</f>
        <v/>
      </c>
      <c r="T339" s="5">
        <f>MEDIAN(-6,Q339+(C339-R339)/MAX(R339-S339,0.000000001),6)</f>
        <v/>
      </c>
      <c r="U339" s="5">
        <f>SUMPRODUCT(('01_Data'!$B339:$AW339&lt;&gt;"")*(1/(1+EXP(-(T339-'03_Lap_b'!$B$30:$AW$30)))))</f>
        <v/>
      </c>
      <c r="V339" s="5">
        <f>SUMPRODUCT(('01_Data'!$B339:$AW339&lt;&gt;"")*(1/(1+EXP(-(T339-'03_Lap_b'!$B$30:$AW$30))))^2)</f>
        <v/>
      </c>
      <c r="W339" s="5">
        <f>MEDIAN(-6,T339+(C339-U339)/MAX(U339-V339,0.000000001),6)</f>
        <v/>
      </c>
      <c r="X339" s="5">
        <f>SUMPRODUCT(('01_Data'!$B339:$AW339&lt;&gt;"")*(1/(1+EXP(-(W339-'03_Lap_b'!$B$35:$AW$35)))))</f>
        <v/>
      </c>
      <c r="Y339" s="5">
        <f>SUMPRODUCT(('01_Data'!$B339:$AW339&lt;&gt;"")*(1/(1+EXP(-(W339-'03_Lap_b'!$B$35:$AW$35))))^2)</f>
        <v/>
      </c>
      <c r="Z339" s="5">
        <f>MEDIAN(-6,W339+(C339-X339)/MAX(X339-Y339,0.000000001),6)</f>
        <v/>
      </c>
      <c r="AA339" s="5">
        <f>SUMPRODUCT(('01_Data'!$B339:$AW339&lt;&gt;"")*(1/(1+EXP(-(Z339-'03_Lap_b'!$B$40:$AW$40)))))</f>
        <v/>
      </c>
      <c r="AB339" s="5">
        <f>SUMPRODUCT(('01_Data'!$B339:$AW339&lt;&gt;"")*(1/(1+EXP(-(Z339-'03_Lap_b'!$B$40:$AW$40))))^2)</f>
        <v/>
      </c>
      <c r="AC339" s="5">
        <f>MEDIAN(-6,Z339+(C339-AA339)/MAX(AA339-AB339,0.000000001),6)</f>
        <v/>
      </c>
    </row>
    <row r="340">
      <c r="A340" t="n">
        <v>339</v>
      </c>
      <c r="B340">
        <f>'01_Data'!A340</f>
        <v/>
      </c>
      <c r="C340">
        <f>SUM('01_Data'!$B340:$AW340)</f>
        <v/>
      </c>
      <c r="D340">
        <f>COUNT('01_Data'!$B340:$AW340)</f>
        <v/>
      </c>
      <c r="E340" s="5">
        <f>MEDIAN(-6,LN((C340+0.3)/(D340-C340+0.3)),6)</f>
        <v/>
      </c>
      <c r="F340" s="5">
        <f>SUMPRODUCT(('01_Data'!$B340:$AW340&lt;&gt;"")*(1/(1+EXP(-(E340-'03_Lap_b'!$B$5:$AW$5)))))</f>
        <v/>
      </c>
      <c r="G340" s="5">
        <f>SUMPRODUCT(('01_Data'!$B340:$AW340&lt;&gt;"")*(1/(1+EXP(-(E340-'03_Lap_b'!$B$5:$AW$5))))^2)</f>
        <v/>
      </c>
      <c r="H340" s="5">
        <f>MEDIAN(-6,E340+(C340-F340)/MAX(F340-G340,0.000000001),6)</f>
        <v/>
      </c>
      <c r="I340" s="5">
        <f>SUMPRODUCT(('01_Data'!$B340:$AW340&lt;&gt;"")*(1/(1+EXP(-(H340-'03_Lap_b'!$B$10:$AW$10)))))</f>
        <v/>
      </c>
      <c r="J340" s="5">
        <f>SUMPRODUCT(('01_Data'!$B340:$AW340&lt;&gt;"")*(1/(1+EXP(-(H340-'03_Lap_b'!$B$10:$AW$10))))^2)</f>
        <v/>
      </c>
      <c r="K340" s="5">
        <f>MEDIAN(-6,H340+(C340-I340)/MAX(I340-J340,0.000000001),6)</f>
        <v/>
      </c>
      <c r="L340" s="5">
        <f>SUMPRODUCT(('01_Data'!$B340:$AW340&lt;&gt;"")*(1/(1+EXP(-(K340-'03_Lap_b'!$B$15:$AW$15)))))</f>
        <v/>
      </c>
      <c r="M340" s="5">
        <f>SUMPRODUCT(('01_Data'!$B340:$AW340&lt;&gt;"")*(1/(1+EXP(-(K340-'03_Lap_b'!$B$15:$AW$15))))^2)</f>
        <v/>
      </c>
      <c r="N340" s="5">
        <f>MEDIAN(-6,K340+(C340-L340)/MAX(L340-M340,0.000000001),6)</f>
        <v/>
      </c>
      <c r="O340" s="5">
        <f>SUMPRODUCT(('01_Data'!$B340:$AW340&lt;&gt;"")*(1/(1+EXP(-(N340-'03_Lap_b'!$B$20:$AW$20)))))</f>
        <v/>
      </c>
      <c r="P340" s="5">
        <f>SUMPRODUCT(('01_Data'!$B340:$AW340&lt;&gt;"")*(1/(1+EXP(-(N340-'03_Lap_b'!$B$20:$AW$20))))^2)</f>
        <v/>
      </c>
      <c r="Q340" s="5">
        <f>MEDIAN(-6,N340+(C340-O340)/MAX(O340-P340,0.000000001),6)</f>
        <v/>
      </c>
      <c r="R340" s="5">
        <f>SUMPRODUCT(('01_Data'!$B340:$AW340&lt;&gt;"")*(1/(1+EXP(-(Q340-'03_Lap_b'!$B$25:$AW$25)))))</f>
        <v/>
      </c>
      <c r="S340" s="5">
        <f>SUMPRODUCT(('01_Data'!$B340:$AW340&lt;&gt;"")*(1/(1+EXP(-(Q340-'03_Lap_b'!$B$25:$AW$25))))^2)</f>
        <v/>
      </c>
      <c r="T340" s="5">
        <f>MEDIAN(-6,Q340+(C340-R340)/MAX(R340-S340,0.000000001),6)</f>
        <v/>
      </c>
      <c r="U340" s="5">
        <f>SUMPRODUCT(('01_Data'!$B340:$AW340&lt;&gt;"")*(1/(1+EXP(-(T340-'03_Lap_b'!$B$30:$AW$30)))))</f>
        <v/>
      </c>
      <c r="V340" s="5">
        <f>SUMPRODUCT(('01_Data'!$B340:$AW340&lt;&gt;"")*(1/(1+EXP(-(T340-'03_Lap_b'!$B$30:$AW$30))))^2)</f>
        <v/>
      </c>
      <c r="W340" s="5">
        <f>MEDIAN(-6,T340+(C340-U340)/MAX(U340-V340,0.000000001),6)</f>
        <v/>
      </c>
      <c r="X340" s="5">
        <f>SUMPRODUCT(('01_Data'!$B340:$AW340&lt;&gt;"")*(1/(1+EXP(-(W340-'03_Lap_b'!$B$35:$AW$35)))))</f>
        <v/>
      </c>
      <c r="Y340" s="5">
        <f>SUMPRODUCT(('01_Data'!$B340:$AW340&lt;&gt;"")*(1/(1+EXP(-(W340-'03_Lap_b'!$B$35:$AW$35))))^2)</f>
        <v/>
      </c>
      <c r="Z340" s="5">
        <f>MEDIAN(-6,W340+(C340-X340)/MAX(X340-Y340,0.000000001),6)</f>
        <v/>
      </c>
      <c r="AA340" s="5">
        <f>SUMPRODUCT(('01_Data'!$B340:$AW340&lt;&gt;"")*(1/(1+EXP(-(Z340-'03_Lap_b'!$B$40:$AW$40)))))</f>
        <v/>
      </c>
      <c r="AB340" s="5">
        <f>SUMPRODUCT(('01_Data'!$B340:$AW340&lt;&gt;"")*(1/(1+EXP(-(Z340-'03_Lap_b'!$B$40:$AW$40))))^2)</f>
        <v/>
      </c>
      <c r="AC340" s="5">
        <f>MEDIAN(-6,Z340+(C340-AA340)/MAX(AA340-AB340,0.000000001),6)</f>
        <v/>
      </c>
    </row>
    <row r="341">
      <c r="A341" t="n">
        <v>340</v>
      </c>
      <c r="B341">
        <f>'01_Data'!A341</f>
        <v/>
      </c>
      <c r="C341">
        <f>SUM('01_Data'!$B341:$AW341)</f>
        <v/>
      </c>
      <c r="D341">
        <f>COUNT('01_Data'!$B341:$AW341)</f>
        <v/>
      </c>
      <c r="E341" s="5">
        <f>MEDIAN(-6,LN((C341+0.3)/(D341-C341+0.3)),6)</f>
        <v/>
      </c>
      <c r="F341" s="5">
        <f>SUMPRODUCT(('01_Data'!$B341:$AW341&lt;&gt;"")*(1/(1+EXP(-(E341-'03_Lap_b'!$B$5:$AW$5)))))</f>
        <v/>
      </c>
      <c r="G341" s="5">
        <f>SUMPRODUCT(('01_Data'!$B341:$AW341&lt;&gt;"")*(1/(1+EXP(-(E341-'03_Lap_b'!$B$5:$AW$5))))^2)</f>
        <v/>
      </c>
      <c r="H341" s="5">
        <f>MEDIAN(-6,E341+(C341-F341)/MAX(F341-G341,0.000000001),6)</f>
        <v/>
      </c>
      <c r="I341" s="5">
        <f>SUMPRODUCT(('01_Data'!$B341:$AW341&lt;&gt;"")*(1/(1+EXP(-(H341-'03_Lap_b'!$B$10:$AW$10)))))</f>
        <v/>
      </c>
      <c r="J341" s="5">
        <f>SUMPRODUCT(('01_Data'!$B341:$AW341&lt;&gt;"")*(1/(1+EXP(-(H341-'03_Lap_b'!$B$10:$AW$10))))^2)</f>
        <v/>
      </c>
      <c r="K341" s="5">
        <f>MEDIAN(-6,H341+(C341-I341)/MAX(I341-J341,0.000000001),6)</f>
        <v/>
      </c>
      <c r="L341" s="5">
        <f>SUMPRODUCT(('01_Data'!$B341:$AW341&lt;&gt;"")*(1/(1+EXP(-(K341-'03_Lap_b'!$B$15:$AW$15)))))</f>
        <v/>
      </c>
      <c r="M341" s="5">
        <f>SUMPRODUCT(('01_Data'!$B341:$AW341&lt;&gt;"")*(1/(1+EXP(-(K341-'03_Lap_b'!$B$15:$AW$15))))^2)</f>
        <v/>
      </c>
      <c r="N341" s="5">
        <f>MEDIAN(-6,K341+(C341-L341)/MAX(L341-M341,0.000000001),6)</f>
        <v/>
      </c>
      <c r="O341" s="5">
        <f>SUMPRODUCT(('01_Data'!$B341:$AW341&lt;&gt;"")*(1/(1+EXP(-(N341-'03_Lap_b'!$B$20:$AW$20)))))</f>
        <v/>
      </c>
      <c r="P341" s="5">
        <f>SUMPRODUCT(('01_Data'!$B341:$AW341&lt;&gt;"")*(1/(1+EXP(-(N341-'03_Lap_b'!$B$20:$AW$20))))^2)</f>
        <v/>
      </c>
      <c r="Q341" s="5">
        <f>MEDIAN(-6,N341+(C341-O341)/MAX(O341-P341,0.000000001),6)</f>
        <v/>
      </c>
      <c r="R341" s="5">
        <f>SUMPRODUCT(('01_Data'!$B341:$AW341&lt;&gt;"")*(1/(1+EXP(-(Q341-'03_Lap_b'!$B$25:$AW$25)))))</f>
        <v/>
      </c>
      <c r="S341" s="5">
        <f>SUMPRODUCT(('01_Data'!$B341:$AW341&lt;&gt;"")*(1/(1+EXP(-(Q341-'03_Lap_b'!$B$25:$AW$25))))^2)</f>
        <v/>
      </c>
      <c r="T341" s="5">
        <f>MEDIAN(-6,Q341+(C341-R341)/MAX(R341-S341,0.000000001),6)</f>
        <v/>
      </c>
      <c r="U341" s="5">
        <f>SUMPRODUCT(('01_Data'!$B341:$AW341&lt;&gt;"")*(1/(1+EXP(-(T341-'03_Lap_b'!$B$30:$AW$30)))))</f>
        <v/>
      </c>
      <c r="V341" s="5">
        <f>SUMPRODUCT(('01_Data'!$B341:$AW341&lt;&gt;"")*(1/(1+EXP(-(T341-'03_Lap_b'!$B$30:$AW$30))))^2)</f>
        <v/>
      </c>
      <c r="W341" s="5">
        <f>MEDIAN(-6,T341+(C341-U341)/MAX(U341-V341,0.000000001),6)</f>
        <v/>
      </c>
      <c r="X341" s="5">
        <f>SUMPRODUCT(('01_Data'!$B341:$AW341&lt;&gt;"")*(1/(1+EXP(-(W341-'03_Lap_b'!$B$35:$AW$35)))))</f>
        <v/>
      </c>
      <c r="Y341" s="5">
        <f>SUMPRODUCT(('01_Data'!$B341:$AW341&lt;&gt;"")*(1/(1+EXP(-(W341-'03_Lap_b'!$B$35:$AW$35))))^2)</f>
        <v/>
      </c>
      <c r="Z341" s="5">
        <f>MEDIAN(-6,W341+(C341-X341)/MAX(X341-Y341,0.000000001),6)</f>
        <v/>
      </c>
      <c r="AA341" s="5">
        <f>SUMPRODUCT(('01_Data'!$B341:$AW341&lt;&gt;"")*(1/(1+EXP(-(Z341-'03_Lap_b'!$B$40:$AW$40)))))</f>
        <v/>
      </c>
      <c r="AB341" s="5">
        <f>SUMPRODUCT(('01_Data'!$B341:$AW341&lt;&gt;"")*(1/(1+EXP(-(Z341-'03_Lap_b'!$B$40:$AW$40))))^2)</f>
        <v/>
      </c>
      <c r="AC341" s="5">
        <f>MEDIAN(-6,Z341+(C341-AA341)/MAX(AA341-AB341,0.000000001),6)</f>
        <v/>
      </c>
    </row>
    <row r="342">
      <c r="A342" t="n">
        <v>341</v>
      </c>
      <c r="B342">
        <f>'01_Data'!A342</f>
        <v/>
      </c>
      <c r="C342">
        <f>SUM('01_Data'!$B342:$AW342)</f>
        <v/>
      </c>
      <c r="D342">
        <f>COUNT('01_Data'!$B342:$AW342)</f>
        <v/>
      </c>
      <c r="E342" s="5">
        <f>MEDIAN(-6,LN((C342+0.3)/(D342-C342+0.3)),6)</f>
        <v/>
      </c>
      <c r="F342" s="5">
        <f>SUMPRODUCT(('01_Data'!$B342:$AW342&lt;&gt;"")*(1/(1+EXP(-(E342-'03_Lap_b'!$B$5:$AW$5)))))</f>
        <v/>
      </c>
      <c r="G342" s="5">
        <f>SUMPRODUCT(('01_Data'!$B342:$AW342&lt;&gt;"")*(1/(1+EXP(-(E342-'03_Lap_b'!$B$5:$AW$5))))^2)</f>
        <v/>
      </c>
      <c r="H342" s="5">
        <f>MEDIAN(-6,E342+(C342-F342)/MAX(F342-G342,0.000000001),6)</f>
        <v/>
      </c>
      <c r="I342" s="5">
        <f>SUMPRODUCT(('01_Data'!$B342:$AW342&lt;&gt;"")*(1/(1+EXP(-(H342-'03_Lap_b'!$B$10:$AW$10)))))</f>
        <v/>
      </c>
      <c r="J342" s="5">
        <f>SUMPRODUCT(('01_Data'!$B342:$AW342&lt;&gt;"")*(1/(1+EXP(-(H342-'03_Lap_b'!$B$10:$AW$10))))^2)</f>
        <v/>
      </c>
      <c r="K342" s="5">
        <f>MEDIAN(-6,H342+(C342-I342)/MAX(I342-J342,0.000000001),6)</f>
        <v/>
      </c>
      <c r="L342" s="5">
        <f>SUMPRODUCT(('01_Data'!$B342:$AW342&lt;&gt;"")*(1/(1+EXP(-(K342-'03_Lap_b'!$B$15:$AW$15)))))</f>
        <v/>
      </c>
      <c r="M342" s="5">
        <f>SUMPRODUCT(('01_Data'!$B342:$AW342&lt;&gt;"")*(1/(1+EXP(-(K342-'03_Lap_b'!$B$15:$AW$15))))^2)</f>
        <v/>
      </c>
      <c r="N342" s="5">
        <f>MEDIAN(-6,K342+(C342-L342)/MAX(L342-M342,0.000000001),6)</f>
        <v/>
      </c>
      <c r="O342" s="5">
        <f>SUMPRODUCT(('01_Data'!$B342:$AW342&lt;&gt;"")*(1/(1+EXP(-(N342-'03_Lap_b'!$B$20:$AW$20)))))</f>
        <v/>
      </c>
      <c r="P342" s="5">
        <f>SUMPRODUCT(('01_Data'!$B342:$AW342&lt;&gt;"")*(1/(1+EXP(-(N342-'03_Lap_b'!$B$20:$AW$20))))^2)</f>
        <v/>
      </c>
      <c r="Q342" s="5">
        <f>MEDIAN(-6,N342+(C342-O342)/MAX(O342-P342,0.000000001),6)</f>
        <v/>
      </c>
      <c r="R342" s="5">
        <f>SUMPRODUCT(('01_Data'!$B342:$AW342&lt;&gt;"")*(1/(1+EXP(-(Q342-'03_Lap_b'!$B$25:$AW$25)))))</f>
        <v/>
      </c>
      <c r="S342" s="5">
        <f>SUMPRODUCT(('01_Data'!$B342:$AW342&lt;&gt;"")*(1/(1+EXP(-(Q342-'03_Lap_b'!$B$25:$AW$25))))^2)</f>
        <v/>
      </c>
      <c r="T342" s="5">
        <f>MEDIAN(-6,Q342+(C342-R342)/MAX(R342-S342,0.000000001),6)</f>
        <v/>
      </c>
      <c r="U342" s="5">
        <f>SUMPRODUCT(('01_Data'!$B342:$AW342&lt;&gt;"")*(1/(1+EXP(-(T342-'03_Lap_b'!$B$30:$AW$30)))))</f>
        <v/>
      </c>
      <c r="V342" s="5">
        <f>SUMPRODUCT(('01_Data'!$B342:$AW342&lt;&gt;"")*(1/(1+EXP(-(T342-'03_Lap_b'!$B$30:$AW$30))))^2)</f>
        <v/>
      </c>
      <c r="W342" s="5">
        <f>MEDIAN(-6,T342+(C342-U342)/MAX(U342-V342,0.000000001),6)</f>
        <v/>
      </c>
      <c r="X342" s="5">
        <f>SUMPRODUCT(('01_Data'!$B342:$AW342&lt;&gt;"")*(1/(1+EXP(-(W342-'03_Lap_b'!$B$35:$AW$35)))))</f>
        <v/>
      </c>
      <c r="Y342" s="5">
        <f>SUMPRODUCT(('01_Data'!$B342:$AW342&lt;&gt;"")*(1/(1+EXP(-(W342-'03_Lap_b'!$B$35:$AW$35))))^2)</f>
        <v/>
      </c>
      <c r="Z342" s="5">
        <f>MEDIAN(-6,W342+(C342-X342)/MAX(X342-Y342,0.000000001),6)</f>
        <v/>
      </c>
      <c r="AA342" s="5">
        <f>SUMPRODUCT(('01_Data'!$B342:$AW342&lt;&gt;"")*(1/(1+EXP(-(Z342-'03_Lap_b'!$B$40:$AW$40)))))</f>
        <v/>
      </c>
      <c r="AB342" s="5">
        <f>SUMPRODUCT(('01_Data'!$B342:$AW342&lt;&gt;"")*(1/(1+EXP(-(Z342-'03_Lap_b'!$B$40:$AW$40))))^2)</f>
        <v/>
      </c>
      <c r="AC342" s="5">
        <f>MEDIAN(-6,Z342+(C342-AA342)/MAX(AA342-AB342,0.000000001),6)</f>
        <v/>
      </c>
    </row>
    <row r="343">
      <c r="A343" t="n">
        <v>342</v>
      </c>
      <c r="B343">
        <f>'01_Data'!A343</f>
        <v/>
      </c>
      <c r="C343">
        <f>SUM('01_Data'!$B343:$AW343)</f>
        <v/>
      </c>
      <c r="D343">
        <f>COUNT('01_Data'!$B343:$AW343)</f>
        <v/>
      </c>
      <c r="E343" s="5">
        <f>MEDIAN(-6,LN((C343+0.3)/(D343-C343+0.3)),6)</f>
        <v/>
      </c>
      <c r="F343" s="5">
        <f>SUMPRODUCT(('01_Data'!$B343:$AW343&lt;&gt;"")*(1/(1+EXP(-(E343-'03_Lap_b'!$B$5:$AW$5)))))</f>
        <v/>
      </c>
      <c r="G343" s="5">
        <f>SUMPRODUCT(('01_Data'!$B343:$AW343&lt;&gt;"")*(1/(1+EXP(-(E343-'03_Lap_b'!$B$5:$AW$5))))^2)</f>
        <v/>
      </c>
      <c r="H343" s="5">
        <f>MEDIAN(-6,E343+(C343-F343)/MAX(F343-G343,0.000000001),6)</f>
        <v/>
      </c>
      <c r="I343" s="5">
        <f>SUMPRODUCT(('01_Data'!$B343:$AW343&lt;&gt;"")*(1/(1+EXP(-(H343-'03_Lap_b'!$B$10:$AW$10)))))</f>
        <v/>
      </c>
      <c r="J343" s="5">
        <f>SUMPRODUCT(('01_Data'!$B343:$AW343&lt;&gt;"")*(1/(1+EXP(-(H343-'03_Lap_b'!$B$10:$AW$10))))^2)</f>
        <v/>
      </c>
      <c r="K343" s="5">
        <f>MEDIAN(-6,H343+(C343-I343)/MAX(I343-J343,0.000000001),6)</f>
        <v/>
      </c>
      <c r="L343" s="5">
        <f>SUMPRODUCT(('01_Data'!$B343:$AW343&lt;&gt;"")*(1/(1+EXP(-(K343-'03_Lap_b'!$B$15:$AW$15)))))</f>
        <v/>
      </c>
      <c r="M343" s="5">
        <f>SUMPRODUCT(('01_Data'!$B343:$AW343&lt;&gt;"")*(1/(1+EXP(-(K343-'03_Lap_b'!$B$15:$AW$15))))^2)</f>
        <v/>
      </c>
      <c r="N343" s="5">
        <f>MEDIAN(-6,K343+(C343-L343)/MAX(L343-M343,0.000000001),6)</f>
        <v/>
      </c>
      <c r="O343" s="5">
        <f>SUMPRODUCT(('01_Data'!$B343:$AW343&lt;&gt;"")*(1/(1+EXP(-(N343-'03_Lap_b'!$B$20:$AW$20)))))</f>
        <v/>
      </c>
      <c r="P343" s="5">
        <f>SUMPRODUCT(('01_Data'!$B343:$AW343&lt;&gt;"")*(1/(1+EXP(-(N343-'03_Lap_b'!$B$20:$AW$20))))^2)</f>
        <v/>
      </c>
      <c r="Q343" s="5">
        <f>MEDIAN(-6,N343+(C343-O343)/MAX(O343-P343,0.000000001),6)</f>
        <v/>
      </c>
      <c r="R343" s="5">
        <f>SUMPRODUCT(('01_Data'!$B343:$AW343&lt;&gt;"")*(1/(1+EXP(-(Q343-'03_Lap_b'!$B$25:$AW$25)))))</f>
        <v/>
      </c>
      <c r="S343" s="5">
        <f>SUMPRODUCT(('01_Data'!$B343:$AW343&lt;&gt;"")*(1/(1+EXP(-(Q343-'03_Lap_b'!$B$25:$AW$25))))^2)</f>
        <v/>
      </c>
      <c r="T343" s="5">
        <f>MEDIAN(-6,Q343+(C343-R343)/MAX(R343-S343,0.000000001),6)</f>
        <v/>
      </c>
      <c r="U343" s="5">
        <f>SUMPRODUCT(('01_Data'!$B343:$AW343&lt;&gt;"")*(1/(1+EXP(-(T343-'03_Lap_b'!$B$30:$AW$30)))))</f>
        <v/>
      </c>
      <c r="V343" s="5">
        <f>SUMPRODUCT(('01_Data'!$B343:$AW343&lt;&gt;"")*(1/(1+EXP(-(T343-'03_Lap_b'!$B$30:$AW$30))))^2)</f>
        <v/>
      </c>
      <c r="W343" s="5">
        <f>MEDIAN(-6,T343+(C343-U343)/MAX(U343-V343,0.000000001),6)</f>
        <v/>
      </c>
      <c r="X343" s="5">
        <f>SUMPRODUCT(('01_Data'!$B343:$AW343&lt;&gt;"")*(1/(1+EXP(-(W343-'03_Lap_b'!$B$35:$AW$35)))))</f>
        <v/>
      </c>
      <c r="Y343" s="5">
        <f>SUMPRODUCT(('01_Data'!$B343:$AW343&lt;&gt;"")*(1/(1+EXP(-(W343-'03_Lap_b'!$B$35:$AW$35))))^2)</f>
        <v/>
      </c>
      <c r="Z343" s="5">
        <f>MEDIAN(-6,W343+(C343-X343)/MAX(X343-Y343,0.000000001),6)</f>
        <v/>
      </c>
      <c r="AA343" s="5">
        <f>SUMPRODUCT(('01_Data'!$B343:$AW343&lt;&gt;"")*(1/(1+EXP(-(Z343-'03_Lap_b'!$B$40:$AW$40)))))</f>
        <v/>
      </c>
      <c r="AB343" s="5">
        <f>SUMPRODUCT(('01_Data'!$B343:$AW343&lt;&gt;"")*(1/(1+EXP(-(Z343-'03_Lap_b'!$B$40:$AW$40))))^2)</f>
        <v/>
      </c>
      <c r="AC343" s="5">
        <f>MEDIAN(-6,Z343+(C343-AA343)/MAX(AA343-AB343,0.000000001),6)</f>
        <v/>
      </c>
    </row>
    <row r="344">
      <c r="A344" t="n">
        <v>343</v>
      </c>
      <c r="B344">
        <f>'01_Data'!A344</f>
        <v/>
      </c>
      <c r="C344">
        <f>SUM('01_Data'!$B344:$AW344)</f>
        <v/>
      </c>
      <c r="D344">
        <f>COUNT('01_Data'!$B344:$AW344)</f>
        <v/>
      </c>
      <c r="E344" s="5">
        <f>MEDIAN(-6,LN((C344+0.3)/(D344-C344+0.3)),6)</f>
        <v/>
      </c>
      <c r="F344" s="5">
        <f>SUMPRODUCT(('01_Data'!$B344:$AW344&lt;&gt;"")*(1/(1+EXP(-(E344-'03_Lap_b'!$B$5:$AW$5)))))</f>
        <v/>
      </c>
      <c r="G344" s="5">
        <f>SUMPRODUCT(('01_Data'!$B344:$AW344&lt;&gt;"")*(1/(1+EXP(-(E344-'03_Lap_b'!$B$5:$AW$5))))^2)</f>
        <v/>
      </c>
      <c r="H344" s="5">
        <f>MEDIAN(-6,E344+(C344-F344)/MAX(F344-G344,0.000000001),6)</f>
        <v/>
      </c>
      <c r="I344" s="5">
        <f>SUMPRODUCT(('01_Data'!$B344:$AW344&lt;&gt;"")*(1/(1+EXP(-(H344-'03_Lap_b'!$B$10:$AW$10)))))</f>
        <v/>
      </c>
      <c r="J344" s="5">
        <f>SUMPRODUCT(('01_Data'!$B344:$AW344&lt;&gt;"")*(1/(1+EXP(-(H344-'03_Lap_b'!$B$10:$AW$10))))^2)</f>
        <v/>
      </c>
      <c r="K344" s="5">
        <f>MEDIAN(-6,H344+(C344-I344)/MAX(I344-J344,0.000000001),6)</f>
        <v/>
      </c>
      <c r="L344" s="5">
        <f>SUMPRODUCT(('01_Data'!$B344:$AW344&lt;&gt;"")*(1/(1+EXP(-(K344-'03_Lap_b'!$B$15:$AW$15)))))</f>
        <v/>
      </c>
      <c r="M344" s="5">
        <f>SUMPRODUCT(('01_Data'!$B344:$AW344&lt;&gt;"")*(1/(1+EXP(-(K344-'03_Lap_b'!$B$15:$AW$15))))^2)</f>
        <v/>
      </c>
      <c r="N344" s="5">
        <f>MEDIAN(-6,K344+(C344-L344)/MAX(L344-M344,0.000000001),6)</f>
        <v/>
      </c>
      <c r="O344" s="5">
        <f>SUMPRODUCT(('01_Data'!$B344:$AW344&lt;&gt;"")*(1/(1+EXP(-(N344-'03_Lap_b'!$B$20:$AW$20)))))</f>
        <v/>
      </c>
      <c r="P344" s="5">
        <f>SUMPRODUCT(('01_Data'!$B344:$AW344&lt;&gt;"")*(1/(1+EXP(-(N344-'03_Lap_b'!$B$20:$AW$20))))^2)</f>
        <v/>
      </c>
      <c r="Q344" s="5">
        <f>MEDIAN(-6,N344+(C344-O344)/MAX(O344-P344,0.000000001),6)</f>
        <v/>
      </c>
      <c r="R344" s="5">
        <f>SUMPRODUCT(('01_Data'!$B344:$AW344&lt;&gt;"")*(1/(1+EXP(-(Q344-'03_Lap_b'!$B$25:$AW$25)))))</f>
        <v/>
      </c>
      <c r="S344" s="5">
        <f>SUMPRODUCT(('01_Data'!$B344:$AW344&lt;&gt;"")*(1/(1+EXP(-(Q344-'03_Lap_b'!$B$25:$AW$25))))^2)</f>
        <v/>
      </c>
      <c r="T344" s="5">
        <f>MEDIAN(-6,Q344+(C344-R344)/MAX(R344-S344,0.000000001),6)</f>
        <v/>
      </c>
      <c r="U344" s="5">
        <f>SUMPRODUCT(('01_Data'!$B344:$AW344&lt;&gt;"")*(1/(1+EXP(-(T344-'03_Lap_b'!$B$30:$AW$30)))))</f>
        <v/>
      </c>
      <c r="V344" s="5">
        <f>SUMPRODUCT(('01_Data'!$B344:$AW344&lt;&gt;"")*(1/(1+EXP(-(T344-'03_Lap_b'!$B$30:$AW$30))))^2)</f>
        <v/>
      </c>
      <c r="W344" s="5">
        <f>MEDIAN(-6,T344+(C344-U344)/MAX(U344-V344,0.000000001),6)</f>
        <v/>
      </c>
      <c r="X344" s="5">
        <f>SUMPRODUCT(('01_Data'!$B344:$AW344&lt;&gt;"")*(1/(1+EXP(-(W344-'03_Lap_b'!$B$35:$AW$35)))))</f>
        <v/>
      </c>
      <c r="Y344" s="5">
        <f>SUMPRODUCT(('01_Data'!$B344:$AW344&lt;&gt;"")*(1/(1+EXP(-(W344-'03_Lap_b'!$B$35:$AW$35))))^2)</f>
        <v/>
      </c>
      <c r="Z344" s="5">
        <f>MEDIAN(-6,W344+(C344-X344)/MAX(X344-Y344,0.000000001),6)</f>
        <v/>
      </c>
      <c r="AA344" s="5">
        <f>SUMPRODUCT(('01_Data'!$B344:$AW344&lt;&gt;"")*(1/(1+EXP(-(Z344-'03_Lap_b'!$B$40:$AW$40)))))</f>
        <v/>
      </c>
      <c r="AB344" s="5">
        <f>SUMPRODUCT(('01_Data'!$B344:$AW344&lt;&gt;"")*(1/(1+EXP(-(Z344-'03_Lap_b'!$B$40:$AW$40))))^2)</f>
        <v/>
      </c>
      <c r="AC344" s="5">
        <f>MEDIAN(-6,Z344+(C344-AA344)/MAX(AA344-AB344,0.000000001),6)</f>
        <v/>
      </c>
    </row>
    <row r="345">
      <c r="A345" t="n">
        <v>344</v>
      </c>
      <c r="B345">
        <f>'01_Data'!A345</f>
        <v/>
      </c>
      <c r="C345">
        <f>SUM('01_Data'!$B345:$AW345)</f>
        <v/>
      </c>
      <c r="D345">
        <f>COUNT('01_Data'!$B345:$AW345)</f>
        <v/>
      </c>
      <c r="E345" s="5">
        <f>MEDIAN(-6,LN((C345+0.3)/(D345-C345+0.3)),6)</f>
        <v/>
      </c>
      <c r="F345" s="5">
        <f>SUMPRODUCT(('01_Data'!$B345:$AW345&lt;&gt;"")*(1/(1+EXP(-(E345-'03_Lap_b'!$B$5:$AW$5)))))</f>
        <v/>
      </c>
      <c r="G345" s="5">
        <f>SUMPRODUCT(('01_Data'!$B345:$AW345&lt;&gt;"")*(1/(1+EXP(-(E345-'03_Lap_b'!$B$5:$AW$5))))^2)</f>
        <v/>
      </c>
      <c r="H345" s="5">
        <f>MEDIAN(-6,E345+(C345-F345)/MAX(F345-G345,0.000000001),6)</f>
        <v/>
      </c>
      <c r="I345" s="5">
        <f>SUMPRODUCT(('01_Data'!$B345:$AW345&lt;&gt;"")*(1/(1+EXP(-(H345-'03_Lap_b'!$B$10:$AW$10)))))</f>
        <v/>
      </c>
      <c r="J345" s="5">
        <f>SUMPRODUCT(('01_Data'!$B345:$AW345&lt;&gt;"")*(1/(1+EXP(-(H345-'03_Lap_b'!$B$10:$AW$10))))^2)</f>
        <v/>
      </c>
      <c r="K345" s="5">
        <f>MEDIAN(-6,H345+(C345-I345)/MAX(I345-J345,0.000000001),6)</f>
        <v/>
      </c>
      <c r="L345" s="5">
        <f>SUMPRODUCT(('01_Data'!$B345:$AW345&lt;&gt;"")*(1/(1+EXP(-(K345-'03_Lap_b'!$B$15:$AW$15)))))</f>
        <v/>
      </c>
      <c r="M345" s="5">
        <f>SUMPRODUCT(('01_Data'!$B345:$AW345&lt;&gt;"")*(1/(1+EXP(-(K345-'03_Lap_b'!$B$15:$AW$15))))^2)</f>
        <v/>
      </c>
      <c r="N345" s="5">
        <f>MEDIAN(-6,K345+(C345-L345)/MAX(L345-M345,0.000000001),6)</f>
        <v/>
      </c>
      <c r="O345" s="5">
        <f>SUMPRODUCT(('01_Data'!$B345:$AW345&lt;&gt;"")*(1/(1+EXP(-(N345-'03_Lap_b'!$B$20:$AW$20)))))</f>
        <v/>
      </c>
      <c r="P345" s="5">
        <f>SUMPRODUCT(('01_Data'!$B345:$AW345&lt;&gt;"")*(1/(1+EXP(-(N345-'03_Lap_b'!$B$20:$AW$20))))^2)</f>
        <v/>
      </c>
      <c r="Q345" s="5">
        <f>MEDIAN(-6,N345+(C345-O345)/MAX(O345-P345,0.000000001),6)</f>
        <v/>
      </c>
      <c r="R345" s="5">
        <f>SUMPRODUCT(('01_Data'!$B345:$AW345&lt;&gt;"")*(1/(1+EXP(-(Q345-'03_Lap_b'!$B$25:$AW$25)))))</f>
        <v/>
      </c>
      <c r="S345" s="5">
        <f>SUMPRODUCT(('01_Data'!$B345:$AW345&lt;&gt;"")*(1/(1+EXP(-(Q345-'03_Lap_b'!$B$25:$AW$25))))^2)</f>
        <v/>
      </c>
      <c r="T345" s="5">
        <f>MEDIAN(-6,Q345+(C345-R345)/MAX(R345-S345,0.000000001),6)</f>
        <v/>
      </c>
      <c r="U345" s="5">
        <f>SUMPRODUCT(('01_Data'!$B345:$AW345&lt;&gt;"")*(1/(1+EXP(-(T345-'03_Lap_b'!$B$30:$AW$30)))))</f>
        <v/>
      </c>
      <c r="V345" s="5">
        <f>SUMPRODUCT(('01_Data'!$B345:$AW345&lt;&gt;"")*(1/(1+EXP(-(T345-'03_Lap_b'!$B$30:$AW$30))))^2)</f>
        <v/>
      </c>
      <c r="W345" s="5">
        <f>MEDIAN(-6,T345+(C345-U345)/MAX(U345-V345,0.000000001),6)</f>
        <v/>
      </c>
      <c r="X345" s="5">
        <f>SUMPRODUCT(('01_Data'!$B345:$AW345&lt;&gt;"")*(1/(1+EXP(-(W345-'03_Lap_b'!$B$35:$AW$35)))))</f>
        <v/>
      </c>
      <c r="Y345" s="5">
        <f>SUMPRODUCT(('01_Data'!$B345:$AW345&lt;&gt;"")*(1/(1+EXP(-(W345-'03_Lap_b'!$B$35:$AW$35))))^2)</f>
        <v/>
      </c>
      <c r="Z345" s="5">
        <f>MEDIAN(-6,W345+(C345-X345)/MAX(X345-Y345,0.000000001),6)</f>
        <v/>
      </c>
      <c r="AA345" s="5">
        <f>SUMPRODUCT(('01_Data'!$B345:$AW345&lt;&gt;"")*(1/(1+EXP(-(Z345-'03_Lap_b'!$B$40:$AW$40)))))</f>
        <v/>
      </c>
      <c r="AB345" s="5">
        <f>SUMPRODUCT(('01_Data'!$B345:$AW345&lt;&gt;"")*(1/(1+EXP(-(Z345-'03_Lap_b'!$B$40:$AW$40))))^2)</f>
        <v/>
      </c>
      <c r="AC345" s="5">
        <f>MEDIAN(-6,Z345+(C345-AA345)/MAX(AA345-AB345,0.000000001),6)</f>
        <v/>
      </c>
    </row>
    <row r="346">
      <c r="A346" t="n">
        <v>345</v>
      </c>
      <c r="B346">
        <f>'01_Data'!A346</f>
        <v/>
      </c>
      <c r="C346">
        <f>SUM('01_Data'!$B346:$AW346)</f>
        <v/>
      </c>
      <c r="D346">
        <f>COUNT('01_Data'!$B346:$AW346)</f>
        <v/>
      </c>
      <c r="E346" s="5">
        <f>MEDIAN(-6,LN((C346+0.3)/(D346-C346+0.3)),6)</f>
        <v/>
      </c>
      <c r="F346" s="5">
        <f>SUMPRODUCT(('01_Data'!$B346:$AW346&lt;&gt;"")*(1/(1+EXP(-(E346-'03_Lap_b'!$B$5:$AW$5)))))</f>
        <v/>
      </c>
      <c r="G346" s="5">
        <f>SUMPRODUCT(('01_Data'!$B346:$AW346&lt;&gt;"")*(1/(1+EXP(-(E346-'03_Lap_b'!$B$5:$AW$5))))^2)</f>
        <v/>
      </c>
      <c r="H346" s="5">
        <f>MEDIAN(-6,E346+(C346-F346)/MAX(F346-G346,0.000000001),6)</f>
        <v/>
      </c>
      <c r="I346" s="5">
        <f>SUMPRODUCT(('01_Data'!$B346:$AW346&lt;&gt;"")*(1/(1+EXP(-(H346-'03_Lap_b'!$B$10:$AW$10)))))</f>
        <v/>
      </c>
      <c r="J346" s="5">
        <f>SUMPRODUCT(('01_Data'!$B346:$AW346&lt;&gt;"")*(1/(1+EXP(-(H346-'03_Lap_b'!$B$10:$AW$10))))^2)</f>
        <v/>
      </c>
      <c r="K346" s="5">
        <f>MEDIAN(-6,H346+(C346-I346)/MAX(I346-J346,0.000000001),6)</f>
        <v/>
      </c>
      <c r="L346" s="5">
        <f>SUMPRODUCT(('01_Data'!$B346:$AW346&lt;&gt;"")*(1/(1+EXP(-(K346-'03_Lap_b'!$B$15:$AW$15)))))</f>
        <v/>
      </c>
      <c r="M346" s="5">
        <f>SUMPRODUCT(('01_Data'!$B346:$AW346&lt;&gt;"")*(1/(1+EXP(-(K346-'03_Lap_b'!$B$15:$AW$15))))^2)</f>
        <v/>
      </c>
      <c r="N346" s="5">
        <f>MEDIAN(-6,K346+(C346-L346)/MAX(L346-M346,0.000000001),6)</f>
        <v/>
      </c>
      <c r="O346" s="5">
        <f>SUMPRODUCT(('01_Data'!$B346:$AW346&lt;&gt;"")*(1/(1+EXP(-(N346-'03_Lap_b'!$B$20:$AW$20)))))</f>
        <v/>
      </c>
      <c r="P346" s="5">
        <f>SUMPRODUCT(('01_Data'!$B346:$AW346&lt;&gt;"")*(1/(1+EXP(-(N346-'03_Lap_b'!$B$20:$AW$20))))^2)</f>
        <v/>
      </c>
      <c r="Q346" s="5">
        <f>MEDIAN(-6,N346+(C346-O346)/MAX(O346-P346,0.000000001),6)</f>
        <v/>
      </c>
      <c r="R346" s="5">
        <f>SUMPRODUCT(('01_Data'!$B346:$AW346&lt;&gt;"")*(1/(1+EXP(-(Q346-'03_Lap_b'!$B$25:$AW$25)))))</f>
        <v/>
      </c>
      <c r="S346" s="5">
        <f>SUMPRODUCT(('01_Data'!$B346:$AW346&lt;&gt;"")*(1/(1+EXP(-(Q346-'03_Lap_b'!$B$25:$AW$25))))^2)</f>
        <v/>
      </c>
      <c r="T346" s="5">
        <f>MEDIAN(-6,Q346+(C346-R346)/MAX(R346-S346,0.000000001),6)</f>
        <v/>
      </c>
      <c r="U346" s="5">
        <f>SUMPRODUCT(('01_Data'!$B346:$AW346&lt;&gt;"")*(1/(1+EXP(-(T346-'03_Lap_b'!$B$30:$AW$30)))))</f>
        <v/>
      </c>
      <c r="V346" s="5">
        <f>SUMPRODUCT(('01_Data'!$B346:$AW346&lt;&gt;"")*(1/(1+EXP(-(T346-'03_Lap_b'!$B$30:$AW$30))))^2)</f>
        <v/>
      </c>
      <c r="W346" s="5">
        <f>MEDIAN(-6,T346+(C346-U346)/MAX(U346-V346,0.000000001),6)</f>
        <v/>
      </c>
      <c r="X346" s="5">
        <f>SUMPRODUCT(('01_Data'!$B346:$AW346&lt;&gt;"")*(1/(1+EXP(-(W346-'03_Lap_b'!$B$35:$AW$35)))))</f>
        <v/>
      </c>
      <c r="Y346" s="5">
        <f>SUMPRODUCT(('01_Data'!$B346:$AW346&lt;&gt;"")*(1/(1+EXP(-(W346-'03_Lap_b'!$B$35:$AW$35))))^2)</f>
        <v/>
      </c>
      <c r="Z346" s="5">
        <f>MEDIAN(-6,W346+(C346-X346)/MAX(X346-Y346,0.000000001),6)</f>
        <v/>
      </c>
      <c r="AA346" s="5">
        <f>SUMPRODUCT(('01_Data'!$B346:$AW346&lt;&gt;"")*(1/(1+EXP(-(Z346-'03_Lap_b'!$B$40:$AW$40)))))</f>
        <v/>
      </c>
      <c r="AB346" s="5">
        <f>SUMPRODUCT(('01_Data'!$B346:$AW346&lt;&gt;"")*(1/(1+EXP(-(Z346-'03_Lap_b'!$B$40:$AW$40))))^2)</f>
        <v/>
      </c>
      <c r="AC346" s="5">
        <f>MEDIAN(-6,Z346+(C346-AA346)/MAX(AA346-AB346,0.000000001),6)</f>
        <v/>
      </c>
    </row>
    <row r="347">
      <c r="A347" t="n">
        <v>346</v>
      </c>
      <c r="B347">
        <f>'01_Data'!A347</f>
        <v/>
      </c>
      <c r="C347">
        <f>SUM('01_Data'!$B347:$AW347)</f>
        <v/>
      </c>
      <c r="D347">
        <f>COUNT('01_Data'!$B347:$AW347)</f>
        <v/>
      </c>
      <c r="E347" s="5">
        <f>MEDIAN(-6,LN((C347+0.3)/(D347-C347+0.3)),6)</f>
        <v/>
      </c>
      <c r="F347" s="5">
        <f>SUMPRODUCT(('01_Data'!$B347:$AW347&lt;&gt;"")*(1/(1+EXP(-(E347-'03_Lap_b'!$B$5:$AW$5)))))</f>
        <v/>
      </c>
      <c r="G347" s="5">
        <f>SUMPRODUCT(('01_Data'!$B347:$AW347&lt;&gt;"")*(1/(1+EXP(-(E347-'03_Lap_b'!$B$5:$AW$5))))^2)</f>
        <v/>
      </c>
      <c r="H347" s="5">
        <f>MEDIAN(-6,E347+(C347-F347)/MAX(F347-G347,0.000000001),6)</f>
        <v/>
      </c>
      <c r="I347" s="5">
        <f>SUMPRODUCT(('01_Data'!$B347:$AW347&lt;&gt;"")*(1/(1+EXP(-(H347-'03_Lap_b'!$B$10:$AW$10)))))</f>
        <v/>
      </c>
      <c r="J347" s="5">
        <f>SUMPRODUCT(('01_Data'!$B347:$AW347&lt;&gt;"")*(1/(1+EXP(-(H347-'03_Lap_b'!$B$10:$AW$10))))^2)</f>
        <v/>
      </c>
      <c r="K347" s="5">
        <f>MEDIAN(-6,H347+(C347-I347)/MAX(I347-J347,0.000000001),6)</f>
        <v/>
      </c>
      <c r="L347" s="5">
        <f>SUMPRODUCT(('01_Data'!$B347:$AW347&lt;&gt;"")*(1/(1+EXP(-(K347-'03_Lap_b'!$B$15:$AW$15)))))</f>
        <v/>
      </c>
      <c r="M347" s="5">
        <f>SUMPRODUCT(('01_Data'!$B347:$AW347&lt;&gt;"")*(1/(1+EXP(-(K347-'03_Lap_b'!$B$15:$AW$15))))^2)</f>
        <v/>
      </c>
      <c r="N347" s="5">
        <f>MEDIAN(-6,K347+(C347-L347)/MAX(L347-M347,0.000000001),6)</f>
        <v/>
      </c>
      <c r="O347" s="5">
        <f>SUMPRODUCT(('01_Data'!$B347:$AW347&lt;&gt;"")*(1/(1+EXP(-(N347-'03_Lap_b'!$B$20:$AW$20)))))</f>
        <v/>
      </c>
      <c r="P347" s="5">
        <f>SUMPRODUCT(('01_Data'!$B347:$AW347&lt;&gt;"")*(1/(1+EXP(-(N347-'03_Lap_b'!$B$20:$AW$20))))^2)</f>
        <v/>
      </c>
      <c r="Q347" s="5">
        <f>MEDIAN(-6,N347+(C347-O347)/MAX(O347-P347,0.000000001),6)</f>
        <v/>
      </c>
      <c r="R347" s="5">
        <f>SUMPRODUCT(('01_Data'!$B347:$AW347&lt;&gt;"")*(1/(1+EXP(-(Q347-'03_Lap_b'!$B$25:$AW$25)))))</f>
        <v/>
      </c>
      <c r="S347" s="5">
        <f>SUMPRODUCT(('01_Data'!$B347:$AW347&lt;&gt;"")*(1/(1+EXP(-(Q347-'03_Lap_b'!$B$25:$AW$25))))^2)</f>
        <v/>
      </c>
      <c r="T347" s="5">
        <f>MEDIAN(-6,Q347+(C347-R347)/MAX(R347-S347,0.000000001),6)</f>
        <v/>
      </c>
      <c r="U347" s="5">
        <f>SUMPRODUCT(('01_Data'!$B347:$AW347&lt;&gt;"")*(1/(1+EXP(-(T347-'03_Lap_b'!$B$30:$AW$30)))))</f>
        <v/>
      </c>
      <c r="V347" s="5">
        <f>SUMPRODUCT(('01_Data'!$B347:$AW347&lt;&gt;"")*(1/(1+EXP(-(T347-'03_Lap_b'!$B$30:$AW$30))))^2)</f>
        <v/>
      </c>
      <c r="W347" s="5">
        <f>MEDIAN(-6,T347+(C347-U347)/MAX(U347-V347,0.000000001),6)</f>
        <v/>
      </c>
      <c r="X347" s="5">
        <f>SUMPRODUCT(('01_Data'!$B347:$AW347&lt;&gt;"")*(1/(1+EXP(-(W347-'03_Lap_b'!$B$35:$AW$35)))))</f>
        <v/>
      </c>
      <c r="Y347" s="5">
        <f>SUMPRODUCT(('01_Data'!$B347:$AW347&lt;&gt;"")*(1/(1+EXP(-(W347-'03_Lap_b'!$B$35:$AW$35))))^2)</f>
        <v/>
      </c>
      <c r="Z347" s="5">
        <f>MEDIAN(-6,W347+(C347-X347)/MAX(X347-Y347,0.000000001),6)</f>
        <v/>
      </c>
      <c r="AA347" s="5">
        <f>SUMPRODUCT(('01_Data'!$B347:$AW347&lt;&gt;"")*(1/(1+EXP(-(Z347-'03_Lap_b'!$B$40:$AW$40)))))</f>
        <v/>
      </c>
      <c r="AB347" s="5">
        <f>SUMPRODUCT(('01_Data'!$B347:$AW347&lt;&gt;"")*(1/(1+EXP(-(Z347-'03_Lap_b'!$B$40:$AW$40))))^2)</f>
        <v/>
      </c>
      <c r="AC347" s="5">
        <f>MEDIAN(-6,Z347+(C347-AA347)/MAX(AA347-AB347,0.000000001),6)</f>
        <v/>
      </c>
    </row>
    <row r="348">
      <c r="A348" t="n">
        <v>347</v>
      </c>
      <c r="B348">
        <f>'01_Data'!A348</f>
        <v/>
      </c>
      <c r="C348">
        <f>SUM('01_Data'!$B348:$AW348)</f>
        <v/>
      </c>
      <c r="D348">
        <f>COUNT('01_Data'!$B348:$AW348)</f>
        <v/>
      </c>
      <c r="E348" s="5">
        <f>MEDIAN(-6,LN((C348+0.3)/(D348-C348+0.3)),6)</f>
        <v/>
      </c>
      <c r="F348" s="5">
        <f>SUMPRODUCT(('01_Data'!$B348:$AW348&lt;&gt;"")*(1/(1+EXP(-(E348-'03_Lap_b'!$B$5:$AW$5)))))</f>
        <v/>
      </c>
      <c r="G348" s="5">
        <f>SUMPRODUCT(('01_Data'!$B348:$AW348&lt;&gt;"")*(1/(1+EXP(-(E348-'03_Lap_b'!$B$5:$AW$5))))^2)</f>
        <v/>
      </c>
      <c r="H348" s="5">
        <f>MEDIAN(-6,E348+(C348-F348)/MAX(F348-G348,0.000000001),6)</f>
        <v/>
      </c>
      <c r="I348" s="5">
        <f>SUMPRODUCT(('01_Data'!$B348:$AW348&lt;&gt;"")*(1/(1+EXP(-(H348-'03_Lap_b'!$B$10:$AW$10)))))</f>
        <v/>
      </c>
      <c r="J348" s="5">
        <f>SUMPRODUCT(('01_Data'!$B348:$AW348&lt;&gt;"")*(1/(1+EXP(-(H348-'03_Lap_b'!$B$10:$AW$10))))^2)</f>
        <v/>
      </c>
      <c r="K348" s="5">
        <f>MEDIAN(-6,H348+(C348-I348)/MAX(I348-J348,0.000000001),6)</f>
        <v/>
      </c>
      <c r="L348" s="5">
        <f>SUMPRODUCT(('01_Data'!$B348:$AW348&lt;&gt;"")*(1/(1+EXP(-(K348-'03_Lap_b'!$B$15:$AW$15)))))</f>
        <v/>
      </c>
      <c r="M348" s="5">
        <f>SUMPRODUCT(('01_Data'!$B348:$AW348&lt;&gt;"")*(1/(1+EXP(-(K348-'03_Lap_b'!$B$15:$AW$15))))^2)</f>
        <v/>
      </c>
      <c r="N348" s="5">
        <f>MEDIAN(-6,K348+(C348-L348)/MAX(L348-M348,0.000000001),6)</f>
        <v/>
      </c>
      <c r="O348" s="5">
        <f>SUMPRODUCT(('01_Data'!$B348:$AW348&lt;&gt;"")*(1/(1+EXP(-(N348-'03_Lap_b'!$B$20:$AW$20)))))</f>
        <v/>
      </c>
      <c r="P348" s="5">
        <f>SUMPRODUCT(('01_Data'!$B348:$AW348&lt;&gt;"")*(1/(1+EXP(-(N348-'03_Lap_b'!$B$20:$AW$20))))^2)</f>
        <v/>
      </c>
      <c r="Q348" s="5">
        <f>MEDIAN(-6,N348+(C348-O348)/MAX(O348-P348,0.000000001),6)</f>
        <v/>
      </c>
      <c r="R348" s="5">
        <f>SUMPRODUCT(('01_Data'!$B348:$AW348&lt;&gt;"")*(1/(1+EXP(-(Q348-'03_Lap_b'!$B$25:$AW$25)))))</f>
        <v/>
      </c>
      <c r="S348" s="5">
        <f>SUMPRODUCT(('01_Data'!$B348:$AW348&lt;&gt;"")*(1/(1+EXP(-(Q348-'03_Lap_b'!$B$25:$AW$25))))^2)</f>
        <v/>
      </c>
      <c r="T348" s="5">
        <f>MEDIAN(-6,Q348+(C348-R348)/MAX(R348-S348,0.000000001),6)</f>
        <v/>
      </c>
      <c r="U348" s="5">
        <f>SUMPRODUCT(('01_Data'!$B348:$AW348&lt;&gt;"")*(1/(1+EXP(-(T348-'03_Lap_b'!$B$30:$AW$30)))))</f>
        <v/>
      </c>
      <c r="V348" s="5">
        <f>SUMPRODUCT(('01_Data'!$B348:$AW348&lt;&gt;"")*(1/(1+EXP(-(T348-'03_Lap_b'!$B$30:$AW$30))))^2)</f>
        <v/>
      </c>
      <c r="W348" s="5">
        <f>MEDIAN(-6,T348+(C348-U348)/MAX(U348-V348,0.000000001),6)</f>
        <v/>
      </c>
      <c r="X348" s="5">
        <f>SUMPRODUCT(('01_Data'!$B348:$AW348&lt;&gt;"")*(1/(1+EXP(-(W348-'03_Lap_b'!$B$35:$AW$35)))))</f>
        <v/>
      </c>
      <c r="Y348" s="5">
        <f>SUMPRODUCT(('01_Data'!$B348:$AW348&lt;&gt;"")*(1/(1+EXP(-(W348-'03_Lap_b'!$B$35:$AW$35))))^2)</f>
        <v/>
      </c>
      <c r="Z348" s="5">
        <f>MEDIAN(-6,W348+(C348-X348)/MAX(X348-Y348,0.000000001),6)</f>
        <v/>
      </c>
      <c r="AA348" s="5">
        <f>SUMPRODUCT(('01_Data'!$B348:$AW348&lt;&gt;"")*(1/(1+EXP(-(Z348-'03_Lap_b'!$B$40:$AW$40)))))</f>
        <v/>
      </c>
      <c r="AB348" s="5">
        <f>SUMPRODUCT(('01_Data'!$B348:$AW348&lt;&gt;"")*(1/(1+EXP(-(Z348-'03_Lap_b'!$B$40:$AW$40))))^2)</f>
        <v/>
      </c>
      <c r="AC348" s="5">
        <f>MEDIAN(-6,Z348+(C348-AA348)/MAX(AA348-AB348,0.000000001),6)</f>
        <v/>
      </c>
    </row>
    <row r="349">
      <c r="A349" t="n">
        <v>348</v>
      </c>
      <c r="B349">
        <f>'01_Data'!A349</f>
        <v/>
      </c>
      <c r="C349">
        <f>SUM('01_Data'!$B349:$AW349)</f>
        <v/>
      </c>
      <c r="D349">
        <f>COUNT('01_Data'!$B349:$AW349)</f>
        <v/>
      </c>
      <c r="E349" s="5">
        <f>MEDIAN(-6,LN((C349+0.3)/(D349-C349+0.3)),6)</f>
        <v/>
      </c>
      <c r="F349" s="5">
        <f>SUMPRODUCT(('01_Data'!$B349:$AW349&lt;&gt;"")*(1/(1+EXP(-(E349-'03_Lap_b'!$B$5:$AW$5)))))</f>
        <v/>
      </c>
      <c r="G349" s="5">
        <f>SUMPRODUCT(('01_Data'!$B349:$AW349&lt;&gt;"")*(1/(1+EXP(-(E349-'03_Lap_b'!$B$5:$AW$5))))^2)</f>
        <v/>
      </c>
      <c r="H349" s="5">
        <f>MEDIAN(-6,E349+(C349-F349)/MAX(F349-G349,0.000000001),6)</f>
        <v/>
      </c>
      <c r="I349" s="5">
        <f>SUMPRODUCT(('01_Data'!$B349:$AW349&lt;&gt;"")*(1/(1+EXP(-(H349-'03_Lap_b'!$B$10:$AW$10)))))</f>
        <v/>
      </c>
      <c r="J349" s="5">
        <f>SUMPRODUCT(('01_Data'!$B349:$AW349&lt;&gt;"")*(1/(1+EXP(-(H349-'03_Lap_b'!$B$10:$AW$10))))^2)</f>
        <v/>
      </c>
      <c r="K349" s="5">
        <f>MEDIAN(-6,H349+(C349-I349)/MAX(I349-J349,0.000000001),6)</f>
        <v/>
      </c>
      <c r="L349" s="5">
        <f>SUMPRODUCT(('01_Data'!$B349:$AW349&lt;&gt;"")*(1/(1+EXP(-(K349-'03_Lap_b'!$B$15:$AW$15)))))</f>
        <v/>
      </c>
      <c r="M349" s="5">
        <f>SUMPRODUCT(('01_Data'!$B349:$AW349&lt;&gt;"")*(1/(1+EXP(-(K349-'03_Lap_b'!$B$15:$AW$15))))^2)</f>
        <v/>
      </c>
      <c r="N349" s="5">
        <f>MEDIAN(-6,K349+(C349-L349)/MAX(L349-M349,0.000000001),6)</f>
        <v/>
      </c>
      <c r="O349" s="5">
        <f>SUMPRODUCT(('01_Data'!$B349:$AW349&lt;&gt;"")*(1/(1+EXP(-(N349-'03_Lap_b'!$B$20:$AW$20)))))</f>
        <v/>
      </c>
      <c r="P349" s="5">
        <f>SUMPRODUCT(('01_Data'!$B349:$AW349&lt;&gt;"")*(1/(1+EXP(-(N349-'03_Lap_b'!$B$20:$AW$20))))^2)</f>
        <v/>
      </c>
      <c r="Q349" s="5">
        <f>MEDIAN(-6,N349+(C349-O349)/MAX(O349-P349,0.000000001),6)</f>
        <v/>
      </c>
      <c r="R349" s="5">
        <f>SUMPRODUCT(('01_Data'!$B349:$AW349&lt;&gt;"")*(1/(1+EXP(-(Q349-'03_Lap_b'!$B$25:$AW$25)))))</f>
        <v/>
      </c>
      <c r="S349" s="5">
        <f>SUMPRODUCT(('01_Data'!$B349:$AW349&lt;&gt;"")*(1/(1+EXP(-(Q349-'03_Lap_b'!$B$25:$AW$25))))^2)</f>
        <v/>
      </c>
      <c r="T349" s="5">
        <f>MEDIAN(-6,Q349+(C349-R349)/MAX(R349-S349,0.000000001),6)</f>
        <v/>
      </c>
      <c r="U349" s="5">
        <f>SUMPRODUCT(('01_Data'!$B349:$AW349&lt;&gt;"")*(1/(1+EXP(-(T349-'03_Lap_b'!$B$30:$AW$30)))))</f>
        <v/>
      </c>
      <c r="V349" s="5">
        <f>SUMPRODUCT(('01_Data'!$B349:$AW349&lt;&gt;"")*(1/(1+EXP(-(T349-'03_Lap_b'!$B$30:$AW$30))))^2)</f>
        <v/>
      </c>
      <c r="W349" s="5">
        <f>MEDIAN(-6,T349+(C349-U349)/MAX(U349-V349,0.000000001),6)</f>
        <v/>
      </c>
      <c r="X349" s="5">
        <f>SUMPRODUCT(('01_Data'!$B349:$AW349&lt;&gt;"")*(1/(1+EXP(-(W349-'03_Lap_b'!$B$35:$AW$35)))))</f>
        <v/>
      </c>
      <c r="Y349" s="5">
        <f>SUMPRODUCT(('01_Data'!$B349:$AW349&lt;&gt;"")*(1/(1+EXP(-(W349-'03_Lap_b'!$B$35:$AW$35))))^2)</f>
        <v/>
      </c>
      <c r="Z349" s="5">
        <f>MEDIAN(-6,W349+(C349-X349)/MAX(X349-Y349,0.000000001),6)</f>
        <v/>
      </c>
      <c r="AA349" s="5">
        <f>SUMPRODUCT(('01_Data'!$B349:$AW349&lt;&gt;"")*(1/(1+EXP(-(Z349-'03_Lap_b'!$B$40:$AW$40)))))</f>
        <v/>
      </c>
      <c r="AB349" s="5">
        <f>SUMPRODUCT(('01_Data'!$B349:$AW349&lt;&gt;"")*(1/(1+EXP(-(Z349-'03_Lap_b'!$B$40:$AW$40))))^2)</f>
        <v/>
      </c>
      <c r="AC349" s="5">
        <f>MEDIAN(-6,Z349+(C349-AA349)/MAX(AA349-AB349,0.000000001),6)</f>
        <v/>
      </c>
    </row>
    <row r="350">
      <c r="A350" t="n">
        <v>349</v>
      </c>
      <c r="B350">
        <f>'01_Data'!A350</f>
        <v/>
      </c>
      <c r="C350">
        <f>SUM('01_Data'!$B350:$AW350)</f>
        <v/>
      </c>
      <c r="D350">
        <f>COUNT('01_Data'!$B350:$AW350)</f>
        <v/>
      </c>
      <c r="E350" s="5">
        <f>MEDIAN(-6,LN((C350+0.3)/(D350-C350+0.3)),6)</f>
        <v/>
      </c>
      <c r="F350" s="5">
        <f>SUMPRODUCT(('01_Data'!$B350:$AW350&lt;&gt;"")*(1/(1+EXP(-(E350-'03_Lap_b'!$B$5:$AW$5)))))</f>
        <v/>
      </c>
      <c r="G350" s="5">
        <f>SUMPRODUCT(('01_Data'!$B350:$AW350&lt;&gt;"")*(1/(1+EXP(-(E350-'03_Lap_b'!$B$5:$AW$5))))^2)</f>
        <v/>
      </c>
      <c r="H350" s="5">
        <f>MEDIAN(-6,E350+(C350-F350)/MAX(F350-G350,0.000000001),6)</f>
        <v/>
      </c>
      <c r="I350" s="5">
        <f>SUMPRODUCT(('01_Data'!$B350:$AW350&lt;&gt;"")*(1/(1+EXP(-(H350-'03_Lap_b'!$B$10:$AW$10)))))</f>
        <v/>
      </c>
      <c r="J350" s="5">
        <f>SUMPRODUCT(('01_Data'!$B350:$AW350&lt;&gt;"")*(1/(1+EXP(-(H350-'03_Lap_b'!$B$10:$AW$10))))^2)</f>
        <v/>
      </c>
      <c r="K350" s="5">
        <f>MEDIAN(-6,H350+(C350-I350)/MAX(I350-J350,0.000000001),6)</f>
        <v/>
      </c>
      <c r="L350" s="5">
        <f>SUMPRODUCT(('01_Data'!$B350:$AW350&lt;&gt;"")*(1/(1+EXP(-(K350-'03_Lap_b'!$B$15:$AW$15)))))</f>
        <v/>
      </c>
      <c r="M350" s="5">
        <f>SUMPRODUCT(('01_Data'!$B350:$AW350&lt;&gt;"")*(1/(1+EXP(-(K350-'03_Lap_b'!$B$15:$AW$15))))^2)</f>
        <v/>
      </c>
      <c r="N350" s="5">
        <f>MEDIAN(-6,K350+(C350-L350)/MAX(L350-M350,0.000000001),6)</f>
        <v/>
      </c>
      <c r="O350" s="5">
        <f>SUMPRODUCT(('01_Data'!$B350:$AW350&lt;&gt;"")*(1/(1+EXP(-(N350-'03_Lap_b'!$B$20:$AW$20)))))</f>
        <v/>
      </c>
      <c r="P350" s="5">
        <f>SUMPRODUCT(('01_Data'!$B350:$AW350&lt;&gt;"")*(1/(1+EXP(-(N350-'03_Lap_b'!$B$20:$AW$20))))^2)</f>
        <v/>
      </c>
      <c r="Q350" s="5">
        <f>MEDIAN(-6,N350+(C350-O350)/MAX(O350-P350,0.000000001),6)</f>
        <v/>
      </c>
      <c r="R350" s="5">
        <f>SUMPRODUCT(('01_Data'!$B350:$AW350&lt;&gt;"")*(1/(1+EXP(-(Q350-'03_Lap_b'!$B$25:$AW$25)))))</f>
        <v/>
      </c>
      <c r="S350" s="5">
        <f>SUMPRODUCT(('01_Data'!$B350:$AW350&lt;&gt;"")*(1/(1+EXP(-(Q350-'03_Lap_b'!$B$25:$AW$25))))^2)</f>
        <v/>
      </c>
      <c r="T350" s="5">
        <f>MEDIAN(-6,Q350+(C350-R350)/MAX(R350-S350,0.000000001),6)</f>
        <v/>
      </c>
      <c r="U350" s="5">
        <f>SUMPRODUCT(('01_Data'!$B350:$AW350&lt;&gt;"")*(1/(1+EXP(-(T350-'03_Lap_b'!$B$30:$AW$30)))))</f>
        <v/>
      </c>
      <c r="V350" s="5">
        <f>SUMPRODUCT(('01_Data'!$B350:$AW350&lt;&gt;"")*(1/(1+EXP(-(T350-'03_Lap_b'!$B$30:$AW$30))))^2)</f>
        <v/>
      </c>
      <c r="W350" s="5">
        <f>MEDIAN(-6,T350+(C350-U350)/MAX(U350-V350,0.000000001),6)</f>
        <v/>
      </c>
      <c r="X350" s="5">
        <f>SUMPRODUCT(('01_Data'!$B350:$AW350&lt;&gt;"")*(1/(1+EXP(-(W350-'03_Lap_b'!$B$35:$AW$35)))))</f>
        <v/>
      </c>
      <c r="Y350" s="5">
        <f>SUMPRODUCT(('01_Data'!$B350:$AW350&lt;&gt;"")*(1/(1+EXP(-(W350-'03_Lap_b'!$B$35:$AW$35))))^2)</f>
        <v/>
      </c>
      <c r="Z350" s="5">
        <f>MEDIAN(-6,W350+(C350-X350)/MAX(X350-Y350,0.000000001),6)</f>
        <v/>
      </c>
      <c r="AA350" s="5">
        <f>SUMPRODUCT(('01_Data'!$B350:$AW350&lt;&gt;"")*(1/(1+EXP(-(Z350-'03_Lap_b'!$B$40:$AW$40)))))</f>
        <v/>
      </c>
      <c r="AB350" s="5">
        <f>SUMPRODUCT(('01_Data'!$B350:$AW350&lt;&gt;"")*(1/(1+EXP(-(Z350-'03_Lap_b'!$B$40:$AW$40))))^2)</f>
        <v/>
      </c>
      <c r="AC350" s="5">
        <f>MEDIAN(-6,Z350+(C350-AA350)/MAX(AA350-AB350,0.000000001),6)</f>
        <v/>
      </c>
    </row>
    <row r="351">
      <c r="A351" t="n">
        <v>350</v>
      </c>
      <c r="B351">
        <f>'01_Data'!A351</f>
        <v/>
      </c>
      <c r="C351">
        <f>SUM('01_Data'!$B351:$AW351)</f>
        <v/>
      </c>
      <c r="D351">
        <f>COUNT('01_Data'!$B351:$AW351)</f>
        <v/>
      </c>
      <c r="E351" s="5">
        <f>MEDIAN(-6,LN((C351+0.3)/(D351-C351+0.3)),6)</f>
        <v/>
      </c>
      <c r="F351" s="5">
        <f>SUMPRODUCT(('01_Data'!$B351:$AW351&lt;&gt;"")*(1/(1+EXP(-(E351-'03_Lap_b'!$B$5:$AW$5)))))</f>
        <v/>
      </c>
      <c r="G351" s="5">
        <f>SUMPRODUCT(('01_Data'!$B351:$AW351&lt;&gt;"")*(1/(1+EXP(-(E351-'03_Lap_b'!$B$5:$AW$5))))^2)</f>
        <v/>
      </c>
      <c r="H351" s="5">
        <f>MEDIAN(-6,E351+(C351-F351)/MAX(F351-G351,0.000000001),6)</f>
        <v/>
      </c>
      <c r="I351" s="5">
        <f>SUMPRODUCT(('01_Data'!$B351:$AW351&lt;&gt;"")*(1/(1+EXP(-(H351-'03_Lap_b'!$B$10:$AW$10)))))</f>
        <v/>
      </c>
      <c r="J351" s="5">
        <f>SUMPRODUCT(('01_Data'!$B351:$AW351&lt;&gt;"")*(1/(1+EXP(-(H351-'03_Lap_b'!$B$10:$AW$10))))^2)</f>
        <v/>
      </c>
      <c r="K351" s="5">
        <f>MEDIAN(-6,H351+(C351-I351)/MAX(I351-J351,0.000000001),6)</f>
        <v/>
      </c>
      <c r="L351" s="5">
        <f>SUMPRODUCT(('01_Data'!$B351:$AW351&lt;&gt;"")*(1/(1+EXP(-(K351-'03_Lap_b'!$B$15:$AW$15)))))</f>
        <v/>
      </c>
      <c r="M351" s="5">
        <f>SUMPRODUCT(('01_Data'!$B351:$AW351&lt;&gt;"")*(1/(1+EXP(-(K351-'03_Lap_b'!$B$15:$AW$15))))^2)</f>
        <v/>
      </c>
      <c r="N351" s="5">
        <f>MEDIAN(-6,K351+(C351-L351)/MAX(L351-M351,0.000000001),6)</f>
        <v/>
      </c>
      <c r="O351" s="5">
        <f>SUMPRODUCT(('01_Data'!$B351:$AW351&lt;&gt;"")*(1/(1+EXP(-(N351-'03_Lap_b'!$B$20:$AW$20)))))</f>
        <v/>
      </c>
      <c r="P351" s="5">
        <f>SUMPRODUCT(('01_Data'!$B351:$AW351&lt;&gt;"")*(1/(1+EXP(-(N351-'03_Lap_b'!$B$20:$AW$20))))^2)</f>
        <v/>
      </c>
      <c r="Q351" s="5">
        <f>MEDIAN(-6,N351+(C351-O351)/MAX(O351-P351,0.000000001),6)</f>
        <v/>
      </c>
      <c r="R351" s="5">
        <f>SUMPRODUCT(('01_Data'!$B351:$AW351&lt;&gt;"")*(1/(1+EXP(-(Q351-'03_Lap_b'!$B$25:$AW$25)))))</f>
        <v/>
      </c>
      <c r="S351" s="5">
        <f>SUMPRODUCT(('01_Data'!$B351:$AW351&lt;&gt;"")*(1/(1+EXP(-(Q351-'03_Lap_b'!$B$25:$AW$25))))^2)</f>
        <v/>
      </c>
      <c r="T351" s="5">
        <f>MEDIAN(-6,Q351+(C351-R351)/MAX(R351-S351,0.000000001),6)</f>
        <v/>
      </c>
      <c r="U351" s="5">
        <f>SUMPRODUCT(('01_Data'!$B351:$AW351&lt;&gt;"")*(1/(1+EXP(-(T351-'03_Lap_b'!$B$30:$AW$30)))))</f>
        <v/>
      </c>
      <c r="V351" s="5">
        <f>SUMPRODUCT(('01_Data'!$B351:$AW351&lt;&gt;"")*(1/(1+EXP(-(T351-'03_Lap_b'!$B$30:$AW$30))))^2)</f>
        <v/>
      </c>
      <c r="W351" s="5">
        <f>MEDIAN(-6,T351+(C351-U351)/MAX(U351-V351,0.000000001),6)</f>
        <v/>
      </c>
      <c r="X351" s="5">
        <f>SUMPRODUCT(('01_Data'!$B351:$AW351&lt;&gt;"")*(1/(1+EXP(-(W351-'03_Lap_b'!$B$35:$AW$35)))))</f>
        <v/>
      </c>
      <c r="Y351" s="5">
        <f>SUMPRODUCT(('01_Data'!$B351:$AW351&lt;&gt;"")*(1/(1+EXP(-(W351-'03_Lap_b'!$B$35:$AW$35))))^2)</f>
        <v/>
      </c>
      <c r="Z351" s="5">
        <f>MEDIAN(-6,W351+(C351-X351)/MAX(X351-Y351,0.000000001),6)</f>
        <v/>
      </c>
      <c r="AA351" s="5">
        <f>SUMPRODUCT(('01_Data'!$B351:$AW351&lt;&gt;"")*(1/(1+EXP(-(Z351-'03_Lap_b'!$B$40:$AW$40)))))</f>
        <v/>
      </c>
      <c r="AB351" s="5">
        <f>SUMPRODUCT(('01_Data'!$B351:$AW351&lt;&gt;"")*(1/(1+EXP(-(Z351-'03_Lap_b'!$B$40:$AW$40))))^2)</f>
        <v/>
      </c>
      <c r="AC351" s="5">
        <f>MEDIAN(-6,Z351+(C351-AA351)/MAX(AA351-AB351,0.000000001),6)</f>
        <v/>
      </c>
    </row>
    <row r="352">
      <c r="A352" t="n">
        <v>351</v>
      </c>
      <c r="B352">
        <f>'01_Data'!A352</f>
        <v/>
      </c>
      <c r="C352">
        <f>SUM('01_Data'!$B352:$AW352)</f>
        <v/>
      </c>
      <c r="D352">
        <f>COUNT('01_Data'!$B352:$AW352)</f>
        <v/>
      </c>
      <c r="E352" s="5">
        <f>MEDIAN(-6,LN((C352+0.3)/(D352-C352+0.3)),6)</f>
        <v/>
      </c>
      <c r="F352" s="5">
        <f>SUMPRODUCT(('01_Data'!$B352:$AW352&lt;&gt;"")*(1/(1+EXP(-(E352-'03_Lap_b'!$B$5:$AW$5)))))</f>
        <v/>
      </c>
      <c r="G352" s="5">
        <f>SUMPRODUCT(('01_Data'!$B352:$AW352&lt;&gt;"")*(1/(1+EXP(-(E352-'03_Lap_b'!$B$5:$AW$5))))^2)</f>
        <v/>
      </c>
      <c r="H352" s="5">
        <f>MEDIAN(-6,E352+(C352-F352)/MAX(F352-G352,0.000000001),6)</f>
        <v/>
      </c>
      <c r="I352" s="5">
        <f>SUMPRODUCT(('01_Data'!$B352:$AW352&lt;&gt;"")*(1/(1+EXP(-(H352-'03_Lap_b'!$B$10:$AW$10)))))</f>
        <v/>
      </c>
      <c r="J352" s="5">
        <f>SUMPRODUCT(('01_Data'!$B352:$AW352&lt;&gt;"")*(1/(1+EXP(-(H352-'03_Lap_b'!$B$10:$AW$10))))^2)</f>
        <v/>
      </c>
      <c r="K352" s="5">
        <f>MEDIAN(-6,H352+(C352-I352)/MAX(I352-J352,0.000000001),6)</f>
        <v/>
      </c>
      <c r="L352" s="5">
        <f>SUMPRODUCT(('01_Data'!$B352:$AW352&lt;&gt;"")*(1/(1+EXP(-(K352-'03_Lap_b'!$B$15:$AW$15)))))</f>
        <v/>
      </c>
      <c r="M352" s="5">
        <f>SUMPRODUCT(('01_Data'!$B352:$AW352&lt;&gt;"")*(1/(1+EXP(-(K352-'03_Lap_b'!$B$15:$AW$15))))^2)</f>
        <v/>
      </c>
      <c r="N352" s="5">
        <f>MEDIAN(-6,K352+(C352-L352)/MAX(L352-M352,0.000000001),6)</f>
        <v/>
      </c>
      <c r="O352" s="5">
        <f>SUMPRODUCT(('01_Data'!$B352:$AW352&lt;&gt;"")*(1/(1+EXP(-(N352-'03_Lap_b'!$B$20:$AW$20)))))</f>
        <v/>
      </c>
      <c r="P352" s="5">
        <f>SUMPRODUCT(('01_Data'!$B352:$AW352&lt;&gt;"")*(1/(1+EXP(-(N352-'03_Lap_b'!$B$20:$AW$20))))^2)</f>
        <v/>
      </c>
      <c r="Q352" s="5">
        <f>MEDIAN(-6,N352+(C352-O352)/MAX(O352-P352,0.000000001),6)</f>
        <v/>
      </c>
      <c r="R352" s="5">
        <f>SUMPRODUCT(('01_Data'!$B352:$AW352&lt;&gt;"")*(1/(1+EXP(-(Q352-'03_Lap_b'!$B$25:$AW$25)))))</f>
        <v/>
      </c>
      <c r="S352" s="5">
        <f>SUMPRODUCT(('01_Data'!$B352:$AW352&lt;&gt;"")*(1/(1+EXP(-(Q352-'03_Lap_b'!$B$25:$AW$25))))^2)</f>
        <v/>
      </c>
      <c r="T352" s="5">
        <f>MEDIAN(-6,Q352+(C352-R352)/MAX(R352-S352,0.000000001),6)</f>
        <v/>
      </c>
      <c r="U352" s="5">
        <f>SUMPRODUCT(('01_Data'!$B352:$AW352&lt;&gt;"")*(1/(1+EXP(-(T352-'03_Lap_b'!$B$30:$AW$30)))))</f>
        <v/>
      </c>
      <c r="V352" s="5">
        <f>SUMPRODUCT(('01_Data'!$B352:$AW352&lt;&gt;"")*(1/(1+EXP(-(T352-'03_Lap_b'!$B$30:$AW$30))))^2)</f>
        <v/>
      </c>
      <c r="W352" s="5">
        <f>MEDIAN(-6,T352+(C352-U352)/MAX(U352-V352,0.000000001),6)</f>
        <v/>
      </c>
      <c r="X352" s="5">
        <f>SUMPRODUCT(('01_Data'!$B352:$AW352&lt;&gt;"")*(1/(1+EXP(-(W352-'03_Lap_b'!$B$35:$AW$35)))))</f>
        <v/>
      </c>
      <c r="Y352" s="5">
        <f>SUMPRODUCT(('01_Data'!$B352:$AW352&lt;&gt;"")*(1/(1+EXP(-(W352-'03_Lap_b'!$B$35:$AW$35))))^2)</f>
        <v/>
      </c>
      <c r="Z352" s="5">
        <f>MEDIAN(-6,W352+(C352-X352)/MAX(X352-Y352,0.000000001),6)</f>
        <v/>
      </c>
      <c r="AA352" s="5">
        <f>SUMPRODUCT(('01_Data'!$B352:$AW352&lt;&gt;"")*(1/(1+EXP(-(Z352-'03_Lap_b'!$B$40:$AW$40)))))</f>
        <v/>
      </c>
      <c r="AB352" s="5">
        <f>SUMPRODUCT(('01_Data'!$B352:$AW352&lt;&gt;"")*(1/(1+EXP(-(Z352-'03_Lap_b'!$B$40:$AW$40))))^2)</f>
        <v/>
      </c>
      <c r="AC352" s="5">
        <f>MEDIAN(-6,Z352+(C352-AA352)/MAX(AA352-AB352,0.000000001),6)</f>
        <v/>
      </c>
    </row>
    <row r="353">
      <c r="A353" t="n">
        <v>352</v>
      </c>
      <c r="B353">
        <f>'01_Data'!A353</f>
        <v/>
      </c>
      <c r="C353">
        <f>SUM('01_Data'!$B353:$AW353)</f>
        <v/>
      </c>
      <c r="D353">
        <f>COUNT('01_Data'!$B353:$AW353)</f>
        <v/>
      </c>
      <c r="E353" s="5">
        <f>MEDIAN(-6,LN((C353+0.3)/(D353-C353+0.3)),6)</f>
        <v/>
      </c>
      <c r="F353" s="5">
        <f>SUMPRODUCT(('01_Data'!$B353:$AW353&lt;&gt;"")*(1/(1+EXP(-(E353-'03_Lap_b'!$B$5:$AW$5)))))</f>
        <v/>
      </c>
      <c r="G353" s="5">
        <f>SUMPRODUCT(('01_Data'!$B353:$AW353&lt;&gt;"")*(1/(1+EXP(-(E353-'03_Lap_b'!$B$5:$AW$5))))^2)</f>
        <v/>
      </c>
      <c r="H353" s="5">
        <f>MEDIAN(-6,E353+(C353-F353)/MAX(F353-G353,0.000000001),6)</f>
        <v/>
      </c>
      <c r="I353" s="5">
        <f>SUMPRODUCT(('01_Data'!$B353:$AW353&lt;&gt;"")*(1/(1+EXP(-(H353-'03_Lap_b'!$B$10:$AW$10)))))</f>
        <v/>
      </c>
      <c r="J353" s="5">
        <f>SUMPRODUCT(('01_Data'!$B353:$AW353&lt;&gt;"")*(1/(1+EXP(-(H353-'03_Lap_b'!$B$10:$AW$10))))^2)</f>
        <v/>
      </c>
      <c r="K353" s="5">
        <f>MEDIAN(-6,H353+(C353-I353)/MAX(I353-J353,0.000000001),6)</f>
        <v/>
      </c>
      <c r="L353" s="5">
        <f>SUMPRODUCT(('01_Data'!$B353:$AW353&lt;&gt;"")*(1/(1+EXP(-(K353-'03_Lap_b'!$B$15:$AW$15)))))</f>
        <v/>
      </c>
      <c r="M353" s="5">
        <f>SUMPRODUCT(('01_Data'!$B353:$AW353&lt;&gt;"")*(1/(1+EXP(-(K353-'03_Lap_b'!$B$15:$AW$15))))^2)</f>
        <v/>
      </c>
      <c r="N353" s="5">
        <f>MEDIAN(-6,K353+(C353-L353)/MAX(L353-M353,0.000000001),6)</f>
        <v/>
      </c>
      <c r="O353" s="5">
        <f>SUMPRODUCT(('01_Data'!$B353:$AW353&lt;&gt;"")*(1/(1+EXP(-(N353-'03_Lap_b'!$B$20:$AW$20)))))</f>
        <v/>
      </c>
      <c r="P353" s="5">
        <f>SUMPRODUCT(('01_Data'!$B353:$AW353&lt;&gt;"")*(1/(1+EXP(-(N353-'03_Lap_b'!$B$20:$AW$20))))^2)</f>
        <v/>
      </c>
      <c r="Q353" s="5">
        <f>MEDIAN(-6,N353+(C353-O353)/MAX(O353-P353,0.000000001),6)</f>
        <v/>
      </c>
      <c r="R353" s="5">
        <f>SUMPRODUCT(('01_Data'!$B353:$AW353&lt;&gt;"")*(1/(1+EXP(-(Q353-'03_Lap_b'!$B$25:$AW$25)))))</f>
        <v/>
      </c>
      <c r="S353" s="5">
        <f>SUMPRODUCT(('01_Data'!$B353:$AW353&lt;&gt;"")*(1/(1+EXP(-(Q353-'03_Lap_b'!$B$25:$AW$25))))^2)</f>
        <v/>
      </c>
      <c r="T353" s="5">
        <f>MEDIAN(-6,Q353+(C353-R353)/MAX(R353-S353,0.000000001),6)</f>
        <v/>
      </c>
      <c r="U353" s="5">
        <f>SUMPRODUCT(('01_Data'!$B353:$AW353&lt;&gt;"")*(1/(1+EXP(-(T353-'03_Lap_b'!$B$30:$AW$30)))))</f>
        <v/>
      </c>
      <c r="V353" s="5">
        <f>SUMPRODUCT(('01_Data'!$B353:$AW353&lt;&gt;"")*(1/(1+EXP(-(T353-'03_Lap_b'!$B$30:$AW$30))))^2)</f>
        <v/>
      </c>
      <c r="W353" s="5">
        <f>MEDIAN(-6,T353+(C353-U353)/MAX(U353-V353,0.000000001),6)</f>
        <v/>
      </c>
      <c r="X353" s="5">
        <f>SUMPRODUCT(('01_Data'!$B353:$AW353&lt;&gt;"")*(1/(1+EXP(-(W353-'03_Lap_b'!$B$35:$AW$35)))))</f>
        <v/>
      </c>
      <c r="Y353" s="5">
        <f>SUMPRODUCT(('01_Data'!$B353:$AW353&lt;&gt;"")*(1/(1+EXP(-(W353-'03_Lap_b'!$B$35:$AW$35))))^2)</f>
        <v/>
      </c>
      <c r="Z353" s="5">
        <f>MEDIAN(-6,W353+(C353-X353)/MAX(X353-Y353,0.000000001),6)</f>
        <v/>
      </c>
      <c r="AA353" s="5">
        <f>SUMPRODUCT(('01_Data'!$B353:$AW353&lt;&gt;"")*(1/(1+EXP(-(Z353-'03_Lap_b'!$B$40:$AW$40)))))</f>
        <v/>
      </c>
      <c r="AB353" s="5">
        <f>SUMPRODUCT(('01_Data'!$B353:$AW353&lt;&gt;"")*(1/(1+EXP(-(Z353-'03_Lap_b'!$B$40:$AW$40))))^2)</f>
        <v/>
      </c>
      <c r="AC353" s="5">
        <f>MEDIAN(-6,Z353+(C353-AA353)/MAX(AA353-AB353,0.000000001),6)</f>
        <v/>
      </c>
    </row>
    <row r="354">
      <c r="A354" t="n">
        <v>353</v>
      </c>
      <c r="B354">
        <f>'01_Data'!A354</f>
        <v/>
      </c>
      <c r="C354">
        <f>SUM('01_Data'!$B354:$AW354)</f>
        <v/>
      </c>
      <c r="D354">
        <f>COUNT('01_Data'!$B354:$AW354)</f>
        <v/>
      </c>
      <c r="E354" s="5">
        <f>MEDIAN(-6,LN((C354+0.3)/(D354-C354+0.3)),6)</f>
        <v/>
      </c>
      <c r="F354" s="5">
        <f>SUMPRODUCT(('01_Data'!$B354:$AW354&lt;&gt;"")*(1/(1+EXP(-(E354-'03_Lap_b'!$B$5:$AW$5)))))</f>
        <v/>
      </c>
      <c r="G354" s="5">
        <f>SUMPRODUCT(('01_Data'!$B354:$AW354&lt;&gt;"")*(1/(1+EXP(-(E354-'03_Lap_b'!$B$5:$AW$5))))^2)</f>
        <v/>
      </c>
      <c r="H354" s="5">
        <f>MEDIAN(-6,E354+(C354-F354)/MAX(F354-G354,0.000000001),6)</f>
        <v/>
      </c>
      <c r="I354" s="5">
        <f>SUMPRODUCT(('01_Data'!$B354:$AW354&lt;&gt;"")*(1/(1+EXP(-(H354-'03_Lap_b'!$B$10:$AW$10)))))</f>
        <v/>
      </c>
      <c r="J354" s="5">
        <f>SUMPRODUCT(('01_Data'!$B354:$AW354&lt;&gt;"")*(1/(1+EXP(-(H354-'03_Lap_b'!$B$10:$AW$10))))^2)</f>
        <v/>
      </c>
      <c r="K354" s="5">
        <f>MEDIAN(-6,H354+(C354-I354)/MAX(I354-J354,0.000000001),6)</f>
        <v/>
      </c>
      <c r="L354" s="5">
        <f>SUMPRODUCT(('01_Data'!$B354:$AW354&lt;&gt;"")*(1/(1+EXP(-(K354-'03_Lap_b'!$B$15:$AW$15)))))</f>
        <v/>
      </c>
      <c r="M354" s="5">
        <f>SUMPRODUCT(('01_Data'!$B354:$AW354&lt;&gt;"")*(1/(1+EXP(-(K354-'03_Lap_b'!$B$15:$AW$15))))^2)</f>
        <v/>
      </c>
      <c r="N354" s="5">
        <f>MEDIAN(-6,K354+(C354-L354)/MAX(L354-M354,0.000000001),6)</f>
        <v/>
      </c>
      <c r="O354" s="5">
        <f>SUMPRODUCT(('01_Data'!$B354:$AW354&lt;&gt;"")*(1/(1+EXP(-(N354-'03_Lap_b'!$B$20:$AW$20)))))</f>
        <v/>
      </c>
      <c r="P354" s="5">
        <f>SUMPRODUCT(('01_Data'!$B354:$AW354&lt;&gt;"")*(1/(1+EXP(-(N354-'03_Lap_b'!$B$20:$AW$20))))^2)</f>
        <v/>
      </c>
      <c r="Q354" s="5">
        <f>MEDIAN(-6,N354+(C354-O354)/MAX(O354-P354,0.000000001),6)</f>
        <v/>
      </c>
      <c r="R354" s="5">
        <f>SUMPRODUCT(('01_Data'!$B354:$AW354&lt;&gt;"")*(1/(1+EXP(-(Q354-'03_Lap_b'!$B$25:$AW$25)))))</f>
        <v/>
      </c>
      <c r="S354" s="5">
        <f>SUMPRODUCT(('01_Data'!$B354:$AW354&lt;&gt;"")*(1/(1+EXP(-(Q354-'03_Lap_b'!$B$25:$AW$25))))^2)</f>
        <v/>
      </c>
      <c r="T354" s="5">
        <f>MEDIAN(-6,Q354+(C354-R354)/MAX(R354-S354,0.000000001),6)</f>
        <v/>
      </c>
      <c r="U354" s="5">
        <f>SUMPRODUCT(('01_Data'!$B354:$AW354&lt;&gt;"")*(1/(1+EXP(-(T354-'03_Lap_b'!$B$30:$AW$30)))))</f>
        <v/>
      </c>
      <c r="V354" s="5">
        <f>SUMPRODUCT(('01_Data'!$B354:$AW354&lt;&gt;"")*(1/(1+EXP(-(T354-'03_Lap_b'!$B$30:$AW$30))))^2)</f>
        <v/>
      </c>
      <c r="W354" s="5">
        <f>MEDIAN(-6,T354+(C354-U354)/MAX(U354-V354,0.000000001),6)</f>
        <v/>
      </c>
      <c r="X354" s="5">
        <f>SUMPRODUCT(('01_Data'!$B354:$AW354&lt;&gt;"")*(1/(1+EXP(-(W354-'03_Lap_b'!$B$35:$AW$35)))))</f>
        <v/>
      </c>
      <c r="Y354" s="5">
        <f>SUMPRODUCT(('01_Data'!$B354:$AW354&lt;&gt;"")*(1/(1+EXP(-(W354-'03_Lap_b'!$B$35:$AW$35))))^2)</f>
        <v/>
      </c>
      <c r="Z354" s="5">
        <f>MEDIAN(-6,W354+(C354-X354)/MAX(X354-Y354,0.000000001),6)</f>
        <v/>
      </c>
      <c r="AA354" s="5">
        <f>SUMPRODUCT(('01_Data'!$B354:$AW354&lt;&gt;"")*(1/(1+EXP(-(Z354-'03_Lap_b'!$B$40:$AW$40)))))</f>
        <v/>
      </c>
      <c r="AB354" s="5">
        <f>SUMPRODUCT(('01_Data'!$B354:$AW354&lt;&gt;"")*(1/(1+EXP(-(Z354-'03_Lap_b'!$B$40:$AW$40))))^2)</f>
        <v/>
      </c>
      <c r="AC354" s="5">
        <f>MEDIAN(-6,Z354+(C354-AA354)/MAX(AA354-AB354,0.000000001),6)</f>
        <v/>
      </c>
    </row>
    <row r="355">
      <c r="A355" t="n">
        <v>354</v>
      </c>
      <c r="B355">
        <f>'01_Data'!A355</f>
        <v/>
      </c>
      <c r="C355">
        <f>SUM('01_Data'!$B355:$AW355)</f>
        <v/>
      </c>
      <c r="D355">
        <f>COUNT('01_Data'!$B355:$AW355)</f>
        <v/>
      </c>
      <c r="E355" s="5">
        <f>MEDIAN(-6,LN((C355+0.3)/(D355-C355+0.3)),6)</f>
        <v/>
      </c>
      <c r="F355" s="5">
        <f>SUMPRODUCT(('01_Data'!$B355:$AW355&lt;&gt;"")*(1/(1+EXP(-(E355-'03_Lap_b'!$B$5:$AW$5)))))</f>
        <v/>
      </c>
      <c r="G355" s="5">
        <f>SUMPRODUCT(('01_Data'!$B355:$AW355&lt;&gt;"")*(1/(1+EXP(-(E355-'03_Lap_b'!$B$5:$AW$5))))^2)</f>
        <v/>
      </c>
      <c r="H355" s="5">
        <f>MEDIAN(-6,E355+(C355-F355)/MAX(F355-G355,0.000000001),6)</f>
        <v/>
      </c>
      <c r="I355" s="5">
        <f>SUMPRODUCT(('01_Data'!$B355:$AW355&lt;&gt;"")*(1/(1+EXP(-(H355-'03_Lap_b'!$B$10:$AW$10)))))</f>
        <v/>
      </c>
      <c r="J355" s="5">
        <f>SUMPRODUCT(('01_Data'!$B355:$AW355&lt;&gt;"")*(1/(1+EXP(-(H355-'03_Lap_b'!$B$10:$AW$10))))^2)</f>
        <v/>
      </c>
      <c r="K355" s="5">
        <f>MEDIAN(-6,H355+(C355-I355)/MAX(I355-J355,0.000000001),6)</f>
        <v/>
      </c>
      <c r="L355" s="5">
        <f>SUMPRODUCT(('01_Data'!$B355:$AW355&lt;&gt;"")*(1/(1+EXP(-(K355-'03_Lap_b'!$B$15:$AW$15)))))</f>
        <v/>
      </c>
      <c r="M355" s="5">
        <f>SUMPRODUCT(('01_Data'!$B355:$AW355&lt;&gt;"")*(1/(1+EXP(-(K355-'03_Lap_b'!$B$15:$AW$15))))^2)</f>
        <v/>
      </c>
      <c r="N355" s="5">
        <f>MEDIAN(-6,K355+(C355-L355)/MAX(L355-M355,0.000000001),6)</f>
        <v/>
      </c>
      <c r="O355" s="5">
        <f>SUMPRODUCT(('01_Data'!$B355:$AW355&lt;&gt;"")*(1/(1+EXP(-(N355-'03_Lap_b'!$B$20:$AW$20)))))</f>
        <v/>
      </c>
      <c r="P355" s="5">
        <f>SUMPRODUCT(('01_Data'!$B355:$AW355&lt;&gt;"")*(1/(1+EXP(-(N355-'03_Lap_b'!$B$20:$AW$20))))^2)</f>
        <v/>
      </c>
      <c r="Q355" s="5">
        <f>MEDIAN(-6,N355+(C355-O355)/MAX(O355-P355,0.000000001),6)</f>
        <v/>
      </c>
      <c r="R355" s="5">
        <f>SUMPRODUCT(('01_Data'!$B355:$AW355&lt;&gt;"")*(1/(1+EXP(-(Q355-'03_Lap_b'!$B$25:$AW$25)))))</f>
        <v/>
      </c>
      <c r="S355" s="5">
        <f>SUMPRODUCT(('01_Data'!$B355:$AW355&lt;&gt;"")*(1/(1+EXP(-(Q355-'03_Lap_b'!$B$25:$AW$25))))^2)</f>
        <v/>
      </c>
      <c r="T355" s="5">
        <f>MEDIAN(-6,Q355+(C355-R355)/MAX(R355-S355,0.000000001),6)</f>
        <v/>
      </c>
      <c r="U355" s="5">
        <f>SUMPRODUCT(('01_Data'!$B355:$AW355&lt;&gt;"")*(1/(1+EXP(-(T355-'03_Lap_b'!$B$30:$AW$30)))))</f>
        <v/>
      </c>
      <c r="V355" s="5">
        <f>SUMPRODUCT(('01_Data'!$B355:$AW355&lt;&gt;"")*(1/(1+EXP(-(T355-'03_Lap_b'!$B$30:$AW$30))))^2)</f>
        <v/>
      </c>
      <c r="W355" s="5">
        <f>MEDIAN(-6,T355+(C355-U355)/MAX(U355-V355,0.000000001),6)</f>
        <v/>
      </c>
      <c r="X355" s="5">
        <f>SUMPRODUCT(('01_Data'!$B355:$AW355&lt;&gt;"")*(1/(1+EXP(-(W355-'03_Lap_b'!$B$35:$AW$35)))))</f>
        <v/>
      </c>
      <c r="Y355" s="5">
        <f>SUMPRODUCT(('01_Data'!$B355:$AW355&lt;&gt;"")*(1/(1+EXP(-(W355-'03_Lap_b'!$B$35:$AW$35))))^2)</f>
        <v/>
      </c>
      <c r="Z355" s="5">
        <f>MEDIAN(-6,W355+(C355-X355)/MAX(X355-Y355,0.000000001),6)</f>
        <v/>
      </c>
      <c r="AA355" s="5">
        <f>SUMPRODUCT(('01_Data'!$B355:$AW355&lt;&gt;"")*(1/(1+EXP(-(Z355-'03_Lap_b'!$B$40:$AW$40)))))</f>
        <v/>
      </c>
      <c r="AB355" s="5">
        <f>SUMPRODUCT(('01_Data'!$B355:$AW355&lt;&gt;"")*(1/(1+EXP(-(Z355-'03_Lap_b'!$B$40:$AW$40))))^2)</f>
        <v/>
      </c>
      <c r="AC355" s="5">
        <f>MEDIAN(-6,Z355+(C355-AA355)/MAX(AA355-AB355,0.000000001),6)</f>
        <v/>
      </c>
    </row>
    <row r="356">
      <c r="A356" t="n">
        <v>355</v>
      </c>
      <c r="B356">
        <f>'01_Data'!A356</f>
        <v/>
      </c>
      <c r="C356">
        <f>SUM('01_Data'!$B356:$AW356)</f>
        <v/>
      </c>
      <c r="D356">
        <f>COUNT('01_Data'!$B356:$AW356)</f>
        <v/>
      </c>
      <c r="E356" s="5">
        <f>MEDIAN(-6,LN((C356+0.3)/(D356-C356+0.3)),6)</f>
        <v/>
      </c>
      <c r="F356" s="5">
        <f>SUMPRODUCT(('01_Data'!$B356:$AW356&lt;&gt;"")*(1/(1+EXP(-(E356-'03_Lap_b'!$B$5:$AW$5)))))</f>
        <v/>
      </c>
      <c r="G356" s="5">
        <f>SUMPRODUCT(('01_Data'!$B356:$AW356&lt;&gt;"")*(1/(1+EXP(-(E356-'03_Lap_b'!$B$5:$AW$5))))^2)</f>
        <v/>
      </c>
      <c r="H356" s="5">
        <f>MEDIAN(-6,E356+(C356-F356)/MAX(F356-G356,0.000000001),6)</f>
        <v/>
      </c>
      <c r="I356" s="5">
        <f>SUMPRODUCT(('01_Data'!$B356:$AW356&lt;&gt;"")*(1/(1+EXP(-(H356-'03_Lap_b'!$B$10:$AW$10)))))</f>
        <v/>
      </c>
      <c r="J356" s="5">
        <f>SUMPRODUCT(('01_Data'!$B356:$AW356&lt;&gt;"")*(1/(1+EXP(-(H356-'03_Lap_b'!$B$10:$AW$10))))^2)</f>
        <v/>
      </c>
      <c r="K356" s="5">
        <f>MEDIAN(-6,H356+(C356-I356)/MAX(I356-J356,0.000000001),6)</f>
        <v/>
      </c>
      <c r="L356" s="5">
        <f>SUMPRODUCT(('01_Data'!$B356:$AW356&lt;&gt;"")*(1/(1+EXP(-(K356-'03_Lap_b'!$B$15:$AW$15)))))</f>
        <v/>
      </c>
      <c r="M356" s="5">
        <f>SUMPRODUCT(('01_Data'!$B356:$AW356&lt;&gt;"")*(1/(1+EXP(-(K356-'03_Lap_b'!$B$15:$AW$15))))^2)</f>
        <v/>
      </c>
      <c r="N356" s="5">
        <f>MEDIAN(-6,K356+(C356-L356)/MAX(L356-M356,0.000000001),6)</f>
        <v/>
      </c>
      <c r="O356" s="5">
        <f>SUMPRODUCT(('01_Data'!$B356:$AW356&lt;&gt;"")*(1/(1+EXP(-(N356-'03_Lap_b'!$B$20:$AW$20)))))</f>
        <v/>
      </c>
      <c r="P356" s="5">
        <f>SUMPRODUCT(('01_Data'!$B356:$AW356&lt;&gt;"")*(1/(1+EXP(-(N356-'03_Lap_b'!$B$20:$AW$20))))^2)</f>
        <v/>
      </c>
      <c r="Q356" s="5">
        <f>MEDIAN(-6,N356+(C356-O356)/MAX(O356-P356,0.000000001),6)</f>
        <v/>
      </c>
      <c r="R356" s="5">
        <f>SUMPRODUCT(('01_Data'!$B356:$AW356&lt;&gt;"")*(1/(1+EXP(-(Q356-'03_Lap_b'!$B$25:$AW$25)))))</f>
        <v/>
      </c>
      <c r="S356" s="5">
        <f>SUMPRODUCT(('01_Data'!$B356:$AW356&lt;&gt;"")*(1/(1+EXP(-(Q356-'03_Lap_b'!$B$25:$AW$25))))^2)</f>
        <v/>
      </c>
      <c r="T356" s="5">
        <f>MEDIAN(-6,Q356+(C356-R356)/MAX(R356-S356,0.000000001),6)</f>
        <v/>
      </c>
      <c r="U356" s="5">
        <f>SUMPRODUCT(('01_Data'!$B356:$AW356&lt;&gt;"")*(1/(1+EXP(-(T356-'03_Lap_b'!$B$30:$AW$30)))))</f>
        <v/>
      </c>
      <c r="V356" s="5">
        <f>SUMPRODUCT(('01_Data'!$B356:$AW356&lt;&gt;"")*(1/(1+EXP(-(T356-'03_Lap_b'!$B$30:$AW$30))))^2)</f>
        <v/>
      </c>
      <c r="W356" s="5">
        <f>MEDIAN(-6,T356+(C356-U356)/MAX(U356-V356,0.000000001),6)</f>
        <v/>
      </c>
      <c r="X356" s="5">
        <f>SUMPRODUCT(('01_Data'!$B356:$AW356&lt;&gt;"")*(1/(1+EXP(-(W356-'03_Lap_b'!$B$35:$AW$35)))))</f>
        <v/>
      </c>
      <c r="Y356" s="5">
        <f>SUMPRODUCT(('01_Data'!$B356:$AW356&lt;&gt;"")*(1/(1+EXP(-(W356-'03_Lap_b'!$B$35:$AW$35))))^2)</f>
        <v/>
      </c>
      <c r="Z356" s="5">
        <f>MEDIAN(-6,W356+(C356-X356)/MAX(X356-Y356,0.000000001),6)</f>
        <v/>
      </c>
      <c r="AA356" s="5">
        <f>SUMPRODUCT(('01_Data'!$B356:$AW356&lt;&gt;"")*(1/(1+EXP(-(Z356-'03_Lap_b'!$B$40:$AW$40)))))</f>
        <v/>
      </c>
      <c r="AB356" s="5">
        <f>SUMPRODUCT(('01_Data'!$B356:$AW356&lt;&gt;"")*(1/(1+EXP(-(Z356-'03_Lap_b'!$B$40:$AW$40))))^2)</f>
        <v/>
      </c>
      <c r="AC356" s="5">
        <f>MEDIAN(-6,Z356+(C356-AA356)/MAX(AA356-AB356,0.000000001),6)</f>
        <v/>
      </c>
    </row>
    <row r="357">
      <c r="A357" t="n">
        <v>356</v>
      </c>
      <c r="B357">
        <f>'01_Data'!A357</f>
        <v/>
      </c>
      <c r="C357">
        <f>SUM('01_Data'!$B357:$AW357)</f>
        <v/>
      </c>
      <c r="D357">
        <f>COUNT('01_Data'!$B357:$AW357)</f>
        <v/>
      </c>
      <c r="E357" s="5">
        <f>MEDIAN(-6,LN((C357+0.3)/(D357-C357+0.3)),6)</f>
        <v/>
      </c>
      <c r="F357" s="5">
        <f>SUMPRODUCT(('01_Data'!$B357:$AW357&lt;&gt;"")*(1/(1+EXP(-(E357-'03_Lap_b'!$B$5:$AW$5)))))</f>
        <v/>
      </c>
      <c r="G357" s="5">
        <f>SUMPRODUCT(('01_Data'!$B357:$AW357&lt;&gt;"")*(1/(1+EXP(-(E357-'03_Lap_b'!$B$5:$AW$5))))^2)</f>
        <v/>
      </c>
      <c r="H357" s="5">
        <f>MEDIAN(-6,E357+(C357-F357)/MAX(F357-G357,0.000000001),6)</f>
        <v/>
      </c>
      <c r="I357" s="5">
        <f>SUMPRODUCT(('01_Data'!$B357:$AW357&lt;&gt;"")*(1/(1+EXP(-(H357-'03_Lap_b'!$B$10:$AW$10)))))</f>
        <v/>
      </c>
      <c r="J357" s="5">
        <f>SUMPRODUCT(('01_Data'!$B357:$AW357&lt;&gt;"")*(1/(1+EXP(-(H357-'03_Lap_b'!$B$10:$AW$10))))^2)</f>
        <v/>
      </c>
      <c r="K357" s="5">
        <f>MEDIAN(-6,H357+(C357-I357)/MAX(I357-J357,0.000000001),6)</f>
        <v/>
      </c>
      <c r="L357" s="5">
        <f>SUMPRODUCT(('01_Data'!$B357:$AW357&lt;&gt;"")*(1/(1+EXP(-(K357-'03_Lap_b'!$B$15:$AW$15)))))</f>
        <v/>
      </c>
      <c r="M357" s="5">
        <f>SUMPRODUCT(('01_Data'!$B357:$AW357&lt;&gt;"")*(1/(1+EXP(-(K357-'03_Lap_b'!$B$15:$AW$15))))^2)</f>
        <v/>
      </c>
      <c r="N357" s="5">
        <f>MEDIAN(-6,K357+(C357-L357)/MAX(L357-M357,0.000000001),6)</f>
        <v/>
      </c>
      <c r="O357" s="5">
        <f>SUMPRODUCT(('01_Data'!$B357:$AW357&lt;&gt;"")*(1/(1+EXP(-(N357-'03_Lap_b'!$B$20:$AW$20)))))</f>
        <v/>
      </c>
      <c r="P357" s="5">
        <f>SUMPRODUCT(('01_Data'!$B357:$AW357&lt;&gt;"")*(1/(1+EXP(-(N357-'03_Lap_b'!$B$20:$AW$20))))^2)</f>
        <v/>
      </c>
      <c r="Q357" s="5">
        <f>MEDIAN(-6,N357+(C357-O357)/MAX(O357-P357,0.000000001),6)</f>
        <v/>
      </c>
      <c r="R357" s="5">
        <f>SUMPRODUCT(('01_Data'!$B357:$AW357&lt;&gt;"")*(1/(1+EXP(-(Q357-'03_Lap_b'!$B$25:$AW$25)))))</f>
        <v/>
      </c>
      <c r="S357" s="5">
        <f>SUMPRODUCT(('01_Data'!$B357:$AW357&lt;&gt;"")*(1/(1+EXP(-(Q357-'03_Lap_b'!$B$25:$AW$25))))^2)</f>
        <v/>
      </c>
      <c r="T357" s="5">
        <f>MEDIAN(-6,Q357+(C357-R357)/MAX(R357-S357,0.000000001),6)</f>
        <v/>
      </c>
      <c r="U357" s="5">
        <f>SUMPRODUCT(('01_Data'!$B357:$AW357&lt;&gt;"")*(1/(1+EXP(-(T357-'03_Lap_b'!$B$30:$AW$30)))))</f>
        <v/>
      </c>
      <c r="V357" s="5">
        <f>SUMPRODUCT(('01_Data'!$B357:$AW357&lt;&gt;"")*(1/(1+EXP(-(T357-'03_Lap_b'!$B$30:$AW$30))))^2)</f>
        <v/>
      </c>
      <c r="W357" s="5">
        <f>MEDIAN(-6,T357+(C357-U357)/MAX(U357-V357,0.000000001),6)</f>
        <v/>
      </c>
      <c r="X357" s="5">
        <f>SUMPRODUCT(('01_Data'!$B357:$AW357&lt;&gt;"")*(1/(1+EXP(-(W357-'03_Lap_b'!$B$35:$AW$35)))))</f>
        <v/>
      </c>
      <c r="Y357" s="5">
        <f>SUMPRODUCT(('01_Data'!$B357:$AW357&lt;&gt;"")*(1/(1+EXP(-(W357-'03_Lap_b'!$B$35:$AW$35))))^2)</f>
        <v/>
      </c>
      <c r="Z357" s="5">
        <f>MEDIAN(-6,W357+(C357-X357)/MAX(X357-Y357,0.000000001),6)</f>
        <v/>
      </c>
      <c r="AA357" s="5">
        <f>SUMPRODUCT(('01_Data'!$B357:$AW357&lt;&gt;"")*(1/(1+EXP(-(Z357-'03_Lap_b'!$B$40:$AW$40)))))</f>
        <v/>
      </c>
      <c r="AB357" s="5">
        <f>SUMPRODUCT(('01_Data'!$B357:$AW357&lt;&gt;"")*(1/(1+EXP(-(Z357-'03_Lap_b'!$B$40:$AW$40))))^2)</f>
        <v/>
      </c>
      <c r="AC357" s="5">
        <f>MEDIAN(-6,Z357+(C357-AA357)/MAX(AA357-AB357,0.000000001),6)</f>
        <v/>
      </c>
    </row>
    <row r="358">
      <c r="A358" t="n">
        <v>357</v>
      </c>
      <c r="B358">
        <f>'01_Data'!A358</f>
        <v/>
      </c>
      <c r="C358">
        <f>SUM('01_Data'!$B358:$AW358)</f>
        <v/>
      </c>
      <c r="D358">
        <f>COUNT('01_Data'!$B358:$AW358)</f>
        <v/>
      </c>
      <c r="E358" s="5">
        <f>MEDIAN(-6,LN((C358+0.3)/(D358-C358+0.3)),6)</f>
        <v/>
      </c>
      <c r="F358" s="5">
        <f>SUMPRODUCT(('01_Data'!$B358:$AW358&lt;&gt;"")*(1/(1+EXP(-(E358-'03_Lap_b'!$B$5:$AW$5)))))</f>
        <v/>
      </c>
      <c r="G358" s="5">
        <f>SUMPRODUCT(('01_Data'!$B358:$AW358&lt;&gt;"")*(1/(1+EXP(-(E358-'03_Lap_b'!$B$5:$AW$5))))^2)</f>
        <v/>
      </c>
      <c r="H358" s="5">
        <f>MEDIAN(-6,E358+(C358-F358)/MAX(F358-G358,0.000000001),6)</f>
        <v/>
      </c>
      <c r="I358" s="5">
        <f>SUMPRODUCT(('01_Data'!$B358:$AW358&lt;&gt;"")*(1/(1+EXP(-(H358-'03_Lap_b'!$B$10:$AW$10)))))</f>
        <v/>
      </c>
      <c r="J358" s="5">
        <f>SUMPRODUCT(('01_Data'!$B358:$AW358&lt;&gt;"")*(1/(1+EXP(-(H358-'03_Lap_b'!$B$10:$AW$10))))^2)</f>
        <v/>
      </c>
      <c r="K358" s="5">
        <f>MEDIAN(-6,H358+(C358-I358)/MAX(I358-J358,0.000000001),6)</f>
        <v/>
      </c>
      <c r="L358" s="5">
        <f>SUMPRODUCT(('01_Data'!$B358:$AW358&lt;&gt;"")*(1/(1+EXP(-(K358-'03_Lap_b'!$B$15:$AW$15)))))</f>
        <v/>
      </c>
      <c r="M358" s="5">
        <f>SUMPRODUCT(('01_Data'!$B358:$AW358&lt;&gt;"")*(1/(1+EXP(-(K358-'03_Lap_b'!$B$15:$AW$15))))^2)</f>
        <v/>
      </c>
      <c r="N358" s="5">
        <f>MEDIAN(-6,K358+(C358-L358)/MAX(L358-M358,0.000000001),6)</f>
        <v/>
      </c>
      <c r="O358" s="5">
        <f>SUMPRODUCT(('01_Data'!$B358:$AW358&lt;&gt;"")*(1/(1+EXP(-(N358-'03_Lap_b'!$B$20:$AW$20)))))</f>
        <v/>
      </c>
      <c r="P358" s="5">
        <f>SUMPRODUCT(('01_Data'!$B358:$AW358&lt;&gt;"")*(1/(1+EXP(-(N358-'03_Lap_b'!$B$20:$AW$20))))^2)</f>
        <v/>
      </c>
      <c r="Q358" s="5">
        <f>MEDIAN(-6,N358+(C358-O358)/MAX(O358-P358,0.000000001),6)</f>
        <v/>
      </c>
      <c r="R358" s="5">
        <f>SUMPRODUCT(('01_Data'!$B358:$AW358&lt;&gt;"")*(1/(1+EXP(-(Q358-'03_Lap_b'!$B$25:$AW$25)))))</f>
        <v/>
      </c>
      <c r="S358" s="5">
        <f>SUMPRODUCT(('01_Data'!$B358:$AW358&lt;&gt;"")*(1/(1+EXP(-(Q358-'03_Lap_b'!$B$25:$AW$25))))^2)</f>
        <v/>
      </c>
      <c r="T358" s="5">
        <f>MEDIAN(-6,Q358+(C358-R358)/MAX(R358-S358,0.000000001),6)</f>
        <v/>
      </c>
      <c r="U358" s="5">
        <f>SUMPRODUCT(('01_Data'!$B358:$AW358&lt;&gt;"")*(1/(1+EXP(-(T358-'03_Lap_b'!$B$30:$AW$30)))))</f>
        <v/>
      </c>
      <c r="V358" s="5">
        <f>SUMPRODUCT(('01_Data'!$B358:$AW358&lt;&gt;"")*(1/(1+EXP(-(T358-'03_Lap_b'!$B$30:$AW$30))))^2)</f>
        <v/>
      </c>
      <c r="W358" s="5">
        <f>MEDIAN(-6,T358+(C358-U358)/MAX(U358-V358,0.000000001),6)</f>
        <v/>
      </c>
      <c r="X358" s="5">
        <f>SUMPRODUCT(('01_Data'!$B358:$AW358&lt;&gt;"")*(1/(1+EXP(-(W358-'03_Lap_b'!$B$35:$AW$35)))))</f>
        <v/>
      </c>
      <c r="Y358" s="5">
        <f>SUMPRODUCT(('01_Data'!$B358:$AW358&lt;&gt;"")*(1/(1+EXP(-(W358-'03_Lap_b'!$B$35:$AW$35))))^2)</f>
        <v/>
      </c>
      <c r="Z358" s="5">
        <f>MEDIAN(-6,W358+(C358-X358)/MAX(X358-Y358,0.000000001),6)</f>
        <v/>
      </c>
      <c r="AA358" s="5">
        <f>SUMPRODUCT(('01_Data'!$B358:$AW358&lt;&gt;"")*(1/(1+EXP(-(Z358-'03_Lap_b'!$B$40:$AW$40)))))</f>
        <v/>
      </c>
      <c r="AB358" s="5">
        <f>SUMPRODUCT(('01_Data'!$B358:$AW358&lt;&gt;"")*(1/(1+EXP(-(Z358-'03_Lap_b'!$B$40:$AW$40))))^2)</f>
        <v/>
      </c>
      <c r="AC358" s="5">
        <f>MEDIAN(-6,Z358+(C358-AA358)/MAX(AA358-AB358,0.000000001),6)</f>
        <v/>
      </c>
    </row>
    <row r="359">
      <c r="A359" t="n">
        <v>358</v>
      </c>
      <c r="B359">
        <f>'01_Data'!A359</f>
        <v/>
      </c>
      <c r="C359">
        <f>SUM('01_Data'!$B359:$AW359)</f>
        <v/>
      </c>
      <c r="D359">
        <f>COUNT('01_Data'!$B359:$AW359)</f>
        <v/>
      </c>
      <c r="E359" s="5">
        <f>MEDIAN(-6,LN((C359+0.3)/(D359-C359+0.3)),6)</f>
        <v/>
      </c>
      <c r="F359" s="5">
        <f>SUMPRODUCT(('01_Data'!$B359:$AW359&lt;&gt;"")*(1/(1+EXP(-(E359-'03_Lap_b'!$B$5:$AW$5)))))</f>
        <v/>
      </c>
      <c r="G359" s="5">
        <f>SUMPRODUCT(('01_Data'!$B359:$AW359&lt;&gt;"")*(1/(1+EXP(-(E359-'03_Lap_b'!$B$5:$AW$5))))^2)</f>
        <v/>
      </c>
      <c r="H359" s="5">
        <f>MEDIAN(-6,E359+(C359-F359)/MAX(F359-G359,0.000000001),6)</f>
        <v/>
      </c>
      <c r="I359" s="5">
        <f>SUMPRODUCT(('01_Data'!$B359:$AW359&lt;&gt;"")*(1/(1+EXP(-(H359-'03_Lap_b'!$B$10:$AW$10)))))</f>
        <v/>
      </c>
      <c r="J359" s="5">
        <f>SUMPRODUCT(('01_Data'!$B359:$AW359&lt;&gt;"")*(1/(1+EXP(-(H359-'03_Lap_b'!$B$10:$AW$10))))^2)</f>
        <v/>
      </c>
      <c r="K359" s="5">
        <f>MEDIAN(-6,H359+(C359-I359)/MAX(I359-J359,0.000000001),6)</f>
        <v/>
      </c>
      <c r="L359" s="5">
        <f>SUMPRODUCT(('01_Data'!$B359:$AW359&lt;&gt;"")*(1/(1+EXP(-(K359-'03_Lap_b'!$B$15:$AW$15)))))</f>
        <v/>
      </c>
      <c r="M359" s="5">
        <f>SUMPRODUCT(('01_Data'!$B359:$AW359&lt;&gt;"")*(1/(1+EXP(-(K359-'03_Lap_b'!$B$15:$AW$15))))^2)</f>
        <v/>
      </c>
      <c r="N359" s="5">
        <f>MEDIAN(-6,K359+(C359-L359)/MAX(L359-M359,0.000000001),6)</f>
        <v/>
      </c>
      <c r="O359" s="5">
        <f>SUMPRODUCT(('01_Data'!$B359:$AW359&lt;&gt;"")*(1/(1+EXP(-(N359-'03_Lap_b'!$B$20:$AW$20)))))</f>
        <v/>
      </c>
      <c r="P359" s="5">
        <f>SUMPRODUCT(('01_Data'!$B359:$AW359&lt;&gt;"")*(1/(1+EXP(-(N359-'03_Lap_b'!$B$20:$AW$20))))^2)</f>
        <v/>
      </c>
      <c r="Q359" s="5">
        <f>MEDIAN(-6,N359+(C359-O359)/MAX(O359-P359,0.000000001),6)</f>
        <v/>
      </c>
      <c r="R359" s="5">
        <f>SUMPRODUCT(('01_Data'!$B359:$AW359&lt;&gt;"")*(1/(1+EXP(-(Q359-'03_Lap_b'!$B$25:$AW$25)))))</f>
        <v/>
      </c>
      <c r="S359" s="5">
        <f>SUMPRODUCT(('01_Data'!$B359:$AW359&lt;&gt;"")*(1/(1+EXP(-(Q359-'03_Lap_b'!$B$25:$AW$25))))^2)</f>
        <v/>
      </c>
      <c r="T359" s="5">
        <f>MEDIAN(-6,Q359+(C359-R359)/MAX(R359-S359,0.000000001),6)</f>
        <v/>
      </c>
      <c r="U359" s="5">
        <f>SUMPRODUCT(('01_Data'!$B359:$AW359&lt;&gt;"")*(1/(1+EXP(-(T359-'03_Lap_b'!$B$30:$AW$30)))))</f>
        <v/>
      </c>
      <c r="V359" s="5">
        <f>SUMPRODUCT(('01_Data'!$B359:$AW359&lt;&gt;"")*(1/(1+EXP(-(T359-'03_Lap_b'!$B$30:$AW$30))))^2)</f>
        <v/>
      </c>
      <c r="W359" s="5">
        <f>MEDIAN(-6,T359+(C359-U359)/MAX(U359-V359,0.000000001),6)</f>
        <v/>
      </c>
      <c r="X359" s="5">
        <f>SUMPRODUCT(('01_Data'!$B359:$AW359&lt;&gt;"")*(1/(1+EXP(-(W359-'03_Lap_b'!$B$35:$AW$35)))))</f>
        <v/>
      </c>
      <c r="Y359" s="5">
        <f>SUMPRODUCT(('01_Data'!$B359:$AW359&lt;&gt;"")*(1/(1+EXP(-(W359-'03_Lap_b'!$B$35:$AW$35))))^2)</f>
        <v/>
      </c>
      <c r="Z359" s="5">
        <f>MEDIAN(-6,W359+(C359-X359)/MAX(X359-Y359,0.000000001),6)</f>
        <v/>
      </c>
      <c r="AA359" s="5">
        <f>SUMPRODUCT(('01_Data'!$B359:$AW359&lt;&gt;"")*(1/(1+EXP(-(Z359-'03_Lap_b'!$B$40:$AW$40)))))</f>
        <v/>
      </c>
      <c r="AB359" s="5">
        <f>SUMPRODUCT(('01_Data'!$B359:$AW359&lt;&gt;"")*(1/(1+EXP(-(Z359-'03_Lap_b'!$B$40:$AW$40))))^2)</f>
        <v/>
      </c>
      <c r="AC359" s="5">
        <f>MEDIAN(-6,Z359+(C359-AA359)/MAX(AA359-AB359,0.000000001),6)</f>
        <v/>
      </c>
    </row>
    <row r="360">
      <c r="A360" t="n">
        <v>359</v>
      </c>
      <c r="B360">
        <f>'01_Data'!A360</f>
        <v/>
      </c>
      <c r="C360">
        <f>SUM('01_Data'!$B360:$AW360)</f>
        <v/>
      </c>
      <c r="D360">
        <f>COUNT('01_Data'!$B360:$AW360)</f>
        <v/>
      </c>
      <c r="E360" s="5">
        <f>MEDIAN(-6,LN((C360+0.3)/(D360-C360+0.3)),6)</f>
        <v/>
      </c>
      <c r="F360" s="5">
        <f>SUMPRODUCT(('01_Data'!$B360:$AW360&lt;&gt;"")*(1/(1+EXP(-(E360-'03_Lap_b'!$B$5:$AW$5)))))</f>
        <v/>
      </c>
      <c r="G360" s="5">
        <f>SUMPRODUCT(('01_Data'!$B360:$AW360&lt;&gt;"")*(1/(1+EXP(-(E360-'03_Lap_b'!$B$5:$AW$5))))^2)</f>
        <v/>
      </c>
      <c r="H360" s="5">
        <f>MEDIAN(-6,E360+(C360-F360)/MAX(F360-G360,0.000000001),6)</f>
        <v/>
      </c>
      <c r="I360" s="5">
        <f>SUMPRODUCT(('01_Data'!$B360:$AW360&lt;&gt;"")*(1/(1+EXP(-(H360-'03_Lap_b'!$B$10:$AW$10)))))</f>
        <v/>
      </c>
      <c r="J360" s="5">
        <f>SUMPRODUCT(('01_Data'!$B360:$AW360&lt;&gt;"")*(1/(1+EXP(-(H360-'03_Lap_b'!$B$10:$AW$10))))^2)</f>
        <v/>
      </c>
      <c r="K360" s="5">
        <f>MEDIAN(-6,H360+(C360-I360)/MAX(I360-J360,0.000000001),6)</f>
        <v/>
      </c>
      <c r="L360" s="5">
        <f>SUMPRODUCT(('01_Data'!$B360:$AW360&lt;&gt;"")*(1/(1+EXP(-(K360-'03_Lap_b'!$B$15:$AW$15)))))</f>
        <v/>
      </c>
      <c r="M360" s="5">
        <f>SUMPRODUCT(('01_Data'!$B360:$AW360&lt;&gt;"")*(1/(1+EXP(-(K360-'03_Lap_b'!$B$15:$AW$15))))^2)</f>
        <v/>
      </c>
      <c r="N360" s="5">
        <f>MEDIAN(-6,K360+(C360-L360)/MAX(L360-M360,0.000000001),6)</f>
        <v/>
      </c>
      <c r="O360" s="5">
        <f>SUMPRODUCT(('01_Data'!$B360:$AW360&lt;&gt;"")*(1/(1+EXP(-(N360-'03_Lap_b'!$B$20:$AW$20)))))</f>
        <v/>
      </c>
      <c r="P360" s="5">
        <f>SUMPRODUCT(('01_Data'!$B360:$AW360&lt;&gt;"")*(1/(1+EXP(-(N360-'03_Lap_b'!$B$20:$AW$20))))^2)</f>
        <v/>
      </c>
      <c r="Q360" s="5">
        <f>MEDIAN(-6,N360+(C360-O360)/MAX(O360-P360,0.000000001),6)</f>
        <v/>
      </c>
      <c r="R360" s="5">
        <f>SUMPRODUCT(('01_Data'!$B360:$AW360&lt;&gt;"")*(1/(1+EXP(-(Q360-'03_Lap_b'!$B$25:$AW$25)))))</f>
        <v/>
      </c>
      <c r="S360" s="5">
        <f>SUMPRODUCT(('01_Data'!$B360:$AW360&lt;&gt;"")*(1/(1+EXP(-(Q360-'03_Lap_b'!$B$25:$AW$25))))^2)</f>
        <v/>
      </c>
      <c r="T360" s="5">
        <f>MEDIAN(-6,Q360+(C360-R360)/MAX(R360-S360,0.000000001),6)</f>
        <v/>
      </c>
      <c r="U360" s="5">
        <f>SUMPRODUCT(('01_Data'!$B360:$AW360&lt;&gt;"")*(1/(1+EXP(-(T360-'03_Lap_b'!$B$30:$AW$30)))))</f>
        <v/>
      </c>
      <c r="V360" s="5">
        <f>SUMPRODUCT(('01_Data'!$B360:$AW360&lt;&gt;"")*(1/(1+EXP(-(T360-'03_Lap_b'!$B$30:$AW$30))))^2)</f>
        <v/>
      </c>
      <c r="W360" s="5">
        <f>MEDIAN(-6,T360+(C360-U360)/MAX(U360-V360,0.000000001),6)</f>
        <v/>
      </c>
      <c r="X360" s="5">
        <f>SUMPRODUCT(('01_Data'!$B360:$AW360&lt;&gt;"")*(1/(1+EXP(-(W360-'03_Lap_b'!$B$35:$AW$35)))))</f>
        <v/>
      </c>
      <c r="Y360" s="5">
        <f>SUMPRODUCT(('01_Data'!$B360:$AW360&lt;&gt;"")*(1/(1+EXP(-(W360-'03_Lap_b'!$B$35:$AW$35))))^2)</f>
        <v/>
      </c>
      <c r="Z360" s="5">
        <f>MEDIAN(-6,W360+(C360-X360)/MAX(X360-Y360,0.000000001),6)</f>
        <v/>
      </c>
      <c r="AA360" s="5">
        <f>SUMPRODUCT(('01_Data'!$B360:$AW360&lt;&gt;"")*(1/(1+EXP(-(Z360-'03_Lap_b'!$B$40:$AW$40)))))</f>
        <v/>
      </c>
      <c r="AB360" s="5">
        <f>SUMPRODUCT(('01_Data'!$B360:$AW360&lt;&gt;"")*(1/(1+EXP(-(Z360-'03_Lap_b'!$B$40:$AW$40))))^2)</f>
        <v/>
      </c>
      <c r="AC360" s="5">
        <f>MEDIAN(-6,Z360+(C360-AA360)/MAX(AA360-AB360,0.000000001),6)</f>
        <v/>
      </c>
    </row>
    <row r="361">
      <c r="A361" t="n">
        <v>360</v>
      </c>
      <c r="B361">
        <f>'01_Data'!A361</f>
        <v/>
      </c>
      <c r="C361">
        <f>SUM('01_Data'!$B361:$AW361)</f>
        <v/>
      </c>
      <c r="D361">
        <f>COUNT('01_Data'!$B361:$AW361)</f>
        <v/>
      </c>
      <c r="E361" s="5">
        <f>MEDIAN(-6,LN((C361+0.3)/(D361-C361+0.3)),6)</f>
        <v/>
      </c>
      <c r="F361" s="5">
        <f>SUMPRODUCT(('01_Data'!$B361:$AW361&lt;&gt;"")*(1/(1+EXP(-(E361-'03_Lap_b'!$B$5:$AW$5)))))</f>
        <v/>
      </c>
      <c r="G361" s="5">
        <f>SUMPRODUCT(('01_Data'!$B361:$AW361&lt;&gt;"")*(1/(1+EXP(-(E361-'03_Lap_b'!$B$5:$AW$5))))^2)</f>
        <v/>
      </c>
      <c r="H361" s="5">
        <f>MEDIAN(-6,E361+(C361-F361)/MAX(F361-G361,0.000000001),6)</f>
        <v/>
      </c>
      <c r="I361" s="5">
        <f>SUMPRODUCT(('01_Data'!$B361:$AW361&lt;&gt;"")*(1/(1+EXP(-(H361-'03_Lap_b'!$B$10:$AW$10)))))</f>
        <v/>
      </c>
      <c r="J361" s="5">
        <f>SUMPRODUCT(('01_Data'!$B361:$AW361&lt;&gt;"")*(1/(1+EXP(-(H361-'03_Lap_b'!$B$10:$AW$10))))^2)</f>
        <v/>
      </c>
      <c r="K361" s="5">
        <f>MEDIAN(-6,H361+(C361-I361)/MAX(I361-J361,0.000000001),6)</f>
        <v/>
      </c>
      <c r="L361" s="5">
        <f>SUMPRODUCT(('01_Data'!$B361:$AW361&lt;&gt;"")*(1/(1+EXP(-(K361-'03_Lap_b'!$B$15:$AW$15)))))</f>
        <v/>
      </c>
      <c r="M361" s="5">
        <f>SUMPRODUCT(('01_Data'!$B361:$AW361&lt;&gt;"")*(1/(1+EXP(-(K361-'03_Lap_b'!$B$15:$AW$15))))^2)</f>
        <v/>
      </c>
      <c r="N361" s="5">
        <f>MEDIAN(-6,K361+(C361-L361)/MAX(L361-M361,0.000000001),6)</f>
        <v/>
      </c>
      <c r="O361" s="5">
        <f>SUMPRODUCT(('01_Data'!$B361:$AW361&lt;&gt;"")*(1/(1+EXP(-(N361-'03_Lap_b'!$B$20:$AW$20)))))</f>
        <v/>
      </c>
      <c r="P361" s="5">
        <f>SUMPRODUCT(('01_Data'!$B361:$AW361&lt;&gt;"")*(1/(1+EXP(-(N361-'03_Lap_b'!$B$20:$AW$20))))^2)</f>
        <v/>
      </c>
      <c r="Q361" s="5">
        <f>MEDIAN(-6,N361+(C361-O361)/MAX(O361-P361,0.000000001),6)</f>
        <v/>
      </c>
      <c r="R361" s="5">
        <f>SUMPRODUCT(('01_Data'!$B361:$AW361&lt;&gt;"")*(1/(1+EXP(-(Q361-'03_Lap_b'!$B$25:$AW$25)))))</f>
        <v/>
      </c>
      <c r="S361" s="5">
        <f>SUMPRODUCT(('01_Data'!$B361:$AW361&lt;&gt;"")*(1/(1+EXP(-(Q361-'03_Lap_b'!$B$25:$AW$25))))^2)</f>
        <v/>
      </c>
      <c r="T361" s="5">
        <f>MEDIAN(-6,Q361+(C361-R361)/MAX(R361-S361,0.000000001),6)</f>
        <v/>
      </c>
      <c r="U361" s="5">
        <f>SUMPRODUCT(('01_Data'!$B361:$AW361&lt;&gt;"")*(1/(1+EXP(-(T361-'03_Lap_b'!$B$30:$AW$30)))))</f>
        <v/>
      </c>
      <c r="V361" s="5">
        <f>SUMPRODUCT(('01_Data'!$B361:$AW361&lt;&gt;"")*(1/(1+EXP(-(T361-'03_Lap_b'!$B$30:$AW$30))))^2)</f>
        <v/>
      </c>
      <c r="W361" s="5">
        <f>MEDIAN(-6,T361+(C361-U361)/MAX(U361-V361,0.000000001),6)</f>
        <v/>
      </c>
      <c r="X361" s="5">
        <f>SUMPRODUCT(('01_Data'!$B361:$AW361&lt;&gt;"")*(1/(1+EXP(-(W361-'03_Lap_b'!$B$35:$AW$35)))))</f>
        <v/>
      </c>
      <c r="Y361" s="5">
        <f>SUMPRODUCT(('01_Data'!$B361:$AW361&lt;&gt;"")*(1/(1+EXP(-(W361-'03_Lap_b'!$B$35:$AW$35))))^2)</f>
        <v/>
      </c>
      <c r="Z361" s="5">
        <f>MEDIAN(-6,W361+(C361-X361)/MAX(X361-Y361,0.000000001),6)</f>
        <v/>
      </c>
      <c r="AA361" s="5">
        <f>SUMPRODUCT(('01_Data'!$B361:$AW361&lt;&gt;"")*(1/(1+EXP(-(Z361-'03_Lap_b'!$B$40:$AW$40)))))</f>
        <v/>
      </c>
      <c r="AB361" s="5">
        <f>SUMPRODUCT(('01_Data'!$B361:$AW361&lt;&gt;"")*(1/(1+EXP(-(Z361-'03_Lap_b'!$B$40:$AW$40))))^2)</f>
        <v/>
      </c>
      <c r="AC361" s="5">
        <f>MEDIAN(-6,Z361+(C361-AA361)/MAX(AA361-AB361,0.000000001),6)</f>
        <v/>
      </c>
    </row>
    <row r="362">
      <c r="A362" t="n">
        <v>361</v>
      </c>
      <c r="B362">
        <f>'01_Data'!A362</f>
        <v/>
      </c>
      <c r="C362">
        <f>SUM('01_Data'!$B362:$AW362)</f>
        <v/>
      </c>
      <c r="D362">
        <f>COUNT('01_Data'!$B362:$AW362)</f>
        <v/>
      </c>
      <c r="E362" s="5">
        <f>MEDIAN(-6,LN((C362+0.3)/(D362-C362+0.3)),6)</f>
        <v/>
      </c>
      <c r="F362" s="5">
        <f>SUMPRODUCT(('01_Data'!$B362:$AW362&lt;&gt;"")*(1/(1+EXP(-(E362-'03_Lap_b'!$B$5:$AW$5)))))</f>
        <v/>
      </c>
      <c r="G362" s="5">
        <f>SUMPRODUCT(('01_Data'!$B362:$AW362&lt;&gt;"")*(1/(1+EXP(-(E362-'03_Lap_b'!$B$5:$AW$5))))^2)</f>
        <v/>
      </c>
      <c r="H362" s="5">
        <f>MEDIAN(-6,E362+(C362-F362)/MAX(F362-G362,0.000000001),6)</f>
        <v/>
      </c>
      <c r="I362" s="5">
        <f>SUMPRODUCT(('01_Data'!$B362:$AW362&lt;&gt;"")*(1/(1+EXP(-(H362-'03_Lap_b'!$B$10:$AW$10)))))</f>
        <v/>
      </c>
      <c r="J362" s="5">
        <f>SUMPRODUCT(('01_Data'!$B362:$AW362&lt;&gt;"")*(1/(1+EXP(-(H362-'03_Lap_b'!$B$10:$AW$10))))^2)</f>
        <v/>
      </c>
      <c r="K362" s="5">
        <f>MEDIAN(-6,H362+(C362-I362)/MAX(I362-J362,0.000000001),6)</f>
        <v/>
      </c>
      <c r="L362" s="5">
        <f>SUMPRODUCT(('01_Data'!$B362:$AW362&lt;&gt;"")*(1/(1+EXP(-(K362-'03_Lap_b'!$B$15:$AW$15)))))</f>
        <v/>
      </c>
      <c r="M362" s="5">
        <f>SUMPRODUCT(('01_Data'!$B362:$AW362&lt;&gt;"")*(1/(1+EXP(-(K362-'03_Lap_b'!$B$15:$AW$15))))^2)</f>
        <v/>
      </c>
      <c r="N362" s="5">
        <f>MEDIAN(-6,K362+(C362-L362)/MAX(L362-M362,0.000000001),6)</f>
        <v/>
      </c>
      <c r="O362" s="5">
        <f>SUMPRODUCT(('01_Data'!$B362:$AW362&lt;&gt;"")*(1/(1+EXP(-(N362-'03_Lap_b'!$B$20:$AW$20)))))</f>
        <v/>
      </c>
      <c r="P362" s="5">
        <f>SUMPRODUCT(('01_Data'!$B362:$AW362&lt;&gt;"")*(1/(1+EXP(-(N362-'03_Lap_b'!$B$20:$AW$20))))^2)</f>
        <v/>
      </c>
      <c r="Q362" s="5">
        <f>MEDIAN(-6,N362+(C362-O362)/MAX(O362-P362,0.000000001),6)</f>
        <v/>
      </c>
      <c r="R362" s="5">
        <f>SUMPRODUCT(('01_Data'!$B362:$AW362&lt;&gt;"")*(1/(1+EXP(-(Q362-'03_Lap_b'!$B$25:$AW$25)))))</f>
        <v/>
      </c>
      <c r="S362" s="5">
        <f>SUMPRODUCT(('01_Data'!$B362:$AW362&lt;&gt;"")*(1/(1+EXP(-(Q362-'03_Lap_b'!$B$25:$AW$25))))^2)</f>
        <v/>
      </c>
      <c r="T362" s="5">
        <f>MEDIAN(-6,Q362+(C362-R362)/MAX(R362-S362,0.000000001),6)</f>
        <v/>
      </c>
      <c r="U362" s="5">
        <f>SUMPRODUCT(('01_Data'!$B362:$AW362&lt;&gt;"")*(1/(1+EXP(-(T362-'03_Lap_b'!$B$30:$AW$30)))))</f>
        <v/>
      </c>
      <c r="V362" s="5">
        <f>SUMPRODUCT(('01_Data'!$B362:$AW362&lt;&gt;"")*(1/(1+EXP(-(T362-'03_Lap_b'!$B$30:$AW$30))))^2)</f>
        <v/>
      </c>
      <c r="W362" s="5">
        <f>MEDIAN(-6,T362+(C362-U362)/MAX(U362-V362,0.000000001),6)</f>
        <v/>
      </c>
      <c r="X362" s="5">
        <f>SUMPRODUCT(('01_Data'!$B362:$AW362&lt;&gt;"")*(1/(1+EXP(-(W362-'03_Lap_b'!$B$35:$AW$35)))))</f>
        <v/>
      </c>
      <c r="Y362" s="5">
        <f>SUMPRODUCT(('01_Data'!$B362:$AW362&lt;&gt;"")*(1/(1+EXP(-(W362-'03_Lap_b'!$B$35:$AW$35))))^2)</f>
        <v/>
      </c>
      <c r="Z362" s="5">
        <f>MEDIAN(-6,W362+(C362-X362)/MAX(X362-Y362,0.000000001),6)</f>
        <v/>
      </c>
      <c r="AA362" s="5">
        <f>SUMPRODUCT(('01_Data'!$B362:$AW362&lt;&gt;"")*(1/(1+EXP(-(Z362-'03_Lap_b'!$B$40:$AW$40)))))</f>
        <v/>
      </c>
      <c r="AB362" s="5">
        <f>SUMPRODUCT(('01_Data'!$B362:$AW362&lt;&gt;"")*(1/(1+EXP(-(Z362-'03_Lap_b'!$B$40:$AW$40))))^2)</f>
        <v/>
      </c>
      <c r="AC362" s="5">
        <f>MEDIAN(-6,Z362+(C362-AA362)/MAX(AA362-AB362,0.000000001),6)</f>
        <v/>
      </c>
    </row>
    <row r="363">
      <c r="A363" t="n">
        <v>362</v>
      </c>
      <c r="B363">
        <f>'01_Data'!A363</f>
        <v/>
      </c>
      <c r="C363">
        <f>SUM('01_Data'!$B363:$AW363)</f>
        <v/>
      </c>
      <c r="D363">
        <f>COUNT('01_Data'!$B363:$AW363)</f>
        <v/>
      </c>
      <c r="E363" s="5">
        <f>MEDIAN(-6,LN((C363+0.3)/(D363-C363+0.3)),6)</f>
        <v/>
      </c>
      <c r="F363" s="5">
        <f>SUMPRODUCT(('01_Data'!$B363:$AW363&lt;&gt;"")*(1/(1+EXP(-(E363-'03_Lap_b'!$B$5:$AW$5)))))</f>
        <v/>
      </c>
      <c r="G363" s="5">
        <f>SUMPRODUCT(('01_Data'!$B363:$AW363&lt;&gt;"")*(1/(1+EXP(-(E363-'03_Lap_b'!$B$5:$AW$5))))^2)</f>
        <v/>
      </c>
      <c r="H363" s="5">
        <f>MEDIAN(-6,E363+(C363-F363)/MAX(F363-G363,0.000000001),6)</f>
        <v/>
      </c>
      <c r="I363" s="5">
        <f>SUMPRODUCT(('01_Data'!$B363:$AW363&lt;&gt;"")*(1/(1+EXP(-(H363-'03_Lap_b'!$B$10:$AW$10)))))</f>
        <v/>
      </c>
      <c r="J363" s="5">
        <f>SUMPRODUCT(('01_Data'!$B363:$AW363&lt;&gt;"")*(1/(1+EXP(-(H363-'03_Lap_b'!$B$10:$AW$10))))^2)</f>
        <v/>
      </c>
      <c r="K363" s="5">
        <f>MEDIAN(-6,H363+(C363-I363)/MAX(I363-J363,0.000000001),6)</f>
        <v/>
      </c>
      <c r="L363" s="5">
        <f>SUMPRODUCT(('01_Data'!$B363:$AW363&lt;&gt;"")*(1/(1+EXP(-(K363-'03_Lap_b'!$B$15:$AW$15)))))</f>
        <v/>
      </c>
      <c r="M363" s="5">
        <f>SUMPRODUCT(('01_Data'!$B363:$AW363&lt;&gt;"")*(1/(1+EXP(-(K363-'03_Lap_b'!$B$15:$AW$15))))^2)</f>
        <v/>
      </c>
      <c r="N363" s="5">
        <f>MEDIAN(-6,K363+(C363-L363)/MAX(L363-M363,0.000000001),6)</f>
        <v/>
      </c>
      <c r="O363" s="5">
        <f>SUMPRODUCT(('01_Data'!$B363:$AW363&lt;&gt;"")*(1/(1+EXP(-(N363-'03_Lap_b'!$B$20:$AW$20)))))</f>
        <v/>
      </c>
      <c r="P363" s="5">
        <f>SUMPRODUCT(('01_Data'!$B363:$AW363&lt;&gt;"")*(1/(1+EXP(-(N363-'03_Lap_b'!$B$20:$AW$20))))^2)</f>
        <v/>
      </c>
      <c r="Q363" s="5">
        <f>MEDIAN(-6,N363+(C363-O363)/MAX(O363-P363,0.000000001),6)</f>
        <v/>
      </c>
      <c r="R363" s="5">
        <f>SUMPRODUCT(('01_Data'!$B363:$AW363&lt;&gt;"")*(1/(1+EXP(-(Q363-'03_Lap_b'!$B$25:$AW$25)))))</f>
        <v/>
      </c>
      <c r="S363" s="5">
        <f>SUMPRODUCT(('01_Data'!$B363:$AW363&lt;&gt;"")*(1/(1+EXP(-(Q363-'03_Lap_b'!$B$25:$AW$25))))^2)</f>
        <v/>
      </c>
      <c r="T363" s="5">
        <f>MEDIAN(-6,Q363+(C363-R363)/MAX(R363-S363,0.000000001),6)</f>
        <v/>
      </c>
      <c r="U363" s="5">
        <f>SUMPRODUCT(('01_Data'!$B363:$AW363&lt;&gt;"")*(1/(1+EXP(-(T363-'03_Lap_b'!$B$30:$AW$30)))))</f>
        <v/>
      </c>
      <c r="V363" s="5">
        <f>SUMPRODUCT(('01_Data'!$B363:$AW363&lt;&gt;"")*(1/(1+EXP(-(T363-'03_Lap_b'!$B$30:$AW$30))))^2)</f>
        <v/>
      </c>
      <c r="W363" s="5">
        <f>MEDIAN(-6,T363+(C363-U363)/MAX(U363-V363,0.000000001),6)</f>
        <v/>
      </c>
      <c r="X363" s="5">
        <f>SUMPRODUCT(('01_Data'!$B363:$AW363&lt;&gt;"")*(1/(1+EXP(-(W363-'03_Lap_b'!$B$35:$AW$35)))))</f>
        <v/>
      </c>
      <c r="Y363" s="5">
        <f>SUMPRODUCT(('01_Data'!$B363:$AW363&lt;&gt;"")*(1/(1+EXP(-(W363-'03_Lap_b'!$B$35:$AW$35))))^2)</f>
        <v/>
      </c>
      <c r="Z363" s="5">
        <f>MEDIAN(-6,W363+(C363-X363)/MAX(X363-Y363,0.000000001),6)</f>
        <v/>
      </c>
      <c r="AA363" s="5">
        <f>SUMPRODUCT(('01_Data'!$B363:$AW363&lt;&gt;"")*(1/(1+EXP(-(Z363-'03_Lap_b'!$B$40:$AW$40)))))</f>
        <v/>
      </c>
      <c r="AB363" s="5">
        <f>SUMPRODUCT(('01_Data'!$B363:$AW363&lt;&gt;"")*(1/(1+EXP(-(Z363-'03_Lap_b'!$B$40:$AW$40))))^2)</f>
        <v/>
      </c>
      <c r="AC363" s="5">
        <f>MEDIAN(-6,Z363+(C363-AA363)/MAX(AA363-AB363,0.000000001),6)</f>
        <v/>
      </c>
    </row>
    <row r="364">
      <c r="A364" t="n">
        <v>363</v>
      </c>
      <c r="B364">
        <f>'01_Data'!A364</f>
        <v/>
      </c>
      <c r="C364">
        <f>SUM('01_Data'!$B364:$AW364)</f>
        <v/>
      </c>
      <c r="D364">
        <f>COUNT('01_Data'!$B364:$AW364)</f>
        <v/>
      </c>
      <c r="E364" s="5">
        <f>MEDIAN(-6,LN((C364+0.3)/(D364-C364+0.3)),6)</f>
        <v/>
      </c>
      <c r="F364" s="5">
        <f>SUMPRODUCT(('01_Data'!$B364:$AW364&lt;&gt;"")*(1/(1+EXP(-(E364-'03_Lap_b'!$B$5:$AW$5)))))</f>
        <v/>
      </c>
      <c r="G364" s="5">
        <f>SUMPRODUCT(('01_Data'!$B364:$AW364&lt;&gt;"")*(1/(1+EXP(-(E364-'03_Lap_b'!$B$5:$AW$5))))^2)</f>
        <v/>
      </c>
      <c r="H364" s="5">
        <f>MEDIAN(-6,E364+(C364-F364)/MAX(F364-G364,0.000000001),6)</f>
        <v/>
      </c>
      <c r="I364" s="5">
        <f>SUMPRODUCT(('01_Data'!$B364:$AW364&lt;&gt;"")*(1/(1+EXP(-(H364-'03_Lap_b'!$B$10:$AW$10)))))</f>
        <v/>
      </c>
      <c r="J364" s="5">
        <f>SUMPRODUCT(('01_Data'!$B364:$AW364&lt;&gt;"")*(1/(1+EXP(-(H364-'03_Lap_b'!$B$10:$AW$10))))^2)</f>
        <v/>
      </c>
      <c r="K364" s="5">
        <f>MEDIAN(-6,H364+(C364-I364)/MAX(I364-J364,0.000000001),6)</f>
        <v/>
      </c>
      <c r="L364" s="5">
        <f>SUMPRODUCT(('01_Data'!$B364:$AW364&lt;&gt;"")*(1/(1+EXP(-(K364-'03_Lap_b'!$B$15:$AW$15)))))</f>
        <v/>
      </c>
      <c r="M364" s="5">
        <f>SUMPRODUCT(('01_Data'!$B364:$AW364&lt;&gt;"")*(1/(1+EXP(-(K364-'03_Lap_b'!$B$15:$AW$15))))^2)</f>
        <v/>
      </c>
      <c r="N364" s="5">
        <f>MEDIAN(-6,K364+(C364-L364)/MAX(L364-M364,0.000000001),6)</f>
        <v/>
      </c>
      <c r="O364" s="5">
        <f>SUMPRODUCT(('01_Data'!$B364:$AW364&lt;&gt;"")*(1/(1+EXP(-(N364-'03_Lap_b'!$B$20:$AW$20)))))</f>
        <v/>
      </c>
      <c r="P364" s="5">
        <f>SUMPRODUCT(('01_Data'!$B364:$AW364&lt;&gt;"")*(1/(1+EXP(-(N364-'03_Lap_b'!$B$20:$AW$20))))^2)</f>
        <v/>
      </c>
      <c r="Q364" s="5">
        <f>MEDIAN(-6,N364+(C364-O364)/MAX(O364-P364,0.000000001),6)</f>
        <v/>
      </c>
      <c r="R364" s="5">
        <f>SUMPRODUCT(('01_Data'!$B364:$AW364&lt;&gt;"")*(1/(1+EXP(-(Q364-'03_Lap_b'!$B$25:$AW$25)))))</f>
        <v/>
      </c>
      <c r="S364" s="5">
        <f>SUMPRODUCT(('01_Data'!$B364:$AW364&lt;&gt;"")*(1/(1+EXP(-(Q364-'03_Lap_b'!$B$25:$AW$25))))^2)</f>
        <v/>
      </c>
      <c r="T364" s="5">
        <f>MEDIAN(-6,Q364+(C364-R364)/MAX(R364-S364,0.000000001),6)</f>
        <v/>
      </c>
      <c r="U364" s="5">
        <f>SUMPRODUCT(('01_Data'!$B364:$AW364&lt;&gt;"")*(1/(1+EXP(-(T364-'03_Lap_b'!$B$30:$AW$30)))))</f>
        <v/>
      </c>
      <c r="V364" s="5">
        <f>SUMPRODUCT(('01_Data'!$B364:$AW364&lt;&gt;"")*(1/(1+EXP(-(T364-'03_Lap_b'!$B$30:$AW$30))))^2)</f>
        <v/>
      </c>
      <c r="W364" s="5">
        <f>MEDIAN(-6,T364+(C364-U364)/MAX(U364-V364,0.000000001),6)</f>
        <v/>
      </c>
      <c r="X364" s="5">
        <f>SUMPRODUCT(('01_Data'!$B364:$AW364&lt;&gt;"")*(1/(1+EXP(-(W364-'03_Lap_b'!$B$35:$AW$35)))))</f>
        <v/>
      </c>
      <c r="Y364" s="5">
        <f>SUMPRODUCT(('01_Data'!$B364:$AW364&lt;&gt;"")*(1/(1+EXP(-(W364-'03_Lap_b'!$B$35:$AW$35))))^2)</f>
        <v/>
      </c>
      <c r="Z364" s="5">
        <f>MEDIAN(-6,W364+(C364-X364)/MAX(X364-Y364,0.000000001),6)</f>
        <v/>
      </c>
      <c r="AA364" s="5">
        <f>SUMPRODUCT(('01_Data'!$B364:$AW364&lt;&gt;"")*(1/(1+EXP(-(Z364-'03_Lap_b'!$B$40:$AW$40)))))</f>
        <v/>
      </c>
      <c r="AB364" s="5">
        <f>SUMPRODUCT(('01_Data'!$B364:$AW364&lt;&gt;"")*(1/(1+EXP(-(Z364-'03_Lap_b'!$B$40:$AW$40))))^2)</f>
        <v/>
      </c>
      <c r="AC364" s="5">
        <f>MEDIAN(-6,Z364+(C364-AA364)/MAX(AA364-AB364,0.000000001),6)</f>
        <v/>
      </c>
    </row>
    <row r="365">
      <c r="A365" t="n">
        <v>364</v>
      </c>
      <c r="B365">
        <f>'01_Data'!A365</f>
        <v/>
      </c>
      <c r="C365">
        <f>SUM('01_Data'!$B365:$AW365)</f>
        <v/>
      </c>
      <c r="D365">
        <f>COUNT('01_Data'!$B365:$AW365)</f>
        <v/>
      </c>
      <c r="E365" s="5">
        <f>MEDIAN(-6,LN((C365+0.3)/(D365-C365+0.3)),6)</f>
        <v/>
      </c>
      <c r="F365" s="5">
        <f>SUMPRODUCT(('01_Data'!$B365:$AW365&lt;&gt;"")*(1/(1+EXP(-(E365-'03_Lap_b'!$B$5:$AW$5)))))</f>
        <v/>
      </c>
      <c r="G365" s="5">
        <f>SUMPRODUCT(('01_Data'!$B365:$AW365&lt;&gt;"")*(1/(1+EXP(-(E365-'03_Lap_b'!$B$5:$AW$5))))^2)</f>
        <v/>
      </c>
      <c r="H365" s="5">
        <f>MEDIAN(-6,E365+(C365-F365)/MAX(F365-G365,0.000000001),6)</f>
        <v/>
      </c>
      <c r="I365" s="5">
        <f>SUMPRODUCT(('01_Data'!$B365:$AW365&lt;&gt;"")*(1/(1+EXP(-(H365-'03_Lap_b'!$B$10:$AW$10)))))</f>
        <v/>
      </c>
      <c r="J365" s="5">
        <f>SUMPRODUCT(('01_Data'!$B365:$AW365&lt;&gt;"")*(1/(1+EXP(-(H365-'03_Lap_b'!$B$10:$AW$10))))^2)</f>
        <v/>
      </c>
      <c r="K365" s="5">
        <f>MEDIAN(-6,H365+(C365-I365)/MAX(I365-J365,0.000000001),6)</f>
        <v/>
      </c>
      <c r="L365" s="5">
        <f>SUMPRODUCT(('01_Data'!$B365:$AW365&lt;&gt;"")*(1/(1+EXP(-(K365-'03_Lap_b'!$B$15:$AW$15)))))</f>
        <v/>
      </c>
      <c r="M365" s="5">
        <f>SUMPRODUCT(('01_Data'!$B365:$AW365&lt;&gt;"")*(1/(1+EXP(-(K365-'03_Lap_b'!$B$15:$AW$15))))^2)</f>
        <v/>
      </c>
      <c r="N365" s="5">
        <f>MEDIAN(-6,K365+(C365-L365)/MAX(L365-M365,0.000000001),6)</f>
        <v/>
      </c>
      <c r="O365" s="5">
        <f>SUMPRODUCT(('01_Data'!$B365:$AW365&lt;&gt;"")*(1/(1+EXP(-(N365-'03_Lap_b'!$B$20:$AW$20)))))</f>
        <v/>
      </c>
      <c r="P365" s="5">
        <f>SUMPRODUCT(('01_Data'!$B365:$AW365&lt;&gt;"")*(1/(1+EXP(-(N365-'03_Lap_b'!$B$20:$AW$20))))^2)</f>
        <v/>
      </c>
      <c r="Q365" s="5">
        <f>MEDIAN(-6,N365+(C365-O365)/MAX(O365-P365,0.000000001),6)</f>
        <v/>
      </c>
      <c r="R365" s="5">
        <f>SUMPRODUCT(('01_Data'!$B365:$AW365&lt;&gt;"")*(1/(1+EXP(-(Q365-'03_Lap_b'!$B$25:$AW$25)))))</f>
        <v/>
      </c>
      <c r="S365" s="5">
        <f>SUMPRODUCT(('01_Data'!$B365:$AW365&lt;&gt;"")*(1/(1+EXP(-(Q365-'03_Lap_b'!$B$25:$AW$25))))^2)</f>
        <v/>
      </c>
      <c r="T365" s="5">
        <f>MEDIAN(-6,Q365+(C365-R365)/MAX(R365-S365,0.000000001),6)</f>
        <v/>
      </c>
      <c r="U365" s="5">
        <f>SUMPRODUCT(('01_Data'!$B365:$AW365&lt;&gt;"")*(1/(1+EXP(-(T365-'03_Lap_b'!$B$30:$AW$30)))))</f>
        <v/>
      </c>
      <c r="V365" s="5">
        <f>SUMPRODUCT(('01_Data'!$B365:$AW365&lt;&gt;"")*(1/(1+EXP(-(T365-'03_Lap_b'!$B$30:$AW$30))))^2)</f>
        <v/>
      </c>
      <c r="W365" s="5">
        <f>MEDIAN(-6,T365+(C365-U365)/MAX(U365-V365,0.000000001),6)</f>
        <v/>
      </c>
      <c r="X365" s="5">
        <f>SUMPRODUCT(('01_Data'!$B365:$AW365&lt;&gt;"")*(1/(1+EXP(-(W365-'03_Lap_b'!$B$35:$AW$35)))))</f>
        <v/>
      </c>
      <c r="Y365" s="5">
        <f>SUMPRODUCT(('01_Data'!$B365:$AW365&lt;&gt;"")*(1/(1+EXP(-(W365-'03_Lap_b'!$B$35:$AW$35))))^2)</f>
        <v/>
      </c>
      <c r="Z365" s="5">
        <f>MEDIAN(-6,W365+(C365-X365)/MAX(X365-Y365,0.000000001),6)</f>
        <v/>
      </c>
      <c r="AA365" s="5">
        <f>SUMPRODUCT(('01_Data'!$B365:$AW365&lt;&gt;"")*(1/(1+EXP(-(Z365-'03_Lap_b'!$B$40:$AW$40)))))</f>
        <v/>
      </c>
      <c r="AB365" s="5">
        <f>SUMPRODUCT(('01_Data'!$B365:$AW365&lt;&gt;"")*(1/(1+EXP(-(Z365-'03_Lap_b'!$B$40:$AW$40))))^2)</f>
        <v/>
      </c>
      <c r="AC365" s="5">
        <f>MEDIAN(-6,Z365+(C365-AA365)/MAX(AA365-AB365,0.000000001),6)</f>
        <v/>
      </c>
    </row>
    <row r="366">
      <c r="A366" t="n">
        <v>365</v>
      </c>
      <c r="B366">
        <f>'01_Data'!A366</f>
        <v/>
      </c>
      <c r="C366">
        <f>SUM('01_Data'!$B366:$AW366)</f>
        <v/>
      </c>
      <c r="D366">
        <f>COUNT('01_Data'!$B366:$AW366)</f>
        <v/>
      </c>
      <c r="E366" s="5">
        <f>MEDIAN(-6,LN((C366+0.3)/(D366-C366+0.3)),6)</f>
        <v/>
      </c>
      <c r="F366" s="5">
        <f>SUMPRODUCT(('01_Data'!$B366:$AW366&lt;&gt;"")*(1/(1+EXP(-(E366-'03_Lap_b'!$B$5:$AW$5)))))</f>
        <v/>
      </c>
      <c r="G366" s="5">
        <f>SUMPRODUCT(('01_Data'!$B366:$AW366&lt;&gt;"")*(1/(1+EXP(-(E366-'03_Lap_b'!$B$5:$AW$5))))^2)</f>
        <v/>
      </c>
      <c r="H366" s="5">
        <f>MEDIAN(-6,E366+(C366-F366)/MAX(F366-G366,0.000000001),6)</f>
        <v/>
      </c>
      <c r="I366" s="5">
        <f>SUMPRODUCT(('01_Data'!$B366:$AW366&lt;&gt;"")*(1/(1+EXP(-(H366-'03_Lap_b'!$B$10:$AW$10)))))</f>
        <v/>
      </c>
      <c r="J366" s="5">
        <f>SUMPRODUCT(('01_Data'!$B366:$AW366&lt;&gt;"")*(1/(1+EXP(-(H366-'03_Lap_b'!$B$10:$AW$10))))^2)</f>
        <v/>
      </c>
      <c r="K366" s="5">
        <f>MEDIAN(-6,H366+(C366-I366)/MAX(I366-J366,0.000000001),6)</f>
        <v/>
      </c>
      <c r="L366" s="5">
        <f>SUMPRODUCT(('01_Data'!$B366:$AW366&lt;&gt;"")*(1/(1+EXP(-(K366-'03_Lap_b'!$B$15:$AW$15)))))</f>
        <v/>
      </c>
      <c r="M366" s="5">
        <f>SUMPRODUCT(('01_Data'!$B366:$AW366&lt;&gt;"")*(1/(1+EXP(-(K366-'03_Lap_b'!$B$15:$AW$15))))^2)</f>
        <v/>
      </c>
      <c r="N366" s="5">
        <f>MEDIAN(-6,K366+(C366-L366)/MAX(L366-M366,0.000000001),6)</f>
        <v/>
      </c>
      <c r="O366" s="5">
        <f>SUMPRODUCT(('01_Data'!$B366:$AW366&lt;&gt;"")*(1/(1+EXP(-(N366-'03_Lap_b'!$B$20:$AW$20)))))</f>
        <v/>
      </c>
      <c r="P366" s="5">
        <f>SUMPRODUCT(('01_Data'!$B366:$AW366&lt;&gt;"")*(1/(1+EXP(-(N366-'03_Lap_b'!$B$20:$AW$20))))^2)</f>
        <v/>
      </c>
      <c r="Q366" s="5">
        <f>MEDIAN(-6,N366+(C366-O366)/MAX(O366-P366,0.000000001),6)</f>
        <v/>
      </c>
      <c r="R366" s="5">
        <f>SUMPRODUCT(('01_Data'!$B366:$AW366&lt;&gt;"")*(1/(1+EXP(-(Q366-'03_Lap_b'!$B$25:$AW$25)))))</f>
        <v/>
      </c>
      <c r="S366" s="5">
        <f>SUMPRODUCT(('01_Data'!$B366:$AW366&lt;&gt;"")*(1/(1+EXP(-(Q366-'03_Lap_b'!$B$25:$AW$25))))^2)</f>
        <v/>
      </c>
      <c r="T366" s="5">
        <f>MEDIAN(-6,Q366+(C366-R366)/MAX(R366-S366,0.000000001),6)</f>
        <v/>
      </c>
      <c r="U366" s="5">
        <f>SUMPRODUCT(('01_Data'!$B366:$AW366&lt;&gt;"")*(1/(1+EXP(-(T366-'03_Lap_b'!$B$30:$AW$30)))))</f>
        <v/>
      </c>
      <c r="V366" s="5">
        <f>SUMPRODUCT(('01_Data'!$B366:$AW366&lt;&gt;"")*(1/(1+EXP(-(T366-'03_Lap_b'!$B$30:$AW$30))))^2)</f>
        <v/>
      </c>
      <c r="W366" s="5">
        <f>MEDIAN(-6,T366+(C366-U366)/MAX(U366-V366,0.000000001),6)</f>
        <v/>
      </c>
      <c r="X366" s="5">
        <f>SUMPRODUCT(('01_Data'!$B366:$AW366&lt;&gt;"")*(1/(1+EXP(-(W366-'03_Lap_b'!$B$35:$AW$35)))))</f>
        <v/>
      </c>
      <c r="Y366" s="5">
        <f>SUMPRODUCT(('01_Data'!$B366:$AW366&lt;&gt;"")*(1/(1+EXP(-(W366-'03_Lap_b'!$B$35:$AW$35))))^2)</f>
        <v/>
      </c>
      <c r="Z366" s="5">
        <f>MEDIAN(-6,W366+(C366-X366)/MAX(X366-Y366,0.000000001),6)</f>
        <v/>
      </c>
      <c r="AA366" s="5">
        <f>SUMPRODUCT(('01_Data'!$B366:$AW366&lt;&gt;"")*(1/(1+EXP(-(Z366-'03_Lap_b'!$B$40:$AW$40)))))</f>
        <v/>
      </c>
      <c r="AB366" s="5">
        <f>SUMPRODUCT(('01_Data'!$B366:$AW366&lt;&gt;"")*(1/(1+EXP(-(Z366-'03_Lap_b'!$B$40:$AW$40))))^2)</f>
        <v/>
      </c>
      <c r="AC366" s="5">
        <f>MEDIAN(-6,Z366+(C366-AA366)/MAX(AA366-AB366,0.000000001),6)</f>
        <v/>
      </c>
    </row>
    <row r="367">
      <c r="A367" t="n">
        <v>366</v>
      </c>
      <c r="B367">
        <f>'01_Data'!A367</f>
        <v/>
      </c>
      <c r="C367">
        <f>SUM('01_Data'!$B367:$AW367)</f>
        <v/>
      </c>
      <c r="D367">
        <f>COUNT('01_Data'!$B367:$AW367)</f>
        <v/>
      </c>
      <c r="E367" s="5">
        <f>MEDIAN(-6,LN((C367+0.3)/(D367-C367+0.3)),6)</f>
        <v/>
      </c>
      <c r="F367" s="5">
        <f>SUMPRODUCT(('01_Data'!$B367:$AW367&lt;&gt;"")*(1/(1+EXP(-(E367-'03_Lap_b'!$B$5:$AW$5)))))</f>
        <v/>
      </c>
      <c r="G367" s="5">
        <f>SUMPRODUCT(('01_Data'!$B367:$AW367&lt;&gt;"")*(1/(1+EXP(-(E367-'03_Lap_b'!$B$5:$AW$5))))^2)</f>
        <v/>
      </c>
      <c r="H367" s="5">
        <f>MEDIAN(-6,E367+(C367-F367)/MAX(F367-G367,0.000000001),6)</f>
        <v/>
      </c>
      <c r="I367" s="5">
        <f>SUMPRODUCT(('01_Data'!$B367:$AW367&lt;&gt;"")*(1/(1+EXP(-(H367-'03_Lap_b'!$B$10:$AW$10)))))</f>
        <v/>
      </c>
      <c r="J367" s="5">
        <f>SUMPRODUCT(('01_Data'!$B367:$AW367&lt;&gt;"")*(1/(1+EXP(-(H367-'03_Lap_b'!$B$10:$AW$10))))^2)</f>
        <v/>
      </c>
      <c r="K367" s="5">
        <f>MEDIAN(-6,H367+(C367-I367)/MAX(I367-J367,0.000000001),6)</f>
        <v/>
      </c>
      <c r="L367" s="5">
        <f>SUMPRODUCT(('01_Data'!$B367:$AW367&lt;&gt;"")*(1/(1+EXP(-(K367-'03_Lap_b'!$B$15:$AW$15)))))</f>
        <v/>
      </c>
      <c r="M367" s="5">
        <f>SUMPRODUCT(('01_Data'!$B367:$AW367&lt;&gt;"")*(1/(1+EXP(-(K367-'03_Lap_b'!$B$15:$AW$15))))^2)</f>
        <v/>
      </c>
      <c r="N367" s="5">
        <f>MEDIAN(-6,K367+(C367-L367)/MAX(L367-M367,0.000000001),6)</f>
        <v/>
      </c>
      <c r="O367" s="5">
        <f>SUMPRODUCT(('01_Data'!$B367:$AW367&lt;&gt;"")*(1/(1+EXP(-(N367-'03_Lap_b'!$B$20:$AW$20)))))</f>
        <v/>
      </c>
      <c r="P367" s="5">
        <f>SUMPRODUCT(('01_Data'!$B367:$AW367&lt;&gt;"")*(1/(1+EXP(-(N367-'03_Lap_b'!$B$20:$AW$20))))^2)</f>
        <v/>
      </c>
      <c r="Q367" s="5">
        <f>MEDIAN(-6,N367+(C367-O367)/MAX(O367-P367,0.000000001),6)</f>
        <v/>
      </c>
      <c r="R367" s="5">
        <f>SUMPRODUCT(('01_Data'!$B367:$AW367&lt;&gt;"")*(1/(1+EXP(-(Q367-'03_Lap_b'!$B$25:$AW$25)))))</f>
        <v/>
      </c>
      <c r="S367" s="5">
        <f>SUMPRODUCT(('01_Data'!$B367:$AW367&lt;&gt;"")*(1/(1+EXP(-(Q367-'03_Lap_b'!$B$25:$AW$25))))^2)</f>
        <v/>
      </c>
      <c r="T367" s="5">
        <f>MEDIAN(-6,Q367+(C367-R367)/MAX(R367-S367,0.000000001),6)</f>
        <v/>
      </c>
      <c r="U367" s="5">
        <f>SUMPRODUCT(('01_Data'!$B367:$AW367&lt;&gt;"")*(1/(1+EXP(-(T367-'03_Lap_b'!$B$30:$AW$30)))))</f>
        <v/>
      </c>
      <c r="V367" s="5">
        <f>SUMPRODUCT(('01_Data'!$B367:$AW367&lt;&gt;"")*(1/(1+EXP(-(T367-'03_Lap_b'!$B$30:$AW$30))))^2)</f>
        <v/>
      </c>
      <c r="W367" s="5">
        <f>MEDIAN(-6,T367+(C367-U367)/MAX(U367-V367,0.000000001),6)</f>
        <v/>
      </c>
      <c r="X367" s="5">
        <f>SUMPRODUCT(('01_Data'!$B367:$AW367&lt;&gt;"")*(1/(1+EXP(-(W367-'03_Lap_b'!$B$35:$AW$35)))))</f>
        <v/>
      </c>
      <c r="Y367" s="5">
        <f>SUMPRODUCT(('01_Data'!$B367:$AW367&lt;&gt;"")*(1/(1+EXP(-(W367-'03_Lap_b'!$B$35:$AW$35))))^2)</f>
        <v/>
      </c>
      <c r="Z367" s="5">
        <f>MEDIAN(-6,W367+(C367-X367)/MAX(X367-Y367,0.000000001),6)</f>
        <v/>
      </c>
      <c r="AA367" s="5">
        <f>SUMPRODUCT(('01_Data'!$B367:$AW367&lt;&gt;"")*(1/(1+EXP(-(Z367-'03_Lap_b'!$B$40:$AW$40)))))</f>
        <v/>
      </c>
      <c r="AB367" s="5">
        <f>SUMPRODUCT(('01_Data'!$B367:$AW367&lt;&gt;"")*(1/(1+EXP(-(Z367-'03_Lap_b'!$B$40:$AW$40))))^2)</f>
        <v/>
      </c>
      <c r="AC367" s="5">
        <f>MEDIAN(-6,Z367+(C367-AA367)/MAX(AA367-AB367,0.000000001),6)</f>
        <v/>
      </c>
    </row>
    <row r="368">
      <c r="A368" t="n">
        <v>367</v>
      </c>
      <c r="B368">
        <f>'01_Data'!A368</f>
        <v/>
      </c>
      <c r="C368">
        <f>SUM('01_Data'!$B368:$AW368)</f>
        <v/>
      </c>
      <c r="D368">
        <f>COUNT('01_Data'!$B368:$AW368)</f>
        <v/>
      </c>
      <c r="E368" s="5">
        <f>MEDIAN(-6,LN((C368+0.3)/(D368-C368+0.3)),6)</f>
        <v/>
      </c>
      <c r="F368" s="5">
        <f>SUMPRODUCT(('01_Data'!$B368:$AW368&lt;&gt;"")*(1/(1+EXP(-(E368-'03_Lap_b'!$B$5:$AW$5)))))</f>
        <v/>
      </c>
      <c r="G368" s="5">
        <f>SUMPRODUCT(('01_Data'!$B368:$AW368&lt;&gt;"")*(1/(1+EXP(-(E368-'03_Lap_b'!$B$5:$AW$5))))^2)</f>
        <v/>
      </c>
      <c r="H368" s="5">
        <f>MEDIAN(-6,E368+(C368-F368)/MAX(F368-G368,0.000000001),6)</f>
        <v/>
      </c>
      <c r="I368" s="5">
        <f>SUMPRODUCT(('01_Data'!$B368:$AW368&lt;&gt;"")*(1/(1+EXP(-(H368-'03_Lap_b'!$B$10:$AW$10)))))</f>
        <v/>
      </c>
      <c r="J368" s="5">
        <f>SUMPRODUCT(('01_Data'!$B368:$AW368&lt;&gt;"")*(1/(1+EXP(-(H368-'03_Lap_b'!$B$10:$AW$10))))^2)</f>
        <v/>
      </c>
      <c r="K368" s="5">
        <f>MEDIAN(-6,H368+(C368-I368)/MAX(I368-J368,0.000000001),6)</f>
        <v/>
      </c>
      <c r="L368" s="5">
        <f>SUMPRODUCT(('01_Data'!$B368:$AW368&lt;&gt;"")*(1/(1+EXP(-(K368-'03_Lap_b'!$B$15:$AW$15)))))</f>
        <v/>
      </c>
      <c r="M368" s="5">
        <f>SUMPRODUCT(('01_Data'!$B368:$AW368&lt;&gt;"")*(1/(1+EXP(-(K368-'03_Lap_b'!$B$15:$AW$15))))^2)</f>
        <v/>
      </c>
      <c r="N368" s="5">
        <f>MEDIAN(-6,K368+(C368-L368)/MAX(L368-M368,0.000000001),6)</f>
        <v/>
      </c>
      <c r="O368" s="5">
        <f>SUMPRODUCT(('01_Data'!$B368:$AW368&lt;&gt;"")*(1/(1+EXP(-(N368-'03_Lap_b'!$B$20:$AW$20)))))</f>
        <v/>
      </c>
      <c r="P368" s="5">
        <f>SUMPRODUCT(('01_Data'!$B368:$AW368&lt;&gt;"")*(1/(1+EXP(-(N368-'03_Lap_b'!$B$20:$AW$20))))^2)</f>
        <v/>
      </c>
      <c r="Q368" s="5">
        <f>MEDIAN(-6,N368+(C368-O368)/MAX(O368-P368,0.000000001),6)</f>
        <v/>
      </c>
      <c r="R368" s="5">
        <f>SUMPRODUCT(('01_Data'!$B368:$AW368&lt;&gt;"")*(1/(1+EXP(-(Q368-'03_Lap_b'!$B$25:$AW$25)))))</f>
        <v/>
      </c>
      <c r="S368" s="5">
        <f>SUMPRODUCT(('01_Data'!$B368:$AW368&lt;&gt;"")*(1/(1+EXP(-(Q368-'03_Lap_b'!$B$25:$AW$25))))^2)</f>
        <v/>
      </c>
      <c r="T368" s="5">
        <f>MEDIAN(-6,Q368+(C368-R368)/MAX(R368-S368,0.000000001),6)</f>
        <v/>
      </c>
      <c r="U368" s="5">
        <f>SUMPRODUCT(('01_Data'!$B368:$AW368&lt;&gt;"")*(1/(1+EXP(-(T368-'03_Lap_b'!$B$30:$AW$30)))))</f>
        <v/>
      </c>
      <c r="V368" s="5">
        <f>SUMPRODUCT(('01_Data'!$B368:$AW368&lt;&gt;"")*(1/(1+EXP(-(T368-'03_Lap_b'!$B$30:$AW$30))))^2)</f>
        <v/>
      </c>
      <c r="W368" s="5">
        <f>MEDIAN(-6,T368+(C368-U368)/MAX(U368-V368,0.000000001),6)</f>
        <v/>
      </c>
      <c r="X368" s="5">
        <f>SUMPRODUCT(('01_Data'!$B368:$AW368&lt;&gt;"")*(1/(1+EXP(-(W368-'03_Lap_b'!$B$35:$AW$35)))))</f>
        <v/>
      </c>
      <c r="Y368" s="5">
        <f>SUMPRODUCT(('01_Data'!$B368:$AW368&lt;&gt;"")*(1/(1+EXP(-(W368-'03_Lap_b'!$B$35:$AW$35))))^2)</f>
        <v/>
      </c>
      <c r="Z368" s="5">
        <f>MEDIAN(-6,W368+(C368-X368)/MAX(X368-Y368,0.000000001),6)</f>
        <v/>
      </c>
      <c r="AA368" s="5">
        <f>SUMPRODUCT(('01_Data'!$B368:$AW368&lt;&gt;"")*(1/(1+EXP(-(Z368-'03_Lap_b'!$B$40:$AW$40)))))</f>
        <v/>
      </c>
      <c r="AB368" s="5">
        <f>SUMPRODUCT(('01_Data'!$B368:$AW368&lt;&gt;"")*(1/(1+EXP(-(Z368-'03_Lap_b'!$B$40:$AW$40))))^2)</f>
        <v/>
      </c>
      <c r="AC368" s="5">
        <f>MEDIAN(-6,Z368+(C368-AA368)/MAX(AA368-AB368,0.000000001),6)</f>
        <v/>
      </c>
    </row>
    <row r="369">
      <c r="A369" t="n">
        <v>368</v>
      </c>
      <c r="B369">
        <f>'01_Data'!A369</f>
        <v/>
      </c>
      <c r="C369">
        <f>SUM('01_Data'!$B369:$AW369)</f>
        <v/>
      </c>
      <c r="D369">
        <f>COUNT('01_Data'!$B369:$AW369)</f>
        <v/>
      </c>
      <c r="E369" s="5">
        <f>MEDIAN(-6,LN((C369+0.3)/(D369-C369+0.3)),6)</f>
        <v/>
      </c>
      <c r="F369" s="5">
        <f>SUMPRODUCT(('01_Data'!$B369:$AW369&lt;&gt;"")*(1/(1+EXP(-(E369-'03_Lap_b'!$B$5:$AW$5)))))</f>
        <v/>
      </c>
      <c r="G369" s="5">
        <f>SUMPRODUCT(('01_Data'!$B369:$AW369&lt;&gt;"")*(1/(1+EXP(-(E369-'03_Lap_b'!$B$5:$AW$5))))^2)</f>
        <v/>
      </c>
      <c r="H369" s="5">
        <f>MEDIAN(-6,E369+(C369-F369)/MAX(F369-G369,0.000000001),6)</f>
        <v/>
      </c>
      <c r="I369" s="5">
        <f>SUMPRODUCT(('01_Data'!$B369:$AW369&lt;&gt;"")*(1/(1+EXP(-(H369-'03_Lap_b'!$B$10:$AW$10)))))</f>
        <v/>
      </c>
      <c r="J369" s="5">
        <f>SUMPRODUCT(('01_Data'!$B369:$AW369&lt;&gt;"")*(1/(1+EXP(-(H369-'03_Lap_b'!$B$10:$AW$10))))^2)</f>
        <v/>
      </c>
      <c r="K369" s="5">
        <f>MEDIAN(-6,H369+(C369-I369)/MAX(I369-J369,0.000000001),6)</f>
        <v/>
      </c>
      <c r="L369" s="5">
        <f>SUMPRODUCT(('01_Data'!$B369:$AW369&lt;&gt;"")*(1/(1+EXP(-(K369-'03_Lap_b'!$B$15:$AW$15)))))</f>
        <v/>
      </c>
      <c r="M369" s="5">
        <f>SUMPRODUCT(('01_Data'!$B369:$AW369&lt;&gt;"")*(1/(1+EXP(-(K369-'03_Lap_b'!$B$15:$AW$15))))^2)</f>
        <v/>
      </c>
      <c r="N369" s="5">
        <f>MEDIAN(-6,K369+(C369-L369)/MAX(L369-M369,0.000000001),6)</f>
        <v/>
      </c>
      <c r="O369" s="5">
        <f>SUMPRODUCT(('01_Data'!$B369:$AW369&lt;&gt;"")*(1/(1+EXP(-(N369-'03_Lap_b'!$B$20:$AW$20)))))</f>
        <v/>
      </c>
      <c r="P369" s="5">
        <f>SUMPRODUCT(('01_Data'!$B369:$AW369&lt;&gt;"")*(1/(1+EXP(-(N369-'03_Lap_b'!$B$20:$AW$20))))^2)</f>
        <v/>
      </c>
      <c r="Q369" s="5">
        <f>MEDIAN(-6,N369+(C369-O369)/MAX(O369-P369,0.000000001),6)</f>
        <v/>
      </c>
      <c r="R369" s="5">
        <f>SUMPRODUCT(('01_Data'!$B369:$AW369&lt;&gt;"")*(1/(1+EXP(-(Q369-'03_Lap_b'!$B$25:$AW$25)))))</f>
        <v/>
      </c>
      <c r="S369" s="5">
        <f>SUMPRODUCT(('01_Data'!$B369:$AW369&lt;&gt;"")*(1/(1+EXP(-(Q369-'03_Lap_b'!$B$25:$AW$25))))^2)</f>
        <v/>
      </c>
      <c r="T369" s="5">
        <f>MEDIAN(-6,Q369+(C369-R369)/MAX(R369-S369,0.000000001),6)</f>
        <v/>
      </c>
      <c r="U369" s="5">
        <f>SUMPRODUCT(('01_Data'!$B369:$AW369&lt;&gt;"")*(1/(1+EXP(-(T369-'03_Lap_b'!$B$30:$AW$30)))))</f>
        <v/>
      </c>
      <c r="V369" s="5">
        <f>SUMPRODUCT(('01_Data'!$B369:$AW369&lt;&gt;"")*(1/(1+EXP(-(T369-'03_Lap_b'!$B$30:$AW$30))))^2)</f>
        <v/>
      </c>
      <c r="W369" s="5">
        <f>MEDIAN(-6,T369+(C369-U369)/MAX(U369-V369,0.000000001),6)</f>
        <v/>
      </c>
      <c r="X369" s="5">
        <f>SUMPRODUCT(('01_Data'!$B369:$AW369&lt;&gt;"")*(1/(1+EXP(-(W369-'03_Lap_b'!$B$35:$AW$35)))))</f>
        <v/>
      </c>
      <c r="Y369" s="5">
        <f>SUMPRODUCT(('01_Data'!$B369:$AW369&lt;&gt;"")*(1/(1+EXP(-(W369-'03_Lap_b'!$B$35:$AW$35))))^2)</f>
        <v/>
      </c>
      <c r="Z369" s="5">
        <f>MEDIAN(-6,W369+(C369-X369)/MAX(X369-Y369,0.000000001),6)</f>
        <v/>
      </c>
      <c r="AA369" s="5">
        <f>SUMPRODUCT(('01_Data'!$B369:$AW369&lt;&gt;"")*(1/(1+EXP(-(Z369-'03_Lap_b'!$B$40:$AW$40)))))</f>
        <v/>
      </c>
      <c r="AB369" s="5">
        <f>SUMPRODUCT(('01_Data'!$B369:$AW369&lt;&gt;"")*(1/(1+EXP(-(Z369-'03_Lap_b'!$B$40:$AW$40))))^2)</f>
        <v/>
      </c>
      <c r="AC369" s="5">
        <f>MEDIAN(-6,Z369+(C369-AA369)/MAX(AA369-AB369,0.000000001),6)</f>
        <v/>
      </c>
    </row>
    <row r="370">
      <c r="A370" t="n">
        <v>369</v>
      </c>
      <c r="B370">
        <f>'01_Data'!A370</f>
        <v/>
      </c>
      <c r="C370">
        <f>SUM('01_Data'!$B370:$AW370)</f>
        <v/>
      </c>
      <c r="D370">
        <f>COUNT('01_Data'!$B370:$AW370)</f>
        <v/>
      </c>
      <c r="E370" s="5">
        <f>MEDIAN(-6,LN((C370+0.3)/(D370-C370+0.3)),6)</f>
        <v/>
      </c>
      <c r="F370" s="5">
        <f>SUMPRODUCT(('01_Data'!$B370:$AW370&lt;&gt;"")*(1/(1+EXP(-(E370-'03_Lap_b'!$B$5:$AW$5)))))</f>
        <v/>
      </c>
      <c r="G370" s="5">
        <f>SUMPRODUCT(('01_Data'!$B370:$AW370&lt;&gt;"")*(1/(1+EXP(-(E370-'03_Lap_b'!$B$5:$AW$5))))^2)</f>
        <v/>
      </c>
      <c r="H370" s="5">
        <f>MEDIAN(-6,E370+(C370-F370)/MAX(F370-G370,0.000000001),6)</f>
        <v/>
      </c>
      <c r="I370" s="5">
        <f>SUMPRODUCT(('01_Data'!$B370:$AW370&lt;&gt;"")*(1/(1+EXP(-(H370-'03_Lap_b'!$B$10:$AW$10)))))</f>
        <v/>
      </c>
      <c r="J370" s="5">
        <f>SUMPRODUCT(('01_Data'!$B370:$AW370&lt;&gt;"")*(1/(1+EXP(-(H370-'03_Lap_b'!$B$10:$AW$10))))^2)</f>
        <v/>
      </c>
      <c r="K370" s="5">
        <f>MEDIAN(-6,H370+(C370-I370)/MAX(I370-J370,0.000000001),6)</f>
        <v/>
      </c>
      <c r="L370" s="5">
        <f>SUMPRODUCT(('01_Data'!$B370:$AW370&lt;&gt;"")*(1/(1+EXP(-(K370-'03_Lap_b'!$B$15:$AW$15)))))</f>
        <v/>
      </c>
      <c r="M370" s="5">
        <f>SUMPRODUCT(('01_Data'!$B370:$AW370&lt;&gt;"")*(1/(1+EXP(-(K370-'03_Lap_b'!$B$15:$AW$15))))^2)</f>
        <v/>
      </c>
      <c r="N370" s="5">
        <f>MEDIAN(-6,K370+(C370-L370)/MAX(L370-M370,0.000000001),6)</f>
        <v/>
      </c>
      <c r="O370" s="5">
        <f>SUMPRODUCT(('01_Data'!$B370:$AW370&lt;&gt;"")*(1/(1+EXP(-(N370-'03_Lap_b'!$B$20:$AW$20)))))</f>
        <v/>
      </c>
      <c r="P370" s="5">
        <f>SUMPRODUCT(('01_Data'!$B370:$AW370&lt;&gt;"")*(1/(1+EXP(-(N370-'03_Lap_b'!$B$20:$AW$20))))^2)</f>
        <v/>
      </c>
      <c r="Q370" s="5">
        <f>MEDIAN(-6,N370+(C370-O370)/MAX(O370-P370,0.000000001),6)</f>
        <v/>
      </c>
      <c r="R370" s="5">
        <f>SUMPRODUCT(('01_Data'!$B370:$AW370&lt;&gt;"")*(1/(1+EXP(-(Q370-'03_Lap_b'!$B$25:$AW$25)))))</f>
        <v/>
      </c>
      <c r="S370" s="5">
        <f>SUMPRODUCT(('01_Data'!$B370:$AW370&lt;&gt;"")*(1/(1+EXP(-(Q370-'03_Lap_b'!$B$25:$AW$25))))^2)</f>
        <v/>
      </c>
      <c r="T370" s="5">
        <f>MEDIAN(-6,Q370+(C370-R370)/MAX(R370-S370,0.000000001),6)</f>
        <v/>
      </c>
      <c r="U370" s="5">
        <f>SUMPRODUCT(('01_Data'!$B370:$AW370&lt;&gt;"")*(1/(1+EXP(-(T370-'03_Lap_b'!$B$30:$AW$30)))))</f>
        <v/>
      </c>
      <c r="V370" s="5">
        <f>SUMPRODUCT(('01_Data'!$B370:$AW370&lt;&gt;"")*(1/(1+EXP(-(T370-'03_Lap_b'!$B$30:$AW$30))))^2)</f>
        <v/>
      </c>
      <c r="W370" s="5">
        <f>MEDIAN(-6,T370+(C370-U370)/MAX(U370-V370,0.000000001),6)</f>
        <v/>
      </c>
      <c r="X370" s="5">
        <f>SUMPRODUCT(('01_Data'!$B370:$AW370&lt;&gt;"")*(1/(1+EXP(-(W370-'03_Lap_b'!$B$35:$AW$35)))))</f>
        <v/>
      </c>
      <c r="Y370" s="5">
        <f>SUMPRODUCT(('01_Data'!$B370:$AW370&lt;&gt;"")*(1/(1+EXP(-(W370-'03_Lap_b'!$B$35:$AW$35))))^2)</f>
        <v/>
      </c>
      <c r="Z370" s="5">
        <f>MEDIAN(-6,W370+(C370-X370)/MAX(X370-Y370,0.000000001),6)</f>
        <v/>
      </c>
      <c r="AA370" s="5">
        <f>SUMPRODUCT(('01_Data'!$B370:$AW370&lt;&gt;"")*(1/(1+EXP(-(Z370-'03_Lap_b'!$B$40:$AW$40)))))</f>
        <v/>
      </c>
      <c r="AB370" s="5">
        <f>SUMPRODUCT(('01_Data'!$B370:$AW370&lt;&gt;"")*(1/(1+EXP(-(Z370-'03_Lap_b'!$B$40:$AW$40))))^2)</f>
        <v/>
      </c>
      <c r="AC370" s="5">
        <f>MEDIAN(-6,Z370+(C370-AA370)/MAX(AA370-AB370,0.000000001),6)</f>
        <v/>
      </c>
    </row>
    <row r="371">
      <c r="A371" t="n">
        <v>370</v>
      </c>
      <c r="B371">
        <f>'01_Data'!A371</f>
        <v/>
      </c>
      <c r="C371">
        <f>SUM('01_Data'!$B371:$AW371)</f>
        <v/>
      </c>
      <c r="D371">
        <f>COUNT('01_Data'!$B371:$AW371)</f>
        <v/>
      </c>
      <c r="E371" s="5">
        <f>MEDIAN(-6,LN((C371+0.3)/(D371-C371+0.3)),6)</f>
        <v/>
      </c>
      <c r="F371" s="5">
        <f>SUMPRODUCT(('01_Data'!$B371:$AW371&lt;&gt;"")*(1/(1+EXP(-(E371-'03_Lap_b'!$B$5:$AW$5)))))</f>
        <v/>
      </c>
      <c r="G371" s="5">
        <f>SUMPRODUCT(('01_Data'!$B371:$AW371&lt;&gt;"")*(1/(1+EXP(-(E371-'03_Lap_b'!$B$5:$AW$5))))^2)</f>
        <v/>
      </c>
      <c r="H371" s="5">
        <f>MEDIAN(-6,E371+(C371-F371)/MAX(F371-G371,0.000000001),6)</f>
        <v/>
      </c>
      <c r="I371" s="5">
        <f>SUMPRODUCT(('01_Data'!$B371:$AW371&lt;&gt;"")*(1/(1+EXP(-(H371-'03_Lap_b'!$B$10:$AW$10)))))</f>
        <v/>
      </c>
      <c r="J371" s="5">
        <f>SUMPRODUCT(('01_Data'!$B371:$AW371&lt;&gt;"")*(1/(1+EXP(-(H371-'03_Lap_b'!$B$10:$AW$10))))^2)</f>
        <v/>
      </c>
      <c r="K371" s="5">
        <f>MEDIAN(-6,H371+(C371-I371)/MAX(I371-J371,0.000000001),6)</f>
        <v/>
      </c>
      <c r="L371" s="5">
        <f>SUMPRODUCT(('01_Data'!$B371:$AW371&lt;&gt;"")*(1/(1+EXP(-(K371-'03_Lap_b'!$B$15:$AW$15)))))</f>
        <v/>
      </c>
      <c r="M371" s="5">
        <f>SUMPRODUCT(('01_Data'!$B371:$AW371&lt;&gt;"")*(1/(1+EXP(-(K371-'03_Lap_b'!$B$15:$AW$15))))^2)</f>
        <v/>
      </c>
      <c r="N371" s="5">
        <f>MEDIAN(-6,K371+(C371-L371)/MAX(L371-M371,0.000000001),6)</f>
        <v/>
      </c>
      <c r="O371" s="5">
        <f>SUMPRODUCT(('01_Data'!$B371:$AW371&lt;&gt;"")*(1/(1+EXP(-(N371-'03_Lap_b'!$B$20:$AW$20)))))</f>
        <v/>
      </c>
      <c r="P371" s="5">
        <f>SUMPRODUCT(('01_Data'!$B371:$AW371&lt;&gt;"")*(1/(1+EXP(-(N371-'03_Lap_b'!$B$20:$AW$20))))^2)</f>
        <v/>
      </c>
      <c r="Q371" s="5">
        <f>MEDIAN(-6,N371+(C371-O371)/MAX(O371-P371,0.000000001),6)</f>
        <v/>
      </c>
      <c r="R371" s="5">
        <f>SUMPRODUCT(('01_Data'!$B371:$AW371&lt;&gt;"")*(1/(1+EXP(-(Q371-'03_Lap_b'!$B$25:$AW$25)))))</f>
        <v/>
      </c>
      <c r="S371" s="5">
        <f>SUMPRODUCT(('01_Data'!$B371:$AW371&lt;&gt;"")*(1/(1+EXP(-(Q371-'03_Lap_b'!$B$25:$AW$25))))^2)</f>
        <v/>
      </c>
      <c r="T371" s="5">
        <f>MEDIAN(-6,Q371+(C371-R371)/MAX(R371-S371,0.000000001),6)</f>
        <v/>
      </c>
      <c r="U371" s="5">
        <f>SUMPRODUCT(('01_Data'!$B371:$AW371&lt;&gt;"")*(1/(1+EXP(-(T371-'03_Lap_b'!$B$30:$AW$30)))))</f>
        <v/>
      </c>
      <c r="V371" s="5">
        <f>SUMPRODUCT(('01_Data'!$B371:$AW371&lt;&gt;"")*(1/(1+EXP(-(T371-'03_Lap_b'!$B$30:$AW$30))))^2)</f>
        <v/>
      </c>
      <c r="W371" s="5">
        <f>MEDIAN(-6,T371+(C371-U371)/MAX(U371-V371,0.000000001),6)</f>
        <v/>
      </c>
      <c r="X371" s="5">
        <f>SUMPRODUCT(('01_Data'!$B371:$AW371&lt;&gt;"")*(1/(1+EXP(-(W371-'03_Lap_b'!$B$35:$AW$35)))))</f>
        <v/>
      </c>
      <c r="Y371" s="5">
        <f>SUMPRODUCT(('01_Data'!$B371:$AW371&lt;&gt;"")*(1/(1+EXP(-(W371-'03_Lap_b'!$B$35:$AW$35))))^2)</f>
        <v/>
      </c>
      <c r="Z371" s="5">
        <f>MEDIAN(-6,W371+(C371-X371)/MAX(X371-Y371,0.000000001),6)</f>
        <v/>
      </c>
      <c r="AA371" s="5">
        <f>SUMPRODUCT(('01_Data'!$B371:$AW371&lt;&gt;"")*(1/(1+EXP(-(Z371-'03_Lap_b'!$B$40:$AW$40)))))</f>
        <v/>
      </c>
      <c r="AB371" s="5">
        <f>SUMPRODUCT(('01_Data'!$B371:$AW371&lt;&gt;"")*(1/(1+EXP(-(Z371-'03_Lap_b'!$B$40:$AW$40))))^2)</f>
        <v/>
      </c>
      <c r="AC371" s="5">
        <f>MEDIAN(-6,Z371+(C371-AA371)/MAX(AA371-AB371,0.000000001),6)</f>
        <v/>
      </c>
    </row>
    <row r="372">
      <c r="A372" t="n">
        <v>371</v>
      </c>
      <c r="B372">
        <f>'01_Data'!A372</f>
        <v/>
      </c>
      <c r="C372">
        <f>SUM('01_Data'!$B372:$AW372)</f>
        <v/>
      </c>
      <c r="D372">
        <f>COUNT('01_Data'!$B372:$AW372)</f>
        <v/>
      </c>
      <c r="E372" s="5">
        <f>MEDIAN(-6,LN((C372+0.3)/(D372-C372+0.3)),6)</f>
        <v/>
      </c>
      <c r="F372" s="5">
        <f>SUMPRODUCT(('01_Data'!$B372:$AW372&lt;&gt;"")*(1/(1+EXP(-(E372-'03_Lap_b'!$B$5:$AW$5)))))</f>
        <v/>
      </c>
      <c r="G372" s="5">
        <f>SUMPRODUCT(('01_Data'!$B372:$AW372&lt;&gt;"")*(1/(1+EXP(-(E372-'03_Lap_b'!$B$5:$AW$5))))^2)</f>
        <v/>
      </c>
      <c r="H372" s="5">
        <f>MEDIAN(-6,E372+(C372-F372)/MAX(F372-G372,0.000000001),6)</f>
        <v/>
      </c>
      <c r="I372" s="5">
        <f>SUMPRODUCT(('01_Data'!$B372:$AW372&lt;&gt;"")*(1/(1+EXP(-(H372-'03_Lap_b'!$B$10:$AW$10)))))</f>
        <v/>
      </c>
      <c r="J372" s="5">
        <f>SUMPRODUCT(('01_Data'!$B372:$AW372&lt;&gt;"")*(1/(1+EXP(-(H372-'03_Lap_b'!$B$10:$AW$10))))^2)</f>
        <v/>
      </c>
      <c r="K372" s="5">
        <f>MEDIAN(-6,H372+(C372-I372)/MAX(I372-J372,0.000000001),6)</f>
        <v/>
      </c>
      <c r="L372" s="5">
        <f>SUMPRODUCT(('01_Data'!$B372:$AW372&lt;&gt;"")*(1/(1+EXP(-(K372-'03_Lap_b'!$B$15:$AW$15)))))</f>
        <v/>
      </c>
      <c r="M372" s="5">
        <f>SUMPRODUCT(('01_Data'!$B372:$AW372&lt;&gt;"")*(1/(1+EXP(-(K372-'03_Lap_b'!$B$15:$AW$15))))^2)</f>
        <v/>
      </c>
      <c r="N372" s="5">
        <f>MEDIAN(-6,K372+(C372-L372)/MAX(L372-M372,0.000000001),6)</f>
        <v/>
      </c>
      <c r="O372" s="5">
        <f>SUMPRODUCT(('01_Data'!$B372:$AW372&lt;&gt;"")*(1/(1+EXP(-(N372-'03_Lap_b'!$B$20:$AW$20)))))</f>
        <v/>
      </c>
      <c r="P372" s="5">
        <f>SUMPRODUCT(('01_Data'!$B372:$AW372&lt;&gt;"")*(1/(1+EXP(-(N372-'03_Lap_b'!$B$20:$AW$20))))^2)</f>
        <v/>
      </c>
      <c r="Q372" s="5">
        <f>MEDIAN(-6,N372+(C372-O372)/MAX(O372-P372,0.000000001),6)</f>
        <v/>
      </c>
      <c r="R372" s="5">
        <f>SUMPRODUCT(('01_Data'!$B372:$AW372&lt;&gt;"")*(1/(1+EXP(-(Q372-'03_Lap_b'!$B$25:$AW$25)))))</f>
        <v/>
      </c>
      <c r="S372" s="5">
        <f>SUMPRODUCT(('01_Data'!$B372:$AW372&lt;&gt;"")*(1/(1+EXP(-(Q372-'03_Lap_b'!$B$25:$AW$25))))^2)</f>
        <v/>
      </c>
      <c r="T372" s="5">
        <f>MEDIAN(-6,Q372+(C372-R372)/MAX(R372-S372,0.000000001),6)</f>
        <v/>
      </c>
      <c r="U372" s="5">
        <f>SUMPRODUCT(('01_Data'!$B372:$AW372&lt;&gt;"")*(1/(1+EXP(-(T372-'03_Lap_b'!$B$30:$AW$30)))))</f>
        <v/>
      </c>
      <c r="V372" s="5">
        <f>SUMPRODUCT(('01_Data'!$B372:$AW372&lt;&gt;"")*(1/(1+EXP(-(T372-'03_Lap_b'!$B$30:$AW$30))))^2)</f>
        <v/>
      </c>
      <c r="W372" s="5">
        <f>MEDIAN(-6,T372+(C372-U372)/MAX(U372-V372,0.000000001),6)</f>
        <v/>
      </c>
      <c r="X372" s="5">
        <f>SUMPRODUCT(('01_Data'!$B372:$AW372&lt;&gt;"")*(1/(1+EXP(-(W372-'03_Lap_b'!$B$35:$AW$35)))))</f>
        <v/>
      </c>
      <c r="Y372" s="5">
        <f>SUMPRODUCT(('01_Data'!$B372:$AW372&lt;&gt;"")*(1/(1+EXP(-(W372-'03_Lap_b'!$B$35:$AW$35))))^2)</f>
        <v/>
      </c>
      <c r="Z372" s="5">
        <f>MEDIAN(-6,W372+(C372-X372)/MAX(X372-Y372,0.000000001),6)</f>
        <v/>
      </c>
      <c r="AA372" s="5">
        <f>SUMPRODUCT(('01_Data'!$B372:$AW372&lt;&gt;"")*(1/(1+EXP(-(Z372-'03_Lap_b'!$B$40:$AW$40)))))</f>
        <v/>
      </c>
      <c r="AB372" s="5">
        <f>SUMPRODUCT(('01_Data'!$B372:$AW372&lt;&gt;"")*(1/(1+EXP(-(Z372-'03_Lap_b'!$B$40:$AW$40))))^2)</f>
        <v/>
      </c>
      <c r="AC372" s="5">
        <f>MEDIAN(-6,Z372+(C372-AA372)/MAX(AA372-AB372,0.000000001),6)</f>
        <v/>
      </c>
    </row>
    <row r="373">
      <c r="A373" t="n">
        <v>372</v>
      </c>
      <c r="B373">
        <f>'01_Data'!A373</f>
        <v/>
      </c>
      <c r="C373">
        <f>SUM('01_Data'!$B373:$AW373)</f>
        <v/>
      </c>
      <c r="D373">
        <f>COUNT('01_Data'!$B373:$AW373)</f>
        <v/>
      </c>
      <c r="E373" s="5">
        <f>MEDIAN(-6,LN((C373+0.3)/(D373-C373+0.3)),6)</f>
        <v/>
      </c>
      <c r="F373" s="5">
        <f>SUMPRODUCT(('01_Data'!$B373:$AW373&lt;&gt;"")*(1/(1+EXP(-(E373-'03_Lap_b'!$B$5:$AW$5)))))</f>
        <v/>
      </c>
      <c r="G373" s="5">
        <f>SUMPRODUCT(('01_Data'!$B373:$AW373&lt;&gt;"")*(1/(1+EXP(-(E373-'03_Lap_b'!$B$5:$AW$5))))^2)</f>
        <v/>
      </c>
      <c r="H373" s="5">
        <f>MEDIAN(-6,E373+(C373-F373)/MAX(F373-G373,0.000000001),6)</f>
        <v/>
      </c>
      <c r="I373" s="5">
        <f>SUMPRODUCT(('01_Data'!$B373:$AW373&lt;&gt;"")*(1/(1+EXP(-(H373-'03_Lap_b'!$B$10:$AW$10)))))</f>
        <v/>
      </c>
      <c r="J373" s="5">
        <f>SUMPRODUCT(('01_Data'!$B373:$AW373&lt;&gt;"")*(1/(1+EXP(-(H373-'03_Lap_b'!$B$10:$AW$10))))^2)</f>
        <v/>
      </c>
      <c r="K373" s="5">
        <f>MEDIAN(-6,H373+(C373-I373)/MAX(I373-J373,0.000000001),6)</f>
        <v/>
      </c>
      <c r="L373" s="5">
        <f>SUMPRODUCT(('01_Data'!$B373:$AW373&lt;&gt;"")*(1/(1+EXP(-(K373-'03_Lap_b'!$B$15:$AW$15)))))</f>
        <v/>
      </c>
      <c r="M373" s="5">
        <f>SUMPRODUCT(('01_Data'!$B373:$AW373&lt;&gt;"")*(1/(1+EXP(-(K373-'03_Lap_b'!$B$15:$AW$15))))^2)</f>
        <v/>
      </c>
      <c r="N373" s="5">
        <f>MEDIAN(-6,K373+(C373-L373)/MAX(L373-M373,0.000000001),6)</f>
        <v/>
      </c>
      <c r="O373" s="5">
        <f>SUMPRODUCT(('01_Data'!$B373:$AW373&lt;&gt;"")*(1/(1+EXP(-(N373-'03_Lap_b'!$B$20:$AW$20)))))</f>
        <v/>
      </c>
      <c r="P373" s="5">
        <f>SUMPRODUCT(('01_Data'!$B373:$AW373&lt;&gt;"")*(1/(1+EXP(-(N373-'03_Lap_b'!$B$20:$AW$20))))^2)</f>
        <v/>
      </c>
      <c r="Q373" s="5">
        <f>MEDIAN(-6,N373+(C373-O373)/MAX(O373-P373,0.000000001),6)</f>
        <v/>
      </c>
      <c r="R373" s="5">
        <f>SUMPRODUCT(('01_Data'!$B373:$AW373&lt;&gt;"")*(1/(1+EXP(-(Q373-'03_Lap_b'!$B$25:$AW$25)))))</f>
        <v/>
      </c>
      <c r="S373" s="5">
        <f>SUMPRODUCT(('01_Data'!$B373:$AW373&lt;&gt;"")*(1/(1+EXP(-(Q373-'03_Lap_b'!$B$25:$AW$25))))^2)</f>
        <v/>
      </c>
      <c r="T373" s="5">
        <f>MEDIAN(-6,Q373+(C373-R373)/MAX(R373-S373,0.000000001),6)</f>
        <v/>
      </c>
      <c r="U373" s="5">
        <f>SUMPRODUCT(('01_Data'!$B373:$AW373&lt;&gt;"")*(1/(1+EXP(-(T373-'03_Lap_b'!$B$30:$AW$30)))))</f>
        <v/>
      </c>
      <c r="V373" s="5">
        <f>SUMPRODUCT(('01_Data'!$B373:$AW373&lt;&gt;"")*(1/(1+EXP(-(T373-'03_Lap_b'!$B$30:$AW$30))))^2)</f>
        <v/>
      </c>
      <c r="W373" s="5">
        <f>MEDIAN(-6,T373+(C373-U373)/MAX(U373-V373,0.000000001),6)</f>
        <v/>
      </c>
      <c r="X373" s="5">
        <f>SUMPRODUCT(('01_Data'!$B373:$AW373&lt;&gt;"")*(1/(1+EXP(-(W373-'03_Lap_b'!$B$35:$AW$35)))))</f>
        <v/>
      </c>
      <c r="Y373" s="5">
        <f>SUMPRODUCT(('01_Data'!$B373:$AW373&lt;&gt;"")*(1/(1+EXP(-(W373-'03_Lap_b'!$B$35:$AW$35))))^2)</f>
        <v/>
      </c>
      <c r="Z373" s="5">
        <f>MEDIAN(-6,W373+(C373-X373)/MAX(X373-Y373,0.000000001),6)</f>
        <v/>
      </c>
      <c r="AA373" s="5">
        <f>SUMPRODUCT(('01_Data'!$B373:$AW373&lt;&gt;"")*(1/(1+EXP(-(Z373-'03_Lap_b'!$B$40:$AW$40)))))</f>
        <v/>
      </c>
      <c r="AB373" s="5">
        <f>SUMPRODUCT(('01_Data'!$B373:$AW373&lt;&gt;"")*(1/(1+EXP(-(Z373-'03_Lap_b'!$B$40:$AW$40))))^2)</f>
        <v/>
      </c>
      <c r="AC373" s="5">
        <f>MEDIAN(-6,Z373+(C373-AA373)/MAX(AA373-AB373,0.000000001),6)</f>
        <v/>
      </c>
    </row>
    <row r="374">
      <c r="A374" t="n">
        <v>373</v>
      </c>
      <c r="B374">
        <f>'01_Data'!A374</f>
        <v/>
      </c>
      <c r="C374">
        <f>SUM('01_Data'!$B374:$AW374)</f>
        <v/>
      </c>
      <c r="D374">
        <f>COUNT('01_Data'!$B374:$AW374)</f>
        <v/>
      </c>
      <c r="E374" s="5">
        <f>MEDIAN(-6,LN((C374+0.3)/(D374-C374+0.3)),6)</f>
        <v/>
      </c>
      <c r="F374" s="5">
        <f>SUMPRODUCT(('01_Data'!$B374:$AW374&lt;&gt;"")*(1/(1+EXP(-(E374-'03_Lap_b'!$B$5:$AW$5)))))</f>
        <v/>
      </c>
      <c r="G374" s="5">
        <f>SUMPRODUCT(('01_Data'!$B374:$AW374&lt;&gt;"")*(1/(1+EXP(-(E374-'03_Lap_b'!$B$5:$AW$5))))^2)</f>
        <v/>
      </c>
      <c r="H374" s="5">
        <f>MEDIAN(-6,E374+(C374-F374)/MAX(F374-G374,0.000000001),6)</f>
        <v/>
      </c>
      <c r="I374" s="5">
        <f>SUMPRODUCT(('01_Data'!$B374:$AW374&lt;&gt;"")*(1/(1+EXP(-(H374-'03_Lap_b'!$B$10:$AW$10)))))</f>
        <v/>
      </c>
      <c r="J374" s="5">
        <f>SUMPRODUCT(('01_Data'!$B374:$AW374&lt;&gt;"")*(1/(1+EXP(-(H374-'03_Lap_b'!$B$10:$AW$10))))^2)</f>
        <v/>
      </c>
      <c r="K374" s="5">
        <f>MEDIAN(-6,H374+(C374-I374)/MAX(I374-J374,0.000000001),6)</f>
        <v/>
      </c>
      <c r="L374" s="5">
        <f>SUMPRODUCT(('01_Data'!$B374:$AW374&lt;&gt;"")*(1/(1+EXP(-(K374-'03_Lap_b'!$B$15:$AW$15)))))</f>
        <v/>
      </c>
      <c r="M374" s="5">
        <f>SUMPRODUCT(('01_Data'!$B374:$AW374&lt;&gt;"")*(1/(1+EXP(-(K374-'03_Lap_b'!$B$15:$AW$15))))^2)</f>
        <v/>
      </c>
      <c r="N374" s="5">
        <f>MEDIAN(-6,K374+(C374-L374)/MAX(L374-M374,0.000000001),6)</f>
        <v/>
      </c>
      <c r="O374" s="5">
        <f>SUMPRODUCT(('01_Data'!$B374:$AW374&lt;&gt;"")*(1/(1+EXP(-(N374-'03_Lap_b'!$B$20:$AW$20)))))</f>
        <v/>
      </c>
      <c r="P374" s="5">
        <f>SUMPRODUCT(('01_Data'!$B374:$AW374&lt;&gt;"")*(1/(1+EXP(-(N374-'03_Lap_b'!$B$20:$AW$20))))^2)</f>
        <v/>
      </c>
      <c r="Q374" s="5">
        <f>MEDIAN(-6,N374+(C374-O374)/MAX(O374-P374,0.000000001),6)</f>
        <v/>
      </c>
      <c r="R374" s="5">
        <f>SUMPRODUCT(('01_Data'!$B374:$AW374&lt;&gt;"")*(1/(1+EXP(-(Q374-'03_Lap_b'!$B$25:$AW$25)))))</f>
        <v/>
      </c>
      <c r="S374" s="5">
        <f>SUMPRODUCT(('01_Data'!$B374:$AW374&lt;&gt;"")*(1/(1+EXP(-(Q374-'03_Lap_b'!$B$25:$AW$25))))^2)</f>
        <v/>
      </c>
      <c r="T374" s="5">
        <f>MEDIAN(-6,Q374+(C374-R374)/MAX(R374-S374,0.000000001),6)</f>
        <v/>
      </c>
      <c r="U374" s="5">
        <f>SUMPRODUCT(('01_Data'!$B374:$AW374&lt;&gt;"")*(1/(1+EXP(-(T374-'03_Lap_b'!$B$30:$AW$30)))))</f>
        <v/>
      </c>
      <c r="V374" s="5">
        <f>SUMPRODUCT(('01_Data'!$B374:$AW374&lt;&gt;"")*(1/(1+EXP(-(T374-'03_Lap_b'!$B$30:$AW$30))))^2)</f>
        <v/>
      </c>
      <c r="W374" s="5">
        <f>MEDIAN(-6,T374+(C374-U374)/MAX(U374-V374,0.000000001),6)</f>
        <v/>
      </c>
      <c r="X374" s="5">
        <f>SUMPRODUCT(('01_Data'!$B374:$AW374&lt;&gt;"")*(1/(1+EXP(-(W374-'03_Lap_b'!$B$35:$AW$35)))))</f>
        <v/>
      </c>
      <c r="Y374" s="5">
        <f>SUMPRODUCT(('01_Data'!$B374:$AW374&lt;&gt;"")*(1/(1+EXP(-(W374-'03_Lap_b'!$B$35:$AW$35))))^2)</f>
        <v/>
      </c>
      <c r="Z374" s="5">
        <f>MEDIAN(-6,W374+(C374-X374)/MAX(X374-Y374,0.000000001),6)</f>
        <v/>
      </c>
      <c r="AA374" s="5">
        <f>SUMPRODUCT(('01_Data'!$B374:$AW374&lt;&gt;"")*(1/(1+EXP(-(Z374-'03_Lap_b'!$B$40:$AW$40)))))</f>
        <v/>
      </c>
      <c r="AB374" s="5">
        <f>SUMPRODUCT(('01_Data'!$B374:$AW374&lt;&gt;"")*(1/(1+EXP(-(Z374-'03_Lap_b'!$B$40:$AW$40))))^2)</f>
        <v/>
      </c>
      <c r="AC374" s="5">
        <f>MEDIAN(-6,Z374+(C374-AA374)/MAX(AA374-AB374,0.000000001),6)</f>
        <v/>
      </c>
    </row>
    <row r="375">
      <c r="A375" t="n">
        <v>374</v>
      </c>
      <c r="B375">
        <f>'01_Data'!A375</f>
        <v/>
      </c>
      <c r="C375">
        <f>SUM('01_Data'!$B375:$AW375)</f>
        <v/>
      </c>
      <c r="D375">
        <f>COUNT('01_Data'!$B375:$AW375)</f>
        <v/>
      </c>
      <c r="E375" s="5">
        <f>MEDIAN(-6,LN((C375+0.3)/(D375-C375+0.3)),6)</f>
        <v/>
      </c>
      <c r="F375" s="5">
        <f>SUMPRODUCT(('01_Data'!$B375:$AW375&lt;&gt;"")*(1/(1+EXP(-(E375-'03_Lap_b'!$B$5:$AW$5)))))</f>
        <v/>
      </c>
      <c r="G375" s="5">
        <f>SUMPRODUCT(('01_Data'!$B375:$AW375&lt;&gt;"")*(1/(1+EXP(-(E375-'03_Lap_b'!$B$5:$AW$5))))^2)</f>
        <v/>
      </c>
      <c r="H375" s="5">
        <f>MEDIAN(-6,E375+(C375-F375)/MAX(F375-G375,0.000000001),6)</f>
        <v/>
      </c>
      <c r="I375" s="5">
        <f>SUMPRODUCT(('01_Data'!$B375:$AW375&lt;&gt;"")*(1/(1+EXP(-(H375-'03_Lap_b'!$B$10:$AW$10)))))</f>
        <v/>
      </c>
      <c r="J375" s="5">
        <f>SUMPRODUCT(('01_Data'!$B375:$AW375&lt;&gt;"")*(1/(1+EXP(-(H375-'03_Lap_b'!$B$10:$AW$10))))^2)</f>
        <v/>
      </c>
      <c r="K375" s="5">
        <f>MEDIAN(-6,H375+(C375-I375)/MAX(I375-J375,0.000000001),6)</f>
        <v/>
      </c>
      <c r="L375" s="5">
        <f>SUMPRODUCT(('01_Data'!$B375:$AW375&lt;&gt;"")*(1/(1+EXP(-(K375-'03_Lap_b'!$B$15:$AW$15)))))</f>
        <v/>
      </c>
      <c r="M375" s="5">
        <f>SUMPRODUCT(('01_Data'!$B375:$AW375&lt;&gt;"")*(1/(1+EXP(-(K375-'03_Lap_b'!$B$15:$AW$15))))^2)</f>
        <v/>
      </c>
      <c r="N375" s="5">
        <f>MEDIAN(-6,K375+(C375-L375)/MAX(L375-M375,0.000000001),6)</f>
        <v/>
      </c>
      <c r="O375" s="5">
        <f>SUMPRODUCT(('01_Data'!$B375:$AW375&lt;&gt;"")*(1/(1+EXP(-(N375-'03_Lap_b'!$B$20:$AW$20)))))</f>
        <v/>
      </c>
      <c r="P375" s="5">
        <f>SUMPRODUCT(('01_Data'!$B375:$AW375&lt;&gt;"")*(1/(1+EXP(-(N375-'03_Lap_b'!$B$20:$AW$20))))^2)</f>
        <v/>
      </c>
      <c r="Q375" s="5">
        <f>MEDIAN(-6,N375+(C375-O375)/MAX(O375-P375,0.000000001),6)</f>
        <v/>
      </c>
      <c r="R375" s="5">
        <f>SUMPRODUCT(('01_Data'!$B375:$AW375&lt;&gt;"")*(1/(1+EXP(-(Q375-'03_Lap_b'!$B$25:$AW$25)))))</f>
        <v/>
      </c>
      <c r="S375" s="5">
        <f>SUMPRODUCT(('01_Data'!$B375:$AW375&lt;&gt;"")*(1/(1+EXP(-(Q375-'03_Lap_b'!$B$25:$AW$25))))^2)</f>
        <v/>
      </c>
      <c r="T375" s="5">
        <f>MEDIAN(-6,Q375+(C375-R375)/MAX(R375-S375,0.000000001),6)</f>
        <v/>
      </c>
      <c r="U375" s="5">
        <f>SUMPRODUCT(('01_Data'!$B375:$AW375&lt;&gt;"")*(1/(1+EXP(-(T375-'03_Lap_b'!$B$30:$AW$30)))))</f>
        <v/>
      </c>
      <c r="V375" s="5">
        <f>SUMPRODUCT(('01_Data'!$B375:$AW375&lt;&gt;"")*(1/(1+EXP(-(T375-'03_Lap_b'!$B$30:$AW$30))))^2)</f>
        <v/>
      </c>
      <c r="W375" s="5">
        <f>MEDIAN(-6,T375+(C375-U375)/MAX(U375-V375,0.000000001),6)</f>
        <v/>
      </c>
      <c r="X375" s="5">
        <f>SUMPRODUCT(('01_Data'!$B375:$AW375&lt;&gt;"")*(1/(1+EXP(-(W375-'03_Lap_b'!$B$35:$AW$35)))))</f>
        <v/>
      </c>
      <c r="Y375" s="5">
        <f>SUMPRODUCT(('01_Data'!$B375:$AW375&lt;&gt;"")*(1/(1+EXP(-(W375-'03_Lap_b'!$B$35:$AW$35))))^2)</f>
        <v/>
      </c>
      <c r="Z375" s="5">
        <f>MEDIAN(-6,W375+(C375-X375)/MAX(X375-Y375,0.000000001),6)</f>
        <v/>
      </c>
      <c r="AA375" s="5">
        <f>SUMPRODUCT(('01_Data'!$B375:$AW375&lt;&gt;"")*(1/(1+EXP(-(Z375-'03_Lap_b'!$B$40:$AW$40)))))</f>
        <v/>
      </c>
      <c r="AB375" s="5">
        <f>SUMPRODUCT(('01_Data'!$B375:$AW375&lt;&gt;"")*(1/(1+EXP(-(Z375-'03_Lap_b'!$B$40:$AW$40))))^2)</f>
        <v/>
      </c>
      <c r="AC375" s="5">
        <f>MEDIAN(-6,Z375+(C375-AA375)/MAX(AA375-AB375,0.000000001),6)</f>
        <v/>
      </c>
    </row>
    <row r="376">
      <c r="A376" t="n">
        <v>375</v>
      </c>
      <c r="B376">
        <f>'01_Data'!A376</f>
        <v/>
      </c>
      <c r="C376">
        <f>SUM('01_Data'!$B376:$AW376)</f>
        <v/>
      </c>
      <c r="D376">
        <f>COUNT('01_Data'!$B376:$AW376)</f>
        <v/>
      </c>
      <c r="E376" s="5">
        <f>MEDIAN(-6,LN((C376+0.3)/(D376-C376+0.3)),6)</f>
        <v/>
      </c>
      <c r="F376" s="5">
        <f>SUMPRODUCT(('01_Data'!$B376:$AW376&lt;&gt;"")*(1/(1+EXP(-(E376-'03_Lap_b'!$B$5:$AW$5)))))</f>
        <v/>
      </c>
      <c r="G376" s="5">
        <f>SUMPRODUCT(('01_Data'!$B376:$AW376&lt;&gt;"")*(1/(1+EXP(-(E376-'03_Lap_b'!$B$5:$AW$5))))^2)</f>
        <v/>
      </c>
      <c r="H376" s="5">
        <f>MEDIAN(-6,E376+(C376-F376)/MAX(F376-G376,0.000000001),6)</f>
        <v/>
      </c>
      <c r="I376" s="5">
        <f>SUMPRODUCT(('01_Data'!$B376:$AW376&lt;&gt;"")*(1/(1+EXP(-(H376-'03_Lap_b'!$B$10:$AW$10)))))</f>
        <v/>
      </c>
      <c r="J376" s="5">
        <f>SUMPRODUCT(('01_Data'!$B376:$AW376&lt;&gt;"")*(1/(1+EXP(-(H376-'03_Lap_b'!$B$10:$AW$10))))^2)</f>
        <v/>
      </c>
      <c r="K376" s="5">
        <f>MEDIAN(-6,H376+(C376-I376)/MAX(I376-J376,0.000000001),6)</f>
        <v/>
      </c>
      <c r="L376" s="5">
        <f>SUMPRODUCT(('01_Data'!$B376:$AW376&lt;&gt;"")*(1/(1+EXP(-(K376-'03_Lap_b'!$B$15:$AW$15)))))</f>
        <v/>
      </c>
      <c r="M376" s="5">
        <f>SUMPRODUCT(('01_Data'!$B376:$AW376&lt;&gt;"")*(1/(1+EXP(-(K376-'03_Lap_b'!$B$15:$AW$15))))^2)</f>
        <v/>
      </c>
      <c r="N376" s="5">
        <f>MEDIAN(-6,K376+(C376-L376)/MAX(L376-M376,0.000000001),6)</f>
        <v/>
      </c>
      <c r="O376" s="5">
        <f>SUMPRODUCT(('01_Data'!$B376:$AW376&lt;&gt;"")*(1/(1+EXP(-(N376-'03_Lap_b'!$B$20:$AW$20)))))</f>
        <v/>
      </c>
      <c r="P376" s="5">
        <f>SUMPRODUCT(('01_Data'!$B376:$AW376&lt;&gt;"")*(1/(1+EXP(-(N376-'03_Lap_b'!$B$20:$AW$20))))^2)</f>
        <v/>
      </c>
      <c r="Q376" s="5">
        <f>MEDIAN(-6,N376+(C376-O376)/MAX(O376-P376,0.000000001),6)</f>
        <v/>
      </c>
      <c r="R376" s="5">
        <f>SUMPRODUCT(('01_Data'!$B376:$AW376&lt;&gt;"")*(1/(1+EXP(-(Q376-'03_Lap_b'!$B$25:$AW$25)))))</f>
        <v/>
      </c>
      <c r="S376" s="5">
        <f>SUMPRODUCT(('01_Data'!$B376:$AW376&lt;&gt;"")*(1/(1+EXP(-(Q376-'03_Lap_b'!$B$25:$AW$25))))^2)</f>
        <v/>
      </c>
      <c r="T376" s="5">
        <f>MEDIAN(-6,Q376+(C376-R376)/MAX(R376-S376,0.000000001),6)</f>
        <v/>
      </c>
      <c r="U376" s="5">
        <f>SUMPRODUCT(('01_Data'!$B376:$AW376&lt;&gt;"")*(1/(1+EXP(-(T376-'03_Lap_b'!$B$30:$AW$30)))))</f>
        <v/>
      </c>
      <c r="V376" s="5">
        <f>SUMPRODUCT(('01_Data'!$B376:$AW376&lt;&gt;"")*(1/(1+EXP(-(T376-'03_Lap_b'!$B$30:$AW$30))))^2)</f>
        <v/>
      </c>
      <c r="W376" s="5">
        <f>MEDIAN(-6,T376+(C376-U376)/MAX(U376-V376,0.000000001),6)</f>
        <v/>
      </c>
      <c r="X376" s="5">
        <f>SUMPRODUCT(('01_Data'!$B376:$AW376&lt;&gt;"")*(1/(1+EXP(-(W376-'03_Lap_b'!$B$35:$AW$35)))))</f>
        <v/>
      </c>
      <c r="Y376" s="5">
        <f>SUMPRODUCT(('01_Data'!$B376:$AW376&lt;&gt;"")*(1/(1+EXP(-(W376-'03_Lap_b'!$B$35:$AW$35))))^2)</f>
        <v/>
      </c>
      <c r="Z376" s="5">
        <f>MEDIAN(-6,W376+(C376-X376)/MAX(X376-Y376,0.000000001),6)</f>
        <v/>
      </c>
      <c r="AA376" s="5">
        <f>SUMPRODUCT(('01_Data'!$B376:$AW376&lt;&gt;"")*(1/(1+EXP(-(Z376-'03_Lap_b'!$B$40:$AW$40)))))</f>
        <v/>
      </c>
      <c r="AB376" s="5">
        <f>SUMPRODUCT(('01_Data'!$B376:$AW376&lt;&gt;"")*(1/(1+EXP(-(Z376-'03_Lap_b'!$B$40:$AW$40))))^2)</f>
        <v/>
      </c>
      <c r="AC376" s="5">
        <f>MEDIAN(-6,Z376+(C376-AA376)/MAX(AA376-AB376,0.000000001),6)</f>
        <v/>
      </c>
    </row>
    <row r="377">
      <c r="A377" t="n">
        <v>376</v>
      </c>
      <c r="B377">
        <f>'01_Data'!A377</f>
        <v/>
      </c>
      <c r="C377">
        <f>SUM('01_Data'!$B377:$AW377)</f>
        <v/>
      </c>
      <c r="D377">
        <f>COUNT('01_Data'!$B377:$AW377)</f>
        <v/>
      </c>
      <c r="E377" s="5">
        <f>MEDIAN(-6,LN((C377+0.3)/(D377-C377+0.3)),6)</f>
        <v/>
      </c>
      <c r="F377" s="5">
        <f>SUMPRODUCT(('01_Data'!$B377:$AW377&lt;&gt;"")*(1/(1+EXP(-(E377-'03_Lap_b'!$B$5:$AW$5)))))</f>
        <v/>
      </c>
      <c r="G377" s="5">
        <f>SUMPRODUCT(('01_Data'!$B377:$AW377&lt;&gt;"")*(1/(1+EXP(-(E377-'03_Lap_b'!$B$5:$AW$5))))^2)</f>
        <v/>
      </c>
      <c r="H377" s="5">
        <f>MEDIAN(-6,E377+(C377-F377)/MAX(F377-G377,0.000000001),6)</f>
        <v/>
      </c>
      <c r="I377" s="5">
        <f>SUMPRODUCT(('01_Data'!$B377:$AW377&lt;&gt;"")*(1/(1+EXP(-(H377-'03_Lap_b'!$B$10:$AW$10)))))</f>
        <v/>
      </c>
      <c r="J377" s="5">
        <f>SUMPRODUCT(('01_Data'!$B377:$AW377&lt;&gt;"")*(1/(1+EXP(-(H377-'03_Lap_b'!$B$10:$AW$10))))^2)</f>
        <v/>
      </c>
      <c r="K377" s="5">
        <f>MEDIAN(-6,H377+(C377-I377)/MAX(I377-J377,0.000000001),6)</f>
        <v/>
      </c>
      <c r="L377" s="5">
        <f>SUMPRODUCT(('01_Data'!$B377:$AW377&lt;&gt;"")*(1/(1+EXP(-(K377-'03_Lap_b'!$B$15:$AW$15)))))</f>
        <v/>
      </c>
      <c r="M377" s="5">
        <f>SUMPRODUCT(('01_Data'!$B377:$AW377&lt;&gt;"")*(1/(1+EXP(-(K377-'03_Lap_b'!$B$15:$AW$15))))^2)</f>
        <v/>
      </c>
      <c r="N377" s="5">
        <f>MEDIAN(-6,K377+(C377-L377)/MAX(L377-M377,0.000000001),6)</f>
        <v/>
      </c>
      <c r="O377" s="5">
        <f>SUMPRODUCT(('01_Data'!$B377:$AW377&lt;&gt;"")*(1/(1+EXP(-(N377-'03_Lap_b'!$B$20:$AW$20)))))</f>
        <v/>
      </c>
      <c r="P377" s="5">
        <f>SUMPRODUCT(('01_Data'!$B377:$AW377&lt;&gt;"")*(1/(1+EXP(-(N377-'03_Lap_b'!$B$20:$AW$20))))^2)</f>
        <v/>
      </c>
      <c r="Q377" s="5">
        <f>MEDIAN(-6,N377+(C377-O377)/MAX(O377-P377,0.000000001),6)</f>
        <v/>
      </c>
      <c r="R377" s="5">
        <f>SUMPRODUCT(('01_Data'!$B377:$AW377&lt;&gt;"")*(1/(1+EXP(-(Q377-'03_Lap_b'!$B$25:$AW$25)))))</f>
        <v/>
      </c>
      <c r="S377" s="5">
        <f>SUMPRODUCT(('01_Data'!$B377:$AW377&lt;&gt;"")*(1/(1+EXP(-(Q377-'03_Lap_b'!$B$25:$AW$25))))^2)</f>
        <v/>
      </c>
      <c r="T377" s="5">
        <f>MEDIAN(-6,Q377+(C377-R377)/MAX(R377-S377,0.000000001),6)</f>
        <v/>
      </c>
      <c r="U377" s="5">
        <f>SUMPRODUCT(('01_Data'!$B377:$AW377&lt;&gt;"")*(1/(1+EXP(-(T377-'03_Lap_b'!$B$30:$AW$30)))))</f>
        <v/>
      </c>
      <c r="V377" s="5">
        <f>SUMPRODUCT(('01_Data'!$B377:$AW377&lt;&gt;"")*(1/(1+EXP(-(T377-'03_Lap_b'!$B$30:$AW$30))))^2)</f>
        <v/>
      </c>
      <c r="W377" s="5">
        <f>MEDIAN(-6,T377+(C377-U377)/MAX(U377-V377,0.000000001),6)</f>
        <v/>
      </c>
      <c r="X377" s="5">
        <f>SUMPRODUCT(('01_Data'!$B377:$AW377&lt;&gt;"")*(1/(1+EXP(-(W377-'03_Lap_b'!$B$35:$AW$35)))))</f>
        <v/>
      </c>
      <c r="Y377" s="5">
        <f>SUMPRODUCT(('01_Data'!$B377:$AW377&lt;&gt;"")*(1/(1+EXP(-(W377-'03_Lap_b'!$B$35:$AW$35))))^2)</f>
        <v/>
      </c>
      <c r="Z377" s="5">
        <f>MEDIAN(-6,W377+(C377-X377)/MAX(X377-Y377,0.000000001),6)</f>
        <v/>
      </c>
      <c r="AA377" s="5">
        <f>SUMPRODUCT(('01_Data'!$B377:$AW377&lt;&gt;"")*(1/(1+EXP(-(Z377-'03_Lap_b'!$B$40:$AW$40)))))</f>
        <v/>
      </c>
      <c r="AB377" s="5">
        <f>SUMPRODUCT(('01_Data'!$B377:$AW377&lt;&gt;"")*(1/(1+EXP(-(Z377-'03_Lap_b'!$B$40:$AW$40))))^2)</f>
        <v/>
      </c>
      <c r="AC377" s="5">
        <f>MEDIAN(-6,Z377+(C377-AA377)/MAX(AA377-AB377,0.000000001),6)</f>
        <v/>
      </c>
    </row>
    <row r="378">
      <c r="A378" t="n">
        <v>377</v>
      </c>
      <c r="B378">
        <f>'01_Data'!A378</f>
        <v/>
      </c>
      <c r="C378">
        <f>SUM('01_Data'!$B378:$AW378)</f>
        <v/>
      </c>
      <c r="D378">
        <f>COUNT('01_Data'!$B378:$AW378)</f>
        <v/>
      </c>
      <c r="E378" s="5">
        <f>MEDIAN(-6,LN((C378+0.3)/(D378-C378+0.3)),6)</f>
        <v/>
      </c>
      <c r="F378" s="5">
        <f>SUMPRODUCT(('01_Data'!$B378:$AW378&lt;&gt;"")*(1/(1+EXP(-(E378-'03_Lap_b'!$B$5:$AW$5)))))</f>
        <v/>
      </c>
      <c r="G378" s="5">
        <f>SUMPRODUCT(('01_Data'!$B378:$AW378&lt;&gt;"")*(1/(1+EXP(-(E378-'03_Lap_b'!$B$5:$AW$5))))^2)</f>
        <v/>
      </c>
      <c r="H378" s="5">
        <f>MEDIAN(-6,E378+(C378-F378)/MAX(F378-G378,0.000000001),6)</f>
        <v/>
      </c>
      <c r="I378" s="5">
        <f>SUMPRODUCT(('01_Data'!$B378:$AW378&lt;&gt;"")*(1/(1+EXP(-(H378-'03_Lap_b'!$B$10:$AW$10)))))</f>
        <v/>
      </c>
      <c r="J378" s="5">
        <f>SUMPRODUCT(('01_Data'!$B378:$AW378&lt;&gt;"")*(1/(1+EXP(-(H378-'03_Lap_b'!$B$10:$AW$10))))^2)</f>
        <v/>
      </c>
      <c r="K378" s="5">
        <f>MEDIAN(-6,H378+(C378-I378)/MAX(I378-J378,0.000000001),6)</f>
        <v/>
      </c>
      <c r="L378" s="5">
        <f>SUMPRODUCT(('01_Data'!$B378:$AW378&lt;&gt;"")*(1/(1+EXP(-(K378-'03_Lap_b'!$B$15:$AW$15)))))</f>
        <v/>
      </c>
      <c r="M378" s="5">
        <f>SUMPRODUCT(('01_Data'!$B378:$AW378&lt;&gt;"")*(1/(1+EXP(-(K378-'03_Lap_b'!$B$15:$AW$15))))^2)</f>
        <v/>
      </c>
      <c r="N378" s="5">
        <f>MEDIAN(-6,K378+(C378-L378)/MAX(L378-M378,0.000000001),6)</f>
        <v/>
      </c>
      <c r="O378" s="5">
        <f>SUMPRODUCT(('01_Data'!$B378:$AW378&lt;&gt;"")*(1/(1+EXP(-(N378-'03_Lap_b'!$B$20:$AW$20)))))</f>
        <v/>
      </c>
      <c r="P378" s="5">
        <f>SUMPRODUCT(('01_Data'!$B378:$AW378&lt;&gt;"")*(1/(1+EXP(-(N378-'03_Lap_b'!$B$20:$AW$20))))^2)</f>
        <v/>
      </c>
      <c r="Q378" s="5">
        <f>MEDIAN(-6,N378+(C378-O378)/MAX(O378-P378,0.000000001),6)</f>
        <v/>
      </c>
      <c r="R378" s="5">
        <f>SUMPRODUCT(('01_Data'!$B378:$AW378&lt;&gt;"")*(1/(1+EXP(-(Q378-'03_Lap_b'!$B$25:$AW$25)))))</f>
        <v/>
      </c>
      <c r="S378" s="5">
        <f>SUMPRODUCT(('01_Data'!$B378:$AW378&lt;&gt;"")*(1/(1+EXP(-(Q378-'03_Lap_b'!$B$25:$AW$25))))^2)</f>
        <v/>
      </c>
      <c r="T378" s="5">
        <f>MEDIAN(-6,Q378+(C378-R378)/MAX(R378-S378,0.000000001),6)</f>
        <v/>
      </c>
      <c r="U378" s="5">
        <f>SUMPRODUCT(('01_Data'!$B378:$AW378&lt;&gt;"")*(1/(1+EXP(-(T378-'03_Lap_b'!$B$30:$AW$30)))))</f>
        <v/>
      </c>
      <c r="V378" s="5">
        <f>SUMPRODUCT(('01_Data'!$B378:$AW378&lt;&gt;"")*(1/(1+EXP(-(T378-'03_Lap_b'!$B$30:$AW$30))))^2)</f>
        <v/>
      </c>
      <c r="W378" s="5">
        <f>MEDIAN(-6,T378+(C378-U378)/MAX(U378-V378,0.000000001),6)</f>
        <v/>
      </c>
      <c r="X378" s="5">
        <f>SUMPRODUCT(('01_Data'!$B378:$AW378&lt;&gt;"")*(1/(1+EXP(-(W378-'03_Lap_b'!$B$35:$AW$35)))))</f>
        <v/>
      </c>
      <c r="Y378" s="5">
        <f>SUMPRODUCT(('01_Data'!$B378:$AW378&lt;&gt;"")*(1/(1+EXP(-(W378-'03_Lap_b'!$B$35:$AW$35))))^2)</f>
        <v/>
      </c>
      <c r="Z378" s="5">
        <f>MEDIAN(-6,W378+(C378-X378)/MAX(X378-Y378,0.000000001),6)</f>
        <v/>
      </c>
      <c r="AA378" s="5">
        <f>SUMPRODUCT(('01_Data'!$B378:$AW378&lt;&gt;"")*(1/(1+EXP(-(Z378-'03_Lap_b'!$B$40:$AW$40)))))</f>
        <v/>
      </c>
      <c r="AB378" s="5">
        <f>SUMPRODUCT(('01_Data'!$B378:$AW378&lt;&gt;"")*(1/(1+EXP(-(Z378-'03_Lap_b'!$B$40:$AW$40))))^2)</f>
        <v/>
      </c>
      <c r="AC378" s="5">
        <f>MEDIAN(-6,Z378+(C378-AA378)/MAX(AA378-AB378,0.000000001),6)</f>
        <v/>
      </c>
    </row>
    <row r="379">
      <c r="A379" t="n">
        <v>378</v>
      </c>
      <c r="B379">
        <f>'01_Data'!A379</f>
        <v/>
      </c>
      <c r="C379">
        <f>SUM('01_Data'!$B379:$AW379)</f>
        <v/>
      </c>
      <c r="D379">
        <f>COUNT('01_Data'!$B379:$AW379)</f>
        <v/>
      </c>
      <c r="E379" s="5">
        <f>MEDIAN(-6,LN((C379+0.3)/(D379-C379+0.3)),6)</f>
        <v/>
      </c>
      <c r="F379" s="5">
        <f>SUMPRODUCT(('01_Data'!$B379:$AW379&lt;&gt;"")*(1/(1+EXP(-(E379-'03_Lap_b'!$B$5:$AW$5)))))</f>
        <v/>
      </c>
      <c r="G379" s="5">
        <f>SUMPRODUCT(('01_Data'!$B379:$AW379&lt;&gt;"")*(1/(1+EXP(-(E379-'03_Lap_b'!$B$5:$AW$5))))^2)</f>
        <v/>
      </c>
      <c r="H379" s="5">
        <f>MEDIAN(-6,E379+(C379-F379)/MAX(F379-G379,0.000000001),6)</f>
        <v/>
      </c>
      <c r="I379" s="5">
        <f>SUMPRODUCT(('01_Data'!$B379:$AW379&lt;&gt;"")*(1/(1+EXP(-(H379-'03_Lap_b'!$B$10:$AW$10)))))</f>
        <v/>
      </c>
      <c r="J379" s="5">
        <f>SUMPRODUCT(('01_Data'!$B379:$AW379&lt;&gt;"")*(1/(1+EXP(-(H379-'03_Lap_b'!$B$10:$AW$10))))^2)</f>
        <v/>
      </c>
      <c r="K379" s="5">
        <f>MEDIAN(-6,H379+(C379-I379)/MAX(I379-J379,0.000000001),6)</f>
        <v/>
      </c>
      <c r="L379" s="5">
        <f>SUMPRODUCT(('01_Data'!$B379:$AW379&lt;&gt;"")*(1/(1+EXP(-(K379-'03_Lap_b'!$B$15:$AW$15)))))</f>
        <v/>
      </c>
      <c r="M379" s="5">
        <f>SUMPRODUCT(('01_Data'!$B379:$AW379&lt;&gt;"")*(1/(1+EXP(-(K379-'03_Lap_b'!$B$15:$AW$15))))^2)</f>
        <v/>
      </c>
      <c r="N379" s="5">
        <f>MEDIAN(-6,K379+(C379-L379)/MAX(L379-M379,0.000000001),6)</f>
        <v/>
      </c>
      <c r="O379" s="5">
        <f>SUMPRODUCT(('01_Data'!$B379:$AW379&lt;&gt;"")*(1/(1+EXP(-(N379-'03_Lap_b'!$B$20:$AW$20)))))</f>
        <v/>
      </c>
      <c r="P379" s="5">
        <f>SUMPRODUCT(('01_Data'!$B379:$AW379&lt;&gt;"")*(1/(1+EXP(-(N379-'03_Lap_b'!$B$20:$AW$20))))^2)</f>
        <v/>
      </c>
      <c r="Q379" s="5">
        <f>MEDIAN(-6,N379+(C379-O379)/MAX(O379-P379,0.000000001),6)</f>
        <v/>
      </c>
      <c r="R379" s="5">
        <f>SUMPRODUCT(('01_Data'!$B379:$AW379&lt;&gt;"")*(1/(1+EXP(-(Q379-'03_Lap_b'!$B$25:$AW$25)))))</f>
        <v/>
      </c>
      <c r="S379" s="5">
        <f>SUMPRODUCT(('01_Data'!$B379:$AW379&lt;&gt;"")*(1/(1+EXP(-(Q379-'03_Lap_b'!$B$25:$AW$25))))^2)</f>
        <v/>
      </c>
      <c r="T379" s="5">
        <f>MEDIAN(-6,Q379+(C379-R379)/MAX(R379-S379,0.000000001),6)</f>
        <v/>
      </c>
      <c r="U379" s="5">
        <f>SUMPRODUCT(('01_Data'!$B379:$AW379&lt;&gt;"")*(1/(1+EXP(-(T379-'03_Lap_b'!$B$30:$AW$30)))))</f>
        <v/>
      </c>
      <c r="V379" s="5">
        <f>SUMPRODUCT(('01_Data'!$B379:$AW379&lt;&gt;"")*(1/(1+EXP(-(T379-'03_Lap_b'!$B$30:$AW$30))))^2)</f>
        <v/>
      </c>
      <c r="W379" s="5">
        <f>MEDIAN(-6,T379+(C379-U379)/MAX(U379-V379,0.000000001),6)</f>
        <v/>
      </c>
      <c r="X379" s="5">
        <f>SUMPRODUCT(('01_Data'!$B379:$AW379&lt;&gt;"")*(1/(1+EXP(-(W379-'03_Lap_b'!$B$35:$AW$35)))))</f>
        <v/>
      </c>
      <c r="Y379" s="5">
        <f>SUMPRODUCT(('01_Data'!$B379:$AW379&lt;&gt;"")*(1/(1+EXP(-(W379-'03_Lap_b'!$B$35:$AW$35))))^2)</f>
        <v/>
      </c>
      <c r="Z379" s="5">
        <f>MEDIAN(-6,W379+(C379-X379)/MAX(X379-Y379,0.000000001),6)</f>
        <v/>
      </c>
      <c r="AA379" s="5">
        <f>SUMPRODUCT(('01_Data'!$B379:$AW379&lt;&gt;"")*(1/(1+EXP(-(Z379-'03_Lap_b'!$B$40:$AW$40)))))</f>
        <v/>
      </c>
      <c r="AB379" s="5">
        <f>SUMPRODUCT(('01_Data'!$B379:$AW379&lt;&gt;"")*(1/(1+EXP(-(Z379-'03_Lap_b'!$B$40:$AW$40))))^2)</f>
        <v/>
      </c>
      <c r="AC379" s="5">
        <f>MEDIAN(-6,Z379+(C379-AA379)/MAX(AA379-AB379,0.000000001),6)</f>
        <v/>
      </c>
    </row>
    <row r="380">
      <c r="A380" t="n">
        <v>379</v>
      </c>
      <c r="B380">
        <f>'01_Data'!A380</f>
        <v/>
      </c>
      <c r="C380">
        <f>SUM('01_Data'!$B380:$AW380)</f>
        <v/>
      </c>
      <c r="D380">
        <f>COUNT('01_Data'!$B380:$AW380)</f>
        <v/>
      </c>
      <c r="E380" s="5">
        <f>MEDIAN(-6,LN((C380+0.3)/(D380-C380+0.3)),6)</f>
        <v/>
      </c>
      <c r="F380" s="5">
        <f>SUMPRODUCT(('01_Data'!$B380:$AW380&lt;&gt;"")*(1/(1+EXP(-(E380-'03_Lap_b'!$B$5:$AW$5)))))</f>
        <v/>
      </c>
      <c r="G380" s="5">
        <f>SUMPRODUCT(('01_Data'!$B380:$AW380&lt;&gt;"")*(1/(1+EXP(-(E380-'03_Lap_b'!$B$5:$AW$5))))^2)</f>
        <v/>
      </c>
      <c r="H380" s="5">
        <f>MEDIAN(-6,E380+(C380-F380)/MAX(F380-G380,0.000000001),6)</f>
        <v/>
      </c>
      <c r="I380" s="5">
        <f>SUMPRODUCT(('01_Data'!$B380:$AW380&lt;&gt;"")*(1/(1+EXP(-(H380-'03_Lap_b'!$B$10:$AW$10)))))</f>
        <v/>
      </c>
      <c r="J380" s="5">
        <f>SUMPRODUCT(('01_Data'!$B380:$AW380&lt;&gt;"")*(1/(1+EXP(-(H380-'03_Lap_b'!$B$10:$AW$10))))^2)</f>
        <v/>
      </c>
      <c r="K380" s="5">
        <f>MEDIAN(-6,H380+(C380-I380)/MAX(I380-J380,0.000000001),6)</f>
        <v/>
      </c>
      <c r="L380" s="5">
        <f>SUMPRODUCT(('01_Data'!$B380:$AW380&lt;&gt;"")*(1/(1+EXP(-(K380-'03_Lap_b'!$B$15:$AW$15)))))</f>
        <v/>
      </c>
      <c r="M380" s="5">
        <f>SUMPRODUCT(('01_Data'!$B380:$AW380&lt;&gt;"")*(1/(1+EXP(-(K380-'03_Lap_b'!$B$15:$AW$15))))^2)</f>
        <v/>
      </c>
      <c r="N380" s="5">
        <f>MEDIAN(-6,K380+(C380-L380)/MAX(L380-M380,0.000000001),6)</f>
        <v/>
      </c>
      <c r="O380" s="5">
        <f>SUMPRODUCT(('01_Data'!$B380:$AW380&lt;&gt;"")*(1/(1+EXP(-(N380-'03_Lap_b'!$B$20:$AW$20)))))</f>
        <v/>
      </c>
      <c r="P380" s="5">
        <f>SUMPRODUCT(('01_Data'!$B380:$AW380&lt;&gt;"")*(1/(1+EXP(-(N380-'03_Lap_b'!$B$20:$AW$20))))^2)</f>
        <v/>
      </c>
      <c r="Q380" s="5">
        <f>MEDIAN(-6,N380+(C380-O380)/MAX(O380-P380,0.000000001),6)</f>
        <v/>
      </c>
      <c r="R380" s="5">
        <f>SUMPRODUCT(('01_Data'!$B380:$AW380&lt;&gt;"")*(1/(1+EXP(-(Q380-'03_Lap_b'!$B$25:$AW$25)))))</f>
        <v/>
      </c>
      <c r="S380" s="5">
        <f>SUMPRODUCT(('01_Data'!$B380:$AW380&lt;&gt;"")*(1/(1+EXP(-(Q380-'03_Lap_b'!$B$25:$AW$25))))^2)</f>
        <v/>
      </c>
      <c r="T380" s="5">
        <f>MEDIAN(-6,Q380+(C380-R380)/MAX(R380-S380,0.000000001),6)</f>
        <v/>
      </c>
      <c r="U380" s="5">
        <f>SUMPRODUCT(('01_Data'!$B380:$AW380&lt;&gt;"")*(1/(1+EXP(-(T380-'03_Lap_b'!$B$30:$AW$30)))))</f>
        <v/>
      </c>
      <c r="V380" s="5">
        <f>SUMPRODUCT(('01_Data'!$B380:$AW380&lt;&gt;"")*(1/(1+EXP(-(T380-'03_Lap_b'!$B$30:$AW$30))))^2)</f>
        <v/>
      </c>
      <c r="W380" s="5">
        <f>MEDIAN(-6,T380+(C380-U380)/MAX(U380-V380,0.000000001),6)</f>
        <v/>
      </c>
      <c r="X380" s="5">
        <f>SUMPRODUCT(('01_Data'!$B380:$AW380&lt;&gt;"")*(1/(1+EXP(-(W380-'03_Lap_b'!$B$35:$AW$35)))))</f>
        <v/>
      </c>
      <c r="Y380" s="5">
        <f>SUMPRODUCT(('01_Data'!$B380:$AW380&lt;&gt;"")*(1/(1+EXP(-(W380-'03_Lap_b'!$B$35:$AW$35))))^2)</f>
        <v/>
      </c>
      <c r="Z380" s="5">
        <f>MEDIAN(-6,W380+(C380-X380)/MAX(X380-Y380,0.000000001),6)</f>
        <v/>
      </c>
      <c r="AA380" s="5">
        <f>SUMPRODUCT(('01_Data'!$B380:$AW380&lt;&gt;"")*(1/(1+EXP(-(Z380-'03_Lap_b'!$B$40:$AW$40)))))</f>
        <v/>
      </c>
      <c r="AB380" s="5">
        <f>SUMPRODUCT(('01_Data'!$B380:$AW380&lt;&gt;"")*(1/(1+EXP(-(Z380-'03_Lap_b'!$B$40:$AW$40))))^2)</f>
        <v/>
      </c>
      <c r="AC380" s="5">
        <f>MEDIAN(-6,Z380+(C380-AA380)/MAX(AA380-AB380,0.000000001),6)</f>
        <v/>
      </c>
    </row>
    <row r="381">
      <c r="A381" t="n">
        <v>380</v>
      </c>
      <c r="B381">
        <f>'01_Data'!A381</f>
        <v/>
      </c>
      <c r="C381">
        <f>SUM('01_Data'!$B381:$AW381)</f>
        <v/>
      </c>
      <c r="D381">
        <f>COUNT('01_Data'!$B381:$AW381)</f>
        <v/>
      </c>
      <c r="E381" s="5">
        <f>MEDIAN(-6,LN((C381+0.3)/(D381-C381+0.3)),6)</f>
        <v/>
      </c>
      <c r="F381" s="5">
        <f>SUMPRODUCT(('01_Data'!$B381:$AW381&lt;&gt;"")*(1/(1+EXP(-(E381-'03_Lap_b'!$B$5:$AW$5)))))</f>
        <v/>
      </c>
      <c r="G381" s="5">
        <f>SUMPRODUCT(('01_Data'!$B381:$AW381&lt;&gt;"")*(1/(1+EXP(-(E381-'03_Lap_b'!$B$5:$AW$5))))^2)</f>
        <v/>
      </c>
      <c r="H381" s="5">
        <f>MEDIAN(-6,E381+(C381-F381)/MAX(F381-G381,0.000000001),6)</f>
        <v/>
      </c>
      <c r="I381" s="5">
        <f>SUMPRODUCT(('01_Data'!$B381:$AW381&lt;&gt;"")*(1/(1+EXP(-(H381-'03_Lap_b'!$B$10:$AW$10)))))</f>
        <v/>
      </c>
      <c r="J381" s="5">
        <f>SUMPRODUCT(('01_Data'!$B381:$AW381&lt;&gt;"")*(1/(1+EXP(-(H381-'03_Lap_b'!$B$10:$AW$10))))^2)</f>
        <v/>
      </c>
      <c r="K381" s="5">
        <f>MEDIAN(-6,H381+(C381-I381)/MAX(I381-J381,0.000000001),6)</f>
        <v/>
      </c>
      <c r="L381" s="5">
        <f>SUMPRODUCT(('01_Data'!$B381:$AW381&lt;&gt;"")*(1/(1+EXP(-(K381-'03_Lap_b'!$B$15:$AW$15)))))</f>
        <v/>
      </c>
      <c r="M381" s="5">
        <f>SUMPRODUCT(('01_Data'!$B381:$AW381&lt;&gt;"")*(1/(1+EXP(-(K381-'03_Lap_b'!$B$15:$AW$15))))^2)</f>
        <v/>
      </c>
      <c r="N381" s="5">
        <f>MEDIAN(-6,K381+(C381-L381)/MAX(L381-M381,0.000000001),6)</f>
        <v/>
      </c>
      <c r="O381" s="5">
        <f>SUMPRODUCT(('01_Data'!$B381:$AW381&lt;&gt;"")*(1/(1+EXP(-(N381-'03_Lap_b'!$B$20:$AW$20)))))</f>
        <v/>
      </c>
      <c r="P381" s="5">
        <f>SUMPRODUCT(('01_Data'!$B381:$AW381&lt;&gt;"")*(1/(1+EXP(-(N381-'03_Lap_b'!$B$20:$AW$20))))^2)</f>
        <v/>
      </c>
      <c r="Q381" s="5">
        <f>MEDIAN(-6,N381+(C381-O381)/MAX(O381-P381,0.000000001),6)</f>
        <v/>
      </c>
      <c r="R381" s="5">
        <f>SUMPRODUCT(('01_Data'!$B381:$AW381&lt;&gt;"")*(1/(1+EXP(-(Q381-'03_Lap_b'!$B$25:$AW$25)))))</f>
        <v/>
      </c>
      <c r="S381" s="5">
        <f>SUMPRODUCT(('01_Data'!$B381:$AW381&lt;&gt;"")*(1/(1+EXP(-(Q381-'03_Lap_b'!$B$25:$AW$25))))^2)</f>
        <v/>
      </c>
      <c r="T381" s="5">
        <f>MEDIAN(-6,Q381+(C381-R381)/MAX(R381-S381,0.000000001),6)</f>
        <v/>
      </c>
      <c r="U381" s="5">
        <f>SUMPRODUCT(('01_Data'!$B381:$AW381&lt;&gt;"")*(1/(1+EXP(-(T381-'03_Lap_b'!$B$30:$AW$30)))))</f>
        <v/>
      </c>
      <c r="V381" s="5">
        <f>SUMPRODUCT(('01_Data'!$B381:$AW381&lt;&gt;"")*(1/(1+EXP(-(T381-'03_Lap_b'!$B$30:$AW$30))))^2)</f>
        <v/>
      </c>
      <c r="W381" s="5">
        <f>MEDIAN(-6,T381+(C381-U381)/MAX(U381-V381,0.000000001),6)</f>
        <v/>
      </c>
      <c r="X381" s="5">
        <f>SUMPRODUCT(('01_Data'!$B381:$AW381&lt;&gt;"")*(1/(1+EXP(-(W381-'03_Lap_b'!$B$35:$AW$35)))))</f>
        <v/>
      </c>
      <c r="Y381" s="5">
        <f>SUMPRODUCT(('01_Data'!$B381:$AW381&lt;&gt;"")*(1/(1+EXP(-(W381-'03_Lap_b'!$B$35:$AW$35))))^2)</f>
        <v/>
      </c>
      <c r="Z381" s="5">
        <f>MEDIAN(-6,W381+(C381-X381)/MAX(X381-Y381,0.000000001),6)</f>
        <v/>
      </c>
      <c r="AA381" s="5">
        <f>SUMPRODUCT(('01_Data'!$B381:$AW381&lt;&gt;"")*(1/(1+EXP(-(Z381-'03_Lap_b'!$B$40:$AW$40)))))</f>
        <v/>
      </c>
      <c r="AB381" s="5">
        <f>SUMPRODUCT(('01_Data'!$B381:$AW381&lt;&gt;"")*(1/(1+EXP(-(Z381-'03_Lap_b'!$B$40:$AW$40))))^2)</f>
        <v/>
      </c>
      <c r="AC381" s="5">
        <f>MEDIAN(-6,Z381+(C381-AA381)/MAX(AA381-AB381,0.000000001),6)</f>
        <v/>
      </c>
    </row>
    <row r="382">
      <c r="A382" t="n">
        <v>381</v>
      </c>
      <c r="B382">
        <f>'01_Data'!A382</f>
        <v/>
      </c>
      <c r="C382">
        <f>SUM('01_Data'!$B382:$AW382)</f>
        <v/>
      </c>
      <c r="D382">
        <f>COUNT('01_Data'!$B382:$AW382)</f>
        <v/>
      </c>
      <c r="E382" s="5">
        <f>MEDIAN(-6,LN((C382+0.3)/(D382-C382+0.3)),6)</f>
        <v/>
      </c>
      <c r="F382" s="5">
        <f>SUMPRODUCT(('01_Data'!$B382:$AW382&lt;&gt;"")*(1/(1+EXP(-(E382-'03_Lap_b'!$B$5:$AW$5)))))</f>
        <v/>
      </c>
      <c r="G382" s="5">
        <f>SUMPRODUCT(('01_Data'!$B382:$AW382&lt;&gt;"")*(1/(1+EXP(-(E382-'03_Lap_b'!$B$5:$AW$5))))^2)</f>
        <v/>
      </c>
      <c r="H382" s="5">
        <f>MEDIAN(-6,E382+(C382-F382)/MAX(F382-G382,0.000000001),6)</f>
        <v/>
      </c>
      <c r="I382" s="5">
        <f>SUMPRODUCT(('01_Data'!$B382:$AW382&lt;&gt;"")*(1/(1+EXP(-(H382-'03_Lap_b'!$B$10:$AW$10)))))</f>
        <v/>
      </c>
      <c r="J382" s="5">
        <f>SUMPRODUCT(('01_Data'!$B382:$AW382&lt;&gt;"")*(1/(1+EXP(-(H382-'03_Lap_b'!$B$10:$AW$10))))^2)</f>
        <v/>
      </c>
      <c r="K382" s="5">
        <f>MEDIAN(-6,H382+(C382-I382)/MAX(I382-J382,0.000000001),6)</f>
        <v/>
      </c>
      <c r="L382" s="5">
        <f>SUMPRODUCT(('01_Data'!$B382:$AW382&lt;&gt;"")*(1/(1+EXP(-(K382-'03_Lap_b'!$B$15:$AW$15)))))</f>
        <v/>
      </c>
      <c r="M382" s="5">
        <f>SUMPRODUCT(('01_Data'!$B382:$AW382&lt;&gt;"")*(1/(1+EXP(-(K382-'03_Lap_b'!$B$15:$AW$15))))^2)</f>
        <v/>
      </c>
      <c r="N382" s="5">
        <f>MEDIAN(-6,K382+(C382-L382)/MAX(L382-M382,0.000000001),6)</f>
        <v/>
      </c>
      <c r="O382" s="5">
        <f>SUMPRODUCT(('01_Data'!$B382:$AW382&lt;&gt;"")*(1/(1+EXP(-(N382-'03_Lap_b'!$B$20:$AW$20)))))</f>
        <v/>
      </c>
      <c r="P382" s="5">
        <f>SUMPRODUCT(('01_Data'!$B382:$AW382&lt;&gt;"")*(1/(1+EXP(-(N382-'03_Lap_b'!$B$20:$AW$20))))^2)</f>
        <v/>
      </c>
      <c r="Q382" s="5">
        <f>MEDIAN(-6,N382+(C382-O382)/MAX(O382-P382,0.000000001),6)</f>
        <v/>
      </c>
      <c r="R382" s="5">
        <f>SUMPRODUCT(('01_Data'!$B382:$AW382&lt;&gt;"")*(1/(1+EXP(-(Q382-'03_Lap_b'!$B$25:$AW$25)))))</f>
        <v/>
      </c>
      <c r="S382" s="5">
        <f>SUMPRODUCT(('01_Data'!$B382:$AW382&lt;&gt;"")*(1/(1+EXP(-(Q382-'03_Lap_b'!$B$25:$AW$25))))^2)</f>
        <v/>
      </c>
      <c r="T382" s="5">
        <f>MEDIAN(-6,Q382+(C382-R382)/MAX(R382-S382,0.000000001),6)</f>
        <v/>
      </c>
      <c r="U382" s="5">
        <f>SUMPRODUCT(('01_Data'!$B382:$AW382&lt;&gt;"")*(1/(1+EXP(-(T382-'03_Lap_b'!$B$30:$AW$30)))))</f>
        <v/>
      </c>
      <c r="V382" s="5">
        <f>SUMPRODUCT(('01_Data'!$B382:$AW382&lt;&gt;"")*(1/(1+EXP(-(T382-'03_Lap_b'!$B$30:$AW$30))))^2)</f>
        <v/>
      </c>
      <c r="W382" s="5">
        <f>MEDIAN(-6,T382+(C382-U382)/MAX(U382-V382,0.000000001),6)</f>
        <v/>
      </c>
      <c r="X382" s="5">
        <f>SUMPRODUCT(('01_Data'!$B382:$AW382&lt;&gt;"")*(1/(1+EXP(-(W382-'03_Lap_b'!$B$35:$AW$35)))))</f>
        <v/>
      </c>
      <c r="Y382" s="5">
        <f>SUMPRODUCT(('01_Data'!$B382:$AW382&lt;&gt;"")*(1/(1+EXP(-(W382-'03_Lap_b'!$B$35:$AW$35))))^2)</f>
        <v/>
      </c>
      <c r="Z382" s="5">
        <f>MEDIAN(-6,W382+(C382-X382)/MAX(X382-Y382,0.000000001),6)</f>
        <v/>
      </c>
      <c r="AA382" s="5">
        <f>SUMPRODUCT(('01_Data'!$B382:$AW382&lt;&gt;"")*(1/(1+EXP(-(Z382-'03_Lap_b'!$B$40:$AW$40)))))</f>
        <v/>
      </c>
      <c r="AB382" s="5">
        <f>SUMPRODUCT(('01_Data'!$B382:$AW382&lt;&gt;"")*(1/(1+EXP(-(Z382-'03_Lap_b'!$B$40:$AW$40))))^2)</f>
        <v/>
      </c>
      <c r="AC382" s="5">
        <f>MEDIAN(-6,Z382+(C382-AA382)/MAX(AA382-AB382,0.000000001),6)</f>
        <v/>
      </c>
    </row>
    <row r="383">
      <c r="A383" t="n">
        <v>382</v>
      </c>
      <c r="B383">
        <f>'01_Data'!A383</f>
        <v/>
      </c>
      <c r="C383">
        <f>SUM('01_Data'!$B383:$AW383)</f>
        <v/>
      </c>
      <c r="D383">
        <f>COUNT('01_Data'!$B383:$AW383)</f>
        <v/>
      </c>
      <c r="E383" s="5">
        <f>MEDIAN(-6,LN((C383+0.3)/(D383-C383+0.3)),6)</f>
        <v/>
      </c>
      <c r="F383" s="5">
        <f>SUMPRODUCT(('01_Data'!$B383:$AW383&lt;&gt;"")*(1/(1+EXP(-(E383-'03_Lap_b'!$B$5:$AW$5)))))</f>
        <v/>
      </c>
      <c r="G383" s="5">
        <f>SUMPRODUCT(('01_Data'!$B383:$AW383&lt;&gt;"")*(1/(1+EXP(-(E383-'03_Lap_b'!$B$5:$AW$5))))^2)</f>
        <v/>
      </c>
      <c r="H383" s="5">
        <f>MEDIAN(-6,E383+(C383-F383)/MAX(F383-G383,0.000000001),6)</f>
        <v/>
      </c>
      <c r="I383" s="5">
        <f>SUMPRODUCT(('01_Data'!$B383:$AW383&lt;&gt;"")*(1/(1+EXP(-(H383-'03_Lap_b'!$B$10:$AW$10)))))</f>
        <v/>
      </c>
      <c r="J383" s="5">
        <f>SUMPRODUCT(('01_Data'!$B383:$AW383&lt;&gt;"")*(1/(1+EXP(-(H383-'03_Lap_b'!$B$10:$AW$10))))^2)</f>
        <v/>
      </c>
      <c r="K383" s="5">
        <f>MEDIAN(-6,H383+(C383-I383)/MAX(I383-J383,0.000000001),6)</f>
        <v/>
      </c>
      <c r="L383" s="5">
        <f>SUMPRODUCT(('01_Data'!$B383:$AW383&lt;&gt;"")*(1/(1+EXP(-(K383-'03_Lap_b'!$B$15:$AW$15)))))</f>
        <v/>
      </c>
      <c r="M383" s="5">
        <f>SUMPRODUCT(('01_Data'!$B383:$AW383&lt;&gt;"")*(1/(1+EXP(-(K383-'03_Lap_b'!$B$15:$AW$15))))^2)</f>
        <v/>
      </c>
      <c r="N383" s="5">
        <f>MEDIAN(-6,K383+(C383-L383)/MAX(L383-M383,0.000000001),6)</f>
        <v/>
      </c>
      <c r="O383" s="5">
        <f>SUMPRODUCT(('01_Data'!$B383:$AW383&lt;&gt;"")*(1/(1+EXP(-(N383-'03_Lap_b'!$B$20:$AW$20)))))</f>
        <v/>
      </c>
      <c r="P383" s="5">
        <f>SUMPRODUCT(('01_Data'!$B383:$AW383&lt;&gt;"")*(1/(1+EXP(-(N383-'03_Lap_b'!$B$20:$AW$20))))^2)</f>
        <v/>
      </c>
      <c r="Q383" s="5">
        <f>MEDIAN(-6,N383+(C383-O383)/MAX(O383-P383,0.000000001),6)</f>
        <v/>
      </c>
      <c r="R383" s="5">
        <f>SUMPRODUCT(('01_Data'!$B383:$AW383&lt;&gt;"")*(1/(1+EXP(-(Q383-'03_Lap_b'!$B$25:$AW$25)))))</f>
        <v/>
      </c>
      <c r="S383" s="5">
        <f>SUMPRODUCT(('01_Data'!$B383:$AW383&lt;&gt;"")*(1/(1+EXP(-(Q383-'03_Lap_b'!$B$25:$AW$25))))^2)</f>
        <v/>
      </c>
      <c r="T383" s="5">
        <f>MEDIAN(-6,Q383+(C383-R383)/MAX(R383-S383,0.000000001),6)</f>
        <v/>
      </c>
      <c r="U383" s="5">
        <f>SUMPRODUCT(('01_Data'!$B383:$AW383&lt;&gt;"")*(1/(1+EXP(-(T383-'03_Lap_b'!$B$30:$AW$30)))))</f>
        <v/>
      </c>
      <c r="V383" s="5">
        <f>SUMPRODUCT(('01_Data'!$B383:$AW383&lt;&gt;"")*(1/(1+EXP(-(T383-'03_Lap_b'!$B$30:$AW$30))))^2)</f>
        <v/>
      </c>
      <c r="W383" s="5">
        <f>MEDIAN(-6,T383+(C383-U383)/MAX(U383-V383,0.000000001),6)</f>
        <v/>
      </c>
      <c r="X383" s="5">
        <f>SUMPRODUCT(('01_Data'!$B383:$AW383&lt;&gt;"")*(1/(1+EXP(-(W383-'03_Lap_b'!$B$35:$AW$35)))))</f>
        <v/>
      </c>
      <c r="Y383" s="5">
        <f>SUMPRODUCT(('01_Data'!$B383:$AW383&lt;&gt;"")*(1/(1+EXP(-(W383-'03_Lap_b'!$B$35:$AW$35))))^2)</f>
        <v/>
      </c>
      <c r="Z383" s="5">
        <f>MEDIAN(-6,W383+(C383-X383)/MAX(X383-Y383,0.000000001),6)</f>
        <v/>
      </c>
      <c r="AA383" s="5">
        <f>SUMPRODUCT(('01_Data'!$B383:$AW383&lt;&gt;"")*(1/(1+EXP(-(Z383-'03_Lap_b'!$B$40:$AW$40)))))</f>
        <v/>
      </c>
      <c r="AB383" s="5">
        <f>SUMPRODUCT(('01_Data'!$B383:$AW383&lt;&gt;"")*(1/(1+EXP(-(Z383-'03_Lap_b'!$B$40:$AW$40))))^2)</f>
        <v/>
      </c>
      <c r="AC383" s="5">
        <f>MEDIAN(-6,Z383+(C383-AA383)/MAX(AA383-AB383,0.000000001),6)</f>
        <v/>
      </c>
    </row>
    <row r="384">
      <c r="A384" t="n">
        <v>383</v>
      </c>
      <c r="B384">
        <f>'01_Data'!A384</f>
        <v/>
      </c>
      <c r="C384">
        <f>SUM('01_Data'!$B384:$AW384)</f>
        <v/>
      </c>
      <c r="D384">
        <f>COUNT('01_Data'!$B384:$AW384)</f>
        <v/>
      </c>
      <c r="E384" s="5">
        <f>MEDIAN(-6,LN((C384+0.3)/(D384-C384+0.3)),6)</f>
        <v/>
      </c>
      <c r="F384" s="5">
        <f>SUMPRODUCT(('01_Data'!$B384:$AW384&lt;&gt;"")*(1/(1+EXP(-(E384-'03_Lap_b'!$B$5:$AW$5)))))</f>
        <v/>
      </c>
      <c r="G384" s="5">
        <f>SUMPRODUCT(('01_Data'!$B384:$AW384&lt;&gt;"")*(1/(1+EXP(-(E384-'03_Lap_b'!$B$5:$AW$5))))^2)</f>
        <v/>
      </c>
      <c r="H384" s="5">
        <f>MEDIAN(-6,E384+(C384-F384)/MAX(F384-G384,0.000000001),6)</f>
        <v/>
      </c>
      <c r="I384" s="5">
        <f>SUMPRODUCT(('01_Data'!$B384:$AW384&lt;&gt;"")*(1/(1+EXP(-(H384-'03_Lap_b'!$B$10:$AW$10)))))</f>
        <v/>
      </c>
      <c r="J384" s="5">
        <f>SUMPRODUCT(('01_Data'!$B384:$AW384&lt;&gt;"")*(1/(1+EXP(-(H384-'03_Lap_b'!$B$10:$AW$10))))^2)</f>
        <v/>
      </c>
      <c r="K384" s="5">
        <f>MEDIAN(-6,H384+(C384-I384)/MAX(I384-J384,0.000000001),6)</f>
        <v/>
      </c>
      <c r="L384" s="5">
        <f>SUMPRODUCT(('01_Data'!$B384:$AW384&lt;&gt;"")*(1/(1+EXP(-(K384-'03_Lap_b'!$B$15:$AW$15)))))</f>
        <v/>
      </c>
      <c r="M384" s="5">
        <f>SUMPRODUCT(('01_Data'!$B384:$AW384&lt;&gt;"")*(1/(1+EXP(-(K384-'03_Lap_b'!$B$15:$AW$15))))^2)</f>
        <v/>
      </c>
      <c r="N384" s="5">
        <f>MEDIAN(-6,K384+(C384-L384)/MAX(L384-M384,0.000000001),6)</f>
        <v/>
      </c>
      <c r="O384" s="5">
        <f>SUMPRODUCT(('01_Data'!$B384:$AW384&lt;&gt;"")*(1/(1+EXP(-(N384-'03_Lap_b'!$B$20:$AW$20)))))</f>
        <v/>
      </c>
      <c r="P384" s="5">
        <f>SUMPRODUCT(('01_Data'!$B384:$AW384&lt;&gt;"")*(1/(1+EXP(-(N384-'03_Lap_b'!$B$20:$AW$20))))^2)</f>
        <v/>
      </c>
      <c r="Q384" s="5">
        <f>MEDIAN(-6,N384+(C384-O384)/MAX(O384-P384,0.000000001),6)</f>
        <v/>
      </c>
      <c r="R384" s="5">
        <f>SUMPRODUCT(('01_Data'!$B384:$AW384&lt;&gt;"")*(1/(1+EXP(-(Q384-'03_Lap_b'!$B$25:$AW$25)))))</f>
        <v/>
      </c>
      <c r="S384" s="5">
        <f>SUMPRODUCT(('01_Data'!$B384:$AW384&lt;&gt;"")*(1/(1+EXP(-(Q384-'03_Lap_b'!$B$25:$AW$25))))^2)</f>
        <v/>
      </c>
      <c r="T384" s="5">
        <f>MEDIAN(-6,Q384+(C384-R384)/MAX(R384-S384,0.000000001),6)</f>
        <v/>
      </c>
      <c r="U384" s="5">
        <f>SUMPRODUCT(('01_Data'!$B384:$AW384&lt;&gt;"")*(1/(1+EXP(-(T384-'03_Lap_b'!$B$30:$AW$30)))))</f>
        <v/>
      </c>
      <c r="V384" s="5">
        <f>SUMPRODUCT(('01_Data'!$B384:$AW384&lt;&gt;"")*(1/(1+EXP(-(T384-'03_Lap_b'!$B$30:$AW$30))))^2)</f>
        <v/>
      </c>
      <c r="W384" s="5">
        <f>MEDIAN(-6,T384+(C384-U384)/MAX(U384-V384,0.000000001),6)</f>
        <v/>
      </c>
      <c r="X384" s="5">
        <f>SUMPRODUCT(('01_Data'!$B384:$AW384&lt;&gt;"")*(1/(1+EXP(-(W384-'03_Lap_b'!$B$35:$AW$35)))))</f>
        <v/>
      </c>
      <c r="Y384" s="5">
        <f>SUMPRODUCT(('01_Data'!$B384:$AW384&lt;&gt;"")*(1/(1+EXP(-(W384-'03_Lap_b'!$B$35:$AW$35))))^2)</f>
        <v/>
      </c>
      <c r="Z384" s="5">
        <f>MEDIAN(-6,W384+(C384-X384)/MAX(X384-Y384,0.000000001),6)</f>
        <v/>
      </c>
      <c r="AA384" s="5">
        <f>SUMPRODUCT(('01_Data'!$B384:$AW384&lt;&gt;"")*(1/(1+EXP(-(Z384-'03_Lap_b'!$B$40:$AW$40)))))</f>
        <v/>
      </c>
      <c r="AB384" s="5">
        <f>SUMPRODUCT(('01_Data'!$B384:$AW384&lt;&gt;"")*(1/(1+EXP(-(Z384-'03_Lap_b'!$B$40:$AW$40))))^2)</f>
        <v/>
      </c>
      <c r="AC384" s="5">
        <f>MEDIAN(-6,Z384+(C384-AA384)/MAX(AA384-AB384,0.000000001),6)</f>
        <v/>
      </c>
    </row>
    <row r="385">
      <c r="A385" t="n">
        <v>384</v>
      </c>
      <c r="B385">
        <f>'01_Data'!A385</f>
        <v/>
      </c>
      <c r="C385">
        <f>SUM('01_Data'!$B385:$AW385)</f>
        <v/>
      </c>
      <c r="D385">
        <f>COUNT('01_Data'!$B385:$AW385)</f>
        <v/>
      </c>
      <c r="E385" s="5">
        <f>MEDIAN(-6,LN((C385+0.3)/(D385-C385+0.3)),6)</f>
        <v/>
      </c>
      <c r="F385" s="5">
        <f>SUMPRODUCT(('01_Data'!$B385:$AW385&lt;&gt;"")*(1/(1+EXP(-(E385-'03_Lap_b'!$B$5:$AW$5)))))</f>
        <v/>
      </c>
      <c r="G385" s="5">
        <f>SUMPRODUCT(('01_Data'!$B385:$AW385&lt;&gt;"")*(1/(1+EXP(-(E385-'03_Lap_b'!$B$5:$AW$5))))^2)</f>
        <v/>
      </c>
      <c r="H385" s="5">
        <f>MEDIAN(-6,E385+(C385-F385)/MAX(F385-G385,0.000000001),6)</f>
        <v/>
      </c>
      <c r="I385" s="5">
        <f>SUMPRODUCT(('01_Data'!$B385:$AW385&lt;&gt;"")*(1/(1+EXP(-(H385-'03_Lap_b'!$B$10:$AW$10)))))</f>
        <v/>
      </c>
      <c r="J385" s="5">
        <f>SUMPRODUCT(('01_Data'!$B385:$AW385&lt;&gt;"")*(1/(1+EXP(-(H385-'03_Lap_b'!$B$10:$AW$10))))^2)</f>
        <v/>
      </c>
      <c r="K385" s="5">
        <f>MEDIAN(-6,H385+(C385-I385)/MAX(I385-J385,0.000000001),6)</f>
        <v/>
      </c>
      <c r="L385" s="5">
        <f>SUMPRODUCT(('01_Data'!$B385:$AW385&lt;&gt;"")*(1/(1+EXP(-(K385-'03_Lap_b'!$B$15:$AW$15)))))</f>
        <v/>
      </c>
      <c r="M385" s="5">
        <f>SUMPRODUCT(('01_Data'!$B385:$AW385&lt;&gt;"")*(1/(1+EXP(-(K385-'03_Lap_b'!$B$15:$AW$15))))^2)</f>
        <v/>
      </c>
      <c r="N385" s="5">
        <f>MEDIAN(-6,K385+(C385-L385)/MAX(L385-M385,0.000000001),6)</f>
        <v/>
      </c>
      <c r="O385" s="5">
        <f>SUMPRODUCT(('01_Data'!$B385:$AW385&lt;&gt;"")*(1/(1+EXP(-(N385-'03_Lap_b'!$B$20:$AW$20)))))</f>
        <v/>
      </c>
      <c r="P385" s="5">
        <f>SUMPRODUCT(('01_Data'!$B385:$AW385&lt;&gt;"")*(1/(1+EXP(-(N385-'03_Lap_b'!$B$20:$AW$20))))^2)</f>
        <v/>
      </c>
      <c r="Q385" s="5">
        <f>MEDIAN(-6,N385+(C385-O385)/MAX(O385-P385,0.000000001),6)</f>
        <v/>
      </c>
      <c r="R385" s="5">
        <f>SUMPRODUCT(('01_Data'!$B385:$AW385&lt;&gt;"")*(1/(1+EXP(-(Q385-'03_Lap_b'!$B$25:$AW$25)))))</f>
        <v/>
      </c>
      <c r="S385" s="5">
        <f>SUMPRODUCT(('01_Data'!$B385:$AW385&lt;&gt;"")*(1/(1+EXP(-(Q385-'03_Lap_b'!$B$25:$AW$25))))^2)</f>
        <v/>
      </c>
      <c r="T385" s="5">
        <f>MEDIAN(-6,Q385+(C385-R385)/MAX(R385-S385,0.000000001),6)</f>
        <v/>
      </c>
      <c r="U385" s="5">
        <f>SUMPRODUCT(('01_Data'!$B385:$AW385&lt;&gt;"")*(1/(1+EXP(-(T385-'03_Lap_b'!$B$30:$AW$30)))))</f>
        <v/>
      </c>
      <c r="V385" s="5">
        <f>SUMPRODUCT(('01_Data'!$B385:$AW385&lt;&gt;"")*(1/(1+EXP(-(T385-'03_Lap_b'!$B$30:$AW$30))))^2)</f>
        <v/>
      </c>
      <c r="W385" s="5">
        <f>MEDIAN(-6,T385+(C385-U385)/MAX(U385-V385,0.000000001),6)</f>
        <v/>
      </c>
      <c r="X385" s="5">
        <f>SUMPRODUCT(('01_Data'!$B385:$AW385&lt;&gt;"")*(1/(1+EXP(-(W385-'03_Lap_b'!$B$35:$AW$35)))))</f>
        <v/>
      </c>
      <c r="Y385" s="5">
        <f>SUMPRODUCT(('01_Data'!$B385:$AW385&lt;&gt;"")*(1/(1+EXP(-(W385-'03_Lap_b'!$B$35:$AW$35))))^2)</f>
        <v/>
      </c>
      <c r="Z385" s="5">
        <f>MEDIAN(-6,W385+(C385-X385)/MAX(X385-Y385,0.000000001),6)</f>
        <v/>
      </c>
      <c r="AA385" s="5">
        <f>SUMPRODUCT(('01_Data'!$B385:$AW385&lt;&gt;"")*(1/(1+EXP(-(Z385-'03_Lap_b'!$B$40:$AW$40)))))</f>
        <v/>
      </c>
      <c r="AB385" s="5">
        <f>SUMPRODUCT(('01_Data'!$B385:$AW385&lt;&gt;"")*(1/(1+EXP(-(Z385-'03_Lap_b'!$B$40:$AW$40))))^2)</f>
        <v/>
      </c>
      <c r="AC385" s="5">
        <f>MEDIAN(-6,Z385+(C385-AA385)/MAX(AA385-AB385,0.000000001),6)</f>
        <v/>
      </c>
    </row>
    <row r="386">
      <c r="A386" t="n">
        <v>385</v>
      </c>
      <c r="B386">
        <f>'01_Data'!A386</f>
        <v/>
      </c>
      <c r="C386">
        <f>SUM('01_Data'!$B386:$AW386)</f>
        <v/>
      </c>
      <c r="D386">
        <f>COUNT('01_Data'!$B386:$AW386)</f>
        <v/>
      </c>
      <c r="E386" s="5">
        <f>MEDIAN(-6,LN((C386+0.3)/(D386-C386+0.3)),6)</f>
        <v/>
      </c>
      <c r="F386" s="5">
        <f>SUMPRODUCT(('01_Data'!$B386:$AW386&lt;&gt;"")*(1/(1+EXP(-(E386-'03_Lap_b'!$B$5:$AW$5)))))</f>
        <v/>
      </c>
      <c r="G386" s="5">
        <f>SUMPRODUCT(('01_Data'!$B386:$AW386&lt;&gt;"")*(1/(1+EXP(-(E386-'03_Lap_b'!$B$5:$AW$5))))^2)</f>
        <v/>
      </c>
      <c r="H386" s="5">
        <f>MEDIAN(-6,E386+(C386-F386)/MAX(F386-G386,0.000000001),6)</f>
        <v/>
      </c>
      <c r="I386" s="5">
        <f>SUMPRODUCT(('01_Data'!$B386:$AW386&lt;&gt;"")*(1/(1+EXP(-(H386-'03_Lap_b'!$B$10:$AW$10)))))</f>
        <v/>
      </c>
      <c r="J386" s="5">
        <f>SUMPRODUCT(('01_Data'!$B386:$AW386&lt;&gt;"")*(1/(1+EXP(-(H386-'03_Lap_b'!$B$10:$AW$10))))^2)</f>
        <v/>
      </c>
      <c r="K386" s="5">
        <f>MEDIAN(-6,H386+(C386-I386)/MAX(I386-J386,0.000000001),6)</f>
        <v/>
      </c>
      <c r="L386" s="5">
        <f>SUMPRODUCT(('01_Data'!$B386:$AW386&lt;&gt;"")*(1/(1+EXP(-(K386-'03_Lap_b'!$B$15:$AW$15)))))</f>
        <v/>
      </c>
      <c r="M386" s="5">
        <f>SUMPRODUCT(('01_Data'!$B386:$AW386&lt;&gt;"")*(1/(1+EXP(-(K386-'03_Lap_b'!$B$15:$AW$15))))^2)</f>
        <v/>
      </c>
      <c r="N386" s="5">
        <f>MEDIAN(-6,K386+(C386-L386)/MAX(L386-M386,0.000000001),6)</f>
        <v/>
      </c>
      <c r="O386" s="5">
        <f>SUMPRODUCT(('01_Data'!$B386:$AW386&lt;&gt;"")*(1/(1+EXP(-(N386-'03_Lap_b'!$B$20:$AW$20)))))</f>
        <v/>
      </c>
      <c r="P386" s="5">
        <f>SUMPRODUCT(('01_Data'!$B386:$AW386&lt;&gt;"")*(1/(1+EXP(-(N386-'03_Lap_b'!$B$20:$AW$20))))^2)</f>
        <v/>
      </c>
      <c r="Q386" s="5">
        <f>MEDIAN(-6,N386+(C386-O386)/MAX(O386-P386,0.000000001),6)</f>
        <v/>
      </c>
      <c r="R386" s="5">
        <f>SUMPRODUCT(('01_Data'!$B386:$AW386&lt;&gt;"")*(1/(1+EXP(-(Q386-'03_Lap_b'!$B$25:$AW$25)))))</f>
        <v/>
      </c>
      <c r="S386" s="5">
        <f>SUMPRODUCT(('01_Data'!$B386:$AW386&lt;&gt;"")*(1/(1+EXP(-(Q386-'03_Lap_b'!$B$25:$AW$25))))^2)</f>
        <v/>
      </c>
      <c r="T386" s="5">
        <f>MEDIAN(-6,Q386+(C386-R386)/MAX(R386-S386,0.000000001),6)</f>
        <v/>
      </c>
      <c r="U386" s="5">
        <f>SUMPRODUCT(('01_Data'!$B386:$AW386&lt;&gt;"")*(1/(1+EXP(-(T386-'03_Lap_b'!$B$30:$AW$30)))))</f>
        <v/>
      </c>
      <c r="V386" s="5">
        <f>SUMPRODUCT(('01_Data'!$B386:$AW386&lt;&gt;"")*(1/(1+EXP(-(T386-'03_Lap_b'!$B$30:$AW$30))))^2)</f>
        <v/>
      </c>
      <c r="W386" s="5">
        <f>MEDIAN(-6,T386+(C386-U386)/MAX(U386-V386,0.000000001),6)</f>
        <v/>
      </c>
      <c r="X386" s="5">
        <f>SUMPRODUCT(('01_Data'!$B386:$AW386&lt;&gt;"")*(1/(1+EXP(-(W386-'03_Lap_b'!$B$35:$AW$35)))))</f>
        <v/>
      </c>
      <c r="Y386" s="5">
        <f>SUMPRODUCT(('01_Data'!$B386:$AW386&lt;&gt;"")*(1/(1+EXP(-(W386-'03_Lap_b'!$B$35:$AW$35))))^2)</f>
        <v/>
      </c>
      <c r="Z386" s="5">
        <f>MEDIAN(-6,W386+(C386-X386)/MAX(X386-Y386,0.000000001),6)</f>
        <v/>
      </c>
      <c r="AA386" s="5">
        <f>SUMPRODUCT(('01_Data'!$B386:$AW386&lt;&gt;"")*(1/(1+EXP(-(Z386-'03_Lap_b'!$B$40:$AW$40)))))</f>
        <v/>
      </c>
      <c r="AB386" s="5">
        <f>SUMPRODUCT(('01_Data'!$B386:$AW386&lt;&gt;"")*(1/(1+EXP(-(Z386-'03_Lap_b'!$B$40:$AW$40))))^2)</f>
        <v/>
      </c>
      <c r="AC386" s="5">
        <f>MEDIAN(-6,Z386+(C386-AA386)/MAX(AA386-AB386,0.000000001),6)</f>
        <v/>
      </c>
    </row>
    <row r="387">
      <c r="A387" t="n">
        <v>386</v>
      </c>
      <c r="B387">
        <f>'01_Data'!A387</f>
        <v/>
      </c>
      <c r="C387">
        <f>SUM('01_Data'!$B387:$AW387)</f>
        <v/>
      </c>
      <c r="D387">
        <f>COUNT('01_Data'!$B387:$AW387)</f>
        <v/>
      </c>
      <c r="E387" s="5">
        <f>MEDIAN(-6,LN((C387+0.3)/(D387-C387+0.3)),6)</f>
        <v/>
      </c>
      <c r="F387" s="5">
        <f>SUMPRODUCT(('01_Data'!$B387:$AW387&lt;&gt;"")*(1/(1+EXP(-(E387-'03_Lap_b'!$B$5:$AW$5)))))</f>
        <v/>
      </c>
      <c r="G387" s="5">
        <f>SUMPRODUCT(('01_Data'!$B387:$AW387&lt;&gt;"")*(1/(1+EXP(-(E387-'03_Lap_b'!$B$5:$AW$5))))^2)</f>
        <v/>
      </c>
      <c r="H387" s="5">
        <f>MEDIAN(-6,E387+(C387-F387)/MAX(F387-G387,0.000000001),6)</f>
        <v/>
      </c>
      <c r="I387" s="5">
        <f>SUMPRODUCT(('01_Data'!$B387:$AW387&lt;&gt;"")*(1/(1+EXP(-(H387-'03_Lap_b'!$B$10:$AW$10)))))</f>
        <v/>
      </c>
      <c r="J387" s="5">
        <f>SUMPRODUCT(('01_Data'!$B387:$AW387&lt;&gt;"")*(1/(1+EXP(-(H387-'03_Lap_b'!$B$10:$AW$10))))^2)</f>
        <v/>
      </c>
      <c r="K387" s="5">
        <f>MEDIAN(-6,H387+(C387-I387)/MAX(I387-J387,0.000000001),6)</f>
        <v/>
      </c>
      <c r="L387" s="5">
        <f>SUMPRODUCT(('01_Data'!$B387:$AW387&lt;&gt;"")*(1/(1+EXP(-(K387-'03_Lap_b'!$B$15:$AW$15)))))</f>
        <v/>
      </c>
      <c r="M387" s="5">
        <f>SUMPRODUCT(('01_Data'!$B387:$AW387&lt;&gt;"")*(1/(1+EXP(-(K387-'03_Lap_b'!$B$15:$AW$15))))^2)</f>
        <v/>
      </c>
      <c r="N387" s="5">
        <f>MEDIAN(-6,K387+(C387-L387)/MAX(L387-M387,0.000000001),6)</f>
        <v/>
      </c>
      <c r="O387" s="5">
        <f>SUMPRODUCT(('01_Data'!$B387:$AW387&lt;&gt;"")*(1/(1+EXP(-(N387-'03_Lap_b'!$B$20:$AW$20)))))</f>
        <v/>
      </c>
      <c r="P387" s="5">
        <f>SUMPRODUCT(('01_Data'!$B387:$AW387&lt;&gt;"")*(1/(1+EXP(-(N387-'03_Lap_b'!$B$20:$AW$20))))^2)</f>
        <v/>
      </c>
      <c r="Q387" s="5">
        <f>MEDIAN(-6,N387+(C387-O387)/MAX(O387-P387,0.000000001),6)</f>
        <v/>
      </c>
      <c r="R387" s="5">
        <f>SUMPRODUCT(('01_Data'!$B387:$AW387&lt;&gt;"")*(1/(1+EXP(-(Q387-'03_Lap_b'!$B$25:$AW$25)))))</f>
        <v/>
      </c>
      <c r="S387" s="5">
        <f>SUMPRODUCT(('01_Data'!$B387:$AW387&lt;&gt;"")*(1/(1+EXP(-(Q387-'03_Lap_b'!$B$25:$AW$25))))^2)</f>
        <v/>
      </c>
      <c r="T387" s="5">
        <f>MEDIAN(-6,Q387+(C387-R387)/MAX(R387-S387,0.000000001),6)</f>
        <v/>
      </c>
      <c r="U387" s="5">
        <f>SUMPRODUCT(('01_Data'!$B387:$AW387&lt;&gt;"")*(1/(1+EXP(-(T387-'03_Lap_b'!$B$30:$AW$30)))))</f>
        <v/>
      </c>
      <c r="V387" s="5">
        <f>SUMPRODUCT(('01_Data'!$B387:$AW387&lt;&gt;"")*(1/(1+EXP(-(T387-'03_Lap_b'!$B$30:$AW$30))))^2)</f>
        <v/>
      </c>
      <c r="W387" s="5">
        <f>MEDIAN(-6,T387+(C387-U387)/MAX(U387-V387,0.000000001),6)</f>
        <v/>
      </c>
      <c r="X387" s="5">
        <f>SUMPRODUCT(('01_Data'!$B387:$AW387&lt;&gt;"")*(1/(1+EXP(-(W387-'03_Lap_b'!$B$35:$AW$35)))))</f>
        <v/>
      </c>
      <c r="Y387" s="5">
        <f>SUMPRODUCT(('01_Data'!$B387:$AW387&lt;&gt;"")*(1/(1+EXP(-(W387-'03_Lap_b'!$B$35:$AW$35))))^2)</f>
        <v/>
      </c>
      <c r="Z387" s="5">
        <f>MEDIAN(-6,W387+(C387-X387)/MAX(X387-Y387,0.000000001),6)</f>
        <v/>
      </c>
      <c r="AA387" s="5">
        <f>SUMPRODUCT(('01_Data'!$B387:$AW387&lt;&gt;"")*(1/(1+EXP(-(Z387-'03_Lap_b'!$B$40:$AW$40)))))</f>
        <v/>
      </c>
      <c r="AB387" s="5">
        <f>SUMPRODUCT(('01_Data'!$B387:$AW387&lt;&gt;"")*(1/(1+EXP(-(Z387-'03_Lap_b'!$B$40:$AW$40))))^2)</f>
        <v/>
      </c>
      <c r="AC387" s="5">
        <f>MEDIAN(-6,Z387+(C387-AA387)/MAX(AA387-AB387,0.000000001),6)</f>
        <v/>
      </c>
    </row>
    <row r="388">
      <c r="A388" t="n">
        <v>387</v>
      </c>
      <c r="B388">
        <f>'01_Data'!A388</f>
        <v/>
      </c>
      <c r="C388">
        <f>SUM('01_Data'!$B388:$AW388)</f>
        <v/>
      </c>
      <c r="D388">
        <f>COUNT('01_Data'!$B388:$AW388)</f>
        <v/>
      </c>
      <c r="E388" s="5">
        <f>MEDIAN(-6,LN((C388+0.3)/(D388-C388+0.3)),6)</f>
        <v/>
      </c>
      <c r="F388" s="5">
        <f>SUMPRODUCT(('01_Data'!$B388:$AW388&lt;&gt;"")*(1/(1+EXP(-(E388-'03_Lap_b'!$B$5:$AW$5)))))</f>
        <v/>
      </c>
      <c r="G388" s="5">
        <f>SUMPRODUCT(('01_Data'!$B388:$AW388&lt;&gt;"")*(1/(1+EXP(-(E388-'03_Lap_b'!$B$5:$AW$5))))^2)</f>
        <v/>
      </c>
      <c r="H388" s="5">
        <f>MEDIAN(-6,E388+(C388-F388)/MAX(F388-G388,0.000000001),6)</f>
        <v/>
      </c>
      <c r="I388" s="5">
        <f>SUMPRODUCT(('01_Data'!$B388:$AW388&lt;&gt;"")*(1/(1+EXP(-(H388-'03_Lap_b'!$B$10:$AW$10)))))</f>
        <v/>
      </c>
      <c r="J388" s="5">
        <f>SUMPRODUCT(('01_Data'!$B388:$AW388&lt;&gt;"")*(1/(1+EXP(-(H388-'03_Lap_b'!$B$10:$AW$10))))^2)</f>
        <v/>
      </c>
      <c r="K388" s="5">
        <f>MEDIAN(-6,H388+(C388-I388)/MAX(I388-J388,0.000000001),6)</f>
        <v/>
      </c>
      <c r="L388" s="5">
        <f>SUMPRODUCT(('01_Data'!$B388:$AW388&lt;&gt;"")*(1/(1+EXP(-(K388-'03_Lap_b'!$B$15:$AW$15)))))</f>
        <v/>
      </c>
      <c r="M388" s="5">
        <f>SUMPRODUCT(('01_Data'!$B388:$AW388&lt;&gt;"")*(1/(1+EXP(-(K388-'03_Lap_b'!$B$15:$AW$15))))^2)</f>
        <v/>
      </c>
      <c r="N388" s="5">
        <f>MEDIAN(-6,K388+(C388-L388)/MAX(L388-M388,0.000000001),6)</f>
        <v/>
      </c>
      <c r="O388" s="5">
        <f>SUMPRODUCT(('01_Data'!$B388:$AW388&lt;&gt;"")*(1/(1+EXP(-(N388-'03_Lap_b'!$B$20:$AW$20)))))</f>
        <v/>
      </c>
      <c r="P388" s="5">
        <f>SUMPRODUCT(('01_Data'!$B388:$AW388&lt;&gt;"")*(1/(1+EXP(-(N388-'03_Lap_b'!$B$20:$AW$20))))^2)</f>
        <v/>
      </c>
      <c r="Q388" s="5">
        <f>MEDIAN(-6,N388+(C388-O388)/MAX(O388-P388,0.000000001),6)</f>
        <v/>
      </c>
      <c r="R388" s="5">
        <f>SUMPRODUCT(('01_Data'!$B388:$AW388&lt;&gt;"")*(1/(1+EXP(-(Q388-'03_Lap_b'!$B$25:$AW$25)))))</f>
        <v/>
      </c>
      <c r="S388" s="5">
        <f>SUMPRODUCT(('01_Data'!$B388:$AW388&lt;&gt;"")*(1/(1+EXP(-(Q388-'03_Lap_b'!$B$25:$AW$25))))^2)</f>
        <v/>
      </c>
      <c r="T388" s="5">
        <f>MEDIAN(-6,Q388+(C388-R388)/MAX(R388-S388,0.000000001),6)</f>
        <v/>
      </c>
      <c r="U388" s="5">
        <f>SUMPRODUCT(('01_Data'!$B388:$AW388&lt;&gt;"")*(1/(1+EXP(-(T388-'03_Lap_b'!$B$30:$AW$30)))))</f>
        <v/>
      </c>
      <c r="V388" s="5">
        <f>SUMPRODUCT(('01_Data'!$B388:$AW388&lt;&gt;"")*(1/(1+EXP(-(T388-'03_Lap_b'!$B$30:$AW$30))))^2)</f>
        <v/>
      </c>
      <c r="W388" s="5">
        <f>MEDIAN(-6,T388+(C388-U388)/MAX(U388-V388,0.000000001),6)</f>
        <v/>
      </c>
      <c r="X388" s="5">
        <f>SUMPRODUCT(('01_Data'!$B388:$AW388&lt;&gt;"")*(1/(1+EXP(-(W388-'03_Lap_b'!$B$35:$AW$35)))))</f>
        <v/>
      </c>
      <c r="Y388" s="5">
        <f>SUMPRODUCT(('01_Data'!$B388:$AW388&lt;&gt;"")*(1/(1+EXP(-(W388-'03_Lap_b'!$B$35:$AW$35))))^2)</f>
        <v/>
      </c>
      <c r="Z388" s="5">
        <f>MEDIAN(-6,W388+(C388-X388)/MAX(X388-Y388,0.000000001),6)</f>
        <v/>
      </c>
      <c r="AA388" s="5">
        <f>SUMPRODUCT(('01_Data'!$B388:$AW388&lt;&gt;"")*(1/(1+EXP(-(Z388-'03_Lap_b'!$B$40:$AW$40)))))</f>
        <v/>
      </c>
      <c r="AB388" s="5">
        <f>SUMPRODUCT(('01_Data'!$B388:$AW388&lt;&gt;"")*(1/(1+EXP(-(Z388-'03_Lap_b'!$B$40:$AW$40))))^2)</f>
        <v/>
      </c>
      <c r="AC388" s="5">
        <f>MEDIAN(-6,Z388+(C388-AA388)/MAX(AA388-AB388,0.000000001),6)</f>
        <v/>
      </c>
    </row>
    <row r="389">
      <c r="A389" t="n">
        <v>388</v>
      </c>
      <c r="B389">
        <f>'01_Data'!A389</f>
        <v/>
      </c>
      <c r="C389">
        <f>SUM('01_Data'!$B389:$AW389)</f>
        <v/>
      </c>
      <c r="D389">
        <f>COUNT('01_Data'!$B389:$AW389)</f>
        <v/>
      </c>
      <c r="E389" s="5">
        <f>MEDIAN(-6,LN((C389+0.3)/(D389-C389+0.3)),6)</f>
        <v/>
      </c>
      <c r="F389" s="5">
        <f>SUMPRODUCT(('01_Data'!$B389:$AW389&lt;&gt;"")*(1/(1+EXP(-(E389-'03_Lap_b'!$B$5:$AW$5)))))</f>
        <v/>
      </c>
      <c r="G389" s="5">
        <f>SUMPRODUCT(('01_Data'!$B389:$AW389&lt;&gt;"")*(1/(1+EXP(-(E389-'03_Lap_b'!$B$5:$AW$5))))^2)</f>
        <v/>
      </c>
      <c r="H389" s="5">
        <f>MEDIAN(-6,E389+(C389-F389)/MAX(F389-G389,0.000000001),6)</f>
        <v/>
      </c>
      <c r="I389" s="5">
        <f>SUMPRODUCT(('01_Data'!$B389:$AW389&lt;&gt;"")*(1/(1+EXP(-(H389-'03_Lap_b'!$B$10:$AW$10)))))</f>
        <v/>
      </c>
      <c r="J389" s="5">
        <f>SUMPRODUCT(('01_Data'!$B389:$AW389&lt;&gt;"")*(1/(1+EXP(-(H389-'03_Lap_b'!$B$10:$AW$10))))^2)</f>
        <v/>
      </c>
      <c r="K389" s="5">
        <f>MEDIAN(-6,H389+(C389-I389)/MAX(I389-J389,0.000000001),6)</f>
        <v/>
      </c>
      <c r="L389" s="5">
        <f>SUMPRODUCT(('01_Data'!$B389:$AW389&lt;&gt;"")*(1/(1+EXP(-(K389-'03_Lap_b'!$B$15:$AW$15)))))</f>
        <v/>
      </c>
      <c r="M389" s="5">
        <f>SUMPRODUCT(('01_Data'!$B389:$AW389&lt;&gt;"")*(1/(1+EXP(-(K389-'03_Lap_b'!$B$15:$AW$15))))^2)</f>
        <v/>
      </c>
      <c r="N389" s="5">
        <f>MEDIAN(-6,K389+(C389-L389)/MAX(L389-M389,0.000000001),6)</f>
        <v/>
      </c>
      <c r="O389" s="5">
        <f>SUMPRODUCT(('01_Data'!$B389:$AW389&lt;&gt;"")*(1/(1+EXP(-(N389-'03_Lap_b'!$B$20:$AW$20)))))</f>
        <v/>
      </c>
      <c r="P389" s="5">
        <f>SUMPRODUCT(('01_Data'!$B389:$AW389&lt;&gt;"")*(1/(1+EXP(-(N389-'03_Lap_b'!$B$20:$AW$20))))^2)</f>
        <v/>
      </c>
      <c r="Q389" s="5">
        <f>MEDIAN(-6,N389+(C389-O389)/MAX(O389-P389,0.000000001),6)</f>
        <v/>
      </c>
      <c r="R389" s="5">
        <f>SUMPRODUCT(('01_Data'!$B389:$AW389&lt;&gt;"")*(1/(1+EXP(-(Q389-'03_Lap_b'!$B$25:$AW$25)))))</f>
        <v/>
      </c>
      <c r="S389" s="5">
        <f>SUMPRODUCT(('01_Data'!$B389:$AW389&lt;&gt;"")*(1/(1+EXP(-(Q389-'03_Lap_b'!$B$25:$AW$25))))^2)</f>
        <v/>
      </c>
      <c r="T389" s="5">
        <f>MEDIAN(-6,Q389+(C389-R389)/MAX(R389-S389,0.000000001),6)</f>
        <v/>
      </c>
      <c r="U389" s="5">
        <f>SUMPRODUCT(('01_Data'!$B389:$AW389&lt;&gt;"")*(1/(1+EXP(-(T389-'03_Lap_b'!$B$30:$AW$30)))))</f>
        <v/>
      </c>
      <c r="V389" s="5">
        <f>SUMPRODUCT(('01_Data'!$B389:$AW389&lt;&gt;"")*(1/(1+EXP(-(T389-'03_Lap_b'!$B$30:$AW$30))))^2)</f>
        <v/>
      </c>
      <c r="W389" s="5">
        <f>MEDIAN(-6,T389+(C389-U389)/MAX(U389-V389,0.000000001),6)</f>
        <v/>
      </c>
      <c r="X389" s="5">
        <f>SUMPRODUCT(('01_Data'!$B389:$AW389&lt;&gt;"")*(1/(1+EXP(-(W389-'03_Lap_b'!$B$35:$AW$35)))))</f>
        <v/>
      </c>
      <c r="Y389" s="5">
        <f>SUMPRODUCT(('01_Data'!$B389:$AW389&lt;&gt;"")*(1/(1+EXP(-(W389-'03_Lap_b'!$B$35:$AW$35))))^2)</f>
        <v/>
      </c>
      <c r="Z389" s="5">
        <f>MEDIAN(-6,W389+(C389-X389)/MAX(X389-Y389,0.000000001),6)</f>
        <v/>
      </c>
      <c r="AA389" s="5">
        <f>SUMPRODUCT(('01_Data'!$B389:$AW389&lt;&gt;"")*(1/(1+EXP(-(Z389-'03_Lap_b'!$B$40:$AW$40)))))</f>
        <v/>
      </c>
      <c r="AB389" s="5">
        <f>SUMPRODUCT(('01_Data'!$B389:$AW389&lt;&gt;"")*(1/(1+EXP(-(Z389-'03_Lap_b'!$B$40:$AW$40))))^2)</f>
        <v/>
      </c>
      <c r="AC389" s="5">
        <f>MEDIAN(-6,Z389+(C389-AA389)/MAX(AA389-AB389,0.000000001),6)</f>
        <v/>
      </c>
    </row>
    <row r="390">
      <c r="A390" t="n">
        <v>389</v>
      </c>
      <c r="B390">
        <f>'01_Data'!A390</f>
        <v/>
      </c>
      <c r="C390">
        <f>SUM('01_Data'!$B390:$AW390)</f>
        <v/>
      </c>
      <c r="D390">
        <f>COUNT('01_Data'!$B390:$AW390)</f>
        <v/>
      </c>
      <c r="E390" s="5">
        <f>MEDIAN(-6,LN((C390+0.3)/(D390-C390+0.3)),6)</f>
        <v/>
      </c>
      <c r="F390" s="5">
        <f>SUMPRODUCT(('01_Data'!$B390:$AW390&lt;&gt;"")*(1/(1+EXP(-(E390-'03_Lap_b'!$B$5:$AW$5)))))</f>
        <v/>
      </c>
      <c r="G390" s="5">
        <f>SUMPRODUCT(('01_Data'!$B390:$AW390&lt;&gt;"")*(1/(1+EXP(-(E390-'03_Lap_b'!$B$5:$AW$5))))^2)</f>
        <v/>
      </c>
      <c r="H390" s="5">
        <f>MEDIAN(-6,E390+(C390-F390)/MAX(F390-G390,0.000000001),6)</f>
        <v/>
      </c>
      <c r="I390" s="5">
        <f>SUMPRODUCT(('01_Data'!$B390:$AW390&lt;&gt;"")*(1/(1+EXP(-(H390-'03_Lap_b'!$B$10:$AW$10)))))</f>
        <v/>
      </c>
      <c r="J390" s="5">
        <f>SUMPRODUCT(('01_Data'!$B390:$AW390&lt;&gt;"")*(1/(1+EXP(-(H390-'03_Lap_b'!$B$10:$AW$10))))^2)</f>
        <v/>
      </c>
      <c r="K390" s="5">
        <f>MEDIAN(-6,H390+(C390-I390)/MAX(I390-J390,0.000000001),6)</f>
        <v/>
      </c>
      <c r="L390" s="5">
        <f>SUMPRODUCT(('01_Data'!$B390:$AW390&lt;&gt;"")*(1/(1+EXP(-(K390-'03_Lap_b'!$B$15:$AW$15)))))</f>
        <v/>
      </c>
      <c r="M390" s="5">
        <f>SUMPRODUCT(('01_Data'!$B390:$AW390&lt;&gt;"")*(1/(1+EXP(-(K390-'03_Lap_b'!$B$15:$AW$15))))^2)</f>
        <v/>
      </c>
      <c r="N390" s="5">
        <f>MEDIAN(-6,K390+(C390-L390)/MAX(L390-M390,0.000000001),6)</f>
        <v/>
      </c>
      <c r="O390" s="5">
        <f>SUMPRODUCT(('01_Data'!$B390:$AW390&lt;&gt;"")*(1/(1+EXP(-(N390-'03_Lap_b'!$B$20:$AW$20)))))</f>
        <v/>
      </c>
      <c r="P390" s="5">
        <f>SUMPRODUCT(('01_Data'!$B390:$AW390&lt;&gt;"")*(1/(1+EXP(-(N390-'03_Lap_b'!$B$20:$AW$20))))^2)</f>
        <v/>
      </c>
      <c r="Q390" s="5">
        <f>MEDIAN(-6,N390+(C390-O390)/MAX(O390-P390,0.000000001),6)</f>
        <v/>
      </c>
      <c r="R390" s="5">
        <f>SUMPRODUCT(('01_Data'!$B390:$AW390&lt;&gt;"")*(1/(1+EXP(-(Q390-'03_Lap_b'!$B$25:$AW$25)))))</f>
        <v/>
      </c>
      <c r="S390" s="5">
        <f>SUMPRODUCT(('01_Data'!$B390:$AW390&lt;&gt;"")*(1/(1+EXP(-(Q390-'03_Lap_b'!$B$25:$AW$25))))^2)</f>
        <v/>
      </c>
      <c r="T390" s="5">
        <f>MEDIAN(-6,Q390+(C390-R390)/MAX(R390-S390,0.000000001),6)</f>
        <v/>
      </c>
      <c r="U390" s="5">
        <f>SUMPRODUCT(('01_Data'!$B390:$AW390&lt;&gt;"")*(1/(1+EXP(-(T390-'03_Lap_b'!$B$30:$AW$30)))))</f>
        <v/>
      </c>
      <c r="V390" s="5">
        <f>SUMPRODUCT(('01_Data'!$B390:$AW390&lt;&gt;"")*(1/(1+EXP(-(T390-'03_Lap_b'!$B$30:$AW$30))))^2)</f>
        <v/>
      </c>
      <c r="W390" s="5">
        <f>MEDIAN(-6,T390+(C390-U390)/MAX(U390-V390,0.000000001),6)</f>
        <v/>
      </c>
      <c r="X390" s="5">
        <f>SUMPRODUCT(('01_Data'!$B390:$AW390&lt;&gt;"")*(1/(1+EXP(-(W390-'03_Lap_b'!$B$35:$AW$35)))))</f>
        <v/>
      </c>
      <c r="Y390" s="5">
        <f>SUMPRODUCT(('01_Data'!$B390:$AW390&lt;&gt;"")*(1/(1+EXP(-(W390-'03_Lap_b'!$B$35:$AW$35))))^2)</f>
        <v/>
      </c>
      <c r="Z390" s="5">
        <f>MEDIAN(-6,W390+(C390-X390)/MAX(X390-Y390,0.000000001),6)</f>
        <v/>
      </c>
      <c r="AA390" s="5">
        <f>SUMPRODUCT(('01_Data'!$B390:$AW390&lt;&gt;"")*(1/(1+EXP(-(Z390-'03_Lap_b'!$B$40:$AW$40)))))</f>
        <v/>
      </c>
      <c r="AB390" s="5">
        <f>SUMPRODUCT(('01_Data'!$B390:$AW390&lt;&gt;"")*(1/(1+EXP(-(Z390-'03_Lap_b'!$B$40:$AW$40))))^2)</f>
        <v/>
      </c>
      <c r="AC390" s="5">
        <f>MEDIAN(-6,Z390+(C390-AA390)/MAX(AA390-AB390,0.000000001),6)</f>
        <v/>
      </c>
    </row>
    <row r="391">
      <c r="A391" t="n">
        <v>390</v>
      </c>
      <c r="B391">
        <f>'01_Data'!A391</f>
        <v/>
      </c>
      <c r="C391">
        <f>SUM('01_Data'!$B391:$AW391)</f>
        <v/>
      </c>
      <c r="D391">
        <f>COUNT('01_Data'!$B391:$AW391)</f>
        <v/>
      </c>
      <c r="E391" s="5">
        <f>MEDIAN(-6,LN((C391+0.3)/(D391-C391+0.3)),6)</f>
        <v/>
      </c>
      <c r="F391" s="5">
        <f>SUMPRODUCT(('01_Data'!$B391:$AW391&lt;&gt;"")*(1/(1+EXP(-(E391-'03_Lap_b'!$B$5:$AW$5)))))</f>
        <v/>
      </c>
      <c r="G391" s="5">
        <f>SUMPRODUCT(('01_Data'!$B391:$AW391&lt;&gt;"")*(1/(1+EXP(-(E391-'03_Lap_b'!$B$5:$AW$5))))^2)</f>
        <v/>
      </c>
      <c r="H391" s="5">
        <f>MEDIAN(-6,E391+(C391-F391)/MAX(F391-G391,0.000000001),6)</f>
        <v/>
      </c>
      <c r="I391" s="5">
        <f>SUMPRODUCT(('01_Data'!$B391:$AW391&lt;&gt;"")*(1/(1+EXP(-(H391-'03_Lap_b'!$B$10:$AW$10)))))</f>
        <v/>
      </c>
      <c r="J391" s="5">
        <f>SUMPRODUCT(('01_Data'!$B391:$AW391&lt;&gt;"")*(1/(1+EXP(-(H391-'03_Lap_b'!$B$10:$AW$10))))^2)</f>
        <v/>
      </c>
      <c r="K391" s="5">
        <f>MEDIAN(-6,H391+(C391-I391)/MAX(I391-J391,0.000000001),6)</f>
        <v/>
      </c>
      <c r="L391" s="5">
        <f>SUMPRODUCT(('01_Data'!$B391:$AW391&lt;&gt;"")*(1/(1+EXP(-(K391-'03_Lap_b'!$B$15:$AW$15)))))</f>
        <v/>
      </c>
      <c r="M391" s="5">
        <f>SUMPRODUCT(('01_Data'!$B391:$AW391&lt;&gt;"")*(1/(1+EXP(-(K391-'03_Lap_b'!$B$15:$AW$15))))^2)</f>
        <v/>
      </c>
      <c r="N391" s="5">
        <f>MEDIAN(-6,K391+(C391-L391)/MAX(L391-M391,0.000000001),6)</f>
        <v/>
      </c>
      <c r="O391" s="5">
        <f>SUMPRODUCT(('01_Data'!$B391:$AW391&lt;&gt;"")*(1/(1+EXP(-(N391-'03_Lap_b'!$B$20:$AW$20)))))</f>
        <v/>
      </c>
      <c r="P391" s="5">
        <f>SUMPRODUCT(('01_Data'!$B391:$AW391&lt;&gt;"")*(1/(1+EXP(-(N391-'03_Lap_b'!$B$20:$AW$20))))^2)</f>
        <v/>
      </c>
      <c r="Q391" s="5">
        <f>MEDIAN(-6,N391+(C391-O391)/MAX(O391-P391,0.000000001),6)</f>
        <v/>
      </c>
      <c r="R391" s="5">
        <f>SUMPRODUCT(('01_Data'!$B391:$AW391&lt;&gt;"")*(1/(1+EXP(-(Q391-'03_Lap_b'!$B$25:$AW$25)))))</f>
        <v/>
      </c>
      <c r="S391" s="5">
        <f>SUMPRODUCT(('01_Data'!$B391:$AW391&lt;&gt;"")*(1/(1+EXP(-(Q391-'03_Lap_b'!$B$25:$AW$25))))^2)</f>
        <v/>
      </c>
      <c r="T391" s="5">
        <f>MEDIAN(-6,Q391+(C391-R391)/MAX(R391-S391,0.000000001),6)</f>
        <v/>
      </c>
      <c r="U391" s="5">
        <f>SUMPRODUCT(('01_Data'!$B391:$AW391&lt;&gt;"")*(1/(1+EXP(-(T391-'03_Lap_b'!$B$30:$AW$30)))))</f>
        <v/>
      </c>
      <c r="V391" s="5">
        <f>SUMPRODUCT(('01_Data'!$B391:$AW391&lt;&gt;"")*(1/(1+EXP(-(T391-'03_Lap_b'!$B$30:$AW$30))))^2)</f>
        <v/>
      </c>
      <c r="W391" s="5">
        <f>MEDIAN(-6,T391+(C391-U391)/MAX(U391-V391,0.000000001),6)</f>
        <v/>
      </c>
      <c r="X391" s="5">
        <f>SUMPRODUCT(('01_Data'!$B391:$AW391&lt;&gt;"")*(1/(1+EXP(-(W391-'03_Lap_b'!$B$35:$AW$35)))))</f>
        <v/>
      </c>
      <c r="Y391" s="5">
        <f>SUMPRODUCT(('01_Data'!$B391:$AW391&lt;&gt;"")*(1/(1+EXP(-(W391-'03_Lap_b'!$B$35:$AW$35))))^2)</f>
        <v/>
      </c>
      <c r="Z391" s="5">
        <f>MEDIAN(-6,W391+(C391-X391)/MAX(X391-Y391,0.000000001),6)</f>
        <v/>
      </c>
      <c r="AA391" s="5">
        <f>SUMPRODUCT(('01_Data'!$B391:$AW391&lt;&gt;"")*(1/(1+EXP(-(Z391-'03_Lap_b'!$B$40:$AW$40)))))</f>
        <v/>
      </c>
      <c r="AB391" s="5">
        <f>SUMPRODUCT(('01_Data'!$B391:$AW391&lt;&gt;"")*(1/(1+EXP(-(Z391-'03_Lap_b'!$B$40:$AW$40))))^2)</f>
        <v/>
      </c>
      <c r="AC391" s="5">
        <f>MEDIAN(-6,Z391+(C391-AA391)/MAX(AA391-AB391,0.000000001),6)</f>
        <v/>
      </c>
    </row>
    <row r="392">
      <c r="A392" t="n">
        <v>391</v>
      </c>
      <c r="B392">
        <f>'01_Data'!A392</f>
        <v/>
      </c>
      <c r="C392">
        <f>SUM('01_Data'!$B392:$AW392)</f>
        <v/>
      </c>
      <c r="D392">
        <f>COUNT('01_Data'!$B392:$AW392)</f>
        <v/>
      </c>
      <c r="E392" s="5">
        <f>MEDIAN(-6,LN((C392+0.3)/(D392-C392+0.3)),6)</f>
        <v/>
      </c>
      <c r="F392" s="5">
        <f>SUMPRODUCT(('01_Data'!$B392:$AW392&lt;&gt;"")*(1/(1+EXP(-(E392-'03_Lap_b'!$B$5:$AW$5)))))</f>
        <v/>
      </c>
      <c r="G392" s="5">
        <f>SUMPRODUCT(('01_Data'!$B392:$AW392&lt;&gt;"")*(1/(1+EXP(-(E392-'03_Lap_b'!$B$5:$AW$5))))^2)</f>
        <v/>
      </c>
      <c r="H392" s="5">
        <f>MEDIAN(-6,E392+(C392-F392)/MAX(F392-G392,0.000000001),6)</f>
        <v/>
      </c>
      <c r="I392" s="5">
        <f>SUMPRODUCT(('01_Data'!$B392:$AW392&lt;&gt;"")*(1/(1+EXP(-(H392-'03_Lap_b'!$B$10:$AW$10)))))</f>
        <v/>
      </c>
      <c r="J392" s="5">
        <f>SUMPRODUCT(('01_Data'!$B392:$AW392&lt;&gt;"")*(1/(1+EXP(-(H392-'03_Lap_b'!$B$10:$AW$10))))^2)</f>
        <v/>
      </c>
      <c r="K392" s="5">
        <f>MEDIAN(-6,H392+(C392-I392)/MAX(I392-J392,0.000000001),6)</f>
        <v/>
      </c>
      <c r="L392" s="5">
        <f>SUMPRODUCT(('01_Data'!$B392:$AW392&lt;&gt;"")*(1/(1+EXP(-(K392-'03_Lap_b'!$B$15:$AW$15)))))</f>
        <v/>
      </c>
      <c r="M392" s="5">
        <f>SUMPRODUCT(('01_Data'!$B392:$AW392&lt;&gt;"")*(1/(1+EXP(-(K392-'03_Lap_b'!$B$15:$AW$15))))^2)</f>
        <v/>
      </c>
      <c r="N392" s="5">
        <f>MEDIAN(-6,K392+(C392-L392)/MAX(L392-M392,0.000000001),6)</f>
        <v/>
      </c>
      <c r="O392" s="5">
        <f>SUMPRODUCT(('01_Data'!$B392:$AW392&lt;&gt;"")*(1/(1+EXP(-(N392-'03_Lap_b'!$B$20:$AW$20)))))</f>
        <v/>
      </c>
      <c r="P392" s="5">
        <f>SUMPRODUCT(('01_Data'!$B392:$AW392&lt;&gt;"")*(1/(1+EXP(-(N392-'03_Lap_b'!$B$20:$AW$20))))^2)</f>
        <v/>
      </c>
      <c r="Q392" s="5">
        <f>MEDIAN(-6,N392+(C392-O392)/MAX(O392-P392,0.000000001),6)</f>
        <v/>
      </c>
      <c r="R392" s="5">
        <f>SUMPRODUCT(('01_Data'!$B392:$AW392&lt;&gt;"")*(1/(1+EXP(-(Q392-'03_Lap_b'!$B$25:$AW$25)))))</f>
        <v/>
      </c>
      <c r="S392" s="5">
        <f>SUMPRODUCT(('01_Data'!$B392:$AW392&lt;&gt;"")*(1/(1+EXP(-(Q392-'03_Lap_b'!$B$25:$AW$25))))^2)</f>
        <v/>
      </c>
      <c r="T392" s="5">
        <f>MEDIAN(-6,Q392+(C392-R392)/MAX(R392-S392,0.000000001),6)</f>
        <v/>
      </c>
      <c r="U392" s="5">
        <f>SUMPRODUCT(('01_Data'!$B392:$AW392&lt;&gt;"")*(1/(1+EXP(-(T392-'03_Lap_b'!$B$30:$AW$30)))))</f>
        <v/>
      </c>
      <c r="V392" s="5">
        <f>SUMPRODUCT(('01_Data'!$B392:$AW392&lt;&gt;"")*(1/(1+EXP(-(T392-'03_Lap_b'!$B$30:$AW$30))))^2)</f>
        <v/>
      </c>
      <c r="W392" s="5">
        <f>MEDIAN(-6,T392+(C392-U392)/MAX(U392-V392,0.000000001),6)</f>
        <v/>
      </c>
      <c r="X392" s="5">
        <f>SUMPRODUCT(('01_Data'!$B392:$AW392&lt;&gt;"")*(1/(1+EXP(-(W392-'03_Lap_b'!$B$35:$AW$35)))))</f>
        <v/>
      </c>
      <c r="Y392" s="5">
        <f>SUMPRODUCT(('01_Data'!$B392:$AW392&lt;&gt;"")*(1/(1+EXP(-(W392-'03_Lap_b'!$B$35:$AW$35))))^2)</f>
        <v/>
      </c>
      <c r="Z392" s="5">
        <f>MEDIAN(-6,W392+(C392-X392)/MAX(X392-Y392,0.000000001),6)</f>
        <v/>
      </c>
      <c r="AA392" s="5">
        <f>SUMPRODUCT(('01_Data'!$B392:$AW392&lt;&gt;"")*(1/(1+EXP(-(Z392-'03_Lap_b'!$B$40:$AW$40)))))</f>
        <v/>
      </c>
      <c r="AB392" s="5">
        <f>SUMPRODUCT(('01_Data'!$B392:$AW392&lt;&gt;"")*(1/(1+EXP(-(Z392-'03_Lap_b'!$B$40:$AW$40))))^2)</f>
        <v/>
      </c>
      <c r="AC392" s="5">
        <f>MEDIAN(-6,Z392+(C392-AA392)/MAX(AA392-AB392,0.000000001),6)</f>
        <v/>
      </c>
    </row>
    <row r="393">
      <c r="A393" t="n">
        <v>392</v>
      </c>
      <c r="B393">
        <f>'01_Data'!A393</f>
        <v/>
      </c>
      <c r="C393">
        <f>SUM('01_Data'!$B393:$AW393)</f>
        <v/>
      </c>
      <c r="D393">
        <f>COUNT('01_Data'!$B393:$AW393)</f>
        <v/>
      </c>
      <c r="E393" s="5">
        <f>MEDIAN(-6,LN((C393+0.3)/(D393-C393+0.3)),6)</f>
        <v/>
      </c>
      <c r="F393" s="5">
        <f>SUMPRODUCT(('01_Data'!$B393:$AW393&lt;&gt;"")*(1/(1+EXP(-(E393-'03_Lap_b'!$B$5:$AW$5)))))</f>
        <v/>
      </c>
      <c r="G393" s="5">
        <f>SUMPRODUCT(('01_Data'!$B393:$AW393&lt;&gt;"")*(1/(1+EXP(-(E393-'03_Lap_b'!$B$5:$AW$5))))^2)</f>
        <v/>
      </c>
      <c r="H393" s="5">
        <f>MEDIAN(-6,E393+(C393-F393)/MAX(F393-G393,0.000000001),6)</f>
        <v/>
      </c>
      <c r="I393" s="5">
        <f>SUMPRODUCT(('01_Data'!$B393:$AW393&lt;&gt;"")*(1/(1+EXP(-(H393-'03_Lap_b'!$B$10:$AW$10)))))</f>
        <v/>
      </c>
      <c r="J393" s="5">
        <f>SUMPRODUCT(('01_Data'!$B393:$AW393&lt;&gt;"")*(1/(1+EXP(-(H393-'03_Lap_b'!$B$10:$AW$10))))^2)</f>
        <v/>
      </c>
      <c r="K393" s="5">
        <f>MEDIAN(-6,H393+(C393-I393)/MAX(I393-J393,0.000000001),6)</f>
        <v/>
      </c>
      <c r="L393" s="5">
        <f>SUMPRODUCT(('01_Data'!$B393:$AW393&lt;&gt;"")*(1/(1+EXP(-(K393-'03_Lap_b'!$B$15:$AW$15)))))</f>
        <v/>
      </c>
      <c r="M393" s="5">
        <f>SUMPRODUCT(('01_Data'!$B393:$AW393&lt;&gt;"")*(1/(1+EXP(-(K393-'03_Lap_b'!$B$15:$AW$15))))^2)</f>
        <v/>
      </c>
      <c r="N393" s="5">
        <f>MEDIAN(-6,K393+(C393-L393)/MAX(L393-M393,0.000000001),6)</f>
        <v/>
      </c>
      <c r="O393" s="5">
        <f>SUMPRODUCT(('01_Data'!$B393:$AW393&lt;&gt;"")*(1/(1+EXP(-(N393-'03_Lap_b'!$B$20:$AW$20)))))</f>
        <v/>
      </c>
      <c r="P393" s="5">
        <f>SUMPRODUCT(('01_Data'!$B393:$AW393&lt;&gt;"")*(1/(1+EXP(-(N393-'03_Lap_b'!$B$20:$AW$20))))^2)</f>
        <v/>
      </c>
      <c r="Q393" s="5">
        <f>MEDIAN(-6,N393+(C393-O393)/MAX(O393-P393,0.000000001),6)</f>
        <v/>
      </c>
      <c r="R393" s="5">
        <f>SUMPRODUCT(('01_Data'!$B393:$AW393&lt;&gt;"")*(1/(1+EXP(-(Q393-'03_Lap_b'!$B$25:$AW$25)))))</f>
        <v/>
      </c>
      <c r="S393" s="5">
        <f>SUMPRODUCT(('01_Data'!$B393:$AW393&lt;&gt;"")*(1/(1+EXP(-(Q393-'03_Lap_b'!$B$25:$AW$25))))^2)</f>
        <v/>
      </c>
      <c r="T393" s="5">
        <f>MEDIAN(-6,Q393+(C393-R393)/MAX(R393-S393,0.000000001),6)</f>
        <v/>
      </c>
      <c r="U393" s="5">
        <f>SUMPRODUCT(('01_Data'!$B393:$AW393&lt;&gt;"")*(1/(1+EXP(-(T393-'03_Lap_b'!$B$30:$AW$30)))))</f>
        <v/>
      </c>
      <c r="V393" s="5">
        <f>SUMPRODUCT(('01_Data'!$B393:$AW393&lt;&gt;"")*(1/(1+EXP(-(T393-'03_Lap_b'!$B$30:$AW$30))))^2)</f>
        <v/>
      </c>
      <c r="W393" s="5">
        <f>MEDIAN(-6,T393+(C393-U393)/MAX(U393-V393,0.000000001),6)</f>
        <v/>
      </c>
      <c r="X393" s="5">
        <f>SUMPRODUCT(('01_Data'!$B393:$AW393&lt;&gt;"")*(1/(1+EXP(-(W393-'03_Lap_b'!$B$35:$AW$35)))))</f>
        <v/>
      </c>
      <c r="Y393" s="5">
        <f>SUMPRODUCT(('01_Data'!$B393:$AW393&lt;&gt;"")*(1/(1+EXP(-(W393-'03_Lap_b'!$B$35:$AW$35))))^2)</f>
        <v/>
      </c>
      <c r="Z393" s="5">
        <f>MEDIAN(-6,W393+(C393-X393)/MAX(X393-Y393,0.000000001),6)</f>
        <v/>
      </c>
      <c r="AA393" s="5">
        <f>SUMPRODUCT(('01_Data'!$B393:$AW393&lt;&gt;"")*(1/(1+EXP(-(Z393-'03_Lap_b'!$B$40:$AW$40)))))</f>
        <v/>
      </c>
      <c r="AB393" s="5">
        <f>SUMPRODUCT(('01_Data'!$B393:$AW393&lt;&gt;"")*(1/(1+EXP(-(Z393-'03_Lap_b'!$B$40:$AW$40))))^2)</f>
        <v/>
      </c>
      <c r="AC393" s="5">
        <f>MEDIAN(-6,Z393+(C393-AA393)/MAX(AA393-AB393,0.000000001),6)</f>
        <v/>
      </c>
    </row>
    <row r="394">
      <c r="A394" t="n">
        <v>393</v>
      </c>
      <c r="B394">
        <f>'01_Data'!A394</f>
        <v/>
      </c>
      <c r="C394">
        <f>SUM('01_Data'!$B394:$AW394)</f>
        <v/>
      </c>
      <c r="D394">
        <f>COUNT('01_Data'!$B394:$AW394)</f>
        <v/>
      </c>
      <c r="E394" s="5">
        <f>MEDIAN(-6,LN((C394+0.3)/(D394-C394+0.3)),6)</f>
        <v/>
      </c>
      <c r="F394" s="5">
        <f>SUMPRODUCT(('01_Data'!$B394:$AW394&lt;&gt;"")*(1/(1+EXP(-(E394-'03_Lap_b'!$B$5:$AW$5)))))</f>
        <v/>
      </c>
      <c r="G394" s="5">
        <f>SUMPRODUCT(('01_Data'!$B394:$AW394&lt;&gt;"")*(1/(1+EXP(-(E394-'03_Lap_b'!$B$5:$AW$5))))^2)</f>
        <v/>
      </c>
      <c r="H394" s="5">
        <f>MEDIAN(-6,E394+(C394-F394)/MAX(F394-G394,0.000000001),6)</f>
        <v/>
      </c>
      <c r="I394" s="5">
        <f>SUMPRODUCT(('01_Data'!$B394:$AW394&lt;&gt;"")*(1/(1+EXP(-(H394-'03_Lap_b'!$B$10:$AW$10)))))</f>
        <v/>
      </c>
      <c r="J394" s="5">
        <f>SUMPRODUCT(('01_Data'!$B394:$AW394&lt;&gt;"")*(1/(1+EXP(-(H394-'03_Lap_b'!$B$10:$AW$10))))^2)</f>
        <v/>
      </c>
      <c r="K394" s="5">
        <f>MEDIAN(-6,H394+(C394-I394)/MAX(I394-J394,0.000000001),6)</f>
        <v/>
      </c>
      <c r="L394" s="5">
        <f>SUMPRODUCT(('01_Data'!$B394:$AW394&lt;&gt;"")*(1/(1+EXP(-(K394-'03_Lap_b'!$B$15:$AW$15)))))</f>
        <v/>
      </c>
      <c r="M394" s="5">
        <f>SUMPRODUCT(('01_Data'!$B394:$AW394&lt;&gt;"")*(1/(1+EXP(-(K394-'03_Lap_b'!$B$15:$AW$15))))^2)</f>
        <v/>
      </c>
      <c r="N394" s="5">
        <f>MEDIAN(-6,K394+(C394-L394)/MAX(L394-M394,0.000000001),6)</f>
        <v/>
      </c>
      <c r="O394" s="5">
        <f>SUMPRODUCT(('01_Data'!$B394:$AW394&lt;&gt;"")*(1/(1+EXP(-(N394-'03_Lap_b'!$B$20:$AW$20)))))</f>
        <v/>
      </c>
      <c r="P394" s="5">
        <f>SUMPRODUCT(('01_Data'!$B394:$AW394&lt;&gt;"")*(1/(1+EXP(-(N394-'03_Lap_b'!$B$20:$AW$20))))^2)</f>
        <v/>
      </c>
      <c r="Q394" s="5">
        <f>MEDIAN(-6,N394+(C394-O394)/MAX(O394-P394,0.000000001),6)</f>
        <v/>
      </c>
      <c r="R394" s="5">
        <f>SUMPRODUCT(('01_Data'!$B394:$AW394&lt;&gt;"")*(1/(1+EXP(-(Q394-'03_Lap_b'!$B$25:$AW$25)))))</f>
        <v/>
      </c>
      <c r="S394" s="5">
        <f>SUMPRODUCT(('01_Data'!$B394:$AW394&lt;&gt;"")*(1/(1+EXP(-(Q394-'03_Lap_b'!$B$25:$AW$25))))^2)</f>
        <v/>
      </c>
      <c r="T394" s="5">
        <f>MEDIAN(-6,Q394+(C394-R394)/MAX(R394-S394,0.000000001),6)</f>
        <v/>
      </c>
      <c r="U394" s="5">
        <f>SUMPRODUCT(('01_Data'!$B394:$AW394&lt;&gt;"")*(1/(1+EXP(-(T394-'03_Lap_b'!$B$30:$AW$30)))))</f>
        <v/>
      </c>
      <c r="V394" s="5">
        <f>SUMPRODUCT(('01_Data'!$B394:$AW394&lt;&gt;"")*(1/(1+EXP(-(T394-'03_Lap_b'!$B$30:$AW$30))))^2)</f>
        <v/>
      </c>
      <c r="W394" s="5">
        <f>MEDIAN(-6,T394+(C394-U394)/MAX(U394-V394,0.000000001),6)</f>
        <v/>
      </c>
      <c r="X394" s="5">
        <f>SUMPRODUCT(('01_Data'!$B394:$AW394&lt;&gt;"")*(1/(1+EXP(-(W394-'03_Lap_b'!$B$35:$AW$35)))))</f>
        <v/>
      </c>
      <c r="Y394" s="5">
        <f>SUMPRODUCT(('01_Data'!$B394:$AW394&lt;&gt;"")*(1/(1+EXP(-(W394-'03_Lap_b'!$B$35:$AW$35))))^2)</f>
        <v/>
      </c>
      <c r="Z394" s="5">
        <f>MEDIAN(-6,W394+(C394-X394)/MAX(X394-Y394,0.000000001),6)</f>
        <v/>
      </c>
      <c r="AA394" s="5">
        <f>SUMPRODUCT(('01_Data'!$B394:$AW394&lt;&gt;"")*(1/(1+EXP(-(Z394-'03_Lap_b'!$B$40:$AW$40)))))</f>
        <v/>
      </c>
      <c r="AB394" s="5">
        <f>SUMPRODUCT(('01_Data'!$B394:$AW394&lt;&gt;"")*(1/(1+EXP(-(Z394-'03_Lap_b'!$B$40:$AW$40))))^2)</f>
        <v/>
      </c>
      <c r="AC394" s="5">
        <f>MEDIAN(-6,Z394+(C394-AA394)/MAX(AA394-AB394,0.000000001),6)</f>
        <v/>
      </c>
    </row>
    <row r="395">
      <c r="A395" t="n">
        <v>394</v>
      </c>
      <c r="B395">
        <f>'01_Data'!A395</f>
        <v/>
      </c>
      <c r="C395">
        <f>SUM('01_Data'!$B395:$AW395)</f>
        <v/>
      </c>
      <c r="D395">
        <f>COUNT('01_Data'!$B395:$AW395)</f>
        <v/>
      </c>
      <c r="E395" s="5">
        <f>MEDIAN(-6,LN((C395+0.3)/(D395-C395+0.3)),6)</f>
        <v/>
      </c>
      <c r="F395" s="5">
        <f>SUMPRODUCT(('01_Data'!$B395:$AW395&lt;&gt;"")*(1/(1+EXP(-(E395-'03_Lap_b'!$B$5:$AW$5)))))</f>
        <v/>
      </c>
      <c r="G395" s="5">
        <f>SUMPRODUCT(('01_Data'!$B395:$AW395&lt;&gt;"")*(1/(1+EXP(-(E395-'03_Lap_b'!$B$5:$AW$5))))^2)</f>
        <v/>
      </c>
      <c r="H395" s="5">
        <f>MEDIAN(-6,E395+(C395-F395)/MAX(F395-G395,0.000000001),6)</f>
        <v/>
      </c>
      <c r="I395" s="5">
        <f>SUMPRODUCT(('01_Data'!$B395:$AW395&lt;&gt;"")*(1/(1+EXP(-(H395-'03_Lap_b'!$B$10:$AW$10)))))</f>
        <v/>
      </c>
      <c r="J395" s="5">
        <f>SUMPRODUCT(('01_Data'!$B395:$AW395&lt;&gt;"")*(1/(1+EXP(-(H395-'03_Lap_b'!$B$10:$AW$10))))^2)</f>
        <v/>
      </c>
      <c r="K395" s="5">
        <f>MEDIAN(-6,H395+(C395-I395)/MAX(I395-J395,0.000000001),6)</f>
        <v/>
      </c>
      <c r="L395" s="5">
        <f>SUMPRODUCT(('01_Data'!$B395:$AW395&lt;&gt;"")*(1/(1+EXP(-(K395-'03_Lap_b'!$B$15:$AW$15)))))</f>
        <v/>
      </c>
      <c r="M395" s="5">
        <f>SUMPRODUCT(('01_Data'!$B395:$AW395&lt;&gt;"")*(1/(1+EXP(-(K395-'03_Lap_b'!$B$15:$AW$15))))^2)</f>
        <v/>
      </c>
      <c r="N395" s="5">
        <f>MEDIAN(-6,K395+(C395-L395)/MAX(L395-M395,0.000000001),6)</f>
        <v/>
      </c>
      <c r="O395" s="5">
        <f>SUMPRODUCT(('01_Data'!$B395:$AW395&lt;&gt;"")*(1/(1+EXP(-(N395-'03_Lap_b'!$B$20:$AW$20)))))</f>
        <v/>
      </c>
      <c r="P395" s="5">
        <f>SUMPRODUCT(('01_Data'!$B395:$AW395&lt;&gt;"")*(1/(1+EXP(-(N395-'03_Lap_b'!$B$20:$AW$20))))^2)</f>
        <v/>
      </c>
      <c r="Q395" s="5">
        <f>MEDIAN(-6,N395+(C395-O395)/MAX(O395-P395,0.000000001),6)</f>
        <v/>
      </c>
      <c r="R395" s="5">
        <f>SUMPRODUCT(('01_Data'!$B395:$AW395&lt;&gt;"")*(1/(1+EXP(-(Q395-'03_Lap_b'!$B$25:$AW$25)))))</f>
        <v/>
      </c>
      <c r="S395" s="5">
        <f>SUMPRODUCT(('01_Data'!$B395:$AW395&lt;&gt;"")*(1/(1+EXP(-(Q395-'03_Lap_b'!$B$25:$AW$25))))^2)</f>
        <v/>
      </c>
      <c r="T395" s="5">
        <f>MEDIAN(-6,Q395+(C395-R395)/MAX(R395-S395,0.000000001),6)</f>
        <v/>
      </c>
      <c r="U395" s="5">
        <f>SUMPRODUCT(('01_Data'!$B395:$AW395&lt;&gt;"")*(1/(1+EXP(-(T395-'03_Lap_b'!$B$30:$AW$30)))))</f>
        <v/>
      </c>
      <c r="V395" s="5">
        <f>SUMPRODUCT(('01_Data'!$B395:$AW395&lt;&gt;"")*(1/(1+EXP(-(T395-'03_Lap_b'!$B$30:$AW$30))))^2)</f>
        <v/>
      </c>
      <c r="W395" s="5">
        <f>MEDIAN(-6,T395+(C395-U395)/MAX(U395-V395,0.000000001),6)</f>
        <v/>
      </c>
      <c r="X395" s="5">
        <f>SUMPRODUCT(('01_Data'!$B395:$AW395&lt;&gt;"")*(1/(1+EXP(-(W395-'03_Lap_b'!$B$35:$AW$35)))))</f>
        <v/>
      </c>
      <c r="Y395" s="5">
        <f>SUMPRODUCT(('01_Data'!$B395:$AW395&lt;&gt;"")*(1/(1+EXP(-(W395-'03_Lap_b'!$B$35:$AW$35))))^2)</f>
        <v/>
      </c>
      <c r="Z395" s="5">
        <f>MEDIAN(-6,W395+(C395-X395)/MAX(X395-Y395,0.000000001),6)</f>
        <v/>
      </c>
      <c r="AA395" s="5">
        <f>SUMPRODUCT(('01_Data'!$B395:$AW395&lt;&gt;"")*(1/(1+EXP(-(Z395-'03_Lap_b'!$B$40:$AW$40)))))</f>
        <v/>
      </c>
      <c r="AB395" s="5">
        <f>SUMPRODUCT(('01_Data'!$B395:$AW395&lt;&gt;"")*(1/(1+EXP(-(Z395-'03_Lap_b'!$B$40:$AW$40))))^2)</f>
        <v/>
      </c>
      <c r="AC395" s="5">
        <f>MEDIAN(-6,Z395+(C395-AA395)/MAX(AA395-AB395,0.000000001),6)</f>
        <v/>
      </c>
    </row>
    <row r="396">
      <c r="A396" t="n">
        <v>395</v>
      </c>
      <c r="B396">
        <f>'01_Data'!A396</f>
        <v/>
      </c>
      <c r="C396">
        <f>SUM('01_Data'!$B396:$AW396)</f>
        <v/>
      </c>
      <c r="D396">
        <f>COUNT('01_Data'!$B396:$AW396)</f>
        <v/>
      </c>
      <c r="E396" s="5">
        <f>MEDIAN(-6,LN((C396+0.3)/(D396-C396+0.3)),6)</f>
        <v/>
      </c>
      <c r="F396" s="5">
        <f>SUMPRODUCT(('01_Data'!$B396:$AW396&lt;&gt;"")*(1/(1+EXP(-(E396-'03_Lap_b'!$B$5:$AW$5)))))</f>
        <v/>
      </c>
      <c r="G396" s="5">
        <f>SUMPRODUCT(('01_Data'!$B396:$AW396&lt;&gt;"")*(1/(1+EXP(-(E396-'03_Lap_b'!$B$5:$AW$5))))^2)</f>
        <v/>
      </c>
      <c r="H396" s="5">
        <f>MEDIAN(-6,E396+(C396-F396)/MAX(F396-G396,0.000000001),6)</f>
        <v/>
      </c>
      <c r="I396" s="5">
        <f>SUMPRODUCT(('01_Data'!$B396:$AW396&lt;&gt;"")*(1/(1+EXP(-(H396-'03_Lap_b'!$B$10:$AW$10)))))</f>
        <v/>
      </c>
      <c r="J396" s="5">
        <f>SUMPRODUCT(('01_Data'!$B396:$AW396&lt;&gt;"")*(1/(1+EXP(-(H396-'03_Lap_b'!$B$10:$AW$10))))^2)</f>
        <v/>
      </c>
      <c r="K396" s="5">
        <f>MEDIAN(-6,H396+(C396-I396)/MAX(I396-J396,0.000000001),6)</f>
        <v/>
      </c>
      <c r="L396" s="5">
        <f>SUMPRODUCT(('01_Data'!$B396:$AW396&lt;&gt;"")*(1/(1+EXP(-(K396-'03_Lap_b'!$B$15:$AW$15)))))</f>
        <v/>
      </c>
      <c r="M396" s="5">
        <f>SUMPRODUCT(('01_Data'!$B396:$AW396&lt;&gt;"")*(1/(1+EXP(-(K396-'03_Lap_b'!$B$15:$AW$15))))^2)</f>
        <v/>
      </c>
      <c r="N396" s="5">
        <f>MEDIAN(-6,K396+(C396-L396)/MAX(L396-M396,0.000000001),6)</f>
        <v/>
      </c>
      <c r="O396" s="5">
        <f>SUMPRODUCT(('01_Data'!$B396:$AW396&lt;&gt;"")*(1/(1+EXP(-(N396-'03_Lap_b'!$B$20:$AW$20)))))</f>
        <v/>
      </c>
      <c r="P396" s="5">
        <f>SUMPRODUCT(('01_Data'!$B396:$AW396&lt;&gt;"")*(1/(1+EXP(-(N396-'03_Lap_b'!$B$20:$AW$20))))^2)</f>
        <v/>
      </c>
      <c r="Q396" s="5">
        <f>MEDIAN(-6,N396+(C396-O396)/MAX(O396-P396,0.000000001),6)</f>
        <v/>
      </c>
      <c r="R396" s="5">
        <f>SUMPRODUCT(('01_Data'!$B396:$AW396&lt;&gt;"")*(1/(1+EXP(-(Q396-'03_Lap_b'!$B$25:$AW$25)))))</f>
        <v/>
      </c>
      <c r="S396" s="5">
        <f>SUMPRODUCT(('01_Data'!$B396:$AW396&lt;&gt;"")*(1/(1+EXP(-(Q396-'03_Lap_b'!$B$25:$AW$25))))^2)</f>
        <v/>
      </c>
      <c r="T396" s="5">
        <f>MEDIAN(-6,Q396+(C396-R396)/MAX(R396-S396,0.000000001),6)</f>
        <v/>
      </c>
      <c r="U396" s="5">
        <f>SUMPRODUCT(('01_Data'!$B396:$AW396&lt;&gt;"")*(1/(1+EXP(-(T396-'03_Lap_b'!$B$30:$AW$30)))))</f>
        <v/>
      </c>
      <c r="V396" s="5">
        <f>SUMPRODUCT(('01_Data'!$B396:$AW396&lt;&gt;"")*(1/(1+EXP(-(T396-'03_Lap_b'!$B$30:$AW$30))))^2)</f>
        <v/>
      </c>
      <c r="W396" s="5">
        <f>MEDIAN(-6,T396+(C396-U396)/MAX(U396-V396,0.000000001),6)</f>
        <v/>
      </c>
      <c r="X396" s="5">
        <f>SUMPRODUCT(('01_Data'!$B396:$AW396&lt;&gt;"")*(1/(1+EXP(-(W396-'03_Lap_b'!$B$35:$AW$35)))))</f>
        <v/>
      </c>
      <c r="Y396" s="5">
        <f>SUMPRODUCT(('01_Data'!$B396:$AW396&lt;&gt;"")*(1/(1+EXP(-(W396-'03_Lap_b'!$B$35:$AW$35))))^2)</f>
        <v/>
      </c>
      <c r="Z396" s="5">
        <f>MEDIAN(-6,W396+(C396-X396)/MAX(X396-Y396,0.000000001),6)</f>
        <v/>
      </c>
      <c r="AA396" s="5">
        <f>SUMPRODUCT(('01_Data'!$B396:$AW396&lt;&gt;"")*(1/(1+EXP(-(Z396-'03_Lap_b'!$B$40:$AW$40)))))</f>
        <v/>
      </c>
      <c r="AB396" s="5">
        <f>SUMPRODUCT(('01_Data'!$B396:$AW396&lt;&gt;"")*(1/(1+EXP(-(Z396-'03_Lap_b'!$B$40:$AW$40))))^2)</f>
        <v/>
      </c>
      <c r="AC396" s="5">
        <f>MEDIAN(-6,Z396+(C396-AA396)/MAX(AA396-AB396,0.000000001),6)</f>
        <v/>
      </c>
    </row>
    <row r="397">
      <c r="A397" t="n">
        <v>396</v>
      </c>
      <c r="B397">
        <f>'01_Data'!A397</f>
        <v/>
      </c>
      <c r="C397">
        <f>SUM('01_Data'!$B397:$AW397)</f>
        <v/>
      </c>
      <c r="D397">
        <f>COUNT('01_Data'!$B397:$AW397)</f>
        <v/>
      </c>
      <c r="E397" s="5">
        <f>MEDIAN(-6,LN((C397+0.3)/(D397-C397+0.3)),6)</f>
        <v/>
      </c>
      <c r="F397" s="5">
        <f>SUMPRODUCT(('01_Data'!$B397:$AW397&lt;&gt;"")*(1/(1+EXP(-(E397-'03_Lap_b'!$B$5:$AW$5)))))</f>
        <v/>
      </c>
      <c r="G397" s="5">
        <f>SUMPRODUCT(('01_Data'!$B397:$AW397&lt;&gt;"")*(1/(1+EXP(-(E397-'03_Lap_b'!$B$5:$AW$5))))^2)</f>
        <v/>
      </c>
      <c r="H397" s="5">
        <f>MEDIAN(-6,E397+(C397-F397)/MAX(F397-G397,0.000000001),6)</f>
        <v/>
      </c>
      <c r="I397" s="5">
        <f>SUMPRODUCT(('01_Data'!$B397:$AW397&lt;&gt;"")*(1/(1+EXP(-(H397-'03_Lap_b'!$B$10:$AW$10)))))</f>
        <v/>
      </c>
      <c r="J397" s="5">
        <f>SUMPRODUCT(('01_Data'!$B397:$AW397&lt;&gt;"")*(1/(1+EXP(-(H397-'03_Lap_b'!$B$10:$AW$10))))^2)</f>
        <v/>
      </c>
      <c r="K397" s="5">
        <f>MEDIAN(-6,H397+(C397-I397)/MAX(I397-J397,0.000000001),6)</f>
        <v/>
      </c>
      <c r="L397" s="5">
        <f>SUMPRODUCT(('01_Data'!$B397:$AW397&lt;&gt;"")*(1/(1+EXP(-(K397-'03_Lap_b'!$B$15:$AW$15)))))</f>
        <v/>
      </c>
      <c r="M397" s="5">
        <f>SUMPRODUCT(('01_Data'!$B397:$AW397&lt;&gt;"")*(1/(1+EXP(-(K397-'03_Lap_b'!$B$15:$AW$15))))^2)</f>
        <v/>
      </c>
      <c r="N397" s="5">
        <f>MEDIAN(-6,K397+(C397-L397)/MAX(L397-M397,0.000000001),6)</f>
        <v/>
      </c>
      <c r="O397" s="5">
        <f>SUMPRODUCT(('01_Data'!$B397:$AW397&lt;&gt;"")*(1/(1+EXP(-(N397-'03_Lap_b'!$B$20:$AW$20)))))</f>
        <v/>
      </c>
      <c r="P397" s="5">
        <f>SUMPRODUCT(('01_Data'!$B397:$AW397&lt;&gt;"")*(1/(1+EXP(-(N397-'03_Lap_b'!$B$20:$AW$20))))^2)</f>
        <v/>
      </c>
      <c r="Q397" s="5">
        <f>MEDIAN(-6,N397+(C397-O397)/MAX(O397-P397,0.000000001),6)</f>
        <v/>
      </c>
      <c r="R397" s="5">
        <f>SUMPRODUCT(('01_Data'!$B397:$AW397&lt;&gt;"")*(1/(1+EXP(-(Q397-'03_Lap_b'!$B$25:$AW$25)))))</f>
        <v/>
      </c>
      <c r="S397" s="5">
        <f>SUMPRODUCT(('01_Data'!$B397:$AW397&lt;&gt;"")*(1/(1+EXP(-(Q397-'03_Lap_b'!$B$25:$AW$25))))^2)</f>
        <v/>
      </c>
      <c r="T397" s="5">
        <f>MEDIAN(-6,Q397+(C397-R397)/MAX(R397-S397,0.000000001),6)</f>
        <v/>
      </c>
      <c r="U397" s="5">
        <f>SUMPRODUCT(('01_Data'!$B397:$AW397&lt;&gt;"")*(1/(1+EXP(-(T397-'03_Lap_b'!$B$30:$AW$30)))))</f>
        <v/>
      </c>
      <c r="V397" s="5">
        <f>SUMPRODUCT(('01_Data'!$B397:$AW397&lt;&gt;"")*(1/(1+EXP(-(T397-'03_Lap_b'!$B$30:$AW$30))))^2)</f>
        <v/>
      </c>
      <c r="W397" s="5">
        <f>MEDIAN(-6,T397+(C397-U397)/MAX(U397-V397,0.000000001),6)</f>
        <v/>
      </c>
      <c r="X397" s="5">
        <f>SUMPRODUCT(('01_Data'!$B397:$AW397&lt;&gt;"")*(1/(1+EXP(-(W397-'03_Lap_b'!$B$35:$AW$35)))))</f>
        <v/>
      </c>
      <c r="Y397" s="5">
        <f>SUMPRODUCT(('01_Data'!$B397:$AW397&lt;&gt;"")*(1/(1+EXP(-(W397-'03_Lap_b'!$B$35:$AW$35))))^2)</f>
        <v/>
      </c>
      <c r="Z397" s="5">
        <f>MEDIAN(-6,W397+(C397-X397)/MAX(X397-Y397,0.000000001),6)</f>
        <v/>
      </c>
      <c r="AA397" s="5">
        <f>SUMPRODUCT(('01_Data'!$B397:$AW397&lt;&gt;"")*(1/(1+EXP(-(Z397-'03_Lap_b'!$B$40:$AW$40)))))</f>
        <v/>
      </c>
      <c r="AB397" s="5">
        <f>SUMPRODUCT(('01_Data'!$B397:$AW397&lt;&gt;"")*(1/(1+EXP(-(Z397-'03_Lap_b'!$B$40:$AW$40))))^2)</f>
        <v/>
      </c>
      <c r="AC397" s="5">
        <f>MEDIAN(-6,Z397+(C397-AA397)/MAX(AA397-AB397,0.000000001),6)</f>
        <v/>
      </c>
    </row>
    <row r="398">
      <c r="A398" t="n">
        <v>397</v>
      </c>
      <c r="B398">
        <f>'01_Data'!A398</f>
        <v/>
      </c>
      <c r="C398">
        <f>SUM('01_Data'!$B398:$AW398)</f>
        <v/>
      </c>
      <c r="D398">
        <f>COUNT('01_Data'!$B398:$AW398)</f>
        <v/>
      </c>
      <c r="E398" s="5">
        <f>MEDIAN(-6,LN((C398+0.3)/(D398-C398+0.3)),6)</f>
        <v/>
      </c>
      <c r="F398" s="5">
        <f>SUMPRODUCT(('01_Data'!$B398:$AW398&lt;&gt;"")*(1/(1+EXP(-(E398-'03_Lap_b'!$B$5:$AW$5)))))</f>
        <v/>
      </c>
      <c r="G398" s="5">
        <f>SUMPRODUCT(('01_Data'!$B398:$AW398&lt;&gt;"")*(1/(1+EXP(-(E398-'03_Lap_b'!$B$5:$AW$5))))^2)</f>
        <v/>
      </c>
      <c r="H398" s="5">
        <f>MEDIAN(-6,E398+(C398-F398)/MAX(F398-G398,0.000000001),6)</f>
        <v/>
      </c>
      <c r="I398" s="5">
        <f>SUMPRODUCT(('01_Data'!$B398:$AW398&lt;&gt;"")*(1/(1+EXP(-(H398-'03_Lap_b'!$B$10:$AW$10)))))</f>
        <v/>
      </c>
      <c r="J398" s="5">
        <f>SUMPRODUCT(('01_Data'!$B398:$AW398&lt;&gt;"")*(1/(1+EXP(-(H398-'03_Lap_b'!$B$10:$AW$10))))^2)</f>
        <v/>
      </c>
      <c r="K398" s="5">
        <f>MEDIAN(-6,H398+(C398-I398)/MAX(I398-J398,0.000000001),6)</f>
        <v/>
      </c>
      <c r="L398" s="5">
        <f>SUMPRODUCT(('01_Data'!$B398:$AW398&lt;&gt;"")*(1/(1+EXP(-(K398-'03_Lap_b'!$B$15:$AW$15)))))</f>
        <v/>
      </c>
      <c r="M398" s="5">
        <f>SUMPRODUCT(('01_Data'!$B398:$AW398&lt;&gt;"")*(1/(1+EXP(-(K398-'03_Lap_b'!$B$15:$AW$15))))^2)</f>
        <v/>
      </c>
      <c r="N398" s="5">
        <f>MEDIAN(-6,K398+(C398-L398)/MAX(L398-M398,0.000000001),6)</f>
        <v/>
      </c>
      <c r="O398" s="5">
        <f>SUMPRODUCT(('01_Data'!$B398:$AW398&lt;&gt;"")*(1/(1+EXP(-(N398-'03_Lap_b'!$B$20:$AW$20)))))</f>
        <v/>
      </c>
      <c r="P398" s="5">
        <f>SUMPRODUCT(('01_Data'!$B398:$AW398&lt;&gt;"")*(1/(1+EXP(-(N398-'03_Lap_b'!$B$20:$AW$20))))^2)</f>
        <v/>
      </c>
      <c r="Q398" s="5">
        <f>MEDIAN(-6,N398+(C398-O398)/MAX(O398-P398,0.000000001),6)</f>
        <v/>
      </c>
      <c r="R398" s="5">
        <f>SUMPRODUCT(('01_Data'!$B398:$AW398&lt;&gt;"")*(1/(1+EXP(-(Q398-'03_Lap_b'!$B$25:$AW$25)))))</f>
        <v/>
      </c>
      <c r="S398" s="5">
        <f>SUMPRODUCT(('01_Data'!$B398:$AW398&lt;&gt;"")*(1/(1+EXP(-(Q398-'03_Lap_b'!$B$25:$AW$25))))^2)</f>
        <v/>
      </c>
      <c r="T398" s="5">
        <f>MEDIAN(-6,Q398+(C398-R398)/MAX(R398-S398,0.000000001),6)</f>
        <v/>
      </c>
      <c r="U398" s="5">
        <f>SUMPRODUCT(('01_Data'!$B398:$AW398&lt;&gt;"")*(1/(1+EXP(-(T398-'03_Lap_b'!$B$30:$AW$30)))))</f>
        <v/>
      </c>
      <c r="V398" s="5">
        <f>SUMPRODUCT(('01_Data'!$B398:$AW398&lt;&gt;"")*(1/(1+EXP(-(T398-'03_Lap_b'!$B$30:$AW$30))))^2)</f>
        <v/>
      </c>
      <c r="W398" s="5">
        <f>MEDIAN(-6,T398+(C398-U398)/MAX(U398-V398,0.000000001),6)</f>
        <v/>
      </c>
      <c r="X398" s="5">
        <f>SUMPRODUCT(('01_Data'!$B398:$AW398&lt;&gt;"")*(1/(1+EXP(-(W398-'03_Lap_b'!$B$35:$AW$35)))))</f>
        <v/>
      </c>
      <c r="Y398" s="5">
        <f>SUMPRODUCT(('01_Data'!$B398:$AW398&lt;&gt;"")*(1/(1+EXP(-(W398-'03_Lap_b'!$B$35:$AW$35))))^2)</f>
        <v/>
      </c>
      <c r="Z398" s="5">
        <f>MEDIAN(-6,W398+(C398-X398)/MAX(X398-Y398,0.000000001),6)</f>
        <v/>
      </c>
      <c r="AA398" s="5">
        <f>SUMPRODUCT(('01_Data'!$B398:$AW398&lt;&gt;"")*(1/(1+EXP(-(Z398-'03_Lap_b'!$B$40:$AW$40)))))</f>
        <v/>
      </c>
      <c r="AB398" s="5">
        <f>SUMPRODUCT(('01_Data'!$B398:$AW398&lt;&gt;"")*(1/(1+EXP(-(Z398-'03_Lap_b'!$B$40:$AW$40))))^2)</f>
        <v/>
      </c>
      <c r="AC398" s="5">
        <f>MEDIAN(-6,Z398+(C398-AA398)/MAX(AA398-AB398,0.000000001),6)</f>
        <v/>
      </c>
    </row>
    <row r="399">
      <c r="A399" t="n">
        <v>398</v>
      </c>
      <c r="B399">
        <f>'01_Data'!A399</f>
        <v/>
      </c>
      <c r="C399">
        <f>SUM('01_Data'!$B399:$AW399)</f>
        <v/>
      </c>
      <c r="D399">
        <f>COUNT('01_Data'!$B399:$AW399)</f>
        <v/>
      </c>
      <c r="E399" s="5">
        <f>MEDIAN(-6,LN((C399+0.3)/(D399-C399+0.3)),6)</f>
        <v/>
      </c>
      <c r="F399" s="5">
        <f>SUMPRODUCT(('01_Data'!$B399:$AW399&lt;&gt;"")*(1/(1+EXP(-(E399-'03_Lap_b'!$B$5:$AW$5)))))</f>
        <v/>
      </c>
      <c r="G399" s="5">
        <f>SUMPRODUCT(('01_Data'!$B399:$AW399&lt;&gt;"")*(1/(1+EXP(-(E399-'03_Lap_b'!$B$5:$AW$5))))^2)</f>
        <v/>
      </c>
      <c r="H399" s="5">
        <f>MEDIAN(-6,E399+(C399-F399)/MAX(F399-G399,0.000000001),6)</f>
        <v/>
      </c>
      <c r="I399" s="5">
        <f>SUMPRODUCT(('01_Data'!$B399:$AW399&lt;&gt;"")*(1/(1+EXP(-(H399-'03_Lap_b'!$B$10:$AW$10)))))</f>
        <v/>
      </c>
      <c r="J399" s="5">
        <f>SUMPRODUCT(('01_Data'!$B399:$AW399&lt;&gt;"")*(1/(1+EXP(-(H399-'03_Lap_b'!$B$10:$AW$10))))^2)</f>
        <v/>
      </c>
      <c r="K399" s="5">
        <f>MEDIAN(-6,H399+(C399-I399)/MAX(I399-J399,0.000000001),6)</f>
        <v/>
      </c>
      <c r="L399" s="5">
        <f>SUMPRODUCT(('01_Data'!$B399:$AW399&lt;&gt;"")*(1/(1+EXP(-(K399-'03_Lap_b'!$B$15:$AW$15)))))</f>
        <v/>
      </c>
      <c r="M399" s="5">
        <f>SUMPRODUCT(('01_Data'!$B399:$AW399&lt;&gt;"")*(1/(1+EXP(-(K399-'03_Lap_b'!$B$15:$AW$15))))^2)</f>
        <v/>
      </c>
      <c r="N399" s="5">
        <f>MEDIAN(-6,K399+(C399-L399)/MAX(L399-M399,0.000000001),6)</f>
        <v/>
      </c>
      <c r="O399" s="5">
        <f>SUMPRODUCT(('01_Data'!$B399:$AW399&lt;&gt;"")*(1/(1+EXP(-(N399-'03_Lap_b'!$B$20:$AW$20)))))</f>
        <v/>
      </c>
      <c r="P399" s="5">
        <f>SUMPRODUCT(('01_Data'!$B399:$AW399&lt;&gt;"")*(1/(1+EXP(-(N399-'03_Lap_b'!$B$20:$AW$20))))^2)</f>
        <v/>
      </c>
      <c r="Q399" s="5">
        <f>MEDIAN(-6,N399+(C399-O399)/MAX(O399-P399,0.000000001),6)</f>
        <v/>
      </c>
      <c r="R399" s="5">
        <f>SUMPRODUCT(('01_Data'!$B399:$AW399&lt;&gt;"")*(1/(1+EXP(-(Q399-'03_Lap_b'!$B$25:$AW$25)))))</f>
        <v/>
      </c>
      <c r="S399" s="5">
        <f>SUMPRODUCT(('01_Data'!$B399:$AW399&lt;&gt;"")*(1/(1+EXP(-(Q399-'03_Lap_b'!$B$25:$AW$25))))^2)</f>
        <v/>
      </c>
      <c r="T399" s="5">
        <f>MEDIAN(-6,Q399+(C399-R399)/MAX(R399-S399,0.000000001),6)</f>
        <v/>
      </c>
      <c r="U399" s="5">
        <f>SUMPRODUCT(('01_Data'!$B399:$AW399&lt;&gt;"")*(1/(1+EXP(-(T399-'03_Lap_b'!$B$30:$AW$30)))))</f>
        <v/>
      </c>
      <c r="V399" s="5">
        <f>SUMPRODUCT(('01_Data'!$B399:$AW399&lt;&gt;"")*(1/(1+EXP(-(T399-'03_Lap_b'!$B$30:$AW$30))))^2)</f>
        <v/>
      </c>
      <c r="W399" s="5">
        <f>MEDIAN(-6,T399+(C399-U399)/MAX(U399-V399,0.000000001),6)</f>
        <v/>
      </c>
      <c r="X399" s="5">
        <f>SUMPRODUCT(('01_Data'!$B399:$AW399&lt;&gt;"")*(1/(1+EXP(-(W399-'03_Lap_b'!$B$35:$AW$35)))))</f>
        <v/>
      </c>
      <c r="Y399" s="5">
        <f>SUMPRODUCT(('01_Data'!$B399:$AW399&lt;&gt;"")*(1/(1+EXP(-(W399-'03_Lap_b'!$B$35:$AW$35))))^2)</f>
        <v/>
      </c>
      <c r="Z399" s="5">
        <f>MEDIAN(-6,W399+(C399-X399)/MAX(X399-Y399,0.000000001),6)</f>
        <v/>
      </c>
      <c r="AA399" s="5">
        <f>SUMPRODUCT(('01_Data'!$B399:$AW399&lt;&gt;"")*(1/(1+EXP(-(Z399-'03_Lap_b'!$B$40:$AW$40)))))</f>
        <v/>
      </c>
      <c r="AB399" s="5">
        <f>SUMPRODUCT(('01_Data'!$B399:$AW399&lt;&gt;"")*(1/(1+EXP(-(Z399-'03_Lap_b'!$B$40:$AW$40))))^2)</f>
        <v/>
      </c>
      <c r="AC399" s="5">
        <f>MEDIAN(-6,Z399+(C399-AA399)/MAX(AA399-AB399,0.000000001),6)</f>
        <v/>
      </c>
    </row>
    <row r="400">
      <c r="A400" t="n">
        <v>399</v>
      </c>
      <c r="B400">
        <f>'01_Data'!A400</f>
        <v/>
      </c>
      <c r="C400">
        <f>SUM('01_Data'!$B400:$AW400)</f>
        <v/>
      </c>
      <c r="D400">
        <f>COUNT('01_Data'!$B400:$AW400)</f>
        <v/>
      </c>
      <c r="E400" s="5">
        <f>MEDIAN(-6,LN((C400+0.3)/(D400-C400+0.3)),6)</f>
        <v/>
      </c>
      <c r="F400" s="5">
        <f>SUMPRODUCT(('01_Data'!$B400:$AW400&lt;&gt;"")*(1/(1+EXP(-(E400-'03_Lap_b'!$B$5:$AW$5)))))</f>
        <v/>
      </c>
      <c r="G400" s="5">
        <f>SUMPRODUCT(('01_Data'!$B400:$AW400&lt;&gt;"")*(1/(1+EXP(-(E400-'03_Lap_b'!$B$5:$AW$5))))^2)</f>
        <v/>
      </c>
      <c r="H400" s="5">
        <f>MEDIAN(-6,E400+(C400-F400)/MAX(F400-G400,0.000000001),6)</f>
        <v/>
      </c>
      <c r="I400" s="5">
        <f>SUMPRODUCT(('01_Data'!$B400:$AW400&lt;&gt;"")*(1/(1+EXP(-(H400-'03_Lap_b'!$B$10:$AW$10)))))</f>
        <v/>
      </c>
      <c r="J400" s="5">
        <f>SUMPRODUCT(('01_Data'!$B400:$AW400&lt;&gt;"")*(1/(1+EXP(-(H400-'03_Lap_b'!$B$10:$AW$10))))^2)</f>
        <v/>
      </c>
      <c r="K400" s="5">
        <f>MEDIAN(-6,H400+(C400-I400)/MAX(I400-J400,0.000000001),6)</f>
        <v/>
      </c>
      <c r="L400" s="5">
        <f>SUMPRODUCT(('01_Data'!$B400:$AW400&lt;&gt;"")*(1/(1+EXP(-(K400-'03_Lap_b'!$B$15:$AW$15)))))</f>
        <v/>
      </c>
      <c r="M400" s="5">
        <f>SUMPRODUCT(('01_Data'!$B400:$AW400&lt;&gt;"")*(1/(1+EXP(-(K400-'03_Lap_b'!$B$15:$AW$15))))^2)</f>
        <v/>
      </c>
      <c r="N400" s="5">
        <f>MEDIAN(-6,K400+(C400-L400)/MAX(L400-M400,0.000000001),6)</f>
        <v/>
      </c>
      <c r="O400" s="5">
        <f>SUMPRODUCT(('01_Data'!$B400:$AW400&lt;&gt;"")*(1/(1+EXP(-(N400-'03_Lap_b'!$B$20:$AW$20)))))</f>
        <v/>
      </c>
      <c r="P400" s="5">
        <f>SUMPRODUCT(('01_Data'!$B400:$AW400&lt;&gt;"")*(1/(1+EXP(-(N400-'03_Lap_b'!$B$20:$AW$20))))^2)</f>
        <v/>
      </c>
      <c r="Q400" s="5">
        <f>MEDIAN(-6,N400+(C400-O400)/MAX(O400-P400,0.000000001),6)</f>
        <v/>
      </c>
      <c r="R400" s="5">
        <f>SUMPRODUCT(('01_Data'!$B400:$AW400&lt;&gt;"")*(1/(1+EXP(-(Q400-'03_Lap_b'!$B$25:$AW$25)))))</f>
        <v/>
      </c>
      <c r="S400" s="5">
        <f>SUMPRODUCT(('01_Data'!$B400:$AW400&lt;&gt;"")*(1/(1+EXP(-(Q400-'03_Lap_b'!$B$25:$AW$25))))^2)</f>
        <v/>
      </c>
      <c r="T400" s="5">
        <f>MEDIAN(-6,Q400+(C400-R400)/MAX(R400-S400,0.000000001),6)</f>
        <v/>
      </c>
      <c r="U400" s="5">
        <f>SUMPRODUCT(('01_Data'!$B400:$AW400&lt;&gt;"")*(1/(1+EXP(-(T400-'03_Lap_b'!$B$30:$AW$30)))))</f>
        <v/>
      </c>
      <c r="V400" s="5">
        <f>SUMPRODUCT(('01_Data'!$B400:$AW400&lt;&gt;"")*(1/(1+EXP(-(T400-'03_Lap_b'!$B$30:$AW$30))))^2)</f>
        <v/>
      </c>
      <c r="W400" s="5">
        <f>MEDIAN(-6,T400+(C400-U400)/MAX(U400-V400,0.000000001),6)</f>
        <v/>
      </c>
      <c r="X400" s="5">
        <f>SUMPRODUCT(('01_Data'!$B400:$AW400&lt;&gt;"")*(1/(1+EXP(-(W400-'03_Lap_b'!$B$35:$AW$35)))))</f>
        <v/>
      </c>
      <c r="Y400" s="5">
        <f>SUMPRODUCT(('01_Data'!$B400:$AW400&lt;&gt;"")*(1/(1+EXP(-(W400-'03_Lap_b'!$B$35:$AW$35))))^2)</f>
        <v/>
      </c>
      <c r="Z400" s="5">
        <f>MEDIAN(-6,W400+(C400-X400)/MAX(X400-Y400,0.000000001),6)</f>
        <v/>
      </c>
      <c r="AA400" s="5">
        <f>SUMPRODUCT(('01_Data'!$B400:$AW400&lt;&gt;"")*(1/(1+EXP(-(Z400-'03_Lap_b'!$B$40:$AW$40)))))</f>
        <v/>
      </c>
      <c r="AB400" s="5">
        <f>SUMPRODUCT(('01_Data'!$B400:$AW400&lt;&gt;"")*(1/(1+EXP(-(Z400-'03_Lap_b'!$B$40:$AW$40))))^2)</f>
        <v/>
      </c>
      <c r="AC400" s="5">
        <f>MEDIAN(-6,Z400+(C400-AA400)/MAX(AA400-AB400,0.000000001),6)</f>
        <v/>
      </c>
    </row>
    <row r="401">
      <c r="A401" t="n">
        <v>400</v>
      </c>
      <c r="B401">
        <f>'01_Data'!A401</f>
        <v/>
      </c>
      <c r="C401">
        <f>SUM('01_Data'!$B401:$AW401)</f>
        <v/>
      </c>
      <c r="D401">
        <f>COUNT('01_Data'!$B401:$AW401)</f>
        <v/>
      </c>
      <c r="E401" s="5">
        <f>MEDIAN(-6,LN((C401+0.3)/(D401-C401+0.3)),6)</f>
        <v/>
      </c>
      <c r="F401" s="5">
        <f>SUMPRODUCT(('01_Data'!$B401:$AW401&lt;&gt;"")*(1/(1+EXP(-(E401-'03_Lap_b'!$B$5:$AW$5)))))</f>
        <v/>
      </c>
      <c r="G401" s="5">
        <f>SUMPRODUCT(('01_Data'!$B401:$AW401&lt;&gt;"")*(1/(1+EXP(-(E401-'03_Lap_b'!$B$5:$AW$5))))^2)</f>
        <v/>
      </c>
      <c r="H401" s="5">
        <f>MEDIAN(-6,E401+(C401-F401)/MAX(F401-G401,0.000000001),6)</f>
        <v/>
      </c>
      <c r="I401" s="5">
        <f>SUMPRODUCT(('01_Data'!$B401:$AW401&lt;&gt;"")*(1/(1+EXP(-(H401-'03_Lap_b'!$B$10:$AW$10)))))</f>
        <v/>
      </c>
      <c r="J401" s="5">
        <f>SUMPRODUCT(('01_Data'!$B401:$AW401&lt;&gt;"")*(1/(1+EXP(-(H401-'03_Lap_b'!$B$10:$AW$10))))^2)</f>
        <v/>
      </c>
      <c r="K401" s="5">
        <f>MEDIAN(-6,H401+(C401-I401)/MAX(I401-J401,0.000000001),6)</f>
        <v/>
      </c>
      <c r="L401" s="5">
        <f>SUMPRODUCT(('01_Data'!$B401:$AW401&lt;&gt;"")*(1/(1+EXP(-(K401-'03_Lap_b'!$B$15:$AW$15)))))</f>
        <v/>
      </c>
      <c r="M401" s="5">
        <f>SUMPRODUCT(('01_Data'!$B401:$AW401&lt;&gt;"")*(1/(1+EXP(-(K401-'03_Lap_b'!$B$15:$AW$15))))^2)</f>
        <v/>
      </c>
      <c r="N401" s="5">
        <f>MEDIAN(-6,K401+(C401-L401)/MAX(L401-M401,0.000000001),6)</f>
        <v/>
      </c>
      <c r="O401" s="5">
        <f>SUMPRODUCT(('01_Data'!$B401:$AW401&lt;&gt;"")*(1/(1+EXP(-(N401-'03_Lap_b'!$B$20:$AW$20)))))</f>
        <v/>
      </c>
      <c r="P401" s="5">
        <f>SUMPRODUCT(('01_Data'!$B401:$AW401&lt;&gt;"")*(1/(1+EXP(-(N401-'03_Lap_b'!$B$20:$AW$20))))^2)</f>
        <v/>
      </c>
      <c r="Q401" s="5">
        <f>MEDIAN(-6,N401+(C401-O401)/MAX(O401-P401,0.000000001),6)</f>
        <v/>
      </c>
      <c r="R401" s="5">
        <f>SUMPRODUCT(('01_Data'!$B401:$AW401&lt;&gt;"")*(1/(1+EXP(-(Q401-'03_Lap_b'!$B$25:$AW$25)))))</f>
        <v/>
      </c>
      <c r="S401" s="5">
        <f>SUMPRODUCT(('01_Data'!$B401:$AW401&lt;&gt;"")*(1/(1+EXP(-(Q401-'03_Lap_b'!$B$25:$AW$25))))^2)</f>
        <v/>
      </c>
      <c r="T401" s="5">
        <f>MEDIAN(-6,Q401+(C401-R401)/MAX(R401-S401,0.000000001),6)</f>
        <v/>
      </c>
      <c r="U401" s="5">
        <f>SUMPRODUCT(('01_Data'!$B401:$AW401&lt;&gt;"")*(1/(1+EXP(-(T401-'03_Lap_b'!$B$30:$AW$30)))))</f>
        <v/>
      </c>
      <c r="V401" s="5">
        <f>SUMPRODUCT(('01_Data'!$B401:$AW401&lt;&gt;"")*(1/(1+EXP(-(T401-'03_Lap_b'!$B$30:$AW$30))))^2)</f>
        <v/>
      </c>
      <c r="W401" s="5">
        <f>MEDIAN(-6,T401+(C401-U401)/MAX(U401-V401,0.000000001),6)</f>
        <v/>
      </c>
      <c r="X401" s="5">
        <f>SUMPRODUCT(('01_Data'!$B401:$AW401&lt;&gt;"")*(1/(1+EXP(-(W401-'03_Lap_b'!$B$35:$AW$35)))))</f>
        <v/>
      </c>
      <c r="Y401" s="5">
        <f>SUMPRODUCT(('01_Data'!$B401:$AW401&lt;&gt;"")*(1/(1+EXP(-(W401-'03_Lap_b'!$B$35:$AW$35))))^2)</f>
        <v/>
      </c>
      <c r="Z401" s="5">
        <f>MEDIAN(-6,W401+(C401-X401)/MAX(X401-Y401,0.000000001),6)</f>
        <v/>
      </c>
      <c r="AA401" s="5">
        <f>SUMPRODUCT(('01_Data'!$B401:$AW401&lt;&gt;"")*(1/(1+EXP(-(Z401-'03_Lap_b'!$B$40:$AW$40)))))</f>
        <v/>
      </c>
      <c r="AB401" s="5">
        <f>SUMPRODUCT(('01_Data'!$B401:$AW401&lt;&gt;"")*(1/(1+EXP(-(Z401-'03_Lap_b'!$B$40:$AW$40))))^2)</f>
        <v/>
      </c>
      <c r="AC401" s="5">
        <f>MEDIAN(-6,Z401+(C401-AA401)/MAX(AA401-AB401,0.000000001),6)</f>
        <v/>
      </c>
    </row>
    <row r="402">
      <c r="A402" t="n">
        <v>401</v>
      </c>
      <c r="B402">
        <f>'01_Data'!A402</f>
        <v/>
      </c>
      <c r="C402">
        <f>SUM('01_Data'!$B402:$AW402)</f>
        <v/>
      </c>
      <c r="D402">
        <f>COUNT('01_Data'!$B402:$AW402)</f>
        <v/>
      </c>
      <c r="E402" s="5">
        <f>MEDIAN(-6,LN((C402+0.3)/(D402-C402+0.3)),6)</f>
        <v/>
      </c>
      <c r="F402" s="5">
        <f>SUMPRODUCT(('01_Data'!$B402:$AW402&lt;&gt;"")*(1/(1+EXP(-(E402-'03_Lap_b'!$B$5:$AW$5)))))</f>
        <v/>
      </c>
      <c r="G402" s="5">
        <f>SUMPRODUCT(('01_Data'!$B402:$AW402&lt;&gt;"")*(1/(1+EXP(-(E402-'03_Lap_b'!$B$5:$AW$5))))^2)</f>
        <v/>
      </c>
      <c r="H402" s="5">
        <f>MEDIAN(-6,E402+(C402-F402)/MAX(F402-G402,0.000000001),6)</f>
        <v/>
      </c>
      <c r="I402" s="5">
        <f>SUMPRODUCT(('01_Data'!$B402:$AW402&lt;&gt;"")*(1/(1+EXP(-(H402-'03_Lap_b'!$B$10:$AW$10)))))</f>
        <v/>
      </c>
      <c r="J402" s="5">
        <f>SUMPRODUCT(('01_Data'!$B402:$AW402&lt;&gt;"")*(1/(1+EXP(-(H402-'03_Lap_b'!$B$10:$AW$10))))^2)</f>
        <v/>
      </c>
      <c r="K402" s="5">
        <f>MEDIAN(-6,H402+(C402-I402)/MAX(I402-J402,0.000000001),6)</f>
        <v/>
      </c>
      <c r="L402" s="5">
        <f>SUMPRODUCT(('01_Data'!$B402:$AW402&lt;&gt;"")*(1/(1+EXP(-(K402-'03_Lap_b'!$B$15:$AW$15)))))</f>
        <v/>
      </c>
      <c r="M402" s="5">
        <f>SUMPRODUCT(('01_Data'!$B402:$AW402&lt;&gt;"")*(1/(1+EXP(-(K402-'03_Lap_b'!$B$15:$AW$15))))^2)</f>
        <v/>
      </c>
      <c r="N402" s="5">
        <f>MEDIAN(-6,K402+(C402-L402)/MAX(L402-M402,0.000000001),6)</f>
        <v/>
      </c>
      <c r="O402" s="5">
        <f>SUMPRODUCT(('01_Data'!$B402:$AW402&lt;&gt;"")*(1/(1+EXP(-(N402-'03_Lap_b'!$B$20:$AW$20)))))</f>
        <v/>
      </c>
      <c r="P402" s="5">
        <f>SUMPRODUCT(('01_Data'!$B402:$AW402&lt;&gt;"")*(1/(1+EXP(-(N402-'03_Lap_b'!$B$20:$AW$20))))^2)</f>
        <v/>
      </c>
      <c r="Q402" s="5">
        <f>MEDIAN(-6,N402+(C402-O402)/MAX(O402-P402,0.000000001),6)</f>
        <v/>
      </c>
      <c r="R402" s="5">
        <f>SUMPRODUCT(('01_Data'!$B402:$AW402&lt;&gt;"")*(1/(1+EXP(-(Q402-'03_Lap_b'!$B$25:$AW$25)))))</f>
        <v/>
      </c>
      <c r="S402" s="5">
        <f>SUMPRODUCT(('01_Data'!$B402:$AW402&lt;&gt;"")*(1/(1+EXP(-(Q402-'03_Lap_b'!$B$25:$AW$25))))^2)</f>
        <v/>
      </c>
      <c r="T402" s="5">
        <f>MEDIAN(-6,Q402+(C402-R402)/MAX(R402-S402,0.000000001),6)</f>
        <v/>
      </c>
      <c r="U402" s="5">
        <f>SUMPRODUCT(('01_Data'!$B402:$AW402&lt;&gt;"")*(1/(1+EXP(-(T402-'03_Lap_b'!$B$30:$AW$30)))))</f>
        <v/>
      </c>
      <c r="V402" s="5">
        <f>SUMPRODUCT(('01_Data'!$B402:$AW402&lt;&gt;"")*(1/(1+EXP(-(T402-'03_Lap_b'!$B$30:$AW$30))))^2)</f>
        <v/>
      </c>
      <c r="W402" s="5">
        <f>MEDIAN(-6,T402+(C402-U402)/MAX(U402-V402,0.000000001),6)</f>
        <v/>
      </c>
      <c r="X402" s="5">
        <f>SUMPRODUCT(('01_Data'!$B402:$AW402&lt;&gt;"")*(1/(1+EXP(-(W402-'03_Lap_b'!$B$35:$AW$35)))))</f>
        <v/>
      </c>
      <c r="Y402" s="5">
        <f>SUMPRODUCT(('01_Data'!$B402:$AW402&lt;&gt;"")*(1/(1+EXP(-(W402-'03_Lap_b'!$B$35:$AW$35))))^2)</f>
        <v/>
      </c>
      <c r="Z402" s="5">
        <f>MEDIAN(-6,W402+(C402-X402)/MAX(X402-Y402,0.000000001),6)</f>
        <v/>
      </c>
      <c r="AA402" s="5">
        <f>SUMPRODUCT(('01_Data'!$B402:$AW402&lt;&gt;"")*(1/(1+EXP(-(Z402-'03_Lap_b'!$B$40:$AW$40)))))</f>
        <v/>
      </c>
      <c r="AB402" s="5">
        <f>SUMPRODUCT(('01_Data'!$B402:$AW402&lt;&gt;"")*(1/(1+EXP(-(Z402-'03_Lap_b'!$B$40:$AW$40))))^2)</f>
        <v/>
      </c>
      <c r="AC402" s="5">
        <f>MEDIAN(-6,Z402+(C402-AA402)/MAX(AA402-AB402,0.000000001),6)</f>
        <v/>
      </c>
    </row>
    <row r="403">
      <c r="A403" t="n">
        <v>402</v>
      </c>
      <c r="B403">
        <f>'01_Data'!A403</f>
        <v/>
      </c>
      <c r="C403">
        <f>SUM('01_Data'!$B403:$AW403)</f>
        <v/>
      </c>
      <c r="D403">
        <f>COUNT('01_Data'!$B403:$AW403)</f>
        <v/>
      </c>
      <c r="E403" s="5">
        <f>MEDIAN(-6,LN((C403+0.3)/(D403-C403+0.3)),6)</f>
        <v/>
      </c>
      <c r="F403" s="5">
        <f>SUMPRODUCT(('01_Data'!$B403:$AW403&lt;&gt;"")*(1/(1+EXP(-(E403-'03_Lap_b'!$B$5:$AW$5)))))</f>
        <v/>
      </c>
      <c r="G403" s="5">
        <f>SUMPRODUCT(('01_Data'!$B403:$AW403&lt;&gt;"")*(1/(1+EXP(-(E403-'03_Lap_b'!$B$5:$AW$5))))^2)</f>
        <v/>
      </c>
      <c r="H403" s="5">
        <f>MEDIAN(-6,E403+(C403-F403)/MAX(F403-G403,0.000000001),6)</f>
        <v/>
      </c>
      <c r="I403" s="5">
        <f>SUMPRODUCT(('01_Data'!$B403:$AW403&lt;&gt;"")*(1/(1+EXP(-(H403-'03_Lap_b'!$B$10:$AW$10)))))</f>
        <v/>
      </c>
      <c r="J403" s="5">
        <f>SUMPRODUCT(('01_Data'!$B403:$AW403&lt;&gt;"")*(1/(1+EXP(-(H403-'03_Lap_b'!$B$10:$AW$10))))^2)</f>
        <v/>
      </c>
      <c r="K403" s="5">
        <f>MEDIAN(-6,H403+(C403-I403)/MAX(I403-J403,0.000000001),6)</f>
        <v/>
      </c>
      <c r="L403" s="5">
        <f>SUMPRODUCT(('01_Data'!$B403:$AW403&lt;&gt;"")*(1/(1+EXP(-(K403-'03_Lap_b'!$B$15:$AW$15)))))</f>
        <v/>
      </c>
      <c r="M403" s="5">
        <f>SUMPRODUCT(('01_Data'!$B403:$AW403&lt;&gt;"")*(1/(1+EXP(-(K403-'03_Lap_b'!$B$15:$AW$15))))^2)</f>
        <v/>
      </c>
      <c r="N403" s="5">
        <f>MEDIAN(-6,K403+(C403-L403)/MAX(L403-M403,0.000000001),6)</f>
        <v/>
      </c>
      <c r="O403" s="5">
        <f>SUMPRODUCT(('01_Data'!$B403:$AW403&lt;&gt;"")*(1/(1+EXP(-(N403-'03_Lap_b'!$B$20:$AW$20)))))</f>
        <v/>
      </c>
      <c r="P403" s="5">
        <f>SUMPRODUCT(('01_Data'!$B403:$AW403&lt;&gt;"")*(1/(1+EXP(-(N403-'03_Lap_b'!$B$20:$AW$20))))^2)</f>
        <v/>
      </c>
      <c r="Q403" s="5">
        <f>MEDIAN(-6,N403+(C403-O403)/MAX(O403-P403,0.000000001),6)</f>
        <v/>
      </c>
      <c r="R403" s="5">
        <f>SUMPRODUCT(('01_Data'!$B403:$AW403&lt;&gt;"")*(1/(1+EXP(-(Q403-'03_Lap_b'!$B$25:$AW$25)))))</f>
        <v/>
      </c>
      <c r="S403" s="5">
        <f>SUMPRODUCT(('01_Data'!$B403:$AW403&lt;&gt;"")*(1/(1+EXP(-(Q403-'03_Lap_b'!$B$25:$AW$25))))^2)</f>
        <v/>
      </c>
      <c r="T403" s="5">
        <f>MEDIAN(-6,Q403+(C403-R403)/MAX(R403-S403,0.000000001),6)</f>
        <v/>
      </c>
      <c r="U403" s="5">
        <f>SUMPRODUCT(('01_Data'!$B403:$AW403&lt;&gt;"")*(1/(1+EXP(-(T403-'03_Lap_b'!$B$30:$AW$30)))))</f>
        <v/>
      </c>
      <c r="V403" s="5">
        <f>SUMPRODUCT(('01_Data'!$B403:$AW403&lt;&gt;"")*(1/(1+EXP(-(T403-'03_Lap_b'!$B$30:$AW$30))))^2)</f>
        <v/>
      </c>
      <c r="W403" s="5">
        <f>MEDIAN(-6,T403+(C403-U403)/MAX(U403-V403,0.000000001),6)</f>
        <v/>
      </c>
      <c r="X403" s="5">
        <f>SUMPRODUCT(('01_Data'!$B403:$AW403&lt;&gt;"")*(1/(1+EXP(-(W403-'03_Lap_b'!$B$35:$AW$35)))))</f>
        <v/>
      </c>
      <c r="Y403" s="5">
        <f>SUMPRODUCT(('01_Data'!$B403:$AW403&lt;&gt;"")*(1/(1+EXP(-(W403-'03_Lap_b'!$B$35:$AW$35))))^2)</f>
        <v/>
      </c>
      <c r="Z403" s="5">
        <f>MEDIAN(-6,W403+(C403-X403)/MAX(X403-Y403,0.000000001),6)</f>
        <v/>
      </c>
      <c r="AA403" s="5">
        <f>SUMPRODUCT(('01_Data'!$B403:$AW403&lt;&gt;"")*(1/(1+EXP(-(Z403-'03_Lap_b'!$B$40:$AW$40)))))</f>
        <v/>
      </c>
      <c r="AB403" s="5">
        <f>SUMPRODUCT(('01_Data'!$B403:$AW403&lt;&gt;"")*(1/(1+EXP(-(Z403-'03_Lap_b'!$B$40:$AW$40))))^2)</f>
        <v/>
      </c>
      <c r="AC403" s="5">
        <f>MEDIAN(-6,Z403+(C403-AA403)/MAX(AA403-AB403,0.000000001),6)</f>
        <v/>
      </c>
    </row>
    <row r="404">
      <c r="A404" t="n">
        <v>403</v>
      </c>
      <c r="B404">
        <f>'01_Data'!A404</f>
        <v/>
      </c>
      <c r="C404">
        <f>SUM('01_Data'!$B404:$AW404)</f>
        <v/>
      </c>
      <c r="D404">
        <f>COUNT('01_Data'!$B404:$AW404)</f>
        <v/>
      </c>
      <c r="E404" s="5">
        <f>MEDIAN(-6,LN((C404+0.3)/(D404-C404+0.3)),6)</f>
        <v/>
      </c>
      <c r="F404" s="5">
        <f>SUMPRODUCT(('01_Data'!$B404:$AW404&lt;&gt;"")*(1/(1+EXP(-(E404-'03_Lap_b'!$B$5:$AW$5)))))</f>
        <v/>
      </c>
      <c r="G404" s="5">
        <f>SUMPRODUCT(('01_Data'!$B404:$AW404&lt;&gt;"")*(1/(1+EXP(-(E404-'03_Lap_b'!$B$5:$AW$5))))^2)</f>
        <v/>
      </c>
      <c r="H404" s="5">
        <f>MEDIAN(-6,E404+(C404-F404)/MAX(F404-G404,0.000000001),6)</f>
        <v/>
      </c>
      <c r="I404" s="5">
        <f>SUMPRODUCT(('01_Data'!$B404:$AW404&lt;&gt;"")*(1/(1+EXP(-(H404-'03_Lap_b'!$B$10:$AW$10)))))</f>
        <v/>
      </c>
      <c r="J404" s="5">
        <f>SUMPRODUCT(('01_Data'!$B404:$AW404&lt;&gt;"")*(1/(1+EXP(-(H404-'03_Lap_b'!$B$10:$AW$10))))^2)</f>
        <v/>
      </c>
      <c r="K404" s="5">
        <f>MEDIAN(-6,H404+(C404-I404)/MAX(I404-J404,0.000000001),6)</f>
        <v/>
      </c>
      <c r="L404" s="5">
        <f>SUMPRODUCT(('01_Data'!$B404:$AW404&lt;&gt;"")*(1/(1+EXP(-(K404-'03_Lap_b'!$B$15:$AW$15)))))</f>
        <v/>
      </c>
      <c r="M404" s="5">
        <f>SUMPRODUCT(('01_Data'!$B404:$AW404&lt;&gt;"")*(1/(1+EXP(-(K404-'03_Lap_b'!$B$15:$AW$15))))^2)</f>
        <v/>
      </c>
      <c r="N404" s="5">
        <f>MEDIAN(-6,K404+(C404-L404)/MAX(L404-M404,0.000000001),6)</f>
        <v/>
      </c>
      <c r="O404" s="5">
        <f>SUMPRODUCT(('01_Data'!$B404:$AW404&lt;&gt;"")*(1/(1+EXP(-(N404-'03_Lap_b'!$B$20:$AW$20)))))</f>
        <v/>
      </c>
      <c r="P404" s="5">
        <f>SUMPRODUCT(('01_Data'!$B404:$AW404&lt;&gt;"")*(1/(1+EXP(-(N404-'03_Lap_b'!$B$20:$AW$20))))^2)</f>
        <v/>
      </c>
      <c r="Q404" s="5">
        <f>MEDIAN(-6,N404+(C404-O404)/MAX(O404-P404,0.000000001),6)</f>
        <v/>
      </c>
      <c r="R404" s="5">
        <f>SUMPRODUCT(('01_Data'!$B404:$AW404&lt;&gt;"")*(1/(1+EXP(-(Q404-'03_Lap_b'!$B$25:$AW$25)))))</f>
        <v/>
      </c>
      <c r="S404" s="5">
        <f>SUMPRODUCT(('01_Data'!$B404:$AW404&lt;&gt;"")*(1/(1+EXP(-(Q404-'03_Lap_b'!$B$25:$AW$25))))^2)</f>
        <v/>
      </c>
      <c r="T404" s="5">
        <f>MEDIAN(-6,Q404+(C404-R404)/MAX(R404-S404,0.000000001),6)</f>
        <v/>
      </c>
      <c r="U404" s="5">
        <f>SUMPRODUCT(('01_Data'!$B404:$AW404&lt;&gt;"")*(1/(1+EXP(-(T404-'03_Lap_b'!$B$30:$AW$30)))))</f>
        <v/>
      </c>
      <c r="V404" s="5">
        <f>SUMPRODUCT(('01_Data'!$B404:$AW404&lt;&gt;"")*(1/(1+EXP(-(T404-'03_Lap_b'!$B$30:$AW$30))))^2)</f>
        <v/>
      </c>
      <c r="W404" s="5">
        <f>MEDIAN(-6,T404+(C404-U404)/MAX(U404-V404,0.000000001),6)</f>
        <v/>
      </c>
      <c r="X404" s="5">
        <f>SUMPRODUCT(('01_Data'!$B404:$AW404&lt;&gt;"")*(1/(1+EXP(-(W404-'03_Lap_b'!$B$35:$AW$35)))))</f>
        <v/>
      </c>
      <c r="Y404" s="5">
        <f>SUMPRODUCT(('01_Data'!$B404:$AW404&lt;&gt;"")*(1/(1+EXP(-(W404-'03_Lap_b'!$B$35:$AW$35))))^2)</f>
        <v/>
      </c>
      <c r="Z404" s="5">
        <f>MEDIAN(-6,W404+(C404-X404)/MAX(X404-Y404,0.000000001),6)</f>
        <v/>
      </c>
      <c r="AA404" s="5">
        <f>SUMPRODUCT(('01_Data'!$B404:$AW404&lt;&gt;"")*(1/(1+EXP(-(Z404-'03_Lap_b'!$B$40:$AW$40)))))</f>
        <v/>
      </c>
      <c r="AB404" s="5">
        <f>SUMPRODUCT(('01_Data'!$B404:$AW404&lt;&gt;"")*(1/(1+EXP(-(Z404-'03_Lap_b'!$B$40:$AW$40))))^2)</f>
        <v/>
      </c>
      <c r="AC404" s="5">
        <f>MEDIAN(-6,Z404+(C404-AA404)/MAX(AA404-AB404,0.000000001),6)</f>
        <v/>
      </c>
    </row>
    <row r="405">
      <c r="A405" t="n">
        <v>404</v>
      </c>
      <c r="B405">
        <f>'01_Data'!A405</f>
        <v/>
      </c>
      <c r="C405">
        <f>SUM('01_Data'!$B405:$AW405)</f>
        <v/>
      </c>
      <c r="D405">
        <f>COUNT('01_Data'!$B405:$AW405)</f>
        <v/>
      </c>
      <c r="E405" s="5">
        <f>MEDIAN(-6,LN((C405+0.3)/(D405-C405+0.3)),6)</f>
        <v/>
      </c>
      <c r="F405" s="5">
        <f>SUMPRODUCT(('01_Data'!$B405:$AW405&lt;&gt;"")*(1/(1+EXP(-(E405-'03_Lap_b'!$B$5:$AW$5)))))</f>
        <v/>
      </c>
      <c r="G405" s="5">
        <f>SUMPRODUCT(('01_Data'!$B405:$AW405&lt;&gt;"")*(1/(1+EXP(-(E405-'03_Lap_b'!$B$5:$AW$5))))^2)</f>
        <v/>
      </c>
      <c r="H405" s="5">
        <f>MEDIAN(-6,E405+(C405-F405)/MAX(F405-G405,0.000000001),6)</f>
        <v/>
      </c>
      <c r="I405" s="5">
        <f>SUMPRODUCT(('01_Data'!$B405:$AW405&lt;&gt;"")*(1/(1+EXP(-(H405-'03_Lap_b'!$B$10:$AW$10)))))</f>
        <v/>
      </c>
      <c r="J405" s="5">
        <f>SUMPRODUCT(('01_Data'!$B405:$AW405&lt;&gt;"")*(1/(1+EXP(-(H405-'03_Lap_b'!$B$10:$AW$10))))^2)</f>
        <v/>
      </c>
      <c r="K405" s="5">
        <f>MEDIAN(-6,H405+(C405-I405)/MAX(I405-J405,0.000000001),6)</f>
        <v/>
      </c>
      <c r="L405" s="5">
        <f>SUMPRODUCT(('01_Data'!$B405:$AW405&lt;&gt;"")*(1/(1+EXP(-(K405-'03_Lap_b'!$B$15:$AW$15)))))</f>
        <v/>
      </c>
      <c r="M405" s="5">
        <f>SUMPRODUCT(('01_Data'!$B405:$AW405&lt;&gt;"")*(1/(1+EXP(-(K405-'03_Lap_b'!$B$15:$AW$15))))^2)</f>
        <v/>
      </c>
      <c r="N405" s="5">
        <f>MEDIAN(-6,K405+(C405-L405)/MAX(L405-M405,0.000000001),6)</f>
        <v/>
      </c>
      <c r="O405" s="5">
        <f>SUMPRODUCT(('01_Data'!$B405:$AW405&lt;&gt;"")*(1/(1+EXP(-(N405-'03_Lap_b'!$B$20:$AW$20)))))</f>
        <v/>
      </c>
      <c r="P405" s="5">
        <f>SUMPRODUCT(('01_Data'!$B405:$AW405&lt;&gt;"")*(1/(1+EXP(-(N405-'03_Lap_b'!$B$20:$AW$20))))^2)</f>
        <v/>
      </c>
      <c r="Q405" s="5">
        <f>MEDIAN(-6,N405+(C405-O405)/MAX(O405-P405,0.000000001),6)</f>
        <v/>
      </c>
      <c r="R405" s="5">
        <f>SUMPRODUCT(('01_Data'!$B405:$AW405&lt;&gt;"")*(1/(1+EXP(-(Q405-'03_Lap_b'!$B$25:$AW$25)))))</f>
        <v/>
      </c>
      <c r="S405" s="5">
        <f>SUMPRODUCT(('01_Data'!$B405:$AW405&lt;&gt;"")*(1/(1+EXP(-(Q405-'03_Lap_b'!$B$25:$AW$25))))^2)</f>
        <v/>
      </c>
      <c r="T405" s="5">
        <f>MEDIAN(-6,Q405+(C405-R405)/MAX(R405-S405,0.000000001),6)</f>
        <v/>
      </c>
      <c r="U405" s="5">
        <f>SUMPRODUCT(('01_Data'!$B405:$AW405&lt;&gt;"")*(1/(1+EXP(-(T405-'03_Lap_b'!$B$30:$AW$30)))))</f>
        <v/>
      </c>
      <c r="V405" s="5">
        <f>SUMPRODUCT(('01_Data'!$B405:$AW405&lt;&gt;"")*(1/(1+EXP(-(T405-'03_Lap_b'!$B$30:$AW$30))))^2)</f>
        <v/>
      </c>
      <c r="W405" s="5">
        <f>MEDIAN(-6,T405+(C405-U405)/MAX(U405-V405,0.000000001),6)</f>
        <v/>
      </c>
      <c r="X405" s="5">
        <f>SUMPRODUCT(('01_Data'!$B405:$AW405&lt;&gt;"")*(1/(1+EXP(-(W405-'03_Lap_b'!$B$35:$AW$35)))))</f>
        <v/>
      </c>
      <c r="Y405" s="5">
        <f>SUMPRODUCT(('01_Data'!$B405:$AW405&lt;&gt;"")*(1/(1+EXP(-(W405-'03_Lap_b'!$B$35:$AW$35))))^2)</f>
        <v/>
      </c>
      <c r="Z405" s="5">
        <f>MEDIAN(-6,W405+(C405-X405)/MAX(X405-Y405,0.000000001),6)</f>
        <v/>
      </c>
      <c r="AA405" s="5">
        <f>SUMPRODUCT(('01_Data'!$B405:$AW405&lt;&gt;"")*(1/(1+EXP(-(Z405-'03_Lap_b'!$B$40:$AW$40)))))</f>
        <v/>
      </c>
      <c r="AB405" s="5">
        <f>SUMPRODUCT(('01_Data'!$B405:$AW405&lt;&gt;"")*(1/(1+EXP(-(Z405-'03_Lap_b'!$B$40:$AW$40))))^2)</f>
        <v/>
      </c>
      <c r="AC405" s="5">
        <f>MEDIAN(-6,Z405+(C405-AA405)/MAX(AA405-AB405,0.000000001),6)</f>
        <v/>
      </c>
    </row>
    <row r="406">
      <c r="A406" t="n">
        <v>405</v>
      </c>
      <c r="B406">
        <f>'01_Data'!A406</f>
        <v/>
      </c>
      <c r="C406">
        <f>SUM('01_Data'!$B406:$AW406)</f>
        <v/>
      </c>
      <c r="D406">
        <f>COUNT('01_Data'!$B406:$AW406)</f>
        <v/>
      </c>
      <c r="E406" s="5">
        <f>MEDIAN(-6,LN((C406+0.3)/(D406-C406+0.3)),6)</f>
        <v/>
      </c>
      <c r="F406" s="5">
        <f>SUMPRODUCT(('01_Data'!$B406:$AW406&lt;&gt;"")*(1/(1+EXP(-(E406-'03_Lap_b'!$B$5:$AW$5)))))</f>
        <v/>
      </c>
      <c r="G406" s="5">
        <f>SUMPRODUCT(('01_Data'!$B406:$AW406&lt;&gt;"")*(1/(1+EXP(-(E406-'03_Lap_b'!$B$5:$AW$5))))^2)</f>
        <v/>
      </c>
      <c r="H406" s="5">
        <f>MEDIAN(-6,E406+(C406-F406)/MAX(F406-G406,0.000000001),6)</f>
        <v/>
      </c>
      <c r="I406" s="5">
        <f>SUMPRODUCT(('01_Data'!$B406:$AW406&lt;&gt;"")*(1/(1+EXP(-(H406-'03_Lap_b'!$B$10:$AW$10)))))</f>
        <v/>
      </c>
      <c r="J406" s="5">
        <f>SUMPRODUCT(('01_Data'!$B406:$AW406&lt;&gt;"")*(1/(1+EXP(-(H406-'03_Lap_b'!$B$10:$AW$10))))^2)</f>
        <v/>
      </c>
      <c r="K406" s="5">
        <f>MEDIAN(-6,H406+(C406-I406)/MAX(I406-J406,0.000000001),6)</f>
        <v/>
      </c>
      <c r="L406" s="5">
        <f>SUMPRODUCT(('01_Data'!$B406:$AW406&lt;&gt;"")*(1/(1+EXP(-(K406-'03_Lap_b'!$B$15:$AW$15)))))</f>
        <v/>
      </c>
      <c r="M406" s="5">
        <f>SUMPRODUCT(('01_Data'!$B406:$AW406&lt;&gt;"")*(1/(1+EXP(-(K406-'03_Lap_b'!$B$15:$AW$15))))^2)</f>
        <v/>
      </c>
      <c r="N406" s="5">
        <f>MEDIAN(-6,K406+(C406-L406)/MAX(L406-M406,0.000000001),6)</f>
        <v/>
      </c>
      <c r="O406" s="5">
        <f>SUMPRODUCT(('01_Data'!$B406:$AW406&lt;&gt;"")*(1/(1+EXP(-(N406-'03_Lap_b'!$B$20:$AW$20)))))</f>
        <v/>
      </c>
      <c r="P406" s="5">
        <f>SUMPRODUCT(('01_Data'!$B406:$AW406&lt;&gt;"")*(1/(1+EXP(-(N406-'03_Lap_b'!$B$20:$AW$20))))^2)</f>
        <v/>
      </c>
      <c r="Q406" s="5">
        <f>MEDIAN(-6,N406+(C406-O406)/MAX(O406-P406,0.000000001),6)</f>
        <v/>
      </c>
      <c r="R406" s="5">
        <f>SUMPRODUCT(('01_Data'!$B406:$AW406&lt;&gt;"")*(1/(1+EXP(-(Q406-'03_Lap_b'!$B$25:$AW$25)))))</f>
        <v/>
      </c>
      <c r="S406" s="5">
        <f>SUMPRODUCT(('01_Data'!$B406:$AW406&lt;&gt;"")*(1/(1+EXP(-(Q406-'03_Lap_b'!$B$25:$AW$25))))^2)</f>
        <v/>
      </c>
      <c r="T406" s="5">
        <f>MEDIAN(-6,Q406+(C406-R406)/MAX(R406-S406,0.000000001),6)</f>
        <v/>
      </c>
      <c r="U406" s="5">
        <f>SUMPRODUCT(('01_Data'!$B406:$AW406&lt;&gt;"")*(1/(1+EXP(-(T406-'03_Lap_b'!$B$30:$AW$30)))))</f>
        <v/>
      </c>
      <c r="V406" s="5">
        <f>SUMPRODUCT(('01_Data'!$B406:$AW406&lt;&gt;"")*(1/(1+EXP(-(T406-'03_Lap_b'!$B$30:$AW$30))))^2)</f>
        <v/>
      </c>
      <c r="W406" s="5">
        <f>MEDIAN(-6,T406+(C406-U406)/MAX(U406-V406,0.000000001),6)</f>
        <v/>
      </c>
      <c r="X406" s="5">
        <f>SUMPRODUCT(('01_Data'!$B406:$AW406&lt;&gt;"")*(1/(1+EXP(-(W406-'03_Lap_b'!$B$35:$AW$35)))))</f>
        <v/>
      </c>
      <c r="Y406" s="5">
        <f>SUMPRODUCT(('01_Data'!$B406:$AW406&lt;&gt;"")*(1/(1+EXP(-(W406-'03_Lap_b'!$B$35:$AW$35))))^2)</f>
        <v/>
      </c>
      <c r="Z406" s="5">
        <f>MEDIAN(-6,W406+(C406-X406)/MAX(X406-Y406,0.000000001),6)</f>
        <v/>
      </c>
      <c r="AA406" s="5">
        <f>SUMPRODUCT(('01_Data'!$B406:$AW406&lt;&gt;"")*(1/(1+EXP(-(Z406-'03_Lap_b'!$B$40:$AW$40)))))</f>
        <v/>
      </c>
      <c r="AB406" s="5">
        <f>SUMPRODUCT(('01_Data'!$B406:$AW406&lt;&gt;"")*(1/(1+EXP(-(Z406-'03_Lap_b'!$B$40:$AW$40))))^2)</f>
        <v/>
      </c>
      <c r="AC406" s="5">
        <f>MEDIAN(-6,Z406+(C406-AA406)/MAX(AA406-AB406,0.000000001),6)</f>
        <v/>
      </c>
    </row>
    <row r="407">
      <c r="A407" t="n">
        <v>406</v>
      </c>
      <c r="B407">
        <f>'01_Data'!A407</f>
        <v/>
      </c>
      <c r="C407">
        <f>SUM('01_Data'!$B407:$AW407)</f>
        <v/>
      </c>
      <c r="D407">
        <f>COUNT('01_Data'!$B407:$AW407)</f>
        <v/>
      </c>
      <c r="E407" s="5">
        <f>MEDIAN(-6,LN((C407+0.3)/(D407-C407+0.3)),6)</f>
        <v/>
      </c>
      <c r="F407" s="5">
        <f>SUMPRODUCT(('01_Data'!$B407:$AW407&lt;&gt;"")*(1/(1+EXP(-(E407-'03_Lap_b'!$B$5:$AW$5)))))</f>
        <v/>
      </c>
      <c r="G407" s="5">
        <f>SUMPRODUCT(('01_Data'!$B407:$AW407&lt;&gt;"")*(1/(1+EXP(-(E407-'03_Lap_b'!$B$5:$AW$5))))^2)</f>
        <v/>
      </c>
      <c r="H407" s="5">
        <f>MEDIAN(-6,E407+(C407-F407)/MAX(F407-G407,0.000000001),6)</f>
        <v/>
      </c>
      <c r="I407" s="5">
        <f>SUMPRODUCT(('01_Data'!$B407:$AW407&lt;&gt;"")*(1/(1+EXP(-(H407-'03_Lap_b'!$B$10:$AW$10)))))</f>
        <v/>
      </c>
      <c r="J407" s="5">
        <f>SUMPRODUCT(('01_Data'!$B407:$AW407&lt;&gt;"")*(1/(1+EXP(-(H407-'03_Lap_b'!$B$10:$AW$10))))^2)</f>
        <v/>
      </c>
      <c r="K407" s="5">
        <f>MEDIAN(-6,H407+(C407-I407)/MAX(I407-J407,0.000000001),6)</f>
        <v/>
      </c>
      <c r="L407" s="5">
        <f>SUMPRODUCT(('01_Data'!$B407:$AW407&lt;&gt;"")*(1/(1+EXP(-(K407-'03_Lap_b'!$B$15:$AW$15)))))</f>
        <v/>
      </c>
      <c r="M407" s="5">
        <f>SUMPRODUCT(('01_Data'!$B407:$AW407&lt;&gt;"")*(1/(1+EXP(-(K407-'03_Lap_b'!$B$15:$AW$15))))^2)</f>
        <v/>
      </c>
      <c r="N407" s="5">
        <f>MEDIAN(-6,K407+(C407-L407)/MAX(L407-M407,0.000000001),6)</f>
        <v/>
      </c>
      <c r="O407" s="5">
        <f>SUMPRODUCT(('01_Data'!$B407:$AW407&lt;&gt;"")*(1/(1+EXP(-(N407-'03_Lap_b'!$B$20:$AW$20)))))</f>
        <v/>
      </c>
      <c r="P407" s="5">
        <f>SUMPRODUCT(('01_Data'!$B407:$AW407&lt;&gt;"")*(1/(1+EXP(-(N407-'03_Lap_b'!$B$20:$AW$20))))^2)</f>
        <v/>
      </c>
      <c r="Q407" s="5">
        <f>MEDIAN(-6,N407+(C407-O407)/MAX(O407-P407,0.000000001),6)</f>
        <v/>
      </c>
      <c r="R407" s="5">
        <f>SUMPRODUCT(('01_Data'!$B407:$AW407&lt;&gt;"")*(1/(1+EXP(-(Q407-'03_Lap_b'!$B$25:$AW$25)))))</f>
        <v/>
      </c>
      <c r="S407" s="5">
        <f>SUMPRODUCT(('01_Data'!$B407:$AW407&lt;&gt;"")*(1/(1+EXP(-(Q407-'03_Lap_b'!$B$25:$AW$25))))^2)</f>
        <v/>
      </c>
      <c r="T407" s="5">
        <f>MEDIAN(-6,Q407+(C407-R407)/MAX(R407-S407,0.000000001),6)</f>
        <v/>
      </c>
      <c r="U407" s="5">
        <f>SUMPRODUCT(('01_Data'!$B407:$AW407&lt;&gt;"")*(1/(1+EXP(-(T407-'03_Lap_b'!$B$30:$AW$30)))))</f>
        <v/>
      </c>
      <c r="V407" s="5">
        <f>SUMPRODUCT(('01_Data'!$B407:$AW407&lt;&gt;"")*(1/(1+EXP(-(T407-'03_Lap_b'!$B$30:$AW$30))))^2)</f>
        <v/>
      </c>
      <c r="W407" s="5">
        <f>MEDIAN(-6,T407+(C407-U407)/MAX(U407-V407,0.000000001),6)</f>
        <v/>
      </c>
      <c r="X407" s="5">
        <f>SUMPRODUCT(('01_Data'!$B407:$AW407&lt;&gt;"")*(1/(1+EXP(-(W407-'03_Lap_b'!$B$35:$AW$35)))))</f>
        <v/>
      </c>
      <c r="Y407" s="5">
        <f>SUMPRODUCT(('01_Data'!$B407:$AW407&lt;&gt;"")*(1/(1+EXP(-(W407-'03_Lap_b'!$B$35:$AW$35))))^2)</f>
        <v/>
      </c>
      <c r="Z407" s="5">
        <f>MEDIAN(-6,W407+(C407-X407)/MAX(X407-Y407,0.000000001),6)</f>
        <v/>
      </c>
      <c r="AA407" s="5">
        <f>SUMPRODUCT(('01_Data'!$B407:$AW407&lt;&gt;"")*(1/(1+EXP(-(Z407-'03_Lap_b'!$B$40:$AW$40)))))</f>
        <v/>
      </c>
      <c r="AB407" s="5">
        <f>SUMPRODUCT(('01_Data'!$B407:$AW407&lt;&gt;"")*(1/(1+EXP(-(Z407-'03_Lap_b'!$B$40:$AW$40))))^2)</f>
        <v/>
      </c>
      <c r="AC407" s="5">
        <f>MEDIAN(-6,Z407+(C407-AA407)/MAX(AA407-AB407,0.000000001),6)</f>
        <v/>
      </c>
    </row>
    <row r="408">
      <c r="A408" t="n">
        <v>407</v>
      </c>
      <c r="B408">
        <f>'01_Data'!A408</f>
        <v/>
      </c>
      <c r="C408">
        <f>SUM('01_Data'!$B408:$AW408)</f>
        <v/>
      </c>
      <c r="D408">
        <f>COUNT('01_Data'!$B408:$AW408)</f>
        <v/>
      </c>
      <c r="E408" s="5">
        <f>MEDIAN(-6,LN((C408+0.3)/(D408-C408+0.3)),6)</f>
        <v/>
      </c>
      <c r="F408" s="5">
        <f>SUMPRODUCT(('01_Data'!$B408:$AW408&lt;&gt;"")*(1/(1+EXP(-(E408-'03_Lap_b'!$B$5:$AW$5)))))</f>
        <v/>
      </c>
      <c r="G408" s="5">
        <f>SUMPRODUCT(('01_Data'!$B408:$AW408&lt;&gt;"")*(1/(1+EXP(-(E408-'03_Lap_b'!$B$5:$AW$5))))^2)</f>
        <v/>
      </c>
      <c r="H408" s="5">
        <f>MEDIAN(-6,E408+(C408-F408)/MAX(F408-G408,0.000000001),6)</f>
        <v/>
      </c>
      <c r="I408" s="5">
        <f>SUMPRODUCT(('01_Data'!$B408:$AW408&lt;&gt;"")*(1/(1+EXP(-(H408-'03_Lap_b'!$B$10:$AW$10)))))</f>
        <v/>
      </c>
      <c r="J408" s="5">
        <f>SUMPRODUCT(('01_Data'!$B408:$AW408&lt;&gt;"")*(1/(1+EXP(-(H408-'03_Lap_b'!$B$10:$AW$10))))^2)</f>
        <v/>
      </c>
      <c r="K408" s="5">
        <f>MEDIAN(-6,H408+(C408-I408)/MAX(I408-J408,0.000000001),6)</f>
        <v/>
      </c>
      <c r="L408" s="5">
        <f>SUMPRODUCT(('01_Data'!$B408:$AW408&lt;&gt;"")*(1/(1+EXP(-(K408-'03_Lap_b'!$B$15:$AW$15)))))</f>
        <v/>
      </c>
      <c r="M408" s="5">
        <f>SUMPRODUCT(('01_Data'!$B408:$AW408&lt;&gt;"")*(1/(1+EXP(-(K408-'03_Lap_b'!$B$15:$AW$15))))^2)</f>
        <v/>
      </c>
      <c r="N408" s="5">
        <f>MEDIAN(-6,K408+(C408-L408)/MAX(L408-M408,0.000000001),6)</f>
        <v/>
      </c>
      <c r="O408" s="5">
        <f>SUMPRODUCT(('01_Data'!$B408:$AW408&lt;&gt;"")*(1/(1+EXP(-(N408-'03_Lap_b'!$B$20:$AW$20)))))</f>
        <v/>
      </c>
      <c r="P408" s="5">
        <f>SUMPRODUCT(('01_Data'!$B408:$AW408&lt;&gt;"")*(1/(1+EXP(-(N408-'03_Lap_b'!$B$20:$AW$20))))^2)</f>
        <v/>
      </c>
      <c r="Q408" s="5">
        <f>MEDIAN(-6,N408+(C408-O408)/MAX(O408-P408,0.000000001),6)</f>
        <v/>
      </c>
      <c r="R408" s="5">
        <f>SUMPRODUCT(('01_Data'!$B408:$AW408&lt;&gt;"")*(1/(1+EXP(-(Q408-'03_Lap_b'!$B$25:$AW$25)))))</f>
        <v/>
      </c>
      <c r="S408" s="5">
        <f>SUMPRODUCT(('01_Data'!$B408:$AW408&lt;&gt;"")*(1/(1+EXP(-(Q408-'03_Lap_b'!$B$25:$AW$25))))^2)</f>
        <v/>
      </c>
      <c r="T408" s="5">
        <f>MEDIAN(-6,Q408+(C408-R408)/MAX(R408-S408,0.000000001),6)</f>
        <v/>
      </c>
      <c r="U408" s="5">
        <f>SUMPRODUCT(('01_Data'!$B408:$AW408&lt;&gt;"")*(1/(1+EXP(-(T408-'03_Lap_b'!$B$30:$AW$30)))))</f>
        <v/>
      </c>
      <c r="V408" s="5">
        <f>SUMPRODUCT(('01_Data'!$B408:$AW408&lt;&gt;"")*(1/(1+EXP(-(T408-'03_Lap_b'!$B$30:$AW$30))))^2)</f>
        <v/>
      </c>
      <c r="W408" s="5">
        <f>MEDIAN(-6,T408+(C408-U408)/MAX(U408-V408,0.000000001),6)</f>
        <v/>
      </c>
      <c r="X408" s="5">
        <f>SUMPRODUCT(('01_Data'!$B408:$AW408&lt;&gt;"")*(1/(1+EXP(-(W408-'03_Lap_b'!$B$35:$AW$35)))))</f>
        <v/>
      </c>
      <c r="Y408" s="5">
        <f>SUMPRODUCT(('01_Data'!$B408:$AW408&lt;&gt;"")*(1/(1+EXP(-(W408-'03_Lap_b'!$B$35:$AW$35))))^2)</f>
        <v/>
      </c>
      <c r="Z408" s="5">
        <f>MEDIAN(-6,W408+(C408-X408)/MAX(X408-Y408,0.000000001),6)</f>
        <v/>
      </c>
      <c r="AA408" s="5">
        <f>SUMPRODUCT(('01_Data'!$B408:$AW408&lt;&gt;"")*(1/(1+EXP(-(Z408-'03_Lap_b'!$B$40:$AW$40)))))</f>
        <v/>
      </c>
      <c r="AB408" s="5">
        <f>SUMPRODUCT(('01_Data'!$B408:$AW408&lt;&gt;"")*(1/(1+EXP(-(Z408-'03_Lap_b'!$B$40:$AW$40))))^2)</f>
        <v/>
      </c>
      <c r="AC408" s="5">
        <f>MEDIAN(-6,Z408+(C408-AA408)/MAX(AA408-AB408,0.000000001),6)</f>
        <v/>
      </c>
    </row>
    <row r="409">
      <c r="A409" t="n">
        <v>408</v>
      </c>
      <c r="B409">
        <f>'01_Data'!A409</f>
        <v/>
      </c>
      <c r="C409">
        <f>SUM('01_Data'!$B409:$AW409)</f>
        <v/>
      </c>
      <c r="D409">
        <f>COUNT('01_Data'!$B409:$AW409)</f>
        <v/>
      </c>
      <c r="E409" s="5">
        <f>MEDIAN(-6,LN((C409+0.3)/(D409-C409+0.3)),6)</f>
        <v/>
      </c>
      <c r="F409" s="5">
        <f>SUMPRODUCT(('01_Data'!$B409:$AW409&lt;&gt;"")*(1/(1+EXP(-(E409-'03_Lap_b'!$B$5:$AW$5)))))</f>
        <v/>
      </c>
      <c r="G409" s="5">
        <f>SUMPRODUCT(('01_Data'!$B409:$AW409&lt;&gt;"")*(1/(1+EXP(-(E409-'03_Lap_b'!$B$5:$AW$5))))^2)</f>
        <v/>
      </c>
      <c r="H409" s="5">
        <f>MEDIAN(-6,E409+(C409-F409)/MAX(F409-G409,0.000000001),6)</f>
        <v/>
      </c>
      <c r="I409" s="5">
        <f>SUMPRODUCT(('01_Data'!$B409:$AW409&lt;&gt;"")*(1/(1+EXP(-(H409-'03_Lap_b'!$B$10:$AW$10)))))</f>
        <v/>
      </c>
      <c r="J409" s="5">
        <f>SUMPRODUCT(('01_Data'!$B409:$AW409&lt;&gt;"")*(1/(1+EXP(-(H409-'03_Lap_b'!$B$10:$AW$10))))^2)</f>
        <v/>
      </c>
      <c r="K409" s="5">
        <f>MEDIAN(-6,H409+(C409-I409)/MAX(I409-J409,0.000000001),6)</f>
        <v/>
      </c>
      <c r="L409" s="5">
        <f>SUMPRODUCT(('01_Data'!$B409:$AW409&lt;&gt;"")*(1/(1+EXP(-(K409-'03_Lap_b'!$B$15:$AW$15)))))</f>
        <v/>
      </c>
      <c r="M409" s="5">
        <f>SUMPRODUCT(('01_Data'!$B409:$AW409&lt;&gt;"")*(1/(1+EXP(-(K409-'03_Lap_b'!$B$15:$AW$15))))^2)</f>
        <v/>
      </c>
      <c r="N409" s="5">
        <f>MEDIAN(-6,K409+(C409-L409)/MAX(L409-M409,0.000000001),6)</f>
        <v/>
      </c>
      <c r="O409" s="5">
        <f>SUMPRODUCT(('01_Data'!$B409:$AW409&lt;&gt;"")*(1/(1+EXP(-(N409-'03_Lap_b'!$B$20:$AW$20)))))</f>
        <v/>
      </c>
      <c r="P409" s="5">
        <f>SUMPRODUCT(('01_Data'!$B409:$AW409&lt;&gt;"")*(1/(1+EXP(-(N409-'03_Lap_b'!$B$20:$AW$20))))^2)</f>
        <v/>
      </c>
      <c r="Q409" s="5">
        <f>MEDIAN(-6,N409+(C409-O409)/MAX(O409-P409,0.000000001),6)</f>
        <v/>
      </c>
      <c r="R409" s="5">
        <f>SUMPRODUCT(('01_Data'!$B409:$AW409&lt;&gt;"")*(1/(1+EXP(-(Q409-'03_Lap_b'!$B$25:$AW$25)))))</f>
        <v/>
      </c>
      <c r="S409" s="5">
        <f>SUMPRODUCT(('01_Data'!$B409:$AW409&lt;&gt;"")*(1/(1+EXP(-(Q409-'03_Lap_b'!$B$25:$AW$25))))^2)</f>
        <v/>
      </c>
      <c r="T409" s="5">
        <f>MEDIAN(-6,Q409+(C409-R409)/MAX(R409-S409,0.000000001),6)</f>
        <v/>
      </c>
      <c r="U409" s="5">
        <f>SUMPRODUCT(('01_Data'!$B409:$AW409&lt;&gt;"")*(1/(1+EXP(-(T409-'03_Lap_b'!$B$30:$AW$30)))))</f>
        <v/>
      </c>
      <c r="V409" s="5">
        <f>SUMPRODUCT(('01_Data'!$B409:$AW409&lt;&gt;"")*(1/(1+EXP(-(T409-'03_Lap_b'!$B$30:$AW$30))))^2)</f>
        <v/>
      </c>
      <c r="W409" s="5">
        <f>MEDIAN(-6,T409+(C409-U409)/MAX(U409-V409,0.000000001),6)</f>
        <v/>
      </c>
      <c r="X409" s="5">
        <f>SUMPRODUCT(('01_Data'!$B409:$AW409&lt;&gt;"")*(1/(1+EXP(-(W409-'03_Lap_b'!$B$35:$AW$35)))))</f>
        <v/>
      </c>
      <c r="Y409" s="5">
        <f>SUMPRODUCT(('01_Data'!$B409:$AW409&lt;&gt;"")*(1/(1+EXP(-(W409-'03_Lap_b'!$B$35:$AW$35))))^2)</f>
        <v/>
      </c>
      <c r="Z409" s="5">
        <f>MEDIAN(-6,W409+(C409-X409)/MAX(X409-Y409,0.000000001),6)</f>
        <v/>
      </c>
      <c r="AA409" s="5">
        <f>SUMPRODUCT(('01_Data'!$B409:$AW409&lt;&gt;"")*(1/(1+EXP(-(Z409-'03_Lap_b'!$B$40:$AW$40)))))</f>
        <v/>
      </c>
      <c r="AB409" s="5">
        <f>SUMPRODUCT(('01_Data'!$B409:$AW409&lt;&gt;"")*(1/(1+EXP(-(Z409-'03_Lap_b'!$B$40:$AW$40))))^2)</f>
        <v/>
      </c>
      <c r="AC409" s="5">
        <f>MEDIAN(-6,Z409+(C409-AA409)/MAX(AA409-AB409,0.000000001),6)</f>
        <v/>
      </c>
    </row>
    <row r="410">
      <c r="A410" t="n">
        <v>409</v>
      </c>
      <c r="B410">
        <f>'01_Data'!A410</f>
        <v/>
      </c>
      <c r="C410">
        <f>SUM('01_Data'!$B410:$AW410)</f>
        <v/>
      </c>
      <c r="D410">
        <f>COUNT('01_Data'!$B410:$AW410)</f>
        <v/>
      </c>
      <c r="E410" s="5">
        <f>MEDIAN(-6,LN((C410+0.3)/(D410-C410+0.3)),6)</f>
        <v/>
      </c>
      <c r="F410" s="5">
        <f>SUMPRODUCT(('01_Data'!$B410:$AW410&lt;&gt;"")*(1/(1+EXP(-(E410-'03_Lap_b'!$B$5:$AW$5)))))</f>
        <v/>
      </c>
      <c r="G410" s="5">
        <f>SUMPRODUCT(('01_Data'!$B410:$AW410&lt;&gt;"")*(1/(1+EXP(-(E410-'03_Lap_b'!$B$5:$AW$5))))^2)</f>
        <v/>
      </c>
      <c r="H410" s="5">
        <f>MEDIAN(-6,E410+(C410-F410)/MAX(F410-G410,0.000000001),6)</f>
        <v/>
      </c>
      <c r="I410" s="5">
        <f>SUMPRODUCT(('01_Data'!$B410:$AW410&lt;&gt;"")*(1/(1+EXP(-(H410-'03_Lap_b'!$B$10:$AW$10)))))</f>
        <v/>
      </c>
      <c r="J410" s="5">
        <f>SUMPRODUCT(('01_Data'!$B410:$AW410&lt;&gt;"")*(1/(1+EXP(-(H410-'03_Lap_b'!$B$10:$AW$10))))^2)</f>
        <v/>
      </c>
      <c r="K410" s="5">
        <f>MEDIAN(-6,H410+(C410-I410)/MAX(I410-J410,0.000000001),6)</f>
        <v/>
      </c>
      <c r="L410" s="5">
        <f>SUMPRODUCT(('01_Data'!$B410:$AW410&lt;&gt;"")*(1/(1+EXP(-(K410-'03_Lap_b'!$B$15:$AW$15)))))</f>
        <v/>
      </c>
      <c r="M410" s="5">
        <f>SUMPRODUCT(('01_Data'!$B410:$AW410&lt;&gt;"")*(1/(1+EXP(-(K410-'03_Lap_b'!$B$15:$AW$15))))^2)</f>
        <v/>
      </c>
      <c r="N410" s="5">
        <f>MEDIAN(-6,K410+(C410-L410)/MAX(L410-M410,0.000000001),6)</f>
        <v/>
      </c>
      <c r="O410" s="5">
        <f>SUMPRODUCT(('01_Data'!$B410:$AW410&lt;&gt;"")*(1/(1+EXP(-(N410-'03_Lap_b'!$B$20:$AW$20)))))</f>
        <v/>
      </c>
      <c r="P410" s="5">
        <f>SUMPRODUCT(('01_Data'!$B410:$AW410&lt;&gt;"")*(1/(1+EXP(-(N410-'03_Lap_b'!$B$20:$AW$20))))^2)</f>
        <v/>
      </c>
      <c r="Q410" s="5">
        <f>MEDIAN(-6,N410+(C410-O410)/MAX(O410-P410,0.000000001),6)</f>
        <v/>
      </c>
      <c r="R410" s="5">
        <f>SUMPRODUCT(('01_Data'!$B410:$AW410&lt;&gt;"")*(1/(1+EXP(-(Q410-'03_Lap_b'!$B$25:$AW$25)))))</f>
        <v/>
      </c>
      <c r="S410" s="5">
        <f>SUMPRODUCT(('01_Data'!$B410:$AW410&lt;&gt;"")*(1/(1+EXP(-(Q410-'03_Lap_b'!$B$25:$AW$25))))^2)</f>
        <v/>
      </c>
      <c r="T410" s="5">
        <f>MEDIAN(-6,Q410+(C410-R410)/MAX(R410-S410,0.000000001),6)</f>
        <v/>
      </c>
      <c r="U410" s="5">
        <f>SUMPRODUCT(('01_Data'!$B410:$AW410&lt;&gt;"")*(1/(1+EXP(-(T410-'03_Lap_b'!$B$30:$AW$30)))))</f>
        <v/>
      </c>
      <c r="V410" s="5">
        <f>SUMPRODUCT(('01_Data'!$B410:$AW410&lt;&gt;"")*(1/(1+EXP(-(T410-'03_Lap_b'!$B$30:$AW$30))))^2)</f>
        <v/>
      </c>
      <c r="W410" s="5">
        <f>MEDIAN(-6,T410+(C410-U410)/MAX(U410-V410,0.000000001),6)</f>
        <v/>
      </c>
      <c r="X410" s="5">
        <f>SUMPRODUCT(('01_Data'!$B410:$AW410&lt;&gt;"")*(1/(1+EXP(-(W410-'03_Lap_b'!$B$35:$AW$35)))))</f>
        <v/>
      </c>
      <c r="Y410" s="5">
        <f>SUMPRODUCT(('01_Data'!$B410:$AW410&lt;&gt;"")*(1/(1+EXP(-(W410-'03_Lap_b'!$B$35:$AW$35))))^2)</f>
        <v/>
      </c>
      <c r="Z410" s="5">
        <f>MEDIAN(-6,W410+(C410-X410)/MAX(X410-Y410,0.000000001),6)</f>
        <v/>
      </c>
      <c r="AA410" s="5">
        <f>SUMPRODUCT(('01_Data'!$B410:$AW410&lt;&gt;"")*(1/(1+EXP(-(Z410-'03_Lap_b'!$B$40:$AW$40)))))</f>
        <v/>
      </c>
      <c r="AB410" s="5">
        <f>SUMPRODUCT(('01_Data'!$B410:$AW410&lt;&gt;"")*(1/(1+EXP(-(Z410-'03_Lap_b'!$B$40:$AW$40))))^2)</f>
        <v/>
      </c>
      <c r="AC410" s="5">
        <f>MEDIAN(-6,Z410+(C410-AA410)/MAX(AA410-AB410,0.000000001),6)</f>
        <v/>
      </c>
    </row>
    <row r="411">
      <c r="A411" t="n">
        <v>410</v>
      </c>
      <c r="B411">
        <f>'01_Data'!A411</f>
        <v/>
      </c>
      <c r="C411">
        <f>SUM('01_Data'!$B411:$AW411)</f>
        <v/>
      </c>
      <c r="D411">
        <f>COUNT('01_Data'!$B411:$AW411)</f>
        <v/>
      </c>
      <c r="E411" s="5">
        <f>MEDIAN(-6,LN((C411+0.3)/(D411-C411+0.3)),6)</f>
        <v/>
      </c>
      <c r="F411" s="5">
        <f>SUMPRODUCT(('01_Data'!$B411:$AW411&lt;&gt;"")*(1/(1+EXP(-(E411-'03_Lap_b'!$B$5:$AW$5)))))</f>
        <v/>
      </c>
      <c r="G411" s="5">
        <f>SUMPRODUCT(('01_Data'!$B411:$AW411&lt;&gt;"")*(1/(1+EXP(-(E411-'03_Lap_b'!$B$5:$AW$5))))^2)</f>
        <v/>
      </c>
      <c r="H411" s="5">
        <f>MEDIAN(-6,E411+(C411-F411)/MAX(F411-G411,0.000000001),6)</f>
        <v/>
      </c>
      <c r="I411" s="5">
        <f>SUMPRODUCT(('01_Data'!$B411:$AW411&lt;&gt;"")*(1/(1+EXP(-(H411-'03_Lap_b'!$B$10:$AW$10)))))</f>
        <v/>
      </c>
      <c r="J411" s="5">
        <f>SUMPRODUCT(('01_Data'!$B411:$AW411&lt;&gt;"")*(1/(1+EXP(-(H411-'03_Lap_b'!$B$10:$AW$10))))^2)</f>
        <v/>
      </c>
      <c r="K411" s="5">
        <f>MEDIAN(-6,H411+(C411-I411)/MAX(I411-J411,0.000000001),6)</f>
        <v/>
      </c>
      <c r="L411" s="5">
        <f>SUMPRODUCT(('01_Data'!$B411:$AW411&lt;&gt;"")*(1/(1+EXP(-(K411-'03_Lap_b'!$B$15:$AW$15)))))</f>
        <v/>
      </c>
      <c r="M411" s="5">
        <f>SUMPRODUCT(('01_Data'!$B411:$AW411&lt;&gt;"")*(1/(1+EXP(-(K411-'03_Lap_b'!$B$15:$AW$15))))^2)</f>
        <v/>
      </c>
      <c r="N411" s="5">
        <f>MEDIAN(-6,K411+(C411-L411)/MAX(L411-M411,0.000000001),6)</f>
        <v/>
      </c>
      <c r="O411" s="5">
        <f>SUMPRODUCT(('01_Data'!$B411:$AW411&lt;&gt;"")*(1/(1+EXP(-(N411-'03_Lap_b'!$B$20:$AW$20)))))</f>
        <v/>
      </c>
      <c r="P411" s="5">
        <f>SUMPRODUCT(('01_Data'!$B411:$AW411&lt;&gt;"")*(1/(1+EXP(-(N411-'03_Lap_b'!$B$20:$AW$20))))^2)</f>
        <v/>
      </c>
      <c r="Q411" s="5">
        <f>MEDIAN(-6,N411+(C411-O411)/MAX(O411-P411,0.000000001),6)</f>
        <v/>
      </c>
      <c r="R411" s="5">
        <f>SUMPRODUCT(('01_Data'!$B411:$AW411&lt;&gt;"")*(1/(1+EXP(-(Q411-'03_Lap_b'!$B$25:$AW$25)))))</f>
        <v/>
      </c>
      <c r="S411" s="5">
        <f>SUMPRODUCT(('01_Data'!$B411:$AW411&lt;&gt;"")*(1/(1+EXP(-(Q411-'03_Lap_b'!$B$25:$AW$25))))^2)</f>
        <v/>
      </c>
      <c r="T411" s="5">
        <f>MEDIAN(-6,Q411+(C411-R411)/MAX(R411-S411,0.000000001),6)</f>
        <v/>
      </c>
      <c r="U411" s="5">
        <f>SUMPRODUCT(('01_Data'!$B411:$AW411&lt;&gt;"")*(1/(1+EXP(-(T411-'03_Lap_b'!$B$30:$AW$30)))))</f>
        <v/>
      </c>
      <c r="V411" s="5">
        <f>SUMPRODUCT(('01_Data'!$B411:$AW411&lt;&gt;"")*(1/(1+EXP(-(T411-'03_Lap_b'!$B$30:$AW$30))))^2)</f>
        <v/>
      </c>
      <c r="W411" s="5">
        <f>MEDIAN(-6,T411+(C411-U411)/MAX(U411-V411,0.000000001),6)</f>
        <v/>
      </c>
      <c r="X411" s="5">
        <f>SUMPRODUCT(('01_Data'!$B411:$AW411&lt;&gt;"")*(1/(1+EXP(-(W411-'03_Lap_b'!$B$35:$AW$35)))))</f>
        <v/>
      </c>
      <c r="Y411" s="5">
        <f>SUMPRODUCT(('01_Data'!$B411:$AW411&lt;&gt;"")*(1/(1+EXP(-(W411-'03_Lap_b'!$B$35:$AW$35))))^2)</f>
        <v/>
      </c>
      <c r="Z411" s="5">
        <f>MEDIAN(-6,W411+(C411-X411)/MAX(X411-Y411,0.000000001),6)</f>
        <v/>
      </c>
      <c r="AA411" s="5">
        <f>SUMPRODUCT(('01_Data'!$B411:$AW411&lt;&gt;"")*(1/(1+EXP(-(Z411-'03_Lap_b'!$B$40:$AW$40)))))</f>
        <v/>
      </c>
      <c r="AB411" s="5">
        <f>SUMPRODUCT(('01_Data'!$B411:$AW411&lt;&gt;"")*(1/(1+EXP(-(Z411-'03_Lap_b'!$B$40:$AW$40))))^2)</f>
        <v/>
      </c>
      <c r="AC411" s="5">
        <f>MEDIAN(-6,Z411+(C411-AA411)/MAX(AA411-AB411,0.000000001),6)</f>
        <v/>
      </c>
    </row>
    <row r="412">
      <c r="A412" t="n">
        <v>411</v>
      </c>
      <c r="B412">
        <f>'01_Data'!A412</f>
        <v/>
      </c>
      <c r="C412">
        <f>SUM('01_Data'!$B412:$AW412)</f>
        <v/>
      </c>
      <c r="D412">
        <f>COUNT('01_Data'!$B412:$AW412)</f>
        <v/>
      </c>
      <c r="E412" s="5">
        <f>MEDIAN(-6,LN((C412+0.3)/(D412-C412+0.3)),6)</f>
        <v/>
      </c>
      <c r="F412" s="5">
        <f>SUMPRODUCT(('01_Data'!$B412:$AW412&lt;&gt;"")*(1/(1+EXP(-(E412-'03_Lap_b'!$B$5:$AW$5)))))</f>
        <v/>
      </c>
      <c r="G412" s="5">
        <f>SUMPRODUCT(('01_Data'!$B412:$AW412&lt;&gt;"")*(1/(1+EXP(-(E412-'03_Lap_b'!$B$5:$AW$5))))^2)</f>
        <v/>
      </c>
      <c r="H412" s="5">
        <f>MEDIAN(-6,E412+(C412-F412)/MAX(F412-G412,0.000000001),6)</f>
        <v/>
      </c>
      <c r="I412" s="5">
        <f>SUMPRODUCT(('01_Data'!$B412:$AW412&lt;&gt;"")*(1/(1+EXP(-(H412-'03_Lap_b'!$B$10:$AW$10)))))</f>
        <v/>
      </c>
      <c r="J412" s="5">
        <f>SUMPRODUCT(('01_Data'!$B412:$AW412&lt;&gt;"")*(1/(1+EXP(-(H412-'03_Lap_b'!$B$10:$AW$10))))^2)</f>
        <v/>
      </c>
      <c r="K412" s="5">
        <f>MEDIAN(-6,H412+(C412-I412)/MAX(I412-J412,0.000000001),6)</f>
        <v/>
      </c>
      <c r="L412" s="5">
        <f>SUMPRODUCT(('01_Data'!$B412:$AW412&lt;&gt;"")*(1/(1+EXP(-(K412-'03_Lap_b'!$B$15:$AW$15)))))</f>
        <v/>
      </c>
      <c r="M412" s="5">
        <f>SUMPRODUCT(('01_Data'!$B412:$AW412&lt;&gt;"")*(1/(1+EXP(-(K412-'03_Lap_b'!$B$15:$AW$15))))^2)</f>
        <v/>
      </c>
      <c r="N412" s="5">
        <f>MEDIAN(-6,K412+(C412-L412)/MAX(L412-M412,0.000000001),6)</f>
        <v/>
      </c>
      <c r="O412" s="5">
        <f>SUMPRODUCT(('01_Data'!$B412:$AW412&lt;&gt;"")*(1/(1+EXP(-(N412-'03_Lap_b'!$B$20:$AW$20)))))</f>
        <v/>
      </c>
      <c r="P412" s="5">
        <f>SUMPRODUCT(('01_Data'!$B412:$AW412&lt;&gt;"")*(1/(1+EXP(-(N412-'03_Lap_b'!$B$20:$AW$20))))^2)</f>
        <v/>
      </c>
      <c r="Q412" s="5">
        <f>MEDIAN(-6,N412+(C412-O412)/MAX(O412-P412,0.000000001),6)</f>
        <v/>
      </c>
      <c r="R412" s="5">
        <f>SUMPRODUCT(('01_Data'!$B412:$AW412&lt;&gt;"")*(1/(1+EXP(-(Q412-'03_Lap_b'!$B$25:$AW$25)))))</f>
        <v/>
      </c>
      <c r="S412" s="5">
        <f>SUMPRODUCT(('01_Data'!$B412:$AW412&lt;&gt;"")*(1/(1+EXP(-(Q412-'03_Lap_b'!$B$25:$AW$25))))^2)</f>
        <v/>
      </c>
      <c r="T412" s="5">
        <f>MEDIAN(-6,Q412+(C412-R412)/MAX(R412-S412,0.000000001),6)</f>
        <v/>
      </c>
      <c r="U412" s="5">
        <f>SUMPRODUCT(('01_Data'!$B412:$AW412&lt;&gt;"")*(1/(1+EXP(-(T412-'03_Lap_b'!$B$30:$AW$30)))))</f>
        <v/>
      </c>
      <c r="V412" s="5">
        <f>SUMPRODUCT(('01_Data'!$B412:$AW412&lt;&gt;"")*(1/(1+EXP(-(T412-'03_Lap_b'!$B$30:$AW$30))))^2)</f>
        <v/>
      </c>
      <c r="W412" s="5">
        <f>MEDIAN(-6,T412+(C412-U412)/MAX(U412-V412,0.000000001),6)</f>
        <v/>
      </c>
      <c r="X412" s="5">
        <f>SUMPRODUCT(('01_Data'!$B412:$AW412&lt;&gt;"")*(1/(1+EXP(-(W412-'03_Lap_b'!$B$35:$AW$35)))))</f>
        <v/>
      </c>
      <c r="Y412" s="5">
        <f>SUMPRODUCT(('01_Data'!$B412:$AW412&lt;&gt;"")*(1/(1+EXP(-(W412-'03_Lap_b'!$B$35:$AW$35))))^2)</f>
        <v/>
      </c>
      <c r="Z412" s="5">
        <f>MEDIAN(-6,W412+(C412-X412)/MAX(X412-Y412,0.000000001),6)</f>
        <v/>
      </c>
      <c r="AA412" s="5">
        <f>SUMPRODUCT(('01_Data'!$B412:$AW412&lt;&gt;"")*(1/(1+EXP(-(Z412-'03_Lap_b'!$B$40:$AW$40)))))</f>
        <v/>
      </c>
      <c r="AB412" s="5">
        <f>SUMPRODUCT(('01_Data'!$B412:$AW412&lt;&gt;"")*(1/(1+EXP(-(Z412-'03_Lap_b'!$B$40:$AW$40))))^2)</f>
        <v/>
      </c>
      <c r="AC412" s="5">
        <f>MEDIAN(-6,Z412+(C412-AA412)/MAX(AA412-AB412,0.000000001),6)</f>
        <v/>
      </c>
    </row>
    <row r="413">
      <c r="A413" t="n">
        <v>412</v>
      </c>
      <c r="B413">
        <f>'01_Data'!A413</f>
        <v/>
      </c>
      <c r="C413">
        <f>SUM('01_Data'!$B413:$AW413)</f>
        <v/>
      </c>
      <c r="D413">
        <f>COUNT('01_Data'!$B413:$AW413)</f>
        <v/>
      </c>
      <c r="E413" s="5">
        <f>MEDIAN(-6,LN((C413+0.3)/(D413-C413+0.3)),6)</f>
        <v/>
      </c>
      <c r="F413" s="5">
        <f>SUMPRODUCT(('01_Data'!$B413:$AW413&lt;&gt;"")*(1/(1+EXP(-(E413-'03_Lap_b'!$B$5:$AW$5)))))</f>
        <v/>
      </c>
      <c r="G413" s="5">
        <f>SUMPRODUCT(('01_Data'!$B413:$AW413&lt;&gt;"")*(1/(1+EXP(-(E413-'03_Lap_b'!$B$5:$AW$5))))^2)</f>
        <v/>
      </c>
      <c r="H413" s="5">
        <f>MEDIAN(-6,E413+(C413-F413)/MAX(F413-G413,0.000000001),6)</f>
        <v/>
      </c>
      <c r="I413" s="5">
        <f>SUMPRODUCT(('01_Data'!$B413:$AW413&lt;&gt;"")*(1/(1+EXP(-(H413-'03_Lap_b'!$B$10:$AW$10)))))</f>
        <v/>
      </c>
      <c r="J413" s="5">
        <f>SUMPRODUCT(('01_Data'!$B413:$AW413&lt;&gt;"")*(1/(1+EXP(-(H413-'03_Lap_b'!$B$10:$AW$10))))^2)</f>
        <v/>
      </c>
      <c r="K413" s="5">
        <f>MEDIAN(-6,H413+(C413-I413)/MAX(I413-J413,0.000000001),6)</f>
        <v/>
      </c>
      <c r="L413" s="5">
        <f>SUMPRODUCT(('01_Data'!$B413:$AW413&lt;&gt;"")*(1/(1+EXP(-(K413-'03_Lap_b'!$B$15:$AW$15)))))</f>
        <v/>
      </c>
      <c r="M413" s="5">
        <f>SUMPRODUCT(('01_Data'!$B413:$AW413&lt;&gt;"")*(1/(1+EXP(-(K413-'03_Lap_b'!$B$15:$AW$15))))^2)</f>
        <v/>
      </c>
      <c r="N413" s="5">
        <f>MEDIAN(-6,K413+(C413-L413)/MAX(L413-M413,0.000000001),6)</f>
        <v/>
      </c>
      <c r="O413" s="5">
        <f>SUMPRODUCT(('01_Data'!$B413:$AW413&lt;&gt;"")*(1/(1+EXP(-(N413-'03_Lap_b'!$B$20:$AW$20)))))</f>
        <v/>
      </c>
      <c r="P413" s="5">
        <f>SUMPRODUCT(('01_Data'!$B413:$AW413&lt;&gt;"")*(1/(1+EXP(-(N413-'03_Lap_b'!$B$20:$AW$20))))^2)</f>
        <v/>
      </c>
      <c r="Q413" s="5">
        <f>MEDIAN(-6,N413+(C413-O413)/MAX(O413-P413,0.000000001),6)</f>
        <v/>
      </c>
      <c r="R413" s="5">
        <f>SUMPRODUCT(('01_Data'!$B413:$AW413&lt;&gt;"")*(1/(1+EXP(-(Q413-'03_Lap_b'!$B$25:$AW$25)))))</f>
        <v/>
      </c>
      <c r="S413" s="5">
        <f>SUMPRODUCT(('01_Data'!$B413:$AW413&lt;&gt;"")*(1/(1+EXP(-(Q413-'03_Lap_b'!$B$25:$AW$25))))^2)</f>
        <v/>
      </c>
      <c r="T413" s="5">
        <f>MEDIAN(-6,Q413+(C413-R413)/MAX(R413-S413,0.000000001),6)</f>
        <v/>
      </c>
      <c r="U413" s="5">
        <f>SUMPRODUCT(('01_Data'!$B413:$AW413&lt;&gt;"")*(1/(1+EXP(-(T413-'03_Lap_b'!$B$30:$AW$30)))))</f>
        <v/>
      </c>
      <c r="V413" s="5">
        <f>SUMPRODUCT(('01_Data'!$B413:$AW413&lt;&gt;"")*(1/(1+EXP(-(T413-'03_Lap_b'!$B$30:$AW$30))))^2)</f>
        <v/>
      </c>
      <c r="W413" s="5">
        <f>MEDIAN(-6,T413+(C413-U413)/MAX(U413-V413,0.000000001),6)</f>
        <v/>
      </c>
      <c r="X413" s="5">
        <f>SUMPRODUCT(('01_Data'!$B413:$AW413&lt;&gt;"")*(1/(1+EXP(-(W413-'03_Lap_b'!$B$35:$AW$35)))))</f>
        <v/>
      </c>
      <c r="Y413" s="5">
        <f>SUMPRODUCT(('01_Data'!$B413:$AW413&lt;&gt;"")*(1/(1+EXP(-(W413-'03_Lap_b'!$B$35:$AW$35))))^2)</f>
        <v/>
      </c>
      <c r="Z413" s="5">
        <f>MEDIAN(-6,W413+(C413-X413)/MAX(X413-Y413,0.000000001),6)</f>
        <v/>
      </c>
      <c r="AA413" s="5">
        <f>SUMPRODUCT(('01_Data'!$B413:$AW413&lt;&gt;"")*(1/(1+EXP(-(Z413-'03_Lap_b'!$B$40:$AW$40)))))</f>
        <v/>
      </c>
      <c r="AB413" s="5">
        <f>SUMPRODUCT(('01_Data'!$B413:$AW413&lt;&gt;"")*(1/(1+EXP(-(Z413-'03_Lap_b'!$B$40:$AW$40))))^2)</f>
        <v/>
      </c>
      <c r="AC413" s="5">
        <f>MEDIAN(-6,Z413+(C413-AA413)/MAX(AA413-AB413,0.000000001),6)</f>
        <v/>
      </c>
    </row>
    <row r="414">
      <c r="A414" t="n">
        <v>413</v>
      </c>
      <c r="B414">
        <f>'01_Data'!A414</f>
        <v/>
      </c>
      <c r="C414">
        <f>SUM('01_Data'!$B414:$AW414)</f>
        <v/>
      </c>
      <c r="D414">
        <f>COUNT('01_Data'!$B414:$AW414)</f>
        <v/>
      </c>
      <c r="E414" s="5">
        <f>MEDIAN(-6,LN((C414+0.3)/(D414-C414+0.3)),6)</f>
        <v/>
      </c>
      <c r="F414" s="5">
        <f>SUMPRODUCT(('01_Data'!$B414:$AW414&lt;&gt;"")*(1/(1+EXP(-(E414-'03_Lap_b'!$B$5:$AW$5)))))</f>
        <v/>
      </c>
      <c r="G414" s="5">
        <f>SUMPRODUCT(('01_Data'!$B414:$AW414&lt;&gt;"")*(1/(1+EXP(-(E414-'03_Lap_b'!$B$5:$AW$5))))^2)</f>
        <v/>
      </c>
      <c r="H414" s="5">
        <f>MEDIAN(-6,E414+(C414-F414)/MAX(F414-G414,0.000000001),6)</f>
        <v/>
      </c>
      <c r="I414" s="5">
        <f>SUMPRODUCT(('01_Data'!$B414:$AW414&lt;&gt;"")*(1/(1+EXP(-(H414-'03_Lap_b'!$B$10:$AW$10)))))</f>
        <v/>
      </c>
      <c r="J414" s="5">
        <f>SUMPRODUCT(('01_Data'!$B414:$AW414&lt;&gt;"")*(1/(1+EXP(-(H414-'03_Lap_b'!$B$10:$AW$10))))^2)</f>
        <v/>
      </c>
      <c r="K414" s="5">
        <f>MEDIAN(-6,H414+(C414-I414)/MAX(I414-J414,0.000000001),6)</f>
        <v/>
      </c>
      <c r="L414" s="5">
        <f>SUMPRODUCT(('01_Data'!$B414:$AW414&lt;&gt;"")*(1/(1+EXP(-(K414-'03_Lap_b'!$B$15:$AW$15)))))</f>
        <v/>
      </c>
      <c r="M414" s="5">
        <f>SUMPRODUCT(('01_Data'!$B414:$AW414&lt;&gt;"")*(1/(1+EXP(-(K414-'03_Lap_b'!$B$15:$AW$15))))^2)</f>
        <v/>
      </c>
      <c r="N414" s="5">
        <f>MEDIAN(-6,K414+(C414-L414)/MAX(L414-M414,0.000000001),6)</f>
        <v/>
      </c>
      <c r="O414" s="5">
        <f>SUMPRODUCT(('01_Data'!$B414:$AW414&lt;&gt;"")*(1/(1+EXP(-(N414-'03_Lap_b'!$B$20:$AW$20)))))</f>
        <v/>
      </c>
      <c r="P414" s="5">
        <f>SUMPRODUCT(('01_Data'!$B414:$AW414&lt;&gt;"")*(1/(1+EXP(-(N414-'03_Lap_b'!$B$20:$AW$20))))^2)</f>
        <v/>
      </c>
      <c r="Q414" s="5">
        <f>MEDIAN(-6,N414+(C414-O414)/MAX(O414-P414,0.000000001),6)</f>
        <v/>
      </c>
      <c r="R414" s="5">
        <f>SUMPRODUCT(('01_Data'!$B414:$AW414&lt;&gt;"")*(1/(1+EXP(-(Q414-'03_Lap_b'!$B$25:$AW$25)))))</f>
        <v/>
      </c>
      <c r="S414" s="5">
        <f>SUMPRODUCT(('01_Data'!$B414:$AW414&lt;&gt;"")*(1/(1+EXP(-(Q414-'03_Lap_b'!$B$25:$AW$25))))^2)</f>
        <v/>
      </c>
      <c r="T414" s="5">
        <f>MEDIAN(-6,Q414+(C414-R414)/MAX(R414-S414,0.000000001),6)</f>
        <v/>
      </c>
      <c r="U414" s="5">
        <f>SUMPRODUCT(('01_Data'!$B414:$AW414&lt;&gt;"")*(1/(1+EXP(-(T414-'03_Lap_b'!$B$30:$AW$30)))))</f>
        <v/>
      </c>
      <c r="V414" s="5">
        <f>SUMPRODUCT(('01_Data'!$B414:$AW414&lt;&gt;"")*(1/(1+EXP(-(T414-'03_Lap_b'!$B$30:$AW$30))))^2)</f>
        <v/>
      </c>
      <c r="W414" s="5">
        <f>MEDIAN(-6,T414+(C414-U414)/MAX(U414-V414,0.000000001),6)</f>
        <v/>
      </c>
      <c r="X414" s="5">
        <f>SUMPRODUCT(('01_Data'!$B414:$AW414&lt;&gt;"")*(1/(1+EXP(-(W414-'03_Lap_b'!$B$35:$AW$35)))))</f>
        <v/>
      </c>
      <c r="Y414" s="5">
        <f>SUMPRODUCT(('01_Data'!$B414:$AW414&lt;&gt;"")*(1/(1+EXP(-(W414-'03_Lap_b'!$B$35:$AW$35))))^2)</f>
        <v/>
      </c>
      <c r="Z414" s="5">
        <f>MEDIAN(-6,W414+(C414-X414)/MAX(X414-Y414,0.000000001),6)</f>
        <v/>
      </c>
      <c r="AA414" s="5">
        <f>SUMPRODUCT(('01_Data'!$B414:$AW414&lt;&gt;"")*(1/(1+EXP(-(Z414-'03_Lap_b'!$B$40:$AW$40)))))</f>
        <v/>
      </c>
      <c r="AB414" s="5">
        <f>SUMPRODUCT(('01_Data'!$B414:$AW414&lt;&gt;"")*(1/(1+EXP(-(Z414-'03_Lap_b'!$B$40:$AW$40))))^2)</f>
        <v/>
      </c>
      <c r="AC414" s="5">
        <f>MEDIAN(-6,Z414+(C414-AA414)/MAX(AA414-AB414,0.000000001),6)</f>
        <v/>
      </c>
    </row>
    <row r="415">
      <c r="A415" t="n">
        <v>414</v>
      </c>
      <c r="B415">
        <f>'01_Data'!A415</f>
        <v/>
      </c>
      <c r="C415">
        <f>SUM('01_Data'!$B415:$AW415)</f>
        <v/>
      </c>
      <c r="D415">
        <f>COUNT('01_Data'!$B415:$AW415)</f>
        <v/>
      </c>
      <c r="E415" s="5">
        <f>MEDIAN(-6,LN((C415+0.3)/(D415-C415+0.3)),6)</f>
        <v/>
      </c>
      <c r="F415" s="5">
        <f>SUMPRODUCT(('01_Data'!$B415:$AW415&lt;&gt;"")*(1/(1+EXP(-(E415-'03_Lap_b'!$B$5:$AW$5)))))</f>
        <v/>
      </c>
      <c r="G415" s="5">
        <f>SUMPRODUCT(('01_Data'!$B415:$AW415&lt;&gt;"")*(1/(1+EXP(-(E415-'03_Lap_b'!$B$5:$AW$5))))^2)</f>
        <v/>
      </c>
      <c r="H415" s="5">
        <f>MEDIAN(-6,E415+(C415-F415)/MAX(F415-G415,0.000000001),6)</f>
        <v/>
      </c>
      <c r="I415" s="5">
        <f>SUMPRODUCT(('01_Data'!$B415:$AW415&lt;&gt;"")*(1/(1+EXP(-(H415-'03_Lap_b'!$B$10:$AW$10)))))</f>
        <v/>
      </c>
      <c r="J415" s="5">
        <f>SUMPRODUCT(('01_Data'!$B415:$AW415&lt;&gt;"")*(1/(1+EXP(-(H415-'03_Lap_b'!$B$10:$AW$10))))^2)</f>
        <v/>
      </c>
      <c r="K415" s="5">
        <f>MEDIAN(-6,H415+(C415-I415)/MAX(I415-J415,0.000000001),6)</f>
        <v/>
      </c>
      <c r="L415" s="5">
        <f>SUMPRODUCT(('01_Data'!$B415:$AW415&lt;&gt;"")*(1/(1+EXP(-(K415-'03_Lap_b'!$B$15:$AW$15)))))</f>
        <v/>
      </c>
      <c r="M415" s="5">
        <f>SUMPRODUCT(('01_Data'!$B415:$AW415&lt;&gt;"")*(1/(1+EXP(-(K415-'03_Lap_b'!$B$15:$AW$15))))^2)</f>
        <v/>
      </c>
      <c r="N415" s="5">
        <f>MEDIAN(-6,K415+(C415-L415)/MAX(L415-M415,0.000000001),6)</f>
        <v/>
      </c>
      <c r="O415" s="5">
        <f>SUMPRODUCT(('01_Data'!$B415:$AW415&lt;&gt;"")*(1/(1+EXP(-(N415-'03_Lap_b'!$B$20:$AW$20)))))</f>
        <v/>
      </c>
      <c r="P415" s="5">
        <f>SUMPRODUCT(('01_Data'!$B415:$AW415&lt;&gt;"")*(1/(1+EXP(-(N415-'03_Lap_b'!$B$20:$AW$20))))^2)</f>
        <v/>
      </c>
      <c r="Q415" s="5">
        <f>MEDIAN(-6,N415+(C415-O415)/MAX(O415-P415,0.000000001),6)</f>
        <v/>
      </c>
      <c r="R415" s="5">
        <f>SUMPRODUCT(('01_Data'!$B415:$AW415&lt;&gt;"")*(1/(1+EXP(-(Q415-'03_Lap_b'!$B$25:$AW$25)))))</f>
        <v/>
      </c>
      <c r="S415" s="5">
        <f>SUMPRODUCT(('01_Data'!$B415:$AW415&lt;&gt;"")*(1/(1+EXP(-(Q415-'03_Lap_b'!$B$25:$AW$25))))^2)</f>
        <v/>
      </c>
      <c r="T415" s="5">
        <f>MEDIAN(-6,Q415+(C415-R415)/MAX(R415-S415,0.000000001),6)</f>
        <v/>
      </c>
      <c r="U415" s="5">
        <f>SUMPRODUCT(('01_Data'!$B415:$AW415&lt;&gt;"")*(1/(1+EXP(-(T415-'03_Lap_b'!$B$30:$AW$30)))))</f>
        <v/>
      </c>
      <c r="V415" s="5">
        <f>SUMPRODUCT(('01_Data'!$B415:$AW415&lt;&gt;"")*(1/(1+EXP(-(T415-'03_Lap_b'!$B$30:$AW$30))))^2)</f>
        <v/>
      </c>
      <c r="W415" s="5">
        <f>MEDIAN(-6,T415+(C415-U415)/MAX(U415-V415,0.000000001),6)</f>
        <v/>
      </c>
      <c r="X415" s="5">
        <f>SUMPRODUCT(('01_Data'!$B415:$AW415&lt;&gt;"")*(1/(1+EXP(-(W415-'03_Lap_b'!$B$35:$AW$35)))))</f>
        <v/>
      </c>
      <c r="Y415" s="5">
        <f>SUMPRODUCT(('01_Data'!$B415:$AW415&lt;&gt;"")*(1/(1+EXP(-(W415-'03_Lap_b'!$B$35:$AW$35))))^2)</f>
        <v/>
      </c>
      <c r="Z415" s="5">
        <f>MEDIAN(-6,W415+(C415-X415)/MAX(X415-Y415,0.000000001),6)</f>
        <v/>
      </c>
      <c r="AA415" s="5">
        <f>SUMPRODUCT(('01_Data'!$B415:$AW415&lt;&gt;"")*(1/(1+EXP(-(Z415-'03_Lap_b'!$B$40:$AW$40)))))</f>
        <v/>
      </c>
      <c r="AB415" s="5">
        <f>SUMPRODUCT(('01_Data'!$B415:$AW415&lt;&gt;"")*(1/(1+EXP(-(Z415-'03_Lap_b'!$B$40:$AW$40))))^2)</f>
        <v/>
      </c>
      <c r="AC415" s="5">
        <f>MEDIAN(-6,Z415+(C415-AA415)/MAX(AA415-AB415,0.000000001),6)</f>
        <v/>
      </c>
    </row>
    <row r="416">
      <c r="A416" t="n">
        <v>415</v>
      </c>
      <c r="B416">
        <f>'01_Data'!A416</f>
        <v/>
      </c>
      <c r="C416">
        <f>SUM('01_Data'!$B416:$AW416)</f>
        <v/>
      </c>
      <c r="D416">
        <f>COUNT('01_Data'!$B416:$AW416)</f>
        <v/>
      </c>
      <c r="E416" s="5">
        <f>MEDIAN(-6,LN((C416+0.3)/(D416-C416+0.3)),6)</f>
        <v/>
      </c>
      <c r="F416" s="5">
        <f>SUMPRODUCT(('01_Data'!$B416:$AW416&lt;&gt;"")*(1/(1+EXP(-(E416-'03_Lap_b'!$B$5:$AW$5)))))</f>
        <v/>
      </c>
      <c r="G416" s="5">
        <f>SUMPRODUCT(('01_Data'!$B416:$AW416&lt;&gt;"")*(1/(1+EXP(-(E416-'03_Lap_b'!$B$5:$AW$5))))^2)</f>
        <v/>
      </c>
      <c r="H416" s="5">
        <f>MEDIAN(-6,E416+(C416-F416)/MAX(F416-G416,0.000000001),6)</f>
        <v/>
      </c>
      <c r="I416" s="5">
        <f>SUMPRODUCT(('01_Data'!$B416:$AW416&lt;&gt;"")*(1/(1+EXP(-(H416-'03_Lap_b'!$B$10:$AW$10)))))</f>
        <v/>
      </c>
      <c r="J416" s="5">
        <f>SUMPRODUCT(('01_Data'!$B416:$AW416&lt;&gt;"")*(1/(1+EXP(-(H416-'03_Lap_b'!$B$10:$AW$10))))^2)</f>
        <v/>
      </c>
      <c r="K416" s="5">
        <f>MEDIAN(-6,H416+(C416-I416)/MAX(I416-J416,0.000000001),6)</f>
        <v/>
      </c>
      <c r="L416" s="5">
        <f>SUMPRODUCT(('01_Data'!$B416:$AW416&lt;&gt;"")*(1/(1+EXP(-(K416-'03_Lap_b'!$B$15:$AW$15)))))</f>
        <v/>
      </c>
      <c r="M416" s="5">
        <f>SUMPRODUCT(('01_Data'!$B416:$AW416&lt;&gt;"")*(1/(1+EXP(-(K416-'03_Lap_b'!$B$15:$AW$15))))^2)</f>
        <v/>
      </c>
      <c r="N416" s="5">
        <f>MEDIAN(-6,K416+(C416-L416)/MAX(L416-M416,0.000000001),6)</f>
        <v/>
      </c>
      <c r="O416" s="5">
        <f>SUMPRODUCT(('01_Data'!$B416:$AW416&lt;&gt;"")*(1/(1+EXP(-(N416-'03_Lap_b'!$B$20:$AW$20)))))</f>
        <v/>
      </c>
      <c r="P416" s="5">
        <f>SUMPRODUCT(('01_Data'!$B416:$AW416&lt;&gt;"")*(1/(1+EXP(-(N416-'03_Lap_b'!$B$20:$AW$20))))^2)</f>
        <v/>
      </c>
      <c r="Q416" s="5">
        <f>MEDIAN(-6,N416+(C416-O416)/MAX(O416-P416,0.000000001),6)</f>
        <v/>
      </c>
      <c r="R416" s="5">
        <f>SUMPRODUCT(('01_Data'!$B416:$AW416&lt;&gt;"")*(1/(1+EXP(-(Q416-'03_Lap_b'!$B$25:$AW$25)))))</f>
        <v/>
      </c>
      <c r="S416" s="5">
        <f>SUMPRODUCT(('01_Data'!$B416:$AW416&lt;&gt;"")*(1/(1+EXP(-(Q416-'03_Lap_b'!$B$25:$AW$25))))^2)</f>
        <v/>
      </c>
      <c r="T416" s="5">
        <f>MEDIAN(-6,Q416+(C416-R416)/MAX(R416-S416,0.000000001),6)</f>
        <v/>
      </c>
      <c r="U416" s="5">
        <f>SUMPRODUCT(('01_Data'!$B416:$AW416&lt;&gt;"")*(1/(1+EXP(-(T416-'03_Lap_b'!$B$30:$AW$30)))))</f>
        <v/>
      </c>
      <c r="V416" s="5">
        <f>SUMPRODUCT(('01_Data'!$B416:$AW416&lt;&gt;"")*(1/(1+EXP(-(T416-'03_Lap_b'!$B$30:$AW$30))))^2)</f>
        <v/>
      </c>
      <c r="W416" s="5">
        <f>MEDIAN(-6,T416+(C416-U416)/MAX(U416-V416,0.000000001),6)</f>
        <v/>
      </c>
      <c r="X416" s="5">
        <f>SUMPRODUCT(('01_Data'!$B416:$AW416&lt;&gt;"")*(1/(1+EXP(-(W416-'03_Lap_b'!$B$35:$AW$35)))))</f>
        <v/>
      </c>
      <c r="Y416" s="5">
        <f>SUMPRODUCT(('01_Data'!$B416:$AW416&lt;&gt;"")*(1/(1+EXP(-(W416-'03_Lap_b'!$B$35:$AW$35))))^2)</f>
        <v/>
      </c>
      <c r="Z416" s="5">
        <f>MEDIAN(-6,W416+(C416-X416)/MAX(X416-Y416,0.000000001),6)</f>
        <v/>
      </c>
      <c r="AA416" s="5">
        <f>SUMPRODUCT(('01_Data'!$B416:$AW416&lt;&gt;"")*(1/(1+EXP(-(Z416-'03_Lap_b'!$B$40:$AW$40)))))</f>
        <v/>
      </c>
      <c r="AB416" s="5">
        <f>SUMPRODUCT(('01_Data'!$B416:$AW416&lt;&gt;"")*(1/(1+EXP(-(Z416-'03_Lap_b'!$B$40:$AW$40))))^2)</f>
        <v/>
      </c>
      <c r="AC416" s="5">
        <f>MEDIAN(-6,Z416+(C416-AA416)/MAX(AA416-AB416,0.000000001),6)</f>
        <v/>
      </c>
    </row>
    <row r="417">
      <c r="A417" t="n">
        <v>416</v>
      </c>
      <c r="B417">
        <f>'01_Data'!A417</f>
        <v/>
      </c>
      <c r="C417">
        <f>SUM('01_Data'!$B417:$AW417)</f>
        <v/>
      </c>
      <c r="D417">
        <f>COUNT('01_Data'!$B417:$AW417)</f>
        <v/>
      </c>
      <c r="E417" s="5">
        <f>MEDIAN(-6,LN((C417+0.3)/(D417-C417+0.3)),6)</f>
        <v/>
      </c>
      <c r="F417" s="5">
        <f>SUMPRODUCT(('01_Data'!$B417:$AW417&lt;&gt;"")*(1/(1+EXP(-(E417-'03_Lap_b'!$B$5:$AW$5)))))</f>
        <v/>
      </c>
      <c r="G417" s="5">
        <f>SUMPRODUCT(('01_Data'!$B417:$AW417&lt;&gt;"")*(1/(1+EXP(-(E417-'03_Lap_b'!$B$5:$AW$5))))^2)</f>
        <v/>
      </c>
      <c r="H417" s="5">
        <f>MEDIAN(-6,E417+(C417-F417)/MAX(F417-G417,0.000000001),6)</f>
        <v/>
      </c>
      <c r="I417" s="5">
        <f>SUMPRODUCT(('01_Data'!$B417:$AW417&lt;&gt;"")*(1/(1+EXP(-(H417-'03_Lap_b'!$B$10:$AW$10)))))</f>
        <v/>
      </c>
      <c r="J417" s="5">
        <f>SUMPRODUCT(('01_Data'!$B417:$AW417&lt;&gt;"")*(1/(1+EXP(-(H417-'03_Lap_b'!$B$10:$AW$10))))^2)</f>
        <v/>
      </c>
      <c r="K417" s="5">
        <f>MEDIAN(-6,H417+(C417-I417)/MAX(I417-J417,0.000000001),6)</f>
        <v/>
      </c>
      <c r="L417" s="5">
        <f>SUMPRODUCT(('01_Data'!$B417:$AW417&lt;&gt;"")*(1/(1+EXP(-(K417-'03_Lap_b'!$B$15:$AW$15)))))</f>
        <v/>
      </c>
      <c r="M417" s="5">
        <f>SUMPRODUCT(('01_Data'!$B417:$AW417&lt;&gt;"")*(1/(1+EXP(-(K417-'03_Lap_b'!$B$15:$AW$15))))^2)</f>
        <v/>
      </c>
      <c r="N417" s="5">
        <f>MEDIAN(-6,K417+(C417-L417)/MAX(L417-M417,0.000000001),6)</f>
        <v/>
      </c>
      <c r="O417" s="5">
        <f>SUMPRODUCT(('01_Data'!$B417:$AW417&lt;&gt;"")*(1/(1+EXP(-(N417-'03_Lap_b'!$B$20:$AW$20)))))</f>
        <v/>
      </c>
      <c r="P417" s="5">
        <f>SUMPRODUCT(('01_Data'!$B417:$AW417&lt;&gt;"")*(1/(1+EXP(-(N417-'03_Lap_b'!$B$20:$AW$20))))^2)</f>
        <v/>
      </c>
      <c r="Q417" s="5">
        <f>MEDIAN(-6,N417+(C417-O417)/MAX(O417-P417,0.000000001),6)</f>
        <v/>
      </c>
      <c r="R417" s="5">
        <f>SUMPRODUCT(('01_Data'!$B417:$AW417&lt;&gt;"")*(1/(1+EXP(-(Q417-'03_Lap_b'!$B$25:$AW$25)))))</f>
        <v/>
      </c>
      <c r="S417" s="5">
        <f>SUMPRODUCT(('01_Data'!$B417:$AW417&lt;&gt;"")*(1/(1+EXP(-(Q417-'03_Lap_b'!$B$25:$AW$25))))^2)</f>
        <v/>
      </c>
      <c r="T417" s="5">
        <f>MEDIAN(-6,Q417+(C417-R417)/MAX(R417-S417,0.000000001),6)</f>
        <v/>
      </c>
      <c r="U417" s="5">
        <f>SUMPRODUCT(('01_Data'!$B417:$AW417&lt;&gt;"")*(1/(1+EXP(-(T417-'03_Lap_b'!$B$30:$AW$30)))))</f>
        <v/>
      </c>
      <c r="V417" s="5">
        <f>SUMPRODUCT(('01_Data'!$B417:$AW417&lt;&gt;"")*(1/(1+EXP(-(T417-'03_Lap_b'!$B$30:$AW$30))))^2)</f>
        <v/>
      </c>
      <c r="W417" s="5">
        <f>MEDIAN(-6,T417+(C417-U417)/MAX(U417-V417,0.000000001),6)</f>
        <v/>
      </c>
      <c r="X417" s="5">
        <f>SUMPRODUCT(('01_Data'!$B417:$AW417&lt;&gt;"")*(1/(1+EXP(-(W417-'03_Lap_b'!$B$35:$AW$35)))))</f>
        <v/>
      </c>
      <c r="Y417" s="5">
        <f>SUMPRODUCT(('01_Data'!$B417:$AW417&lt;&gt;"")*(1/(1+EXP(-(W417-'03_Lap_b'!$B$35:$AW$35))))^2)</f>
        <v/>
      </c>
      <c r="Z417" s="5">
        <f>MEDIAN(-6,W417+(C417-X417)/MAX(X417-Y417,0.000000001),6)</f>
        <v/>
      </c>
      <c r="AA417" s="5">
        <f>SUMPRODUCT(('01_Data'!$B417:$AW417&lt;&gt;"")*(1/(1+EXP(-(Z417-'03_Lap_b'!$B$40:$AW$40)))))</f>
        <v/>
      </c>
      <c r="AB417" s="5">
        <f>SUMPRODUCT(('01_Data'!$B417:$AW417&lt;&gt;"")*(1/(1+EXP(-(Z417-'03_Lap_b'!$B$40:$AW$40))))^2)</f>
        <v/>
      </c>
      <c r="AC417" s="5">
        <f>MEDIAN(-6,Z417+(C417-AA417)/MAX(AA417-AB417,0.000000001),6)</f>
        <v/>
      </c>
    </row>
    <row r="418">
      <c r="A418" t="n">
        <v>417</v>
      </c>
      <c r="B418">
        <f>'01_Data'!A418</f>
        <v/>
      </c>
      <c r="C418">
        <f>SUM('01_Data'!$B418:$AW418)</f>
        <v/>
      </c>
      <c r="D418">
        <f>COUNT('01_Data'!$B418:$AW418)</f>
        <v/>
      </c>
      <c r="E418" s="5">
        <f>MEDIAN(-6,LN((C418+0.3)/(D418-C418+0.3)),6)</f>
        <v/>
      </c>
      <c r="F418" s="5">
        <f>SUMPRODUCT(('01_Data'!$B418:$AW418&lt;&gt;"")*(1/(1+EXP(-(E418-'03_Lap_b'!$B$5:$AW$5)))))</f>
        <v/>
      </c>
      <c r="G418" s="5">
        <f>SUMPRODUCT(('01_Data'!$B418:$AW418&lt;&gt;"")*(1/(1+EXP(-(E418-'03_Lap_b'!$B$5:$AW$5))))^2)</f>
        <v/>
      </c>
      <c r="H418" s="5">
        <f>MEDIAN(-6,E418+(C418-F418)/MAX(F418-G418,0.000000001),6)</f>
        <v/>
      </c>
      <c r="I418" s="5">
        <f>SUMPRODUCT(('01_Data'!$B418:$AW418&lt;&gt;"")*(1/(1+EXP(-(H418-'03_Lap_b'!$B$10:$AW$10)))))</f>
        <v/>
      </c>
      <c r="J418" s="5">
        <f>SUMPRODUCT(('01_Data'!$B418:$AW418&lt;&gt;"")*(1/(1+EXP(-(H418-'03_Lap_b'!$B$10:$AW$10))))^2)</f>
        <v/>
      </c>
      <c r="K418" s="5">
        <f>MEDIAN(-6,H418+(C418-I418)/MAX(I418-J418,0.000000001),6)</f>
        <v/>
      </c>
      <c r="L418" s="5">
        <f>SUMPRODUCT(('01_Data'!$B418:$AW418&lt;&gt;"")*(1/(1+EXP(-(K418-'03_Lap_b'!$B$15:$AW$15)))))</f>
        <v/>
      </c>
      <c r="M418" s="5">
        <f>SUMPRODUCT(('01_Data'!$B418:$AW418&lt;&gt;"")*(1/(1+EXP(-(K418-'03_Lap_b'!$B$15:$AW$15))))^2)</f>
        <v/>
      </c>
      <c r="N418" s="5">
        <f>MEDIAN(-6,K418+(C418-L418)/MAX(L418-M418,0.000000001),6)</f>
        <v/>
      </c>
      <c r="O418" s="5">
        <f>SUMPRODUCT(('01_Data'!$B418:$AW418&lt;&gt;"")*(1/(1+EXP(-(N418-'03_Lap_b'!$B$20:$AW$20)))))</f>
        <v/>
      </c>
      <c r="P418" s="5">
        <f>SUMPRODUCT(('01_Data'!$B418:$AW418&lt;&gt;"")*(1/(1+EXP(-(N418-'03_Lap_b'!$B$20:$AW$20))))^2)</f>
        <v/>
      </c>
      <c r="Q418" s="5">
        <f>MEDIAN(-6,N418+(C418-O418)/MAX(O418-P418,0.000000001),6)</f>
        <v/>
      </c>
      <c r="R418" s="5">
        <f>SUMPRODUCT(('01_Data'!$B418:$AW418&lt;&gt;"")*(1/(1+EXP(-(Q418-'03_Lap_b'!$B$25:$AW$25)))))</f>
        <v/>
      </c>
      <c r="S418" s="5">
        <f>SUMPRODUCT(('01_Data'!$B418:$AW418&lt;&gt;"")*(1/(1+EXP(-(Q418-'03_Lap_b'!$B$25:$AW$25))))^2)</f>
        <v/>
      </c>
      <c r="T418" s="5">
        <f>MEDIAN(-6,Q418+(C418-R418)/MAX(R418-S418,0.000000001),6)</f>
        <v/>
      </c>
      <c r="U418" s="5">
        <f>SUMPRODUCT(('01_Data'!$B418:$AW418&lt;&gt;"")*(1/(1+EXP(-(T418-'03_Lap_b'!$B$30:$AW$30)))))</f>
        <v/>
      </c>
      <c r="V418" s="5">
        <f>SUMPRODUCT(('01_Data'!$B418:$AW418&lt;&gt;"")*(1/(1+EXP(-(T418-'03_Lap_b'!$B$30:$AW$30))))^2)</f>
        <v/>
      </c>
      <c r="W418" s="5">
        <f>MEDIAN(-6,T418+(C418-U418)/MAX(U418-V418,0.000000001),6)</f>
        <v/>
      </c>
      <c r="X418" s="5">
        <f>SUMPRODUCT(('01_Data'!$B418:$AW418&lt;&gt;"")*(1/(1+EXP(-(W418-'03_Lap_b'!$B$35:$AW$35)))))</f>
        <v/>
      </c>
      <c r="Y418" s="5">
        <f>SUMPRODUCT(('01_Data'!$B418:$AW418&lt;&gt;"")*(1/(1+EXP(-(W418-'03_Lap_b'!$B$35:$AW$35))))^2)</f>
        <v/>
      </c>
      <c r="Z418" s="5">
        <f>MEDIAN(-6,W418+(C418-X418)/MAX(X418-Y418,0.000000001),6)</f>
        <v/>
      </c>
      <c r="AA418" s="5">
        <f>SUMPRODUCT(('01_Data'!$B418:$AW418&lt;&gt;"")*(1/(1+EXP(-(Z418-'03_Lap_b'!$B$40:$AW$40)))))</f>
        <v/>
      </c>
      <c r="AB418" s="5">
        <f>SUMPRODUCT(('01_Data'!$B418:$AW418&lt;&gt;"")*(1/(1+EXP(-(Z418-'03_Lap_b'!$B$40:$AW$40))))^2)</f>
        <v/>
      </c>
      <c r="AC418" s="5">
        <f>MEDIAN(-6,Z418+(C418-AA418)/MAX(AA418-AB418,0.000000001),6)</f>
        <v/>
      </c>
    </row>
    <row r="419">
      <c r="A419" t="n">
        <v>418</v>
      </c>
      <c r="B419">
        <f>'01_Data'!A419</f>
        <v/>
      </c>
      <c r="C419">
        <f>SUM('01_Data'!$B419:$AW419)</f>
        <v/>
      </c>
      <c r="D419">
        <f>COUNT('01_Data'!$B419:$AW419)</f>
        <v/>
      </c>
      <c r="E419" s="5">
        <f>MEDIAN(-6,LN((C419+0.3)/(D419-C419+0.3)),6)</f>
        <v/>
      </c>
      <c r="F419" s="5">
        <f>SUMPRODUCT(('01_Data'!$B419:$AW419&lt;&gt;"")*(1/(1+EXP(-(E419-'03_Lap_b'!$B$5:$AW$5)))))</f>
        <v/>
      </c>
      <c r="G419" s="5">
        <f>SUMPRODUCT(('01_Data'!$B419:$AW419&lt;&gt;"")*(1/(1+EXP(-(E419-'03_Lap_b'!$B$5:$AW$5))))^2)</f>
        <v/>
      </c>
      <c r="H419" s="5">
        <f>MEDIAN(-6,E419+(C419-F419)/MAX(F419-G419,0.000000001),6)</f>
        <v/>
      </c>
      <c r="I419" s="5">
        <f>SUMPRODUCT(('01_Data'!$B419:$AW419&lt;&gt;"")*(1/(1+EXP(-(H419-'03_Lap_b'!$B$10:$AW$10)))))</f>
        <v/>
      </c>
      <c r="J419" s="5">
        <f>SUMPRODUCT(('01_Data'!$B419:$AW419&lt;&gt;"")*(1/(1+EXP(-(H419-'03_Lap_b'!$B$10:$AW$10))))^2)</f>
        <v/>
      </c>
      <c r="K419" s="5">
        <f>MEDIAN(-6,H419+(C419-I419)/MAX(I419-J419,0.000000001),6)</f>
        <v/>
      </c>
      <c r="L419" s="5">
        <f>SUMPRODUCT(('01_Data'!$B419:$AW419&lt;&gt;"")*(1/(1+EXP(-(K419-'03_Lap_b'!$B$15:$AW$15)))))</f>
        <v/>
      </c>
      <c r="M419" s="5">
        <f>SUMPRODUCT(('01_Data'!$B419:$AW419&lt;&gt;"")*(1/(1+EXP(-(K419-'03_Lap_b'!$B$15:$AW$15))))^2)</f>
        <v/>
      </c>
      <c r="N419" s="5">
        <f>MEDIAN(-6,K419+(C419-L419)/MAX(L419-M419,0.000000001),6)</f>
        <v/>
      </c>
      <c r="O419" s="5">
        <f>SUMPRODUCT(('01_Data'!$B419:$AW419&lt;&gt;"")*(1/(1+EXP(-(N419-'03_Lap_b'!$B$20:$AW$20)))))</f>
        <v/>
      </c>
      <c r="P419" s="5">
        <f>SUMPRODUCT(('01_Data'!$B419:$AW419&lt;&gt;"")*(1/(1+EXP(-(N419-'03_Lap_b'!$B$20:$AW$20))))^2)</f>
        <v/>
      </c>
      <c r="Q419" s="5">
        <f>MEDIAN(-6,N419+(C419-O419)/MAX(O419-P419,0.000000001),6)</f>
        <v/>
      </c>
      <c r="R419" s="5">
        <f>SUMPRODUCT(('01_Data'!$B419:$AW419&lt;&gt;"")*(1/(1+EXP(-(Q419-'03_Lap_b'!$B$25:$AW$25)))))</f>
        <v/>
      </c>
      <c r="S419" s="5">
        <f>SUMPRODUCT(('01_Data'!$B419:$AW419&lt;&gt;"")*(1/(1+EXP(-(Q419-'03_Lap_b'!$B$25:$AW$25))))^2)</f>
        <v/>
      </c>
      <c r="T419" s="5">
        <f>MEDIAN(-6,Q419+(C419-R419)/MAX(R419-S419,0.000000001),6)</f>
        <v/>
      </c>
      <c r="U419" s="5">
        <f>SUMPRODUCT(('01_Data'!$B419:$AW419&lt;&gt;"")*(1/(1+EXP(-(T419-'03_Lap_b'!$B$30:$AW$30)))))</f>
        <v/>
      </c>
      <c r="V419" s="5">
        <f>SUMPRODUCT(('01_Data'!$B419:$AW419&lt;&gt;"")*(1/(1+EXP(-(T419-'03_Lap_b'!$B$30:$AW$30))))^2)</f>
        <v/>
      </c>
      <c r="W419" s="5">
        <f>MEDIAN(-6,T419+(C419-U419)/MAX(U419-V419,0.000000001),6)</f>
        <v/>
      </c>
      <c r="X419" s="5">
        <f>SUMPRODUCT(('01_Data'!$B419:$AW419&lt;&gt;"")*(1/(1+EXP(-(W419-'03_Lap_b'!$B$35:$AW$35)))))</f>
        <v/>
      </c>
      <c r="Y419" s="5">
        <f>SUMPRODUCT(('01_Data'!$B419:$AW419&lt;&gt;"")*(1/(1+EXP(-(W419-'03_Lap_b'!$B$35:$AW$35))))^2)</f>
        <v/>
      </c>
      <c r="Z419" s="5">
        <f>MEDIAN(-6,W419+(C419-X419)/MAX(X419-Y419,0.000000001),6)</f>
        <v/>
      </c>
      <c r="AA419" s="5">
        <f>SUMPRODUCT(('01_Data'!$B419:$AW419&lt;&gt;"")*(1/(1+EXP(-(Z419-'03_Lap_b'!$B$40:$AW$40)))))</f>
        <v/>
      </c>
      <c r="AB419" s="5">
        <f>SUMPRODUCT(('01_Data'!$B419:$AW419&lt;&gt;"")*(1/(1+EXP(-(Z419-'03_Lap_b'!$B$40:$AW$40))))^2)</f>
        <v/>
      </c>
      <c r="AC419" s="5">
        <f>MEDIAN(-6,Z419+(C419-AA419)/MAX(AA419-AB419,0.000000001),6)</f>
        <v/>
      </c>
    </row>
    <row r="420">
      <c r="A420" t="n">
        <v>419</v>
      </c>
      <c r="B420">
        <f>'01_Data'!A420</f>
        <v/>
      </c>
      <c r="C420">
        <f>SUM('01_Data'!$B420:$AW420)</f>
        <v/>
      </c>
      <c r="D420">
        <f>COUNT('01_Data'!$B420:$AW420)</f>
        <v/>
      </c>
      <c r="E420" s="5">
        <f>MEDIAN(-6,LN((C420+0.3)/(D420-C420+0.3)),6)</f>
        <v/>
      </c>
      <c r="F420" s="5">
        <f>SUMPRODUCT(('01_Data'!$B420:$AW420&lt;&gt;"")*(1/(1+EXP(-(E420-'03_Lap_b'!$B$5:$AW$5)))))</f>
        <v/>
      </c>
      <c r="G420" s="5">
        <f>SUMPRODUCT(('01_Data'!$B420:$AW420&lt;&gt;"")*(1/(1+EXP(-(E420-'03_Lap_b'!$B$5:$AW$5))))^2)</f>
        <v/>
      </c>
      <c r="H420" s="5">
        <f>MEDIAN(-6,E420+(C420-F420)/MAX(F420-G420,0.000000001),6)</f>
        <v/>
      </c>
      <c r="I420" s="5">
        <f>SUMPRODUCT(('01_Data'!$B420:$AW420&lt;&gt;"")*(1/(1+EXP(-(H420-'03_Lap_b'!$B$10:$AW$10)))))</f>
        <v/>
      </c>
      <c r="J420" s="5">
        <f>SUMPRODUCT(('01_Data'!$B420:$AW420&lt;&gt;"")*(1/(1+EXP(-(H420-'03_Lap_b'!$B$10:$AW$10))))^2)</f>
        <v/>
      </c>
      <c r="K420" s="5">
        <f>MEDIAN(-6,H420+(C420-I420)/MAX(I420-J420,0.000000001),6)</f>
        <v/>
      </c>
      <c r="L420" s="5">
        <f>SUMPRODUCT(('01_Data'!$B420:$AW420&lt;&gt;"")*(1/(1+EXP(-(K420-'03_Lap_b'!$B$15:$AW$15)))))</f>
        <v/>
      </c>
      <c r="M420" s="5">
        <f>SUMPRODUCT(('01_Data'!$B420:$AW420&lt;&gt;"")*(1/(1+EXP(-(K420-'03_Lap_b'!$B$15:$AW$15))))^2)</f>
        <v/>
      </c>
      <c r="N420" s="5">
        <f>MEDIAN(-6,K420+(C420-L420)/MAX(L420-M420,0.000000001),6)</f>
        <v/>
      </c>
      <c r="O420" s="5">
        <f>SUMPRODUCT(('01_Data'!$B420:$AW420&lt;&gt;"")*(1/(1+EXP(-(N420-'03_Lap_b'!$B$20:$AW$20)))))</f>
        <v/>
      </c>
      <c r="P420" s="5">
        <f>SUMPRODUCT(('01_Data'!$B420:$AW420&lt;&gt;"")*(1/(1+EXP(-(N420-'03_Lap_b'!$B$20:$AW$20))))^2)</f>
        <v/>
      </c>
      <c r="Q420" s="5">
        <f>MEDIAN(-6,N420+(C420-O420)/MAX(O420-P420,0.000000001),6)</f>
        <v/>
      </c>
      <c r="R420" s="5">
        <f>SUMPRODUCT(('01_Data'!$B420:$AW420&lt;&gt;"")*(1/(1+EXP(-(Q420-'03_Lap_b'!$B$25:$AW$25)))))</f>
        <v/>
      </c>
      <c r="S420" s="5">
        <f>SUMPRODUCT(('01_Data'!$B420:$AW420&lt;&gt;"")*(1/(1+EXP(-(Q420-'03_Lap_b'!$B$25:$AW$25))))^2)</f>
        <v/>
      </c>
      <c r="T420" s="5">
        <f>MEDIAN(-6,Q420+(C420-R420)/MAX(R420-S420,0.000000001),6)</f>
        <v/>
      </c>
      <c r="U420" s="5">
        <f>SUMPRODUCT(('01_Data'!$B420:$AW420&lt;&gt;"")*(1/(1+EXP(-(T420-'03_Lap_b'!$B$30:$AW$30)))))</f>
        <v/>
      </c>
      <c r="V420" s="5">
        <f>SUMPRODUCT(('01_Data'!$B420:$AW420&lt;&gt;"")*(1/(1+EXP(-(T420-'03_Lap_b'!$B$30:$AW$30))))^2)</f>
        <v/>
      </c>
      <c r="W420" s="5">
        <f>MEDIAN(-6,T420+(C420-U420)/MAX(U420-V420,0.000000001),6)</f>
        <v/>
      </c>
      <c r="X420" s="5">
        <f>SUMPRODUCT(('01_Data'!$B420:$AW420&lt;&gt;"")*(1/(1+EXP(-(W420-'03_Lap_b'!$B$35:$AW$35)))))</f>
        <v/>
      </c>
      <c r="Y420" s="5">
        <f>SUMPRODUCT(('01_Data'!$B420:$AW420&lt;&gt;"")*(1/(1+EXP(-(W420-'03_Lap_b'!$B$35:$AW$35))))^2)</f>
        <v/>
      </c>
      <c r="Z420" s="5">
        <f>MEDIAN(-6,W420+(C420-X420)/MAX(X420-Y420,0.000000001),6)</f>
        <v/>
      </c>
      <c r="AA420" s="5">
        <f>SUMPRODUCT(('01_Data'!$B420:$AW420&lt;&gt;"")*(1/(1+EXP(-(Z420-'03_Lap_b'!$B$40:$AW$40)))))</f>
        <v/>
      </c>
      <c r="AB420" s="5">
        <f>SUMPRODUCT(('01_Data'!$B420:$AW420&lt;&gt;"")*(1/(1+EXP(-(Z420-'03_Lap_b'!$B$40:$AW$40))))^2)</f>
        <v/>
      </c>
      <c r="AC420" s="5">
        <f>MEDIAN(-6,Z420+(C420-AA420)/MAX(AA420-AB420,0.000000001),6)</f>
        <v/>
      </c>
    </row>
    <row r="421">
      <c r="A421" t="n">
        <v>420</v>
      </c>
      <c r="B421">
        <f>'01_Data'!A421</f>
        <v/>
      </c>
      <c r="C421">
        <f>SUM('01_Data'!$B421:$AW421)</f>
        <v/>
      </c>
      <c r="D421">
        <f>COUNT('01_Data'!$B421:$AW421)</f>
        <v/>
      </c>
      <c r="E421" s="5">
        <f>MEDIAN(-6,LN((C421+0.3)/(D421-C421+0.3)),6)</f>
        <v/>
      </c>
      <c r="F421" s="5">
        <f>SUMPRODUCT(('01_Data'!$B421:$AW421&lt;&gt;"")*(1/(1+EXP(-(E421-'03_Lap_b'!$B$5:$AW$5)))))</f>
        <v/>
      </c>
      <c r="G421" s="5">
        <f>SUMPRODUCT(('01_Data'!$B421:$AW421&lt;&gt;"")*(1/(1+EXP(-(E421-'03_Lap_b'!$B$5:$AW$5))))^2)</f>
        <v/>
      </c>
      <c r="H421" s="5">
        <f>MEDIAN(-6,E421+(C421-F421)/MAX(F421-G421,0.000000001),6)</f>
        <v/>
      </c>
      <c r="I421" s="5">
        <f>SUMPRODUCT(('01_Data'!$B421:$AW421&lt;&gt;"")*(1/(1+EXP(-(H421-'03_Lap_b'!$B$10:$AW$10)))))</f>
        <v/>
      </c>
      <c r="J421" s="5">
        <f>SUMPRODUCT(('01_Data'!$B421:$AW421&lt;&gt;"")*(1/(1+EXP(-(H421-'03_Lap_b'!$B$10:$AW$10))))^2)</f>
        <v/>
      </c>
      <c r="K421" s="5">
        <f>MEDIAN(-6,H421+(C421-I421)/MAX(I421-J421,0.000000001),6)</f>
        <v/>
      </c>
      <c r="L421" s="5">
        <f>SUMPRODUCT(('01_Data'!$B421:$AW421&lt;&gt;"")*(1/(1+EXP(-(K421-'03_Lap_b'!$B$15:$AW$15)))))</f>
        <v/>
      </c>
      <c r="M421" s="5">
        <f>SUMPRODUCT(('01_Data'!$B421:$AW421&lt;&gt;"")*(1/(1+EXP(-(K421-'03_Lap_b'!$B$15:$AW$15))))^2)</f>
        <v/>
      </c>
      <c r="N421" s="5">
        <f>MEDIAN(-6,K421+(C421-L421)/MAX(L421-M421,0.000000001),6)</f>
        <v/>
      </c>
      <c r="O421" s="5">
        <f>SUMPRODUCT(('01_Data'!$B421:$AW421&lt;&gt;"")*(1/(1+EXP(-(N421-'03_Lap_b'!$B$20:$AW$20)))))</f>
        <v/>
      </c>
      <c r="P421" s="5">
        <f>SUMPRODUCT(('01_Data'!$B421:$AW421&lt;&gt;"")*(1/(1+EXP(-(N421-'03_Lap_b'!$B$20:$AW$20))))^2)</f>
        <v/>
      </c>
      <c r="Q421" s="5">
        <f>MEDIAN(-6,N421+(C421-O421)/MAX(O421-P421,0.000000001),6)</f>
        <v/>
      </c>
      <c r="R421" s="5">
        <f>SUMPRODUCT(('01_Data'!$B421:$AW421&lt;&gt;"")*(1/(1+EXP(-(Q421-'03_Lap_b'!$B$25:$AW$25)))))</f>
        <v/>
      </c>
      <c r="S421" s="5">
        <f>SUMPRODUCT(('01_Data'!$B421:$AW421&lt;&gt;"")*(1/(1+EXP(-(Q421-'03_Lap_b'!$B$25:$AW$25))))^2)</f>
        <v/>
      </c>
      <c r="T421" s="5">
        <f>MEDIAN(-6,Q421+(C421-R421)/MAX(R421-S421,0.000000001),6)</f>
        <v/>
      </c>
      <c r="U421" s="5">
        <f>SUMPRODUCT(('01_Data'!$B421:$AW421&lt;&gt;"")*(1/(1+EXP(-(T421-'03_Lap_b'!$B$30:$AW$30)))))</f>
        <v/>
      </c>
      <c r="V421" s="5">
        <f>SUMPRODUCT(('01_Data'!$B421:$AW421&lt;&gt;"")*(1/(1+EXP(-(T421-'03_Lap_b'!$B$30:$AW$30))))^2)</f>
        <v/>
      </c>
      <c r="W421" s="5">
        <f>MEDIAN(-6,T421+(C421-U421)/MAX(U421-V421,0.000000001),6)</f>
        <v/>
      </c>
      <c r="X421" s="5">
        <f>SUMPRODUCT(('01_Data'!$B421:$AW421&lt;&gt;"")*(1/(1+EXP(-(W421-'03_Lap_b'!$B$35:$AW$35)))))</f>
        <v/>
      </c>
      <c r="Y421" s="5">
        <f>SUMPRODUCT(('01_Data'!$B421:$AW421&lt;&gt;"")*(1/(1+EXP(-(W421-'03_Lap_b'!$B$35:$AW$35))))^2)</f>
        <v/>
      </c>
      <c r="Z421" s="5">
        <f>MEDIAN(-6,W421+(C421-X421)/MAX(X421-Y421,0.000000001),6)</f>
        <v/>
      </c>
      <c r="AA421" s="5">
        <f>SUMPRODUCT(('01_Data'!$B421:$AW421&lt;&gt;"")*(1/(1+EXP(-(Z421-'03_Lap_b'!$B$40:$AW$40)))))</f>
        <v/>
      </c>
      <c r="AB421" s="5">
        <f>SUMPRODUCT(('01_Data'!$B421:$AW421&lt;&gt;"")*(1/(1+EXP(-(Z421-'03_Lap_b'!$B$40:$AW$40))))^2)</f>
        <v/>
      </c>
      <c r="AC421" s="5">
        <f>MEDIAN(-6,Z421+(C421-AA421)/MAX(AA421-AB421,0.000000001),6)</f>
        <v/>
      </c>
    </row>
    <row r="422">
      <c r="A422" t="n">
        <v>421</v>
      </c>
      <c r="B422">
        <f>'01_Data'!A422</f>
        <v/>
      </c>
      <c r="C422">
        <f>SUM('01_Data'!$B422:$AW422)</f>
        <v/>
      </c>
      <c r="D422">
        <f>COUNT('01_Data'!$B422:$AW422)</f>
        <v/>
      </c>
      <c r="E422" s="5">
        <f>MEDIAN(-6,LN((C422+0.3)/(D422-C422+0.3)),6)</f>
        <v/>
      </c>
      <c r="F422" s="5">
        <f>SUMPRODUCT(('01_Data'!$B422:$AW422&lt;&gt;"")*(1/(1+EXP(-(E422-'03_Lap_b'!$B$5:$AW$5)))))</f>
        <v/>
      </c>
      <c r="G422" s="5">
        <f>SUMPRODUCT(('01_Data'!$B422:$AW422&lt;&gt;"")*(1/(1+EXP(-(E422-'03_Lap_b'!$B$5:$AW$5))))^2)</f>
        <v/>
      </c>
      <c r="H422" s="5">
        <f>MEDIAN(-6,E422+(C422-F422)/MAX(F422-G422,0.000000001),6)</f>
        <v/>
      </c>
      <c r="I422" s="5">
        <f>SUMPRODUCT(('01_Data'!$B422:$AW422&lt;&gt;"")*(1/(1+EXP(-(H422-'03_Lap_b'!$B$10:$AW$10)))))</f>
        <v/>
      </c>
      <c r="J422" s="5">
        <f>SUMPRODUCT(('01_Data'!$B422:$AW422&lt;&gt;"")*(1/(1+EXP(-(H422-'03_Lap_b'!$B$10:$AW$10))))^2)</f>
        <v/>
      </c>
      <c r="K422" s="5">
        <f>MEDIAN(-6,H422+(C422-I422)/MAX(I422-J422,0.000000001),6)</f>
        <v/>
      </c>
      <c r="L422" s="5">
        <f>SUMPRODUCT(('01_Data'!$B422:$AW422&lt;&gt;"")*(1/(1+EXP(-(K422-'03_Lap_b'!$B$15:$AW$15)))))</f>
        <v/>
      </c>
      <c r="M422" s="5">
        <f>SUMPRODUCT(('01_Data'!$B422:$AW422&lt;&gt;"")*(1/(1+EXP(-(K422-'03_Lap_b'!$B$15:$AW$15))))^2)</f>
        <v/>
      </c>
      <c r="N422" s="5">
        <f>MEDIAN(-6,K422+(C422-L422)/MAX(L422-M422,0.000000001),6)</f>
        <v/>
      </c>
      <c r="O422" s="5">
        <f>SUMPRODUCT(('01_Data'!$B422:$AW422&lt;&gt;"")*(1/(1+EXP(-(N422-'03_Lap_b'!$B$20:$AW$20)))))</f>
        <v/>
      </c>
      <c r="P422" s="5">
        <f>SUMPRODUCT(('01_Data'!$B422:$AW422&lt;&gt;"")*(1/(1+EXP(-(N422-'03_Lap_b'!$B$20:$AW$20))))^2)</f>
        <v/>
      </c>
      <c r="Q422" s="5">
        <f>MEDIAN(-6,N422+(C422-O422)/MAX(O422-P422,0.000000001),6)</f>
        <v/>
      </c>
      <c r="R422" s="5">
        <f>SUMPRODUCT(('01_Data'!$B422:$AW422&lt;&gt;"")*(1/(1+EXP(-(Q422-'03_Lap_b'!$B$25:$AW$25)))))</f>
        <v/>
      </c>
      <c r="S422" s="5">
        <f>SUMPRODUCT(('01_Data'!$B422:$AW422&lt;&gt;"")*(1/(1+EXP(-(Q422-'03_Lap_b'!$B$25:$AW$25))))^2)</f>
        <v/>
      </c>
      <c r="T422" s="5">
        <f>MEDIAN(-6,Q422+(C422-R422)/MAX(R422-S422,0.000000001),6)</f>
        <v/>
      </c>
      <c r="U422" s="5">
        <f>SUMPRODUCT(('01_Data'!$B422:$AW422&lt;&gt;"")*(1/(1+EXP(-(T422-'03_Lap_b'!$B$30:$AW$30)))))</f>
        <v/>
      </c>
      <c r="V422" s="5">
        <f>SUMPRODUCT(('01_Data'!$B422:$AW422&lt;&gt;"")*(1/(1+EXP(-(T422-'03_Lap_b'!$B$30:$AW$30))))^2)</f>
        <v/>
      </c>
      <c r="W422" s="5">
        <f>MEDIAN(-6,T422+(C422-U422)/MAX(U422-V422,0.000000001),6)</f>
        <v/>
      </c>
      <c r="X422" s="5">
        <f>SUMPRODUCT(('01_Data'!$B422:$AW422&lt;&gt;"")*(1/(1+EXP(-(W422-'03_Lap_b'!$B$35:$AW$35)))))</f>
        <v/>
      </c>
      <c r="Y422" s="5">
        <f>SUMPRODUCT(('01_Data'!$B422:$AW422&lt;&gt;"")*(1/(1+EXP(-(W422-'03_Lap_b'!$B$35:$AW$35))))^2)</f>
        <v/>
      </c>
      <c r="Z422" s="5">
        <f>MEDIAN(-6,W422+(C422-X422)/MAX(X422-Y422,0.000000001),6)</f>
        <v/>
      </c>
      <c r="AA422" s="5">
        <f>SUMPRODUCT(('01_Data'!$B422:$AW422&lt;&gt;"")*(1/(1+EXP(-(Z422-'03_Lap_b'!$B$40:$AW$40)))))</f>
        <v/>
      </c>
      <c r="AB422" s="5">
        <f>SUMPRODUCT(('01_Data'!$B422:$AW422&lt;&gt;"")*(1/(1+EXP(-(Z422-'03_Lap_b'!$B$40:$AW$40))))^2)</f>
        <v/>
      </c>
      <c r="AC422" s="5">
        <f>MEDIAN(-6,Z422+(C422-AA422)/MAX(AA422-AB422,0.000000001),6)</f>
        <v/>
      </c>
    </row>
    <row r="423">
      <c r="A423" t="n">
        <v>422</v>
      </c>
      <c r="B423">
        <f>'01_Data'!A423</f>
        <v/>
      </c>
      <c r="C423">
        <f>SUM('01_Data'!$B423:$AW423)</f>
        <v/>
      </c>
      <c r="D423">
        <f>COUNT('01_Data'!$B423:$AW423)</f>
        <v/>
      </c>
      <c r="E423" s="5">
        <f>MEDIAN(-6,LN((C423+0.3)/(D423-C423+0.3)),6)</f>
        <v/>
      </c>
      <c r="F423" s="5">
        <f>SUMPRODUCT(('01_Data'!$B423:$AW423&lt;&gt;"")*(1/(1+EXP(-(E423-'03_Lap_b'!$B$5:$AW$5)))))</f>
        <v/>
      </c>
      <c r="G423" s="5">
        <f>SUMPRODUCT(('01_Data'!$B423:$AW423&lt;&gt;"")*(1/(1+EXP(-(E423-'03_Lap_b'!$B$5:$AW$5))))^2)</f>
        <v/>
      </c>
      <c r="H423" s="5">
        <f>MEDIAN(-6,E423+(C423-F423)/MAX(F423-G423,0.000000001),6)</f>
        <v/>
      </c>
      <c r="I423" s="5">
        <f>SUMPRODUCT(('01_Data'!$B423:$AW423&lt;&gt;"")*(1/(1+EXP(-(H423-'03_Lap_b'!$B$10:$AW$10)))))</f>
        <v/>
      </c>
      <c r="J423" s="5">
        <f>SUMPRODUCT(('01_Data'!$B423:$AW423&lt;&gt;"")*(1/(1+EXP(-(H423-'03_Lap_b'!$B$10:$AW$10))))^2)</f>
        <v/>
      </c>
      <c r="K423" s="5">
        <f>MEDIAN(-6,H423+(C423-I423)/MAX(I423-J423,0.000000001),6)</f>
        <v/>
      </c>
      <c r="L423" s="5">
        <f>SUMPRODUCT(('01_Data'!$B423:$AW423&lt;&gt;"")*(1/(1+EXP(-(K423-'03_Lap_b'!$B$15:$AW$15)))))</f>
        <v/>
      </c>
      <c r="M423" s="5">
        <f>SUMPRODUCT(('01_Data'!$B423:$AW423&lt;&gt;"")*(1/(1+EXP(-(K423-'03_Lap_b'!$B$15:$AW$15))))^2)</f>
        <v/>
      </c>
      <c r="N423" s="5">
        <f>MEDIAN(-6,K423+(C423-L423)/MAX(L423-M423,0.000000001),6)</f>
        <v/>
      </c>
      <c r="O423" s="5">
        <f>SUMPRODUCT(('01_Data'!$B423:$AW423&lt;&gt;"")*(1/(1+EXP(-(N423-'03_Lap_b'!$B$20:$AW$20)))))</f>
        <v/>
      </c>
      <c r="P423" s="5">
        <f>SUMPRODUCT(('01_Data'!$B423:$AW423&lt;&gt;"")*(1/(1+EXP(-(N423-'03_Lap_b'!$B$20:$AW$20))))^2)</f>
        <v/>
      </c>
      <c r="Q423" s="5">
        <f>MEDIAN(-6,N423+(C423-O423)/MAX(O423-P423,0.000000001),6)</f>
        <v/>
      </c>
      <c r="R423" s="5">
        <f>SUMPRODUCT(('01_Data'!$B423:$AW423&lt;&gt;"")*(1/(1+EXP(-(Q423-'03_Lap_b'!$B$25:$AW$25)))))</f>
        <v/>
      </c>
      <c r="S423" s="5">
        <f>SUMPRODUCT(('01_Data'!$B423:$AW423&lt;&gt;"")*(1/(1+EXP(-(Q423-'03_Lap_b'!$B$25:$AW$25))))^2)</f>
        <v/>
      </c>
      <c r="T423" s="5">
        <f>MEDIAN(-6,Q423+(C423-R423)/MAX(R423-S423,0.000000001),6)</f>
        <v/>
      </c>
      <c r="U423" s="5">
        <f>SUMPRODUCT(('01_Data'!$B423:$AW423&lt;&gt;"")*(1/(1+EXP(-(T423-'03_Lap_b'!$B$30:$AW$30)))))</f>
        <v/>
      </c>
      <c r="V423" s="5">
        <f>SUMPRODUCT(('01_Data'!$B423:$AW423&lt;&gt;"")*(1/(1+EXP(-(T423-'03_Lap_b'!$B$30:$AW$30))))^2)</f>
        <v/>
      </c>
      <c r="W423" s="5">
        <f>MEDIAN(-6,T423+(C423-U423)/MAX(U423-V423,0.000000001),6)</f>
        <v/>
      </c>
      <c r="X423" s="5">
        <f>SUMPRODUCT(('01_Data'!$B423:$AW423&lt;&gt;"")*(1/(1+EXP(-(W423-'03_Lap_b'!$B$35:$AW$35)))))</f>
        <v/>
      </c>
      <c r="Y423" s="5">
        <f>SUMPRODUCT(('01_Data'!$B423:$AW423&lt;&gt;"")*(1/(1+EXP(-(W423-'03_Lap_b'!$B$35:$AW$35))))^2)</f>
        <v/>
      </c>
      <c r="Z423" s="5">
        <f>MEDIAN(-6,W423+(C423-X423)/MAX(X423-Y423,0.000000001),6)</f>
        <v/>
      </c>
      <c r="AA423" s="5">
        <f>SUMPRODUCT(('01_Data'!$B423:$AW423&lt;&gt;"")*(1/(1+EXP(-(Z423-'03_Lap_b'!$B$40:$AW$40)))))</f>
        <v/>
      </c>
      <c r="AB423" s="5">
        <f>SUMPRODUCT(('01_Data'!$B423:$AW423&lt;&gt;"")*(1/(1+EXP(-(Z423-'03_Lap_b'!$B$40:$AW$40))))^2)</f>
        <v/>
      </c>
      <c r="AC423" s="5">
        <f>MEDIAN(-6,Z423+(C423-AA423)/MAX(AA423-AB423,0.000000001),6)</f>
        <v/>
      </c>
    </row>
    <row r="424">
      <c r="A424" t="n">
        <v>423</v>
      </c>
      <c r="B424">
        <f>'01_Data'!A424</f>
        <v/>
      </c>
      <c r="C424">
        <f>SUM('01_Data'!$B424:$AW424)</f>
        <v/>
      </c>
      <c r="D424">
        <f>COUNT('01_Data'!$B424:$AW424)</f>
        <v/>
      </c>
      <c r="E424" s="5">
        <f>MEDIAN(-6,LN((C424+0.3)/(D424-C424+0.3)),6)</f>
        <v/>
      </c>
      <c r="F424" s="5">
        <f>SUMPRODUCT(('01_Data'!$B424:$AW424&lt;&gt;"")*(1/(1+EXP(-(E424-'03_Lap_b'!$B$5:$AW$5)))))</f>
        <v/>
      </c>
      <c r="G424" s="5">
        <f>SUMPRODUCT(('01_Data'!$B424:$AW424&lt;&gt;"")*(1/(1+EXP(-(E424-'03_Lap_b'!$B$5:$AW$5))))^2)</f>
        <v/>
      </c>
      <c r="H424" s="5">
        <f>MEDIAN(-6,E424+(C424-F424)/MAX(F424-G424,0.000000001),6)</f>
        <v/>
      </c>
      <c r="I424" s="5">
        <f>SUMPRODUCT(('01_Data'!$B424:$AW424&lt;&gt;"")*(1/(1+EXP(-(H424-'03_Lap_b'!$B$10:$AW$10)))))</f>
        <v/>
      </c>
      <c r="J424" s="5">
        <f>SUMPRODUCT(('01_Data'!$B424:$AW424&lt;&gt;"")*(1/(1+EXP(-(H424-'03_Lap_b'!$B$10:$AW$10))))^2)</f>
        <v/>
      </c>
      <c r="K424" s="5">
        <f>MEDIAN(-6,H424+(C424-I424)/MAX(I424-J424,0.000000001),6)</f>
        <v/>
      </c>
      <c r="L424" s="5">
        <f>SUMPRODUCT(('01_Data'!$B424:$AW424&lt;&gt;"")*(1/(1+EXP(-(K424-'03_Lap_b'!$B$15:$AW$15)))))</f>
        <v/>
      </c>
      <c r="M424" s="5">
        <f>SUMPRODUCT(('01_Data'!$B424:$AW424&lt;&gt;"")*(1/(1+EXP(-(K424-'03_Lap_b'!$B$15:$AW$15))))^2)</f>
        <v/>
      </c>
      <c r="N424" s="5">
        <f>MEDIAN(-6,K424+(C424-L424)/MAX(L424-M424,0.000000001),6)</f>
        <v/>
      </c>
      <c r="O424" s="5">
        <f>SUMPRODUCT(('01_Data'!$B424:$AW424&lt;&gt;"")*(1/(1+EXP(-(N424-'03_Lap_b'!$B$20:$AW$20)))))</f>
        <v/>
      </c>
      <c r="P424" s="5">
        <f>SUMPRODUCT(('01_Data'!$B424:$AW424&lt;&gt;"")*(1/(1+EXP(-(N424-'03_Lap_b'!$B$20:$AW$20))))^2)</f>
        <v/>
      </c>
      <c r="Q424" s="5">
        <f>MEDIAN(-6,N424+(C424-O424)/MAX(O424-P424,0.000000001),6)</f>
        <v/>
      </c>
      <c r="R424" s="5">
        <f>SUMPRODUCT(('01_Data'!$B424:$AW424&lt;&gt;"")*(1/(1+EXP(-(Q424-'03_Lap_b'!$B$25:$AW$25)))))</f>
        <v/>
      </c>
      <c r="S424" s="5">
        <f>SUMPRODUCT(('01_Data'!$B424:$AW424&lt;&gt;"")*(1/(1+EXP(-(Q424-'03_Lap_b'!$B$25:$AW$25))))^2)</f>
        <v/>
      </c>
      <c r="T424" s="5">
        <f>MEDIAN(-6,Q424+(C424-R424)/MAX(R424-S424,0.000000001),6)</f>
        <v/>
      </c>
      <c r="U424" s="5">
        <f>SUMPRODUCT(('01_Data'!$B424:$AW424&lt;&gt;"")*(1/(1+EXP(-(T424-'03_Lap_b'!$B$30:$AW$30)))))</f>
        <v/>
      </c>
      <c r="V424" s="5">
        <f>SUMPRODUCT(('01_Data'!$B424:$AW424&lt;&gt;"")*(1/(1+EXP(-(T424-'03_Lap_b'!$B$30:$AW$30))))^2)</f>
        <v/>
      </c>
      <c r="W424" s="5">
        <f>MEDIAN(-6,T424+(C424-U424)/MAX(U424-V424,0.000000001),6)</f>
        <v/>
      </c>
      <c r="X424" s="5">
        <f>SUMPRODUCT(('01_Data'!$B424:$AW424&lt;&gt;"")*(1/(1+EXP(-(W424-'03_Lap_b'!$B$35:$AW$35)))))</f>
        <v/>
      </c>
      <c r="Y424" s="5">
        <f>SUMPRODUCT(('01_Data'!$B424:$AW424&lt;&gt;"")*(1/(1+EXP(-(W424-'03_Lap_b'!$B$35:$AW$35))))^2)</f>
        <v/>
      </c>
      <c r="Z424" s="5">
        <f>MEDIAN(-6,W424+(C424-X424)/MAX(X424-Y424,0.000000001),6)</f>
        <v/>
      </c>
      <c r="AA424" s="5">
        <f>SUMPRODUCT(('01_Data'!$B424:$AW424&lt;&gt;"")*(1/(1+EXP(-(Z424-'03_Lap_b'!$B$40:$AW$40)))))</f>
        <v/>
      </c>
      <c r="AB424" s="5">
        <f>SUMPRODUCT(('01_Data'!$B424:$AW424&lt;&gt;"")*(1/(1+EXP(-(Z424-'03_Lap_b'!$B$40:$AW$40))))^2)</f>
        <v/>
      </c>
      <c r="AC424" s="5">
        <f>MEDIAN(-6,Z424+(C424-AA424)/MAX(AA424-AB424,0.000000001),6)</f>
        <v/>
      </c>
    </row>
    <row r="425">
      <c r="A425" t="n">
        <v>424</v>
      </c>
      <c r="B425">
        <f>'01_Data'!A425</f>
        <v/>
      </c>
      <c r="C425">
        <f>SUM('01_Data'!$B425:$AW425)</f>
        <v/>
      </c>
      <c r="D425">
        <f>COUNT('01_Data'!$B425:$AW425)</f>
        <v/>
      </c>
      <c r="E425" s="5">
        <f>MEDIAN(-6,LN((C425+0.3)/(D425-C425+0.3)),6)</f>
        <v/>
      </c>
      <c r="F425" s="5">
        <f>SUMPRODUCT(('01_Data'!$B425:$AW425&lt;&gt;"")*(1/(1+EXP(-(E425-'03_Lap_b'!$B$5:$AW$5)))))</f>
        <v/>
      </c>
      <c r="G425" s="5">
        <f>SUMPRODUCT(('01_Data'!$B425:$AW425&lt;&gt;"")*(1/(1+EXP(-(E425-'03_Lap_b'!$B$5:$AW$5))))^2)</f>
        <v/>
      </c>
      <c r="H425" s="5">
        <f>MEDIAN(-6,E425+(C425-F425)/MAX(F425-G425,0.000000001),6)</f>
        <v/>
      </c>
      <c r="I425" s="5">
        <f>SUMPRODUCT(('01_Data'!$B425:$AW425&lt;&gt;"")*(1/(1+EXP(-(H425-'03_Lap_b'!$B$10:$AW$10)))))</f>
        <v/>
      </c>
      <c r="J425" s="5">
        <f>SUMPRODUCT(('01_Data'!$B425:$AW425&lt;&gt;"")*(1/(1+EXP(-(H425-'03_Lap_b'!$B$10:$AW$10))))^2)</f>
        <v/>
      </c>
      <c r="K425" s="5">
        <f>MEDIAN(-6,H425+(C425-I425)/MAX(I425-J425,0.000000001),6)</f>
        <v/>
      </c>
      <c r="L425" s="5">
        <f>SUMPRODUCT(('01_Data'!$B425:$AW425&lt;&gt;"")*(1/(1+EXP(-(K425-'03_Lap_b'!$B$15:$AW$15)))))</f>
        <v/>
      </c>
      <c r="M425" s="5">
        <f>SUMPRODUCT(('01_Data'!$B425:$AW425&lt;&gt;"")*(1/(1+EXP(-(K425-'03_Lap_b'!$B$15:$AW$15))))^2)</f>
        <v/>
      </c>
      <c r="N425" s="5">
        <f>MEDIAN(-6,K425+(C425-L425)/MAX(L425-M425,0.000000001),6)</f>
        <v/>
      </c>
      <c r="O425" s="5">
        <f>SUMPRODUCT(('01_Data'!$B425:$AW425&lt;&gt;"")*(1/(1+EXP(-(N425-'03_Lap_b'!$B$20:$AW$20)))))</f>
        <v/>
      </c>
      <c r="P425" s="5">
        <f>SUMPRODUCT(('01_Data'!$B425:$AW425&lt;&gt;"")*(1/(1+EXP(-(N425-'03_Lap_b'!$B$20:$AW$20))))^2)</f>
        <v/>
      </c>
      <c r="Q425" s="5">
        <f>MEDIAN(-6,N425+(C425-O425)/MAX(O425-P425,0.000000001),6)</f>
        <v/>
      </c>
      <c r="R425" s="5">
        <f>SUMPRODUCT(('01_Data'!$B425:$AW425&lt;&gt;"")*(1/(1+EXP(-(Q425-'03_Lap_b'!$B$25:$AW$25)))))</f>
        <v/>
      </c>
      <c r="S425" s="5">
        <f>SUMPRODUCT(('01_Data'!$B425:$AW425&lt;&gt;"")*(1/(1+EXP(-(Q425-'03_Lap_b'!$B$25:$AW$25))))^2)</f>
        <v/>
      </c>
      <c r="T425" s="5">
        <f>MEDIAN(-6,Q425+(C425-R425)/MAX(R425-S425,0.000000001),6)</f>
        <v/>
      </c>
      <c r="U425" s="5">
        <f>SUMPRODUCT(('01_Data'!$B425:$AW425&lt;&gt;"")*(1/(1+EXP(-(T425-'03_Lap_b'!$B$30:$AW$30)))))</f>
        <v/>
      </c>
      <c r="V425" s="5">
        <f>SUMPRODUCT(('01_Data'!$B425:$AW425&lt;&gt;"")*(1/(1+EXP(-(T425-'03_Lap_b'!$B$30:$AW$30))))^2)</f>
        <v/>
      </c>
      <c r="W425" s="5">
        <f>MEDIAN(-6,T425+(C425-U425)/MAX(U425-V425,0.000000001),6)</f>
        <v/>
      </c>
      <c r="X425" s="5">
        <f>SUMPRODUCT(('01_Data'!$B425:$AW425&lt;&gt;"")*(1/(1+EXP(-(W425-'03_Lap_b'!$B$35:$AW$35)))))</f>
        <v/>
      </c>
      <c r="Y425" s="5">
        <f>SUMPRODUCT(('01_Data'!$B425:$AW425&lt;&gt;"")*(1/(1+EXP(-(W425-'03_Lap_b'!$B$35:$AW$35))))^2)</f>
        <v/>
      </c>
      <c r="Z425" s="5">
        <f>MEDIAN(-6,W425+(C425-X425)/MAX(X425-Y425,0.000000001),6)</f>
        <v/>
      </c>
      <c r="AA425" s="5">
        <f>SUMPRODUCT(('01_Data'!$B425:$AW425&lt;&gt;"")*(1/(1+EXP(-(Z425-'03_Lap_b'!$B$40:$AW$40)))))</f>
        <v/>
      </c>
      <c r="AB425" s="5">
        <f>SUMPRODUCT(('01_Data'!$B425:$AW425&lt;&gt;"")*(1/(1+EXP(-(Z425-'03_Lap_b'!$B$40:$AW$40))))^2)</f>
        <v/>
      </c>
      <c r="AC425" s="5">
        <f>MEDIAN(-6,Z425+(C425-AA425)/MAX(AA425-AB425,0.000000001),6)</f>
        <v/>
      </c>
    </row>
    <row r="426">
      <c r="A426" t="n">
        <v>425</v>
      </c>
      <c r="B426">
        <f>'01_Data'!A426</f>
        <v/>
      </c>
      <c r="C426">
        <f>SUM('01_Data'!$B426:$AW426)</f>
        <v/>
      </c>
      <c r="D426">
        <f>COUNT('01_Data'!$B426:$AW426)</f>
        <v/>
      </c>
      <c r="E426" s="5">
        <f>MEDIAN(-6,LN((C426+0.3)/(D426-C426+0.3)),6)</f>
        <v/>
      </c>
      <c r="F426" s="5">
        <f>SUMPRODUCT(('01_Data'!$B426:$AW426&lt;&gt;"")*(1/(1+EXP(-(E426-'03_Lap_b'!$B$5:$AW$5)))))</f>
        <v/>
      </c>
      <c r="G426" s="5">
        <f>SUMPRODUCT(('01_Data'!$B426:$AW426&lt;&gt;"")*(1/(1+EXP(-(E426-'03_Lap_b'!$B$5:$AW$5))))^2)</f>
        <v/>
      </c>
      <c r="H426" s="5">
        <f>MEDIAN(-6,E426+(C426-F426)/MAX(F426-G426,0.000000001),6)</f>
        <v/>
      </c>
      <c r="I426" s="5">
        <f>SUMPRODUCT(('01_Data'!$B426:$AW426&lt;&gt;"")*(1/(1+EXP(-(H426-'03_Lap_b'!$B$10:$AW$10)))))</f>
        <v/>
      </c>
      <c r="J426" s="5">
        <f>SUMPRODUCT(('01_Data'!$B426:$AW426&lt;&gt;"")*(1/(1+EXP(-(H426-'03_Lap_b'!$B$10:$AW$10))))^2)</f>
        <v/>
      </c>
      <c r="K426" s="5">
        <f>MEDIAN(-6,H426+(C426-I426)/MAX(I426-J426,0.000000001),6)</f>
        <v/>
      </c>
      <c r="L426" s="5">
        <f>SUMPRODUCT(('01_Data'!$B426:$AW426&lt;&gt;"")*(1/(1+EXP(-(K426-'03_Lap_b'!$B$15:$AW$15)))))</f>
        <v/>
      </c>
      <c r="M426" s="5">
        <f>SUMPRODUCT(('01_Data'!$B426:$AW426&lt;&gt;"")*(1/(1+EXP(-(K426-'03_Lap_b'!$B$15:$AW$15))))^2)</f>
        <v/>
      </c>
      <c r="N426" s="5">
        <f>MEDIAN(-6,K426+(C426-L426)/MAX(L426-M426,0.000000001),6)</f>
        <v/>
      </c>
      <c r="O426" s="5">
        <f>SUMPRODUCT(('01_Data'!$B426:$AW426&lt;&gt;"")*(1/(1+EXP(-(N426-'03_Lap_b'!$B$20:$AW$20)))))</f>
        <v/>
      </c>
      <c r="P426" s="5">
        <f>SUMPRODUCT(('01_Data'!$B426:$AW426&lt;&gt;"")*(1/(1+EXP(-(N426-'03_Lap_b'!$B$20:$AW$20))))^2)</f>
        <v/>
      </c>
      <c r="Q426" s="5">
        <f>MEDIAN(-6,N426+(C426-O426)/MAX(O426-P426,0.000000001),6)</f>
        <v/>
      </c>
      <c r="R426" s="5">
        <f>SUMPRODUCT(('01_Data'!$B426:$AW426&lt;&gt;"")*(1/(1+EXP(-(Q426-'03_Lap_b'!$B$25:$AW$25)))))</f>
        <v/>
      </c>
      <c r="S426" s="5">
        <f>SUMPRODUCT(('01_Data'!$B426:$AW426&lt;&gt;"")*(1/(1+EXP(-(Q426-'03_Lap_b'!$B$25:$AW$25))))^2)</f>
        <v/>
      </c>
      <c r="T426" s="5">
        <f>MEDIAN(-6,Q426+(C426-R426)/MAX(R426-S426,0.000000001),6)</f>
        <v/>
      </c>
      <c r="U426" s="5">
        <f>SUMPRODUCT(('01_Data'!$B426:$AW426&lt;&gt;"")*(1/(1+EXP(-(T426-'03_Lap_b'!$B$30:$AW$30)))))</f>
        <v/>
      </c>
      <c r="V426" s="5">
        <f>SUMPRODUCT(('01_Data'!$B426:$AW426&lt;&gt;"")*(1/(1+EXP(-(T426-'03_Lap_b'!$B$30:$AW$30))))^2)</f>
        <v/>
      </c>
      <c r="W426" s="5">
        <f>MEDIAN(-6,T426+(C426-U426)/MAX(U426-V426,0.000000001),6)</f>
        <v/>
      </c>
      <c r="X426" s="5">
        <f>SUMPRODUCT(('01_Data'!$B426:$AW426&lt;&gt;"")*(1/(1+EXP(-(W426-'03_Lap_b'!$B$35:$AW$35)))))</f>
        <v/>
      </c>
      <c r="Y426" s="5">
        <f>SUMPRODUCT(('01_Data'!$B426:$AW426&lt;&gt;"")*(1/(1+EXP(-(W426-'03_Lap_b'!$B$35:$AW$35))))^2)</f>
        <v/>
      </c>
      <c r="Z426" s="5">
        <f>MEDIAN(-6,W426+(C426-X426)/MAX(X426-Y426,0.000000001),6)</f>
        <v/>
      </c>
      <c r="AA426" s="5">
        <f>SUMPRODUCT(('01_Data'!$B426:$AW426&lt;&gt;"")*(1/(1+EXP(-(Z426-'03_Lap_b'!$B$40:$AW$40)))))</f>
        <v/>
      </c>
      <c r="AB426" s="5">
        <f>SUMPRODUCT(('01_Data'!$B426:$AW426&lt;&gt;"")*(1/(1+EXP(-(Z426-'03_Lap_b'!$B$40:$AW$40))))^2)</f>
        <v/>
      </c>
      <c r="AC426" s="5">
        <f>MEDIAN(-6,Z426+(C426-AA426)/MAX(AA426-AB426,0.000000001),6)</f>
        <v/>
      </c>
    </row>
    <row r="427">
      <c r="A427" t="n">
        <v>426</v>
      </c>
      <c r="B427">
        <f>'01_Data'!A427</f>
        <v/>
      </c>
      <c r="C427">
        <f>SUM('01_Data'!$B427:$AW427)</f>
        <v/>
      </c>
      <c r="D427">
        <f>COUNT('01_Data'!$B427:$AW427)</f>
        <v/>
      </c>
      <c r="E427" s="5">
        <f>MEDIAN(-6,LN((C427+0.3)/(D427-C427+0.3)),6)</f>
        <v/>
      </c>
      <c r="F427" s="5">
        <f>SUMPRODUCT(('01_Data'!$B427:$AW427&lt;&gt;"")*(1/(1+EXP(-(E427-'03_Lap_b'!$B$5:$AW$5)))))</f>
        <v/>
      </c>
      <c r="G427" s="5">
        <f>SUMPRODUCT(('01_Data'!$B427:$AW427&lt;&gt;"")*(1/(1+EXP(-(E427-'03_Lap_b'!$B$5:$AW$5))))^2)</f>
        <v/>
      </c>
      <c r="H427" s="5">
        <f>MEDIAN(-6,E427+(C427-F427)/MAX(F427-G427,0.000000001),6)</f>
        <v/>
      </c>
      <c r="I427" s="5">
        <f>SUMPRODUCT(('01_Data'!$B427:$AW427&lt;&gt;"")*(1/(1+EXP(-(H427-'03_Lap_b'!$B$10:$AW$10)))))</f>
        <v/>
      </c>
      <c r="J427" s="5">
        <f>SUMPRODUCT(('01_Data'!$B427:$AW427&lt;&gt;"")*(1/(1+EXP(-(H427-'03_Lap_b'!$B$10:$AW$10))))^2)</f>
        <v/>
      </c>
      <c r="K427" s="5">
        <f>MEDIAN(-6,H427+(C427-I427)/MAX(I427-J427,0.000000001),6)</f>
        <v/>
      </c>
      <c r="L427" s="5">
        <f>SUMPRODUCT(('01_Data'!$B427:$AW427&lt;&gt;"")*(1/(1+EXP(-(K427-'03_Lap_b'!$B$15:$AW$15)))))</f>
        <v/>
      </c>
      <c r="M427" s="5">
        <f>SUMPRODUCT(('01_Data'!$B427:$AW427&lt;&gt;"")*(1/(1+EXP(-(K427-'03_Lap_b'!$B$15:$AW$15))))^2)</f>
        <v/>
      </c>
      <c r="N427" s="5">
        <f>MEDIAN(-6,K427+(C427-L427)/MAX(L427-M427,0.000000001),6)</f>
        <v/>
      </c>
      <c r="O427" s="5">
        <f>SUMPRODUCT(('01_Data'!$B427:$AW427&lt;&gt;"")*(1/(1+EXP(-(N427-'03_Lap_b'!$B$20:$AW$20)))))</f>
        <v/>
      </c>
      <c r="P427" s="5">
        <f>SUMPRODUCT(('01_Data'!$B427:$AW427&lt;&gt;"")*(1/(1+EXP(-(N427-'03_Lap_b'!$B$20:$AW$20))))^2)</f>
        <v/>
      </c>
      <c r="Q427" s="5">
        <f>MEDIAN(-6,N427+(C427-O427)/MAX(O427-P427,0.000000001),6)</f>
        <v/>
      </c>
      <c r="R427" s="5">
        <f>SUMPRODUCT(('01_Data'!$B427:$AW427&lt;&gt;"")*(1/(1+EXP(-(Q427-'03_Lap_b'!$B$25:$AW$25)))))</f>
        <v/>
      </c>
      <c r="S427" s="5">
        <f>SUMPRODUCT(('01_Data'!$B427:$AW427&lt;&gt;"")*(1/(1+EXP(-(Q427-'03_Lap_b'!$B$25:$AW$25))))^2)</f>
        <v/>
      </c>
      <c r="T427" s="5">
        <f>MEDIAN(-6,Q427+(C427-R427)/MAX(R427-S427,0.000000001),6)</f>
        <v/>
      </c>
      <c r="U427" s="5">
        <f>SUMPRODUCT(('01_Data'!$B427:$AW427&lt;&gt;"")*(1/(1+EXP(-(T427-'03_Lap_b'!$B$30:$AW$30)))))</f>
        <v/>
      </c>
      <c r="V427" s="5">
        <f>SUMPRODUCT(('01_Data'!$B427:$AW427&lt;&gt;"")*(1/(1+EXP(-(T427-'03_Lap_b'!$B$30:$AW$30))))^2)</f>
        <v/>
      </c>
      <c r="W427" s="5">
        <f>MEDIAN(-6,T427+(C427-U427)/MAX(U427-V427,0.000000001),6)</f>
        <v/>
      </c>
      <c r="X427" s="5">
        <f>SUMPRODUCT(('01_Data'!$B427:$AW427&lt;&gt;"")*(1/(1+EXP(-(W427-'03_Lap_b'!$B$35:$AW$35)))))</f>
        <v/>
      </c>
      <c r="Y427" s="5">
        <f>SUMPRODUCT(('01_Data'!$B427:$AW427&lt;&gt;"")*(1/(1+EXP(-(W427-'03_Lap_b'!$B$35:$AW$35))))^2)</f>
        <v/>
      </c>
      <c r="Z427" s="5">
        <f>MEDIAN(-6,W427+(C427-X427)/MAX(X427-Y427,0.000000001),6)</f>
        <v/>
      </c>
      <c r="AA427" s="5">
        <f>SUMPRODUCT(('01_Data'!$B427:$AW427&lt;&gt;"")*(1/(1+EXP(-(Z427-'03_Lap_b'!$B$40:$AW$40)))))</f>
        <v/>
      </c>
      <c r="AB427" s="5">
        <f>SUMPRODUCT(('01_Data'!$B427:$AW427&lt;&gt;"")*(1/(1+EXP(-(Z427-'03_Lap_b'!$B$40:$AW$40))))^2)</f>
        <v/>
      </c>
      <c r="AC427" s="5">
        <f>MEDIAN(-6,Z427+(C427-AA427)/MAX(AA427-AB427,0.000000001),6)</f>
        <v/>
      </c>
    </row>
    <row r="428">
      <c r="A428" t="n">
        <v>427</v>
      </c>
      <c r="B428">
        <f>'01_Data'!A428</f>
        <v/>
      </c>
      <c r="C428">
        <f>SUM('01_Data'!$B428:$AW428)</f>
        <v/>
      </c>
      <c r="D428">
        <f>COUNT('01_Data'!$B428:$AW428)</f>
        <v/>
      </c>
      <c r="E428" s="5">
        <f>MEDIAN(-6,LN((C428+0.3)/(D428-C428+0.3)),6)</f>
        <v/>
      </c>
      <c r="F428" s="5">
        <f>SUMPRODUCT(('01_Data'!$B428:$AW428&lt;&gt;"")*(1/(1+EXP(-(E428-'03_Lap_b'!$B$5:$AW$5)))))</f>
        <v/>
      </c>
      <c r="G428" s="5">
        <f>SUMPRODUCT(('01_Data'!$B428:$AW428&lt;&gt;"")*(1/(1+EXP(-(E428-'03_Lap_b'!$B$5:$AW$5))))^2)</f>
        <v/>
      </c>
      <c r="H428" s="5">
        <f>MEDIAN(-6,E428+(C428-F428)/MAX(F428-G428,0.000000001),6)</f>
        <v/>
      </c>
      <c r="I428" s="5">
        <f>SUMPRODUCT(('01_Data'!$B428:$AW428&lt;&gt;"")*(1/(1+EXP(-(H428-'03_Lap_b'!$B$10:$AW$10)))))</f>
        <v/>
      </c>
      <c r="J428" s="5">
        <f>SUMPRODUCT(('01_Data'!$B428:$AW428&lt;&gt;"")*(1/(1+EXP(-(H428-'03_Lap_b'!$B$10:$AW$10))))^2)</f>
        <v/>
      </c>
      <c r="K428" s="5">
        <f>MEDIAN(-6,H428+(C428-I428)/MAX(I428-J428,0.000000001),6)</f>
        <v/>
      </c>
      <c r="L428" s="5">
        <f>SUMPRODUCT(('01_Data'!$B428:$AW428&lt;&gt;"")*(1/(1+EXP(-(K428-'03_Lap_b'!$B$15:$AW$15)))))</f>
        <v/>
      </c>
      <c r="M428" s="5">
        <f>SUMPRODUCT(('01_Data'!$B428:$AW428&lt;&gt;"")*(1/(1+EXP(-(K428-'03_Lap_b'!$B$15:$AW$15))))^2)</f>
        <v/>
      </c>
      <c r="N428" s="5">
        <f>MEDIAN(-6,K428+(C428-L428)/MAX(L428-M428,0.000000001),6)</f>
        <v/>
      </c>
      <c r="O428" s="5">
        <f>SUMPRODUCT(('01_Data'!$B428:$AW428&lt;&gt;"")*(1/(1+EXP(-(N428-'03_Lap_b'!$B$20:$AW$20)))))</f>
        <v/>
      </c>
      <c r="P428" s="5">
        <f>SUMPRODUCT(('01_Data'!$B428:$AW428&lt;&gt;"")*(1/(1+EXP(-(N428-'03_Lap_b'!$B$20:$AW$20))))^2)</f>
        <v/>
      </c>
      <c r="Q428" s="5">
        <f>MEDIAN(-6,N428+(C428-O428)/MAX(O428-P428,0.000000001),6)</f>
        <v/>
      </c>
      <c r="R428" s="5">
        <f>SUMPRODUCT(('01_Data'!$B428:$AW428&lt;&gt;"")*(1/(1+EXP(-(Q428-'03_Lap_b'!$B$25:$AW$25)))))</f>
        <v/>
      </c>
      <c r="S428" s="5">
        <f>SUMPRODUCT(('01_Data'!$B428:$AW428&lt;&gt;"")*(1/(1+EXP(-(Q428-'03_Lap_b'!$B$25:$AW$25))))^2)</f>
        <v/>
      </c>
      <c r="T428" s="5">
        <f>MEDIAN(-6,Q428+(C428-R428)/MAX(R428-S428,0.000000001),6)</f>
        <v/>
      </c>
      <c r="U428" s="5">
        <f>SUMPRODUCT(('01_Data'!$B428:$AW428&lt;&gt;"")*(1/(1+EXP(-(T428-'03_Lap_b'!$B$30:$AW$30)))))</f>
        <v/>
      </c>
      <c r="V428" s="5">
        <f>SUMPRODUCT(('01_Data'!$B428:$AW428&lt;&gt;"")*(1/(1+EXP(-(T428-'03_Lap_b'!$B$30:$AW$30))))^2)</f>
        <v/>
      </c>
      <c r="W428" s="5">
        <f>MEDIAN(-6,T428+(C428-U428)/MAX(U428-V428,0.000000001),6)</f>
        <v/>
      </c>
      <c r="X428" s="5">
        <f>SUMPRODUCT(('01_Data'!$B428:$AW428&lt;&gt;"")*(1/(1+EXP(-(W428-'03_Lap_b'!$B$35:$AW$35)))))</f>
        <v/>
      </c>
      <c r="Y428" s="5">
        <f>SUMPRODUCT(('01_Data'!$B428:$AW428&lt;&gt;"")*(1/(1+EXP(-(W428-'03_Lap_b'!$B$35:$AW$35))))^2)</f>
        <v/>
      </c>
      <c r="Z428" s="5">
        <f>MEDIAN(-6,W428+(C428-X428)/MAX(X428-Y428,0.000000001),6)</f>
        <v/>
      </c>
      <c r="AA428" s="5">
        <f>SUMPRODUCT(('01_Data'!$B428:$AW428&lt;&gt;"")*(1/(1+EXP(-(Z428-'03_Lap_b'!$B$40:$AW$40)))))</f>
        <v/>
      </c>
      <c r="AB428" s="5">
        <f>SUMPRODUCT(('01_Data'!$B428:$AW428&lt;&gt;"")*(1/(1+EXP(-(Z428-'03_Lap_b'!$B$40:$AW$40))))^2)</f>
        <v/>
      </c>
      <c r="AC428" s="5">
        <f>MEDIAN(-6,Z428+(C428-AA428)/MAX(AA428-AB428,0.000000001),6)</f>
        <v/>
      </c>
    </row>
    <row r="429">
      <c r="A429" t="n">
        <v>428</v>
      </c>
      <c r="B429">
        <f>'01_Data'!A429</f>
        <v/>
      </c>
      <c r="C429">
        <f>SUM('01_Data'!$B429:$AW429)</f>
        <v/>
      </c>
      <c r="D429">
        <f>COUNT('01_Data'!$B429:$AW429)</f>
        <v/>
      </c>
      <c r="E429" s="5">
        <f>MEDIAN(-6,LN((C429+0.3)/(D429-C429+0.3)),6)</f>
        <v/>
      </c>
      <c r="F429" s="5">
        <f>SUMPRODUCT(('01_Data'!$B429:$AW429&lt;&gt;"")*(1/(1+EXP(-(E429-'03_Lap_b'!$B$5:$AW$5)))))</f>
        <v/>
      </c>
      <c r="G429" s="5">
        <f>SUMPRODUCT(('01_Data'!$B429:$AW429&lt;&gt;"")*(1/(1+EXP(-(E429-'03_Lap_b'!$B$5:$AW$5))))^2)</f>
        <v/>
      </c>
      <c r="H429" s="5">
        <f>MEDIAN(-6,E429+(C429-F429)/MAX(F429-G429,0.000000001),6)</f>
        <v/>
      </c>
      <c r="I429" s="5">
        <f>SUMPRODUCT(('01_Data'!$B429:$AW429&lt;&gt;"")*(1/(1+EXP(-(H429-'03_Lap_b'!$B$10:$AW$10)))))</f>
        <v/>
      </c>
      <c r="J429" s="5">
        <f>SUMPRODUCT(('01_Data'!$B429:$AW429&lt;&gt;"")*(1/(1+EXP(-(H429-'03_Lap_b'!$B$10:$AW$10))))^2)</f>
        <v/>
      </c>
      <c r="K429" s="5">
        <f>MEDIAN(-6,H429+(C429-I429)/MAX(I429-J429,0.000000001),6)</f>
        <v/>
      </c>
      <c r="L429" s="5">
        <f>SUMPRODUCT(('01_Data'!$B429:$AW429&lt;&gt;"")*(1/(1+EXP(-(K429-'03_Lap_b'!$B$15:$AW$15)))))</f>
        <v/>
      </c>
      <c r="M429" s="5">
        <f>SUMPRODUCT(('01_Data'!$B429:$AW429&lt;&gt;"")*(1/(1+EXP(-(K429-'03_Lap_b'!$B$15:$AW$15))))^2)</f>
        <v/>
      </c>
      <c r="N429" s="5">
        <f>MEDIAN(-6,K429+(C429-L429)/MAX(L429-M429,0.000000001),6)</f>
        <v/>
      </c>
      <c r="O429" s="5">
        <f>SUMPRODUCT(('01_Data'!$B429:$AW429&lt;&gt;"")*(1/(1+EXP(-(N429-'03_Lap_b'!$B$20:$AW$20)))))</f>
        <v/>
      </c>
      <c r="P429" s="5">
        <f>SUMPRODUCT(('01_Data'!$B429:$AW429&lt;&gt;"")*(1/(1+EXP(-(N429-'03_Lap_b'!$B$20:$AW$20))))^2)</f>
        <v/>
      </c>
      <c r="Q429" s="5">
        <f>MEDIAN(-6,N429+(C429-O429)/MAX(O429-P429,0.000000001),6)</f>
        <v/>
      </c>
      <c r="R429" s="5">
        <f>SUMPRODUCT(('01_Data'!$B429:$AW429&lt;&gt;"")*(1/(1+EXP(-(Q429-'03_Lap_b'!$B$25:$AW$25)))))</f>
        <v/>
      </c>
      <c r="S429" s="5">
        <f>SUMPRODUCT(('01_Data'!$B429:$AW429&lt;&gt;"")*(1/(1+EXP(-(Q429-'03_Lap_b'!$B$25:$AW$25))))^2)</f>
        <v/>
      </c>
      <c r="T429" s="5">
        <f>MEDIAN(-6,Q429+(C429-R429)/MAX(R429-S429,0.000000001),6)</f>
        <v/>
      </c>
      <c r="U429" s="5">
        <f>SUMPRODUCT(('01_Data'!$B429:$AW429&lt;&gt;"")*(1/(1+EXP(-(T429-'03_Lap_b'!$B$30:$AW$30)))))</f>
        <v/>
      </c>
      <c r="V429" s="5">
        <f>SUMPRODUCT(('01_Data'!$B429:$AW429&lt;&gt;"")*(1/(1+EXP(-(T429-'03_Lap_b'!$B$30:$AW$30))))^2)</f>
        <v/>
      </c>
      <c r="W429" s="5">
        <f>MEDIAN(-6,T429+(C429-U429)/MAX(U429-V429,0.000000001),6)</f>
        <v/>
      </c>
      <c r="X429" s="5">
        <f>SUMPRODUCT(('01_Data'!$B429:$AW429&lt;&gt;"")*(1/(1+EXP(-(W429-'03_Lap_b'!$B$35:$AW$35)))))</f>
        <v/>
      </c>
      <c r="Y429" s="5">
        <f>SUMPRODUCT(('01_Data'!$B429:$AW429&lt;&gt;"")*(1/(1+EXP(-(W429-'03_Lap_b'!$B$35:$AW$35))))^2)</f>
        <v/>
      </c>
      <c r="Z429" s="5">
        <f>MEDIAN(-6,W429+(C429-X429)/MAX(X429-Y429,0.000000001),6)</f>
        <v/>
      </c>
      <c r="AA429" s="5">
        <f>SUMPRODUCT(('01_Data'!$B429:$AW429&lt;&gt;"")*(1/(1+EXP(-(Z429-'03_Lap_b'!$B$40:$AW$40)))))</f>
        <v/>
      </c>
      <c r="AB429" s="5">
        <f>SUMPRODUCT(('01_Data'!$B429:$AW429&lt;&gt;"")*(1/(1+EXP(-(Z429-'03_Lap_b'!$B$40:$AW$40))))^2)</f>
        <v/>
      </c>
      <c r="AC429" s="5">
        <f>MEDIAN(-6,Z429+(C429-AA429)/MAX(AA429-AB429,0.000000001),6)</f>
        <v/>
      </c>
    </row>
    <row r="430">
      <c r="A430" t="n">
        <v>429</v>
      </c>
      <c r="B430">
        <f>'01_Data'!A430</f>
        <v/>
      </c>
      <c r="C430">
        <f>SUM('01_Data'!$B430:$AW430)</f>
        <v/>
      </c>
      <c r="D430">
        <f>COUNT('01_Data'!$B430:$AW430)</f>
        <v/>
      </c>
      <c r="E430" s="5">
        <f>MEDIAN(-6,LN((C430+0.3)/(D430-C430+0.3)),6)</f>
        <v/>
      </c>
      <c r="F430" s="5">
        <f>SUMPRODUCT(('01_Data'!$B430:$AW430&lt;&gt;"")*(1/(1+EXP(-(E430-'03_Lap_b'!$B$5:$AW$5)))))</f>
        <v/>
      </c>
      <c r="G430" s="5">
        <f>SUMPRODUCT(('01_Data'!$B430:$AW430&lt;&gt;"")*(1/(1+EXP(-(E430-'03_Lap_b'!$B$5:$AW$5))))^2)</f>
        <v/>
      </c>
      <c r="H430" s="5">
        <f>MEDIAN(-6,E430+(C430-F430)/MAX(F430-G430,0.000000001),6)</f>
        <v/>
      </c>
      <c r="I430" s="5">
        <f>SUMPRODUCT(('01_Data'!$B430:$AW430&lt;&gt;"")*(1/(1+EXP(-(H430-'03_Lap_b'!$B$10:$AW$10)))))</f>
        <v/>
      </c>
      <c r="J430" s="5">
        <f>SUMPRODUCT(('01_Data'!$B430:$AW430&lt;&gt;"")*(1/(1+EXP(-(H430-'03_Lap_b'!$B$10:$AW$10))))^2)</f>
        <v/>
      </c>
      <c r="K430" s="5">
        <f>MEDIAN(-6,H430+(C430-I430)/MAX(I430-J430,0.000000001),6)</f>
        <v/>
      </c>
      <c r="L430" s="5">
        <f>SUMPRODUCT(('01_Data'!$B430:$AW430&lt;&gt;"")*(1/(1+EXP(-(K430-'03_Lap_b'!$B$15:$AW$15)))))</f>
        <v/>
      </c>
      <c r="M430" s="5">
        <f>SUMPRODUCT(('01_Data'!$B430:$AW430&lt;&gt;"")*(1/(1+EXP(-(K430-'03_Lap_b'!$B$15:$AW$15))))^2)</f>
        <v/>
      </c>
      <c r="N430" s="5">
        <f>MEDIAN(-6,K430+(C430-L430)/MAX(L430-M430,0.000000001),6)</f>
        <v/>
      </c>
      <c r="O430" s="5">
        <f>SUMPRODUCT(('01_Data'!$B430:$AW430&lt;&gt;"")*(1/(1+EXP(-(N430-'03_Lap_b'!$B$20:$AW$20)))))</f>
        <v/>
      </c>
      <c r="P430" s="5">
        <f>SUMPRODUCT(('01_Data'!$B430:$AW430&lt;&gt;"")*(1/(1+EXP(-(N430-'03_Lap_b'!$B$20:$AW$20))))^2)</f>
        <v/>
      </c>
      <c r="Q430" s="5">
        <f>MEDIAN(-6,N430+(C430-O430)/MAX(O430-P430,0.000000001),6)</f>
        <v/>
      </c>
      <c r="R430" s="5">
        <f>SUMPRODUCT(('01_Data'!$B430:$AW430&lt;&gt;"")*(1/(1+EXP(-(Q430-'03_Lap_b'!$B$25:$AW$25)))))</f>
        <v/>
      </c>
      <c r="S430" s="5">
        <f>SUMPRODUCT(('01_Data'!$B430:$AW430&lt;&gt;"")*(1/(1+EXP(-(Q430-'03_Lap_b'!$B$25:$AW$25))))^2)</f>
        <v/>
      </c>
      <c r="T430" s="5">
        <f>MEDIAN(-6,Q430+(C430-R430)/MAX(R430-S430,0.000000001),6)</f>
        <v/>
      </c>
      <c r="U430" s="5">
        <f>SUMPRODUCT(('01_Data'!$B430:$AW430&lt;&gt;"")*(1/(1+EXP(-(T430-'03_Lap_b'!$B$30:$AW$30)))))</f>
        <v/>
      </c>
      <c r="V430" s="5">
        <f>SUMPRODUCT(('01_Data'!$B430:$AW430&lt;&gt;"")*(1/(1+EXP(-(T430-'03_Lap_b'!$B$30:$AW$30))))^2)</f>
        <v/>
      </c>
      <c r="W430" s="5">
        <f>MEDIAN(-6,T430+(C430-U430)/MAX(U430-V430,0.000000001),6)</f>
        <v/>
      </c>
      <c r="X430" s="5">
        <f>SUMPRODUCT(('01_Data'!$B430:$AW430&lt;&gt;"")*(1/(1+EXP(-(W430-'03_Lap_b'!$B$35:$AW$35)))))</f>
        <v/>
      </c>
      <c r="Y430" s="5">
        <f>SUMPRODUCT(('01_Data'!$B430:$AW430&lt;&gt;"")*(1/(1+EXP(-(W430-'03_Lap_b'!$B$35:$AW$35))))^2)</f>
        <v/>
      </c>
      <c r="Z430" s="5">
        <f>MEDIAN(-6,W430+(C430-X430)/MAX(X430-Y430,0.000000001),6)</f>
        <v/>
      </c>
      <c r="AA430" s="5">
        <f>SUMPRODUCT(('01_Data'!$B430:$AW430&lt;&gt;"")*(1/(1+EXP(-(Z430-'03_Lap_b'!$B$40:$AW$40)))))</f>
        <v/>
      </c>
      <c r="AB430" s="5">
        <f>SUMPRODUCT(('01_Data'!$B430:$AW430&lt;&gt;"")*(1/(1+EXP(-(Z430-'03_Lap_b'!$B$40:$AW$40))))^2)</f>
        <v/>
      </c>
      <c r="AC430" s="5">
        <f>MEDIAN(-6,Z430+(C430-AA430)/MAX(AA430-AB430,0.000000001),6)</f>
        <v/>
      </c>
    </row>
    <row r="431">
      <c r="A431" t="n">
        <v>430</v>
      </c>
      <c r="B431">
        <f>'01_Data'!A431</f>
        <v/>
      </c>
      <c r="C431">
        <f>SUM('01_Data'!$B431:$AW431)</f>
        <v/>
      </c>
      <c r="D431">
        <f>COUNT('01_Data'!$B431:$AW431)</f>
        <v/>
      </c>
      <c r="E431" s="5">
        <f>MEDIAN(-6,LN((C431+0.3)/(D431-C431+0.3)),6)</f>
        <v/>
      </c>
      <c r="F431" s="5">
        <f>SUMPRODUCT(('01_Data'!$B431:$AW431&lt;&gt;"")*(1/(1+EXP(-(E431-'03_Lap_b'!$B$5:$AW$5)))))</f>
        <v/>
      </c>
      <c r="G431" s="5">
        <f>SUMPRODUCT(('01_Data'!$B431:$AW431&lt;&gt;"")*(1/(1+EXP(-(E431-'03_Lap_b'!$B$5:$AW$5))))^2)</f>
        <v/>
      </c>
      <c r="H431" s="5">
        <f>MEDIAN(-6,E431+(C431-F431)/MAX(F431-G431,0.000000001),6)</f>
        <v/>
      </c>
      <c r="I431" s="5">
        <f>SUMPRODUCT(('01_Data'!$B431:$AW431&lt;&gt;"")*(1/(1+EXP(-(H431-'03_Lap_b'!$B$10:$AW$10)))))</f>
        <v/>
      </c>
      <c r="J431" s="5">
        <f>SUMPRODUCT(('01_Data'!$B431:$AW431&lt;&gt;"")*(1/(1+EXP(-(H431-'03_Lap_b'!$B$10:$AW$10))))^2)</f>
        <v/>
      </c>
      <c r="K431" s="5">
        <f>MEDIAN(-6,H431+(C431-I431)/MAX(I431-J431,0.000000001),6)</f>
        <v/>
      </c>
      <c r="L431" s="5">
        <f>SUMPRODUCT(('01_Data'!$B431:$AW431&lt;&gt;"")*(1/(1+EXP(-(K431-'03_Lap_b'!$B$15:$AW$15)))))</f>
        <v/>
      </c>
      <c r="M431" s="5">
        <f>SUMPRODUCT(('01_Data'!$B431:$AW431&lt;&gt;"")*(1/(1+EXP(-(K431-'03_Lap_b'!$B$15:$AW$15))))^2)</f>
        <v/>
      </c>
      <c r="N431" s="5">
        <f>MEDIAN(-6,K431+(C431-L431)/MAX(L431-M431,0.000000001),6)</f>
        <v/>
      </c>
      <c r="O431" s="5">
        <f>SUMPRODUCT(('01_Data'!$B431:$AW431&lt;&gt;"")*(1/(1+EXP(-(N431-'03_Lap_b'!$B$20:$AW$20)))))</f>
        <v/>
      </c>
      <c r="P431" s="5">
        <f>SUMPRODUCT(('01_Data'!$B431:$AW431&lt;&gt;"")*(1/(1+EXP(-(N431-'03_Lap_b'!$B$20:$AW$20))))^2)</f>
        <v/>
      </c>
      <c r="Q431" s="5">
        <f>MEDIAN(-6,N431+(C431-O431)/MAX(O431-P431,0.000000001),6)</f>
        <v/>
      </c>
      <c r="R431" s="5">
        <f>SUMPRODUCT(('01_Data'!$B431:$AW431&lt;&gt;"")*(1/(1+EXP(-(Q431-'03_Lap_b'!$B$25:$AW$25)))))</f>
        <v/>
      </c>
      <c r="S431" s="5">
        <f>SUMPRODUCT(('01_Data'!$B431:$AW431&lt;&gt;"")*(1/(1+EXP(-(Q431-'03_Lap_b'!$B$25:$AW$25))))^2)</f>
        <v/>
      </c>
      <c r="T431" s="5">
        <f>MEDIAN(-6,Q431+(C431-R431)/MAX(R431-S431,0.000000001),6)</f>
        <v/>
      </c>
      <c r="U431" s="5">
        <f>SUMPRODUCT(('01_Data'!$B431:$AW431&lt;&gt;"")*(1/(1+EXP(-(T431-'03_Lap_b'!$B$30:$AW$30)))))</f>
        <v/>
      </c>
      <c r="V431" s="5">
        <f>SUMPRODUCT(('01_Data'!$B431:$AW431&lt;&gt;"")*(1/(1+EXP(-(T431-'03_Lap_b'!$B$30:$AW$30))))^2)</f>
        <v/>
      </c>
      <c r="W431" s="5">
        <f>MEDIAN(-6,T431+(C431-U431)/MAX(U431-V431,0.000000001),6)</f>
        <v/>
      </c>
      <c r="X431" s="5">
        <f>SUMPRODUCT(('01_Data'!$B431:$AW431&lt;&gt;"")*(1/(1+EXP(-(W431-'03_Lap_b'!$B$35:$AW$35)))))</f>
        <v/>
      </c>
      <c r="Y431" s="5">
        <f>SUMPRODUCT(('01_Data'!$B431:$AW431&lt;&gt;"")*(1/(1+EXP(-(W431-'03_Lap_b'!$B$35:$AW$35))))^2)</f>
        <v/>
      </c>
      <c r="Z431" s="5">
        <f>MEDIAN(-6,W431+(C431-X431)/MAX(X431-Y431,0.000000001),6)</f>
        <v/>
      </c>
      <c r="AA431" s="5">
        <f>SUMPRODUCT(('01_Data'!$B431:$AW431&lt;&gt;"")*(1/(1+EXP(-(Z431-'03_Lap_b'!$B$40:$AW$40)))))</f>
        <v/>
      </c>
      <c r="AB431" s="5">
        <f>SUMPRODUCT(('01_Data'!$B431:$AW431&lt;&gt;"")*(1/(1+EXP(-(Z431-'03_Lap_b'!$B$40:$AW$40))))^2)</f>
        <v/>
      </c>
      <c r="AC431" s="5">
        <f>MEDIAN(-6,Z431+(C431-AA431)/MAX(AA431-AB431,0.000000001),6)</f>
        <v/>
      </c>
    </row>
    <row r="432">
      <c r="A432" t="n">
        <v>431</v>
      </c>
      <c r="B432">
        <f>'01_Data'!A432</f>
        <v/>
      </c>
      <c r="C432">
        <f>SUM('01_Data'!$B432:$AW432)</f>
        <v/>
      </c>
      <c r="D432">
        <f>COUNT('01_Data'!$B432:$AW432)</f>
        <v/>
      </c>
      <c r="E432" s="5">
        <f>MEDIAN(-6,LN((C432+0.3)/(D432-C432+0.3)),6)</f>
        <v/>
      </c>
      <c r="F432" s="5">
        <f>SUMPRODUCT(('01_Data'!$B432:$AW432&lt;&gt;"")*(1/(1+EXP(-(E432-'03_Lap_b'!$B$5:$AW$5)))))</f>
        <v/>
      </c>
      <c r="G432" s="5">
        <f>SUMPRODUCT(('01_Data'!$B432:$AW432&lt;&gt;"")*(1/(1+EXP(-(E432-'03_Lap_b'!$B$5:$AW$5))))^2)</f>
        <v/>
      </c>
      <c r="H432" s="5">
        <f>MEDIAN(-6,E432+(C432-F432)/MAX(F432-G432,0.000000001),6)</f>
        <v/>
      </c>
      <c r="I432" s="5">
        <f>SUMPRODUCT(('01_Data'!$B432:$AW432&lt;&gt;"")*(1/(1+EXP(-(H432-'03_Lap_b'!$B$10:$AW$10)))))</f>
        <v/>
      </c>
      <c r="J432" s="5">
        <f>SUMPRODUCT(('01_Data'!$B432:$AW432&lt;&gt;"")*(1/(1+EXP(-(H432-'03_Lap_b'!$B$10:$AW$10))))^2)</f>
        <v/>
      </c>
      <c r="K432" s="5">
        <f>MEDIAN(-6,H432+(C432-I432)/MAX(I432-J432,0.000000001),6)</f>
        <v/>
      </c>
      <c r="L432" s="5">
        <f>SUMPRODUCT(('01_Data'!$B432:$AW432&lt;&gt;"")*(1/(1+EXP(-(K432-'03_Lap_b'!$B$15:$AW$15)))))</f>
        <v/>
      </c>
      <c r="M432" s="5">
        <f>SUMPRODUCT(('01_Data'!$B432:$AW432&lt;&gt;"")*(1/(1+EXP(-(K432-'03_Lap_b'!$B$15:$AW$15))))^2)</f>
        <v/>
      </c>
      <c r="N432" s="5">
        <f>MEDIAN(-6,K432+(C432-L432)/MAX(L432-M432,0.000000001),6)</f>
        <v/>
      </c>
      <c r="O432" s="5">
        <f>SUMPRODUCT(('01_Data'!$B432:$AW432&lt;&gt;"")*(1/(1+EXP(-(N432-'03_Lap_b'!$B$20:$AW$20)))))</f>
        <v/>
      </c>
      <c r="P432" s="5">
        <f>SUMPRODUCT(('01_Data'!$B432:$AW432&lt;&gt;"")*(1/(1+EXP(-(N432-'03_Lap_b'!$B$20:$AW$20))))^2)</f>
        <v/>
      </c>
      <c r="Q432" s="5">
        <f>MEDIAN(-6,N432+(C432-O432)/MAX(O432-P432,0.000000001),6)</f>
        <v/>
      </c>
      <c r="R432" s="5">
        <f>SUMPRODUCT(('01_Data'!$B432:$AW432&lt;&gt;"")*(1/(1+EXP(-(Q432-'03_Lap_b'!$B$25:$AW$25)))))</f>
        <v/>
      </c>
      <c r="S432" s="5">
        <f>SUMPRODUCT(('01_Data'!$B432:$AW432&lt;&gt;"")*(1/(1+EXP(-(Q432-'03_Lap_b'!$B$25:$AW$25))))^2)</f>
        <v/>
      </c>
      <c r="T432" s="5">
        <f>MEDIAN(-6,Q432+(C432-R432)/MAX(R432-S432,0.000000001),6)</f>
        <v/>
      </c>
      <c r="U432" s="5">
        <f>SUMPRODUCT(('01_Data'!$B432:$AW432&lt;&gt;"")*(1/(1+EXP(-(T432-'03_Lap_b'!$B$30:$AW$30)))))</f>
        <v/>
      </c>
      <c r="V432" s="5">
        <f>SUMPRODUCT(('01_Data'!$B432:$AW432&lt;&gt;"")*(1/(1+EXP(-(T432-'03_Lap_b'!$B$30:$AW$30))))^2)</f>
        <v/>
      </c>
      <c r="W432" s="5">
        <f>MEDIAN(-6,T432+(C432-U432)/MAX(U432-V432,0.000000001),6)</f>
        <v/>
      </c>
      <c r="X432" s="5">
        <f>SUMPRODUCT(('01_Data'!$B432:$AW432&lt;&gt;"")*(1/(1+EXP(-(W432-'03_Lap_b'!$B$35:$AW$35)))))</f>
        <v/>
      </c>
      <c r="Y432" s="5">
        <f>SUMPRODUCT(('01_Data'!$B432:$AW432&lt;&gt;"")*(1/(1+EXP(-(W432-'03_Lap_b'!$B$35:$AW$35))))^2)</f>
        <v/>
      </c>
      <c r="Z432" s="5">
        <f>MEDIAN(-6,W432+(C432-X432)/MAX(X432-Y432,0.000000001),6)</f>
        <v/>
      </c>
      <c r="AA432" s="5">
        <f>SUMPRODUCT(('01_Data'!$B432:$AW432&lt;&gt;"")*(1/(1+EXP(-(Z432-'03_Lap_b'!$B$40:$AW$40)))))</f>
        <v/>
      </c>
      <c r="AB432" s="5">
        <f>SUMPRODUCT(('01_Data'!$B432:$AW432&lt;&gt;"")*(1/(1+EXP(-(Z432-'03_Lap_b'!$B$40:$AW$40))))^2)</f>
        <v/>
      </c>
      <c r="AC432" s="5">
        <f>MEDIAN(-6,Z432+(C432-AA432)/MAX(AA432-AB432,0.000000001),6)</f>
        <v/>
      </c>
    </row>
    <row r="433">
      <c r="A433" t="n">
        <v>432</v>
      </c>
      <c r="B433">
        <f>'01_Data'!A433</f>
        <v/>
      </c>
      <c r="C433">
        <f>SUM('01_Data'!$B433:$AW433)</f>
        <v/>
      </c>
      <c r="D433">
        <f>COUNT('01_Data'!$B433:$AW433)</f>
        <v/>
      </c>
      <c r="E433" s="5">
        <f>MEDIAN(-6,LN((C433+0.3)/(D433-C433+0.3)),6)</f>
        <v/>
      </c>
      <c r="F433" s="5">
        <f>SUMPRODUCT(('01_Data'!$B433:$AW433&lt;&gt;"")*(1/(1+EXP(-(E433-'03_Lap_b'!$B$5:$AW$5)))))</f>
        <v/>
      </c>
      <c r="G433" s="5">
        <f>SUMPRODUCT(('01_Data'!$B433:$AW433&lt;&gt;"")*(1/(1+EXP(-(E433-'03_Lap_b'!$B$5:$AW$5))))^2)</f>
        <v/>
      </c>
      <c r="H433" s="5">
        <f>MEDIAN(-6,E433+(C433-F433)/MAX(F433-G433,0.000000001),6)</f>
        <v/>
      </c>
      <c r="I433" s="5">
        <f>SUMPRODUCT(('01_Data'!$B433:$AW433&lt;&gt;"")*(1/(1+EXP(-(H433-'03_Lap_b'!$B$10:$AW$10)))))</f>
        <v/>
      </c>
      <c r="J433" s="5">
        <f>SUMPRODUCT(('01_Data'!$B433:$AW433&lt;&gt;"")*(1/(1+EXP(-(H433-'03_Lap_b'!$B$10:$AW$10))))^2)</f>
        <v/>
      </c>
      <c r="K433" s="5">
        <f>MEDIAN(-6,H433+(C433-I433)/MAX(I433-J433,0.000000001),6)</f>
        <v/>
      </c>
      <c r="L433" s="5">
        <f>SUMPRODUCT(('01_Data'!$B433:$AW433&lt;&gt;"")*(1/(1+EXP(-(K433-'03_Lap_b'!$B$15:$AW$15)))))</f>
        <v/>
      </c>
      <c r="M433" s="5">
        <f>SUMPRODUCT(('01_Data'!$B433:$AW433&lt;&gt;"")*(1/(1+EXP(-(K433-'03_Lap_b'!$B$15:$AW$15))))^2)</f>
        <v/>
      </c>
      <c r="N433" s="5">
        <f>MEDIAN(-6,K433+(C433-L433)/MAX(L433-M433,0.000000001),6)</f>
        <v/>
      </c>
      <c r="O433" s="5">
        <f>SUMPRODUCT(('01_Data'!$B433:$AW433&lt;&gt;"")*(1/(1+EXP(-(N433-'03_Lap_b'!$B$20:$AW$20)))))</f>
        <v/>
      </c>
      <c r="P433" s="5">
        <f>SUMPRODUCT(('01_Data'!$B433:$AW433&lt;&gt;"")*(1/(1+EXP(-(N433-'03_Lap_b'!$B$20:$AW$20))))^2)</f>
        <v/>
      </c>
      <c r="Q433" s="5">
        <f>MEDIAN(-6,N433+(C433-O433)/MAX(O433-P433,0.000000001),6)</f>
        <v/>
      </c>
      <c r="R433" s="5">
        <f>SUMPRODUCT(('01_Data'!$B433:$AW433&lt;&gt;"")*(1/(1+EXP(-(Q433-'03_Lap_b'!$B$25:$AW$25)))))</f>
        <v/>
      </c>
      <c r="S433" s="5">
        <f>SUMPRODUCT(('01_Data'!$B433:$AW433&lt;&gt;"")*(1/(1+EXP(-(Q433-'03_Lap_b'!$B$25:$AW$25))))^2)</f>
        <v/>
      </c>
      <c r="T433" s="5">
        <f>MEDIAN(-6,Q433+(C433-R433)/MAX(R433-S433,0.000000001),6)</f>
        <v/>
      </c>
      <c r="U433" s="5">
        <f>SUMPRODUCT(('01_Data'!$B433:$AW433&lt;&gt;"")*(1/(1+EXP(-(T433-'03_Lap_b'!$B$30:$AW$30)))))</f>
        <v/>
      </c>
      <c r="V433" s="5">
        <f>SUMPRODUCT(('01_Data'!$B433:$AW433&lt;&gt;"")*(1/(1+EXP(-(T433-'03_Lap_b'!$B$30:$AW$30))))^2)</f>
        <v/>
      </c>
      <c r="W433" s="5">
        <f>MEDIAN(-6,T433+(C433-U433)/MAX(U433-V433,0.000000001),6)</f>
        <v/>
      </c>
      <c r="X433" s="5">
        <f>SUMPRODUCT(('01_Data'!$B433:$AW433&lt;&gt;"")*(1/(1+EXP(-(W433-'03_Lap_b'!$B$35:$AW$35)))))</f>
        <v/>
      </c>
      <c r="Y433" s="5">
        <f>SUMPRODUCT(('01_Data'!$B433:$AW433&lt;&gt;"")*(1/(1+EXP(-(W433-'03_Lap_b'!$B$35:$AW$35))))^2)</f>
        <v/>
      </c>
      <c r="Z433" s="5">
        <f>MEDIAN(-6,W433+(C433-X433)/MAX(X433-Y433,0.000000001),6)</f>
        <v/>
      </c>
      <c r="AA433" s="5">
        <f>SUMPRODUCT(('01_Data'!$B433:$AW433&lt;&gt;"")*(1/(1+EXP(-(Z433-'03_Lap_b'!$B$40:$AW$40)))))</f>
        <v/>
      </c>
      <c r="AB433" s="5">
        <f>SUMPRODUCT(('01_Data'!$B433:$AW433&lt;&gt;"")*(1/(1+EXP(-(Z433-'03_Lap_b'!$B$40:$AW$40))))^2)</f>
        <v/>
      </c>
      <c r="AC433" s="5">
        <f>MEDIAN(-6,Z433+(C433-AA433)/MAX(AA433-AB433,0.000000001),6)</f>
        <v/>
      </c>
    </row>
    <row r="434">
      <c r="A434" t="n">
        <v>433</v>
      </c>
      <c r="B434">
        <f>'01_Data'!A434</f>
        <v/>
      </c>
      <c r="C434">
        <f>SUM('01_Data'!$B434:$AW434)</f>
        <v/>
      </c>
      <c r="D434">
        <f>COUNT('01_Data'!$B434:$AW434)</f>
        <v/>
      </c>
      <c r="E434" s="5">
        <f>MEDIAN(-6,LN((C434+0.3)/(D434-C434+0.3)),6)</f>
        <v/>
      </c>
      <c r="F434" s="5">
        <f>SUMPRODUCT(('01_Data'!$B434:$AW434&lt;&gt;"")*(1/(1+EXP(-(E434-'03_Lap_b'!$B$5:$AW$5)))))</f>
        <v/>
      </c>
      <c r="G434" s="5">
        <f>SUMPRODUCT(('01_Data'!$B434:$AW434&lt;&gt;"")*(1/(1+EXP(-(E434-'03_Lap_b'!$B$5:$AW$5))))^2)</f>
        <v/>
      </c>
      <c r="H434" s="5">
        <f>MEDIAN(-6,E434+(C434-F434)/MAX(F434-G434,0.000000001),6)</f>
        <v/>
      </c>
      <c r="I434" s="5">
        <f>SUMPRODUCT(('01_Data'!$B434:$AW434&lt;&gt;"")*(1/(1+EXP(-(H434-'03_Lap_b'!$B$10:$AW$10)))))</f>
        <v/>
      </c>
      <c r="J434" s="5">
        <f>SUMPRODUCT(('01_Data'!$B434:$AW434&lt;&gt;"")*(1/(1+EXP(-(H434-'03_Lap_b'!$B$10:$AW$10))))^2)</f>
        <v/>
      </c>
      <c r="K434" s="5">
        <f>MEDIAN(-6,H434+(C434-I434)/MAX(I434-J434,0.000000001),6)</f>
        <v/>
      </c>
      <c r="L434" s="5">
        <f>SUMPRODUCT(('01_Data'!$B434:$AW434&lt;&gt;"")*(1/(1+EXP(-(K434-'03_Lap_b'!$B$15:$AW$15)))))</f>
        <v/>
      </c>
      <c r="M434" s="5">
        <f>SUMPRODUCT(('01_Data'!$B434:$AW434&lt;&gt;"")*(1/(1+EXP(-(K434-'03_Lap_b'!$B$15:$AW$15))))^2)</f>
        <v/>
      </c>
      <c r="N434" s="5">
        <f>MEDIAN(-6,K434+(C434-L434)/MAX(L434-M434,0.000000001),6)</f>
        <v/>
      </c>
      <c r="O434" s="5">
        <f>SUMPRODUCT(('01_Data'!$B434:$AW434&lt;&gt;"")*(1/(1+EXP(-(N434-'03_Lap_b'!$B$20:$AW$20)))))</f>
        <v/>
      </c>
      <c r="P434" s="5">
        <f>SUMPRODUCT(('01_Data'!$B434:$AW434&lt;&gt;"")*(1/(1+EXP(-(N434-'03_Lap_b'!$B$20:$AW$20))))^2)</f>
        <v/>
      </c>
      <c r="Q434" s="5">
        <f>MEDIAN(-6,N434+(C434-O434)/MAX(O434-P434,0.000000001),6)</f>
        <v/>
      </c>
      <c r="R434" s="5">
        <f>SUMPRODUCT(('01_Data'!$B434:$AW434&lt;&gt;"")*(1/(1+EXP(-(Q434-'03_Lap_b'!$B$25:$AW$25)))))</f>
        <v/>
      </c>
      <c r="S434" s="5">
        <f>SUMPRODUCT(('01_Data'!$B434:$AW434&lt;&gt;"")*(1/(1+EXP(-(Q434-'03_Lap_b'!$B$25:$AW$25))))^2)</f>
        <v/>
      </c>
      <c r="T434" s="5">
        <f>MEDIAN(-6,Q434+(C434-R434)/MAX(R434-S434,0.000000001),6)</f>
        <v/>
      </c>
      <c r="U434" s="5">
        <f>SUMPRODUCT(('01_Data'!$B434:$AW434&lt;&gt;"")*(1/(1+EXP(-(T434-'03_Lap_b'!$B$30:$AW$30)))))</f>
        <v/>
      </c>
      <c r="V434" s="5">
        <f>SUMPRODUCT(('01_Data'!$B434:$AW434&lt;&gt;"")*(1/(1+EXP(-(T434-'03_Lap_b'!$B$30:$AW$30))))^2)</f>
        <v/>
      </c>
      <c r="W434" s="5">
        <f>MEDIAN(-6,T434+(C434-U434)/MAX(U434-V434,0.000000001),6)</f>
        <v/>
      </c>
      <c r="X434" s="5">
        <f>SUMPRODUCT(('01_Data'!$B434:$AW434&lt;&gt;"")*(1/(1+EXP(-(W434-'03_Lap_b'!$B$35:$AW$35)))))</f>
        <v/>
      </c>
      <c r="Y434" s="5">
        <f>SUMPRODUCT(('01_Data'!$B434:$AW434&lt;&gt;"")*(1/(1+EXP(-(W434-'03_Lap_b'!$B$35:$AW$35))))^2)</f>
        <v/>
      </c>
      <c r="Z434" s="5">
        <f>MEDIAN(-6,W434+(C434-X434)/MAX(X434-Y434,0.000000001),6)</f>
        <v/>
      </c>
      <c r="AA434" s="5">
        <f>SUMPRODUCT(('01_Data'!$B434:$AW434&lt;&gt;"")*(1/(1+EXP(-(Z434-'03_Lap_b'!$B$40:$AW$40)))))</f>
        <v/>
      </c>
      <c r="AB434" s="5">
        <f>SUMPRODUCT(('01_Data'!$B434:$AW434&lt;&gt;"")*(1/(1+EXP(-(Z434-'03_Lap_b'!$B$40:$AW$40))))^2)</f>
        <v/>
      </c>
      <c r="AC434" s="5">
        <f>MEDIAN(-6,Z434+(C434-AA434)/MAX(AA434-AB434,0.000000001),6)</f>
        <v/>
      </c>
    </row>
    <row r="435">
      <c r="A435" t="n">
        <v>434</v>
      </c>
      <c r="B435">
        <f>'01_Data'!A435</f>
        <v/>
      </c>
      <c r="C435">
        <f>SUM('01_Data'!$B435:$AW435)</f>
        <v/>
      </c>
      <c r="D435">
        <f>COUNT('01_Data'!$B435:$AW435)</f>
        <v/>
      </c>
      <c r="E435" s="5">
        <f>MEDIAN(-6,LN((C435+0.3)/(D435-C435+0.3)),6)</f>
        <v/>
      </c>
      <c r="F435" s="5">
        <f>SUMPRODUCT(('01_Data'!$B435:$AW435&lt;&gt;"")*(1/(1+EXP(-(E435-'03_Lap_b'!$B$5:$AW$5)))))</f>
        <v/>
      </c>
      <c r="G435" s="5">
        <f>SUMPRODUCT(('01_Data'!$B435:$AW435&lt;&gt;"")*(1/(1+EXP(-(E435-'03_Lap_b'!$B$5:$AW$5))))^2)</f>
        <v/>
      </c>
      <c r="H435" s="5">
        <f>MEDIAN(-6,E435+(C435-F435)/MAX(F435-G435,0.000000001),6)</f>
        <v/>
      </c>
      <c r="I435" s="5">
        <f>SUMPRODUCT(('01_Data'!$B435:$AW435&lt;&gt;"")*(1/(1+EXP(-(H435-'03_Lap_b'!$B$10:$AW$10)))))</f>
        <v/>
      </c>
      <c r="J435" s="5">
        <f>SUMPRODUCT(('01_Data'!$B435:$AW435&lt;&gt;"")*(1/(1+EXP(-(H435-'03_Lap_b'!$B$10:$AW$10))))^2)</f>
        <v/>
      </c>
      <c r="K435" s="5">
        <f>MEDIAN(-6,H435+(C435-I435)/MAX(I435-J435,0.000000001),6)</f>
        <v/>
      </c>
      <c r="L435" s="5">
        <f>SUMPRODUCT(('01_Data'!$B435:$AW435&lt;&gt;"")*(1/(1+EXP(-(K435-'03_Lap_b'!$B$15:$AW$15)))))</f>
        <v/>
      </c>
      <c r="M435" s="5">
        <f>SUMPRODUCT(('01_Data'!$B435:$AW435&lt;&gt;"")*(1/(1+EXP(-(K435-'03_Lap_b'!$B$15:$AW$15))))^2)</f>
        <v/>
      </c>
      <c r="N435" s="5">
        <f>MEDIAN(-6,K435+(C435-L435)/MAX(L435-M435,0.000000001),6)</f>
        <v/>
      </c>
      <c r="O435" s="5">
        <f>SUMPRODUCT(('01_Data'!$B435:$AW435&lt;&gt;"")*(1/(1+EXP(-(N435-'03_Lap_b'!$B$20:$AW$20)))))</f>
        <v/>
      </c>
      <c r="P435" s="5">
        <f>SUMPRODUCT(('01_Data'!$B435:$AW435&lt;&gt;"")*(1/(1+EXP(-(N435-'03_Lap_b'!$B$20:$AW$20))))^2)</f>
        <v/>
      </c>
      <c r="Q435" s="5">
        <f>MEDIAN(-6,N435+(C435-O435)/MAX(O435-P435,0.000000001),6)</f>
        <v/>
      </c>
      <c r="R435" s="5">
        <f>SUMPRODUCT(('01_Data'!$B435:$AW435&lt;&gt;"")*(1/(1+EXP(-(Q435-'03_Lap_b'!$B$25:$AW$25)))))</f>
        <v/>
      </c>
      <c r="S435" s="5">
        <f>SUMPRODUCT(('01_Data'!$B435:$AW435&lt;&gt;"")*(1/(1+EXP(-(Q435-'03_Lap_b'!$B$25:$AW$25))))^2)</f>
        <v/>
      </c>
      <c r="T435" s="5">
        <f>MEDIAN(-6,Q435+(C435-R435)/MAX(R435-S435,0.000000001),6)</f>
        <v/>
      </c>
      <c r="U435" s="5">
        <f>SUMPRODUCT(('01_Data'!$B435:$AW435&lt;&gt;"")*(1/(1+EXP(-(T435-'03_Lap_b'!$B$30:$AW$30)))))</f>
        <v/>
      </c>
      <c r="V435" s="5">
        <f>SUMPRODUCT(('01_Data'!$B435:$AW435&lt;&gt;"")*(1/(1+EXP(-(T435-'03_Lap_b'!$B$30:$AW$30))))^2)</f>
        <v/>
      </c>
      <c r="W435" s="5">
        <f>MEDIAN(-6,T435+(C435-U435)/MAX(U435-V435,0.000000001),6)</f>
        <v/>
      </c>
      <c r="X435" s="5">
        <f>SUMPRODUCT(('01_Data'!$B435:$AW435&lt;&gt;"")*(1/(1+EXP(-(W435-'03_Lap_b'!$B$35:$AW$35)))))</f>
        <v/>
      </c>
      <c r="Y435" s="5">
        <f>SUMPRODUCT(('01_Data'!$B435:$AW435&lt;&gt;"")*(1/(1+EXP(-(W435-'03_Lap_b'!$B$35:$AW$35))))^2)</f>
        <v/>
      </c>
      <c r="Z435" s="5">
        <f>MEDIAN(-6,W435+(C435-X435)/MAX(X435-Y435,0.000000001),6)</f>
        <v/>
      </c>
      <c r="AA435" s="5">
        <f>SUMPRODUCT(('01_Data'!$B435:$AW435&lt;&gt;"")*(1/(1+EXP(-(Z435-'03_Lap_b'!$B$40:$AW$40)))))</f>
        <v/>
      </c>
      <c r="AB435" s="5">
        <f>SUMPRODUCT(('01_Data'!$B435:$AW435&lt;&gt;"")*(1/(1+EXP(-(Z435-'03_Lap_b'!$B$40:$AW$40))))^2)</f>
        <v/>
      </c>
      <c r="AC435" s="5">
        <f>MEDIAN(-6,Z435+(C435-AA435)/MAX(AA435-AB435,0.000000001),6)</f>
        <v/>
      </c>
    </row>
    <row r="436">
      <c r="A436" t="n">
        <v>435</v>
      </c>
      <c r="B436">
        <f>'01_Data'!A436</f>
        <v/>
      </c>
      <c r="C436">
        <f>SUM('01_Data'!$B436:$AW436)</f>
        <v/>
      </c>
      <c r="D436">
        <f>COUNT('01_Data'!$B436:$AW436)</f>
        <v/>
      </c>
      <c r="E436" s="5">
        <f>MEDIAN(-6,LN((C436+0.3)/(D436-C436+0.3)),6)</f>
        <v/>
      </c>
      <c r="F436" s="5">
        <f>SUMPRODUCT(('01_Data'!$B436:$AW436&lt;&gt;"")*(1/(1+EXP(-(E436-'03_Lap_b'!$B$5:$AW$5)))))</f>
        <v/>
      </c>
      <c r="G436" s="5">
        <f>SUMPRODUCT(('01_Data'!$B436:$AW436&lt;&gt;"")*(1/(1+EXP(-(E436-'03_Lap_b'!$B$5:$AW$5))))^2)</f>
        <v/>
      </c>
      <c r="H436" s="5">
        <f>MEDIAN(-6,E436+(C436-F436)/MAX(F436-G436,0.000000001),6)</f>
        <v/>
      </c>
      <c r="I436" s="5">
        <f>SUMPRODUCT(('01_Data'!$B436:$AW436&lt;&gt;"")*(1/(1+EXP(-(H436-'03_Lap_b'!$B$10:$AW$10)))))</f>
        <v/>
      </c>
      <c r="J436" s="5">
        <f>SUMPRODUCT(('01_Data'!$B436:$AW436&lt;&gt;"")*(1/(1+EXP(-(H436-'03_Lap_b'!$B$10:$AW$10))))^2)</f>
        <v/>
      </c>
      <c r="K436" s="5">
        <f>MEDIAN(-6,H436+(C436-I436)/MAX(I436-J436,0.000000001),6)</f>
        <v/>
      </c>
      <c r="L436" s="5">
        <f>SUMPRODUCT(('01_Data'!$B436:$AW436&lt;&gt;"")*(1/(1+EXP(-(K436-'03_Lap_b'!$B$15:$AW$15)))))</f>
        <v/>
      </c>
      <c r="M436" s="5">
        <f>SUMPRODUCT(('01_Data'!$B436:$AW436&lt;&gt;"")*(1/(1+EXP(-(K436-'03_Lap_b'!$B$15:$AW$15))))^2)</f>
        <v/>
      </c>
      <c r="N436" s="5">
        <f>MEDIAN(-6,K436+(C436-L436)/MAX(L436-M436,0.000000001),6)</f>
        <v/>
      </c>
      <c r="O436" s="5">
        <f>SUMPRODUCT(('01_Data'!$B436:$AW436&lt;&gt;"")*(1/(1+EXP(-(N436-'03_Lap_b'!$B$20:$AW$20)))))</f>
        <v/>
      </c>
      <c r="P436" s="5">
        <f>SUMPRODUCT(('01_Data'!$B436:$AW436&lt;&gt;"")*(1/(1+EXP(-(N436-'03_Lap_b'!$B$20:$AW$20))))^2)</f>
        <v/>
      </c>
      <c r="Q436" s="5">
        <f>MEDIAN(-6,N436+(C436-O436)/MAX(O436-P436,0.000000001),6)</f>
        <v/>
      </c>
      <c r="R436" s="5">
        <f>SUMPRODUCT(('01_Data'!$B436:$AW436&lt;&gt;"")*(1/(1+EXP(-(Q436-'03_Lap_b'!$B$25:$AW$25)))))</f>
        <v/>
      </c>
      <c r="S436" s="5">
        <f>SUMPRODUCT(('01_Data'!$B436:$AW436&lt;&gt;"")*(1/(1+EXP(-(Q436-'03_Lap_b'!$B$25:$AW$25))))^2)</f>
        <v/>
      </c>
      <c r="T436" s="5">
        <f>MEDIAN(-6,Q436+(C436-R436)/MAX(R436-S436,0.000000001),6)</f>
        <v/>
      </c>
      <c r="U436" s="5">
        <f>SUMPRODUCT(('01_Data'!$B436:$AW436&lt;&gt;"")*(1/(1+EXP(-(T436-'03_Lap_b'!$B$30:$AW$30)))))</f>
        <v/>
      </c>
      <c r="V436" s="5">
        <f>SUMPRODUCT(('01_Data'!$B436:$AW436&lt;&gt;"")*(1/(1+EXP(-(T436-'03_Lap_b'!$B$30:$AW$30))))^2)</f>
        <v/>
      </c>
      <c r="W436" s="5">
        <f>MEDIAN(-6,T436+(C436-U436)/MAX(U436-V436,0.000000001),6)</f>
        <v/>
      </c>
      <c r="X436" s="5">
        <f>SUMPRODUCT(('01_Data'!$B436:$AW436&lt;&gt;"")*(1/(1+EXP(-(W436-'03_Lap_b'!$B$35:$AW$35)))))</f>
        <v/>
      </c>
      <c r="Y436" s="5">
        <f>SUMPRODUCT(('01_Data'!$B436:$AW436&lt;&gt;"")*(1/(1+EXP(-(W436-'03_Lap_b'!$B$35:$AW$35))))^2)</f>
        <v/>
      </c>
      <c r="Z436" s="5">
        <f>MEDIAN(-6,W436+(C436-X436)/MAX(X436-Y436,0.000000001),6)</f>
        <v/>
      </c>
      <c r="AA436" s="5">
        <f>SUMPRODUCT(('01_Data'!$B436:$AW436&lt;&gt;"")*(1/(1+EXP(-(Z436-'03_Lap_b'!$B$40:$AW$40)))))</f>
        <v/>
      </c>
      <c r="AB436" s="5">
        <f>SUMPRODUCT(('01_Data'!$B436:$AW436&lt;&gt;"")*(1/(1+EXP(-(Z436-'03_Lap_b'!$B$40:$AW$40))))^2)</f>
        <v/>
      </c>
      <c r="AC436" s="5">
        <f>MEDIAN(-6,Z436+(C436-AA436)/MAX(AA436-AB436,0.000000001),6)</f>
        <v/>
      </c>
    </row>
    <row r="437">
      <c r="A437" t="n">
        <v>436</v>
      </c>
      <c r="B437">
        <f>'01_Data'!A437</f>
        <v/>
      </c>
      <c r="C437">
        <f>SUM('01_Data'!$B437:$AW437)</f>
        <v/>
      </c>
      <c r="D437">
        <f>COUNT('01_Data'!$B437:$AW437)</f>
        <v/>
      </c>
      <c r="E437" s="5">
        <f>MEDIAN(-6,LN((C437+0.3)/(D437-C437+0.3)),6)</f>
        <v/>
      </c>
      <c r="F437" s="5">
        <f>SUMPRODUCT(('01_Data'!$B437:$AW437&lt;&gt;"")*(1/(1+EXP(-(E437-'03_Lap_b'!$B$5:$AW$5)))))</f>
        <v/>
      </c>
      <c r="G437" s="5">
        <f>SUMPRODUCT(('01_Data'!$B437:$AW437&lt;&gt;"")*(1/(1+EXP(-(E437-'03_Lap_b'!$B$5:$AW$5))))^2)</f>
        <v/>
      </c>
      <c r="H437" s="5">
        <f>MEDIAN(-6,E437+(C437-F437)/MAX(F437-G437,0.000000001),6)</f>
        <v/>
      </c>
      <c r="I437" s="5">
        <f>SUMPRODUCT(('01_Data'!$B437:$AW437&lt;&gt;"")*(1/(1+EXP(-(H437-'03_Lap_b'!$B$10:$AW$10)))))</f>
        <v/>
      </c>
      <c r="J437" s="5">
        <f>SUMPRODUCT(('01_Data'!$B437:$AW437&lt;&gt;"")*(1/(1+EXP(-(H437-'03_Lap_b'!$B$10:$AW$10))))^2)</f>
        <v/>
      </c>
      <c r="K437" s="5">
        <f>MEDIAN(-6,H437+(C437-I437)/MAX(I437-J437,0.000000001),6)</f>
        <v/>
      </c>
      <c r="L437" s="5">
        <f>SUMPRODUCT(('01_Data'!$B437:$AW437&lt;&gt;"")*(1/(1+EXP(-(K437-'03_Lap_b'!$B$15:$AW$15)))))</f>
        <v/>
      </c>
      <c r="M437" s="5">
        <f>SUMPRODUCT(('01_Data'!$B437:$AW437&lt;&gt;"")*(1/(1+EXP(-(K437-'03_Lap_b'!$B$15:$AW$15))))^2)</f>
        <v/>
      </c>
      <c r="N437" s="5">
        <f>MEDIAN(-6,K437+(C437-L437)/MAX(L437-M437,0.000000001),6)</f>
        <v/>
      </c>
      <c r="O437" s="5">
        <f>SUMPRODUCT(('01_Data'!$B437:$AW437&lt;&gt;"")*(1/(1+EXP(-(N437-'03_Lap_b'!$B$20:$AW$20)))))</f>
        <v/>
      </c>
      <c r="P437" s="5">
        <f>SUMPRODUCT(('01_Data'!$B437:$AW437&lt;&gt;"")*(1/(1+EXP(-(N437-'03_Lap_b'!$B$20:$AW$20))))^2)</f>
        <v/>
      </c>
      <c r="Q437" s="5">
        <f>MEDIAN(-6,N437+(C437-O437)/MAX(O437-P437,0.000000001),6)</f>
        <v/>
      </c>
      <c r="R437" s="5">
        <f>SUMPRODUCT(('01_Data'!$B437:$AW437&lt;&gt;"")*(1/(1+EXP(-(Q437-'03_Lap_b'!$B$25:$AW$25)))))</f>
        <v/>
      </c>
      <c r="S437" s="5">
        <f>SUMPRODUCT(('01_Data'!$B437:$AW437&lt;&gt;"")*(1/(1+EXP(-(Q437-'03_Lap_b'!$B$25:$AW$25))))^2)</f>
        <v/>
      </c>
      <c r="T437" s="5">
        <f>MEDIAN(-6,Q437+(C437-R437)/MAX(R437-S437,0.000000001),6)</f>
        <v/>
      </c>
      <c r="U437" s="5">
        <f>SUMPRODUCT(('01_Data'!$B437:$AW437&lt;&gt;"")*(1/(1+EXP(-(T437-'03_Lap_b'!$B$30:$AW$30)))))</f>
        <v/>
      </c>
      <c r="V437" s="5">
        <f>SUMPRODUCT(('01_Data'!$B437:$AW437&lt;&gt;"")*(1/(1+EXP(-(T437-'03_Lap_b'!$B$30:$AW$30))))^2)</f>
        <v/>
      </c>
      <c r="W437" s="5">
        <f>MEDIAN(-6,T437+(C437-U437)/MAX(U437-V437,0.000000001),6)</f>
        <v/>
      </c>
      <c r="X437" s="5">
        <f>SUMPRODUCT(('01_Data'!$B437:$AW437&lt;&gt;"")*(1/(1+EXP(-(W437-'03_Lap_b'!$B$35:$AW$35)))))</f>
        <v/>
      </c>
      <c r="Y437" s="5">
        <f>SUMPRODUCT(('01_Data'!$B437:$AW437&lt;&gt;"")*(1/(1+EXP(-(W437-'03_Lap_b'!$B$35:$AW$35))))^2)</f>
        <v/>
      </c>
      <c r="Z437" s="5">
        <f>MEDIAN(-6,W437+(C437-X437)/MAX(X437-Y437,0.000000001),6)</f>
        <v/>
      </c>
      <c r="AA437" s="5">
        <f>SUMPRODUCT(('01_Data'!$B437:$AW437&lt;&gt;"")*(1/(1+EXP(-(Z437-'03_Lap_b'!$B$40:$AW$40)))))</f>
        <v/>
      </c>
      <c r="AB437" s="5">
        <f>SUMPRODUCT(('01_Data'!$B437:$AW437&lt;&gt;"")*(1/(1+EXP(-(Z437-'03_Lap_b'!$B$40:$AW$40))))^2)</f>
        <v/>
      </c>
      <c r="AC437" s="5">
        <f>MEDIAN(-6,Z437+(C437-AA437)/MAX(AA437-AB437,0.000000001),6)</f>
        <v/>
      </c>
    </row>
    <row r="438">
      <c r="A438" t="n">
        <v>437</v>
      </c>
      <c r="B438">
        <f>'01_Data'!A438</f>
        <v/>
      </c>
      <c r="C438">
        <f>SUM('01_Data'!$B438:$AW438)</f>
        <v/>
      </c>
      <c r="D438">
        <f>COUNT('01_Data'!$B438:$AW438)</f>
        <v/>
      </c>
      <c r="E438" s="5">
        <f>MEDIAN(-6,LN((C438+0.3)/(D438-C438+0.3)),6)</f>
        <v/>
      </c>
      <c r="F438" s="5">
        <f>SUMPRODUCT(('01_Data'!$B438:$AW438&lt;&gt;"")*(1/(1+EXP(-(E438-'03_Lap_b'!$B$5:$AW$5)))))</f>
        <v/>
      </c>
      <c r="G438" s="5">
        <f>SUMPRODUCT(('01_Data'!$B438:$AW438&lt;&gt;"")*(1/(1+EXP(-(E438-'03_Lap_b'!$B$5:$AW$5))))^2)</f>
        <v/>
      </c>
      <c r="H438" s="5">
        <f>MEDIAN(-6,E438+(C438-F438)/MAX(F438-G438,0.000000001),6)</f>
        <v/>
      </c>
      <c r="I438" s="5">
        <f>SUMPRODUCT(('01_Data'!$B438:$AW438&lt;&gt;"")*(1/(1+EXP(-(H438-'03_Lap_b'!$B$10:$AW$10)))))</f>
        <v/>
      </c>
      <c r="J438" s="5">
        <f>SUMPRODUCT(('01_Data'!$B438:$AW438&lt;&gt;"")*(1/(1+EXP(-(H438-'03_Lap_b'!$B$10:$AW$10))))^2)</f>
        <v/>
      </c>
      <c r="K438" s="5">
        <f>MEDIAN(-6,H438+(C438-I438)/MAX(I438-J438,0.000000001),6)</f>
        <v/>
      </c>
      <c r="L438" s="5">
        <f>SUMPRODUCT(('01_Data'!$B438:$AW438&lt;&gt;"")*(1/(1+EXP(-(K438-'03_Lap_b'!$B$15:$AW$15)))))</f>
        <v/>
      </c>
      <c r="M438" s="5">
        <f>SUMPRODUCT(('01_Data'!$B438:$AW438&lt;&gt;"")*(1/(1+EXP(-(K438-'03_Lap_b'!$B$15:$AW$15))))^2)</f>
        <v/>
      </c>
      <c r="N438" s="5">
        <f>MEDIAN(-6,K438+(C438-L438)/MAX(L438-M438,0.000000001),6)</f>
        <v/>
      </c>
      <c r="O438" s="5">
        <f>SUMPRODUCT(('01_Data'!$B438:$AW438&lt;&gt;"")*(1/(1+EXP(-(N438-'03_Lap_b'!$B$20:$AW$20)))))</f>
        <v/>
      </c>
      <c r="P438" s="5">
        <f>SUMPRODUCT(('01_Data'!$B438:$AW438&lt;&gt;"")*(1/(1+EXP(-(N438-'03_Lap_b'!$B$20:$AW$20))))^2)</f>
        <v/>
      </c>
      <c r="Q438" s="5">
        <f>MEDIAN(-6,N438+(C438-O438)/MAX(O438-P438,0.000000001),6)</f>
        <v/>
      </c>
      <c r="R438" s="5">
        <f>SUMPRODUCT(('01_Data'!$B438:$AW438&lt;&gt;"")*(1/(1+EXP(-(Q438-'03_Lap_b'!$B$25:$AW$25)))))</f>
        <v/>
      </c>
      <c r="S438" s="5">
        <f>SUMPRODUCT(('01_Data'!$B438:$AW438&lt;&gt;"")*(1/(1+EXP(-(Q438-'03_Lap_b'!$B$25:$AW$25))))^2)</f>
        <v/>
      </c>
      <c r="T438" s="5">
        <f>MEDIAN(-6,Q438+(C438-R438)/MAX(R438-S438,0.000000001),6)</f>
        <v/>
      </c>
      <c r="U438" s="5">
        <f>SUMPRODUCT(('01_Data'!$B438:$AW438&lt;&gt;"")*(1/(1+EXP(-(T438-'03_Lap_b'!$B$30:$AW$30)))))</f>
        <v/>
      </c>
      <c r="V438" s="5">
        <f>SUMPRODUCT(('01_Data'!$B438:$AW438&lt;&gt;"")*(1/(1+EXP(-(T438-'03_Lap_b'!$B$30:$AW$30))))^2)</f>
        <v/>
      </c>
      <c r="W438" s="5">
        <f>MEDIAN(-6,T438+(C438-U438)/MAX(U438-V438,0.000000001),6)</f>
        <v/>
      </c>
      <c r="X438" s="5">
        <f>SUMPRODUCT(('01_Data'!$B438:$AW438&lt;&gt;"")*(1/(1+EXP(-(W438-'03_Lap_b'!$B$35:$AW$35)))))</f>
        <v/>
      </c>
      <c r="Y438" s="5">
        <f>SUMPRODUCT(('01_Data'!$B438:$AW438&lt;&gt;"")*(1/(1+EXP(-(W438-'03_Lap_b'!$B$35:$AW$35))))^2)</f>
        <v/>
      </c>
      <c r="Z438" s="5">
        <f>MEDIAN(-6,W438+(C438-X438)/MAX(X438-Y438,0.000000001),6)</f>
        <v/>
      </c>
      <c r="AA438" s="5">
        <f>SUMPRODUCT(('01_Data'!$B438:$AW438&lt;&gt;"")*(1/(1+EXP(-(Z438-'03_Lap_b'!$B$40:$AW$40)))))</f>
        <v/>
      </c>
      <c r="AB438" s="5">
        <f>SUMPRODUCT(('01_Data'!$B438:$AW438&lt;&gt;"")*(1/(1+EXP(-(Z438-'03_Lap_b'!$B$40:$AW$40))))^2)</f>
        <v/>
      </c>
      <c r="AC438" s="5">
        <f>MEDIAN(-6,Z438+(C438-AA438)/MAX(AA438-AB438,0.000000001),6)</f>
        <v/>
      </c>
    </row>
    <row r="439">
      <c r="A439" t="n">
        <v>438</v>
      </c>
      <c r="B439">
        <f>'01_Data'!A439</f>
        <v/>
      </c>
      <c r="C439">
        <f>SUM('01_Data'!$B439:$AW439)</f>
        <v/>
      </c>
      <c r="D439">
        <f>COUNT('01_Data'!$B439:$AW439)</f>
        <v/>
      </c>
      <c r="E439" s="5">
        <f>MEDIAN(-6,LN((C439+0.3)/(D439-C439+0.3)),6)</f>
        <v/>
      </c>
      <c r="F439" s="5">
        <f>SUMPRODUCT(('01_Data'!$B439:$AW439&lt;&gt;"")*(1/(1+EXP(-(E439-'03_Lap_b'!$B$5:$AW$5)))))</f>
        <v/>
      </c>
      <c r="G439" s="5">
        <f>SUMPRODUCT(('01_Data'!$B439:$AW439&lt;&gt;"")*(1/(1+EXP(-(E439-'03_Lap_b'!$B$5:$AW$5))))^2)</f>
        <v/>
      </c>
      <c r="H439" s="5">
        <f>MEDIAN(-6,E439+(C439-F439)/MAX(F439-G439,0.000000001),6)</f>
        <v/>
      </c>
      <c r="I439" s="5">
        <f>SUMPRODUCT(('01_Data'!$B439:$AW439&lt;&gt;"")*(1/(1+EXP(-(H439-'03_Lap_b'!$B$10:$AW$10)))))</f>
        <v/>
      </c>
      <c r="J439" s="5">
        <f>SUMPRODUCT(('01_Data'!$B439:$AW439&lt;&gt;"")*(1/(1+EXP(-(H439-'03_Lap_b'!$B$10:$AW$10))))^2)</f>
        <v/>
      </c>
      <c r="K439" s="5">
        <f>MEDIAN(-6,H439+(C439-I439)/MAX(I439-J439,0.000000001),6)</f>
        <v/>
      </c>
      <c r="L439" s="5">
        <f>SUMPRODUCT(('01_Data'!$B439:$AW439&lt;&gt;"")*(1/(1+EXP(-(K439-'03_Lap_b'!$B$15:$AW$15)))))</f>
        <v/>
      </c>
      <c r="M439" s="5">
        <f>SUMPRODUCT(('01_Data'!$B439:$AW439&lt;&gt;"")*(1/(1+EXP(-(K439-'03_Lap_b'!$B$15:$AW$15))))^2)</f>
        <v/>
      </c>
      <c r="N439" s="5">
        <f>MEDIAN(-6,K439+(C439-L439)/MAX(L439-M439,0.000000001),6)</f>
        <v/>
      </c>
      <c r="O439" s="5">
        <f>SUMPRODUCT(('01_Data'!$B439:$AW439&lt;&gt;"")*(1/(1+EXP(-(N439-'03_Lap_b'!$B$20:$AW$20)))))</f>
        <v/>
      </c>
      <c r="P439" s="5">
        <f>SUMPRODUCT(('01_Data'!$B439:$AW439&lt;&gt;"")*(1/(1+EXP(-(N439-'03_Lap_b'!$B$20:$AW$20))))^2)</f>
        <v/>
      </c>
      <c r="Q439" s="5">
        <f>MEDIAN(-6,N439+(C439-O439)/MAX(O439-P439,0.000000001),6)</f>
        <v/>
      </c>
      <c r="R439" s="5">
        <f>SUMPRODUCT(('01_Data'!$B439:$AW439&lt;&gt;"")*(1/(1+EXP(-(Q439-'03_Lap_b'!$B$25:$AW$25)))))</f>
        <v/>
      </c>
      <c r="S439" s="5">
        <f>SUMPRODUCT(('01_Data'!$B439:$AW439&lt;&gt;"")*(1/(1+EXP(-(Q439-'03_Lap_b'!$B$25:$AW$25))))^2)</f>
        <v/>
      </c>
      <c r="T439" s="5">
        <f>MEDIAN(-6,Q439+(C439-R439)/MAX(R439-S439,0.000000001),6)</f>
        <v/>
      </c>
      <c r="U439" s="5">
        <f>SUMPRODUCT(('01_Data'!$B439:$AW439&lt;&gt;"")*(1/(1+EXP(-(T439-'03_Lap_b'!$B$30:$AW$30)))))</f>
        <v/>
      </c>
      <c r="V439" s="5">
        <f>SUMPRODUCT(('01_Data'!$B439:$AW439&lt;&gt;"")*(1/(1+EXP(-(T439-'03_Lap_b'!$B$30:$AW$30))))^2)</f>
        <v/>
      </c>
      <c r="W439" s="5">
        <f>MEDIAN(-6,T439+(C439-U439)/MAX(U439-V439,0.000000001),6)</f>
        <v/>
      </c>
      <c r="X439" s="5">
        <f>SUMPRODUCT(('01_Data'!$B439:$AW439&lt;&gt;"")*(1/(1+EXP(-(W439-'03_Lap_b'!$B$35:$AW$35)))))</f>
        <v/>
      </c>
      <c r="Y439" s="5">
        <f>SUMPRODUCT(('01_Data'!$B439:$AW439&lt;&gt;"")*(1/(1+EXP(-(W439-'03_Lap_b'!$B$35:$AW$35))))^2)</f>
        <v/>
      </c>
      <c r="Z439" s="5">
        <f>MEDIAN(-6,W439+(C439-X439)/MAX(X439-Y439,0.000000001),6)</f>
        <v/>
      </c>
      <c r="AA439" s="5">
        <f>SUMPRODUCT(('01_Data'!$B439:$AW439&lt;&gt;"")*(1/(1+EXP(-(Z439-'03_Lap_b'!$B$40:$AW$40)))))</f>
        <v/>
      </c>
      <c r="AB439" s="5">
        <f>SUMPRODUCT(('01_Data'!$B439:$AW439&lt;&gt;"")*(1/(1+EXP(-(Z439-'03_Lap_b'!$B$40:$AW$40))))^2)</f>
        <v/>
      </c>
      <c r="AC439" s="5">
        <f>MEDIAN(-6,Z439+(C439-AA439)/MAX(AA439-AB439,0.000000001),6)</f>
        <v/>
      </c>
    </row>
    <row r="440">
      <c r="A440" t="n">
        <v>439</v>
      </c>
      <c r="B440">
        <f>'01_Data'!A440</f>
        <v/>
      </c>
      <c r="C440">
        <f>SUM('01_Data'!$B440:$AW440)</f>
        <v/>
      </c>
      <c r="D440">
        <f>COUNT('01_Data'!$B440:$AW440)</f>
        <v/>
      </c>
      <c r="E440" s="5">
        <f>MEDIAN(-6,LN((C440+0.3)/(D440-C440+0.3)),6)</f>
        <v/>
      </c>
      <c r="F440" s="5">
        <f>SUMPRODUCT(('01_Data'!$B440:$AW440&lt;&gt;"")*(1/(1+EXP(-(E440-'03_Lap_b'!$B$5:$AW$5)))))</f>
        <v/>
      </c>
      <c r="G440" s="5">
        <f>SUMPRODUCT(('01_Data'!$B440:$AW440&lt;&gt;"")*(1/(1+EXP(-(E440-'03_Lap_b'!$B$5:$AW$5))))^2)</f>
        <v/>
      </c>
      <c r="H440" s="5">
        <f>MEDIAN(-6,E440+(C440-F440)/MAX(F440-G440,0.000000001),6)</f>
        <v/>
      </c>
      <c r="I440" s="5">
        <f>SUMPRODUCT(('01_Data'!$B440:$AW440&lt;&gt;"")*(1/(1+EXP(-(H440-'03_Lap_b'!$B$10:$AW$10)))))</f>
        <v/>
      </c>
      <c r="J440" s="5">
        <f>SUMPRODUCT(('01_Data'!$B440:$AW440&lt;&gt;"")*(1/(1+EXP(-(H440-'03_Lap_b'!$B$10:$AW$10))))^2)</f>
        <v/>
      </c>
      <c r="K440" s="5">
        <f>MEDIAN(-6,H440+(C440-I440)/MAX(I440-J440,0.000000001),6)</f>
        <v/>
      </c>
      <c r="L440" s="5">
        <f>SUMPRODUCT(('01_Data'!$B440:$AW440&lt;&gt;"")*(1/(1+EXP(-(K440-'03_Lap_b'!$B$15:$AW$15)))))</f>
        <v/>
      </c>
      <c r="M440" s="5">
        <f>SUMPRODUCT(('01_Data'!$B440:$AW440&lt;&gt;"")*(1/(1+EXP(-(K440-'03_Lap_b'!$B$15:$AW$15))))^2)</f>
        <v/>
      </c>
      <c r="N440" s="5">
        <f>MEDIAN(-6,K440+(C440-L440)/MAX(L440-M440,0.000000001),6)</f>
        <v/>
      </c>
      <c r="O440" s="5">
        <f>SUMPRODUCT(('01_Data'!$B440:$AW440&lt;&gt;"")*(1/(1+EXP(-(N440-'03_Lap_b'!$B$20:$AW$20)))))</f>
        <v/>
      </c>
      <c r="P440" s="5">
        <f>SUMPRODUCT(('01_Data'!$B440:$AW440&lt;&gt;"")*(1/(1+EXP(-(N440-'03_Lap_b'!$B$20:$AW$20))))^2)</f>
        <v/>
      </c>
      <c r="Q440" s="5">
        <f>MEDIAN(-6,N440+(C440-O440)/MAX(O440-P440,0.000000001),6)</f>
        <v/>
      </c>
      <c r="R440" s="5">
        <f>SUMPRODUCT(('01_Data'!$B440:$AW440&lt;&gt;"")*(1/(1+EXP(-(Q440-'03_Lap_b'!$B$25:$AW$25)))))</f>
        <v/>
      </c>
      <c r="S440" s="5">
        <f>SUMPRODUCT(('01_Data'!$B440:$AW440&lt;&gt;"")*(1/(1+EXP(-(Q440-'03_Lap_b'!$B$25:$AW$25))))^2)</f>
        <v/>
      </c>
      <c r="T440" s="5">
        <f>MEDIAN(-6,Q440+(C440-R440)/MAX(R440-S440,0.000000001),6)</f>
        <v/>
      </c>
      <c r="U440" s="5">
        <f>SUMPRODUCT(('01_Data'!$B440:$AW440&lt;&gt;"")*(1/(1+EXP(-(T440-'03_Lap_b'!$B$30:$AW$30)))))</f>
        <v/>
      </c>
      <c r="V440" s="5">
        <f>SUMPRODUCT(('01_Data'!$B440:$AW440&lt;&gt;"")*(1/(1+EXP(-(T440-'03_Lap_b'!$B$30:$AW$30))))^2)</f>
        <v/>
      </c>
      <c r="W440" s="5">
        <f>MEDIAN(-6,T440+(C440-U440)/MAX(U440-V440,0.000000001),6)</f>
        <v/>
      </c>
      <c r="X440" s="5">
        <f>SUMPRODUCT(('01_Data'!$B440:$AW440&lt;&gt;"")*(1/(1+EXP(-(W440-'03_Lap_b'!$B$35:$AW$35)))))</f>
        <v/>
      </c>
      <c r="Y440" s="5">
        <f>SUMPRODUCT(('01_Data'!$B440:$AW440&lt;&gt;"")*(1/(1+EXP(-(W440-'03_Lap_b'!$B$35:$AW$35))))^2)</f>
        <v/>
      </c>
      <c r="Z440" s="5">
        <f>MEDIAN(-6,W440+(C440-X440)/MAX(X440-Y440,0.000000001),6)</f>
        <v/>
      </c>
      <c r="AA440" s="5">
        <f>SUMPRODUCT(('01_Data'!$B440:$AW440&lt;&gt;"")*(1/(1+EXP(-(Z440-'03_Lap_b'!$B$40:$AW$40)))))</f>
        <v/>
      </c>
      <c r="AB440" s="5">
        <f>SUMPRODUCT(('01_Data'!$B440:$AW440&lt;&gt;"")*(1/(1+EXP(-(Z440-'03_Lap_b'!$B$40:$AW$40))))^2)</f>
        <v/>
      </c>
      <c r="AC440" s="5">
        <f>MEDIAN(-6,Z440+(C440-AA440)/MAX(AA440-AB440,0.000000001),6)</f>
        <v/>
      </c>
    </row>
    <row r="441">
      <c r="A441" t="n">
        <v>440</v>
      </c>
      <c r="B441">
        <f>'01_Data'!A441</f>
        <v/>
      </c>
      <c r="C441">
        <f>SUM('01_Data'!$B441:$AW441)</f>
        <v/>
      </c>
      <c r="D441">
        <f>COUNT('01_Data'!$B441:$AW441)</f>
        <v/>
      </c>
      <c r="E441" s="5">
        <f>MEDIAN(-6,LN((C441+0.3)/(D441-C441+0.3)),6)</f>
        <v/>
      </c>
      <c r="F441" s="5">
        <f>SUMPRODUCT(('01_Data'!$B441:$AW441&lt;&gt;"")*(1/(1+EXP(-(E441-'03_Lap_b'!$B$5:$AW$5)))))</f>
        <v/>
      </c>
      <c r="G441" s="5">
        <f>SUMPRODUCT(('01_Data'!$B441:$AW441&lt;&gt;"")*(1/(1+EXP(-(E441-'03_Lap_b'!$B$5:$AW$5))))^2)</f>
        <v/>
      </c>
      <c r="H441" s="5">
        <f>MEDIAN(-6,E441+(C441-F441)/MAX(F441-G441,0.000000001),6)</f>
        <v/>
      </c>
      <c r="I441" s="5">
        <f>SUMPRODUCT(('01_Data'!$B441:$AW441&lt;&gt;"")*(1/(1+EXP(-(H441-'03_Lap_b'!$B$10:$AW$10)))))</f>
        <v/>
      </c>
      <c r="J441" s="5">
        <f>SUMPRODUCT(('01_Data'!$B441:$AW441&lt;&gt;"")*(1/(1+EXP(-(H441-'03_Lap_b'!$B$10:$AW$10))))^2)</f>
        <v/>
      </c>
      <c r="K441" s="5">
        <f>MEDIAN(-6,H441+(C441-I441)/MAX(I441-J441,0.000000001),6)</f>
        <v/>
      </c>
      <c r="L441" s="5">
        <f>SUMPRODUCT(('01_Data'!$B441:$AW441&lt;&gt;"")*(1/(1+EXP(-(K441-'03_Lap_b'!$B$15:$AW$15)))))</f>
        <v/>
      </c>
      <c r="M441" s="5">
        <f>SUMPRODUCT(('01_Data'!$B441:$AW441&lt;&gt;"")*(1/(1+EXP(-(K441-'03_Lap_b'!$B$15:$AW$15))))^2)</f>
        <v/>
      </c>
      <c r="N441" s="5">
        <f>MEDIAN(-6,K441+(C441-L441)/MAX(L441-M441,0.000000001),6)</f>
        <v/>
      </c>
      <c r="O441" s="5">
        <f>SUMPRODUCT(('01_Data'!$B441:$AW441&lt;&gt;"")*(1/(1+EXP(-(N441-'03_Lap_b'!$B$20:$AW$20)))))</f>
        <v/>
      </c>
      <c r="P441" s="5">
        <f>SUMPRODUCT(('01_Data'!$B441:$AW441&lt;&gt;"")*(1/(1+EXP(-(N441-'03_Lap_b'!$B$20:$AW$20))))^2)</f>
        <v/>
      </c>
      <c r="Q441" s="5">
        <f>MEDIAN(-6,N441+(C441-O441)/MAX(O441-P441,0.000000001),6)</f>
        <v/>
      </c>
      <c r="R441" s="5">
        <f>SUMPRODUCT(('01_Data'!$B441:$AW441&lt;&gt;"")*(1/(1+EXP(-(Q441-'03_Lap_b'!$B$25:$AW$25)))))</f>
        <v/>
      </c>
      <c r="S441" s="5">
        <f>SUMPRODUCT(('01_Data'!$B441:$AW441&lt;&gt;"")*(1/(1+EXP(-(Q441-'03_Lap_b'!$B$25:$AW$25))))^2)</f>
        <v/>
      </c>
      <c r="T441" s="5">
        <f>MEDIAN(-6,Q441+(C441-R441)/MAX(R441-S441,0.000000001),6)</f>
        <v/>
      </c>
      <c r="U441" s="5">
        <f>SUMPRODUCT(('01_Data'!$B441:$AW441&lt;&gt;"")*(1/(1+EXP(-(T441-'03_Lap_b'!$B$30:$AW$30)))))</f>
        <v/>
      </c>
      <c r="V441" s="5">
        <f>SUMPRODUCT(('01_Data'!$B441:$AW441&lt;&gt;"")*(1/(1+EXP(-(T441-'03_Lap_b'!$B$30:$AW$30))))^2)</f>
        <v/>
      </c>
      <c r="W441" s="5">
        <f>MEDIAN(-6,T441+(C441-U441)/MAX(U441-V441,0.000000001),6)</f>
        <v/>
      </c>
      <c r="X441" s="5">
        <f>SUMPRODUCT(('01_Data'!$B441:$AW441&lt;&gt;"")*(1/(1+EXP(-(W441-'03_Lap_b'!$B$35:$AW$35)))))</f>
        <v/>
      </c>
      <c r="Y441" s="5">
        <f>SUMPRODUCT(('01_Data'!$B441:$AW441&lt;&gt;"")*(1/(1+EXP(-(W441-'03_Lap_b'!$B$35:$AW$35))))^2)</f>
        <v/>
      </c>
      <c r="Z441" s="5">
        <f>MEDIAN(-6,W441+(C441-X441)/MAX(X441-Y441,0.000000001),6)</f>
        <v/>
      </c>
      <c r="AA441" s="5">
        <f>SUMPRODUCT(('01_Data'!$B441:$AW441&lt;&gt;"")*(1/(1+EXP(-(Z441-'03_Lap_b'!$B$40:$AW$40)))))</f>
        <v/>
      </c>
      <c r="AB441" s="5">
        <f>SUMPRODUCT(('01_Data'!$B441:$AW441&lt;&gt;"")*(1/(1+EXP(-(Z441-'03_Lap_b'!$B$40:$AW$40))))^2)</f>
        <v/>
      </c>
      <c r="AC441" s="5">
        <f>MEDIAN(-6,Z441+(C441-AA441)/MAX(AA441-AB441,0.000000001),6)</f>
        <v/>
      </c>
    </row>
    <row r="442">
      <c r="A442" t="n">
        <v>441</v>
      </c>
      <c r="B442">
        <f>'01_Data'!A442</f>
        <v/>
      </c>
      <c r="C442">
        <f>SUM('01_Data'!$B442:$AW442)</f>
        <v/>
      </c>
      <c r="D442">
        <f>COUNT('01_Data'!$B442:$AW442)</f>
        <v/>
      </c>
      <c r="E442" s="5">
        <f>MEDIAN(-6,LN((C442+0.3)/(D442-C442+0.3)),6)</f>
        <v/>
      </c>
      <c r="F442" s="5">
        <f>SUMPRODUCT(('01_Data'!$B442:$AW442&lt;&gt;"")*(1/(1+EXP(-(E442-'03_Lap_b'!$B$5:$AW$5)))))</f>
        <v/>
      </c>
      <c r="G442" s="5">
        <f>SUMPRODUCT(('01_Data'!$B442:$AW442&lt;&gt;"")*(1/(1+EXP(-(E442-'03_Lap_b'!$B$5:$AW$5))))^2)</f>
        <v/>
      </c>
      <c r="H442" s="5">
        <f>MEDIAN(-6,E442+(C442-F442)/MAX(F442-G442,0.000000001),6)</f>
        <v/>
      </c>
      <c r="I442" s="5">
        <f>SUMPRODUCT(('01_Data'!$B442:$AW442&lt;&gt;"")*(1/(1+EXP(-(H442-'03_Lap_b'!$B$10:$AW$10)))))</f>
        <v/>
      </c>
      <c r="J442" s="5">
        <f>SUMPRODUCT(('01_Data'!$B442:$AW442&lt;&gt;"")*(1/(1+EXP(-(H442-'03_Lap_b'!$B$10:$AW$10))))^2)</f>
        <v/>
      </c>
      <c r="K442" s="5">
        <f>MEDIAN(-6,H442+(C442-I442)/MAX(I442-J442,0.000000001),6)</f>
        <v/>
      </c>
      <c r="L442" s="5">
        <f>SUMPRODUCT(('01_Data'!$B442:$AW442&lt;&gt;"")*(1/(1+EXP(-(K442-'03_Lap_b'!$B$15:$AW$15)))))</f>
        <v/>
      </c>
      <c r="M442" s="5">
        <f>SUMPRODUCT(('01_Data'!$B442:$AW442&lt;&gt;"")*(1/(1+EXP(-(K442-'03_Lap_b'!$B$15:$AW$15))))^2)</f>
        <v/>
      </c>
      <c r="N442" s="5">
        <f>MEDIAN(-6,K442+(C442-L442)/MAX(L442-M442,0.000000001),6)</f>
        <v/>
      </c>
      <c r="O442" s="5">
        <f>SUMPRODUCT(('01_Data'!$B442:$AW442&lt;&gt;"")*(1/(1+EXP(-(N442-'03_Lap_b'!$B$20:$AW$20)))))</f>
        <v/>
      </c>
      <c r="P442" s="5">
        <f>SUMPRODUCT(('01_Data'!$B442:$AW442&lt;&gt;"")*(1/(1+EXP(-(N442-'03_Lap_b'!$B$20:$AW$20))))^2)</f>
        <v/>
      </c>
      <c r="Q442" s="5">
        <f>MEDIAN(-6,N442+(C442-O442)/MAX(O442-P442,0.000000001),6)</f>
        <v/>
      </c>
      <c r="R442" s="5">
        <f>SUMPRODUCT(('01_Data'!$B442:$AW442&lt;&gt;"")*(1/(1+EXP(-(Q442-'03_Lap_b'!$B$25:$AW$25)))))</f>
        <v/>
      </c>
      <c r="S442" s="5">
        <f>SUMPRODUCT(('01_Data'!$B442:$AW442&lt;&gt;"")*(1/(1+EXP(-(Q442-'03_Lap_b'!$B$25:$AW$25))))^2)</f>
        <v/>
      </c>
      <c r="T442" s="5">
        <f>MEDIAN(-6,Q442+(C442-R442)/MAX(R442-S442,0.000000001),6)</f>
        <v/>
      </c>
      <c r="U442" s="5">
        <f>SUMPRODUCT(('01_Data'!$B442:$AW442&lt;&gt;"")*(1/(1+EXP(-(T442-'03_Lap_b'!$B$30:$AW$30)))))</f>
        <v/>
      </c>
      <c r="V442" s="5">
        <f>SUMPRODUCT(('01_Data'!$B442:$AW442&lt;&gt;"")*(1/(1+EXP(-(T442-'03_Lap_b'!$B$30:$AW$30))))^2)</f>
        <v/>
      </c>
      <c r="W442" s="5">
        <f>MEDIAN(-6,T442+(C442-U442)/MAX(U442-V442,0.000000001),6)</f>
        <v/>
      </c>
      <c r="X442" s="5">
        <f>SUMPRODUCT(('01_Data'!$B442:$AW442&lt;&gt;"")*(1/(1+EXP(-(W442-'03_Lap_b'!$B$35:$AW$35)))))</f>
        <v/>
      </c>
      <c r="Y442" s="5">
        <f>SUMPRODUCT(('01_Data'!$B442:$AW442&lt;&gt;"")*(1/(1+EXP(-(W442-'03_Lap_b'!$B$35:$AW$35))))^2)</f>
        <v/>
      </c>
      <c r="Z442" s="5">
        <f>MEDIAN(-6,W442+(C442-X442)/MAX(X442-Y442,0.000000001),6)</f>
        <v/>
      </c>
      <c r="AA442" s="5">
        <f>SUMPRODUCT(('01_Data'!$B442:$AW442&lt;&gt;"")*(1/(1+EXP(-(Z442-'03_Lap_b'!$B$40:$AW$40)))))</f>
        <v/>
      </c>
      <c r="AB442" s="5">
        <f>SUMPRODUCT(('01_Data'!$B442:$AW442&lt;&gt;"")*(1/(1+EXP(-(Z442-'03_Lap_b'!$B$40:$AW$40))))^2)</f>
        <v/>
      </c>
      <c r="AC442" s="5">
        <f>MEDIAN(-6,Z442+(C442-AA442)/MAX(AA442-AB442,0.000000001),6)</f>
        <v/>
      </c>
    </row>
    <row r="443">
      <c r="A443" t="n">
        <v>442</v>
      </c>
      <c r="B443">
        <f>'01_Data'!A443</f>
        <v/>
      </c>
      <c r="C443">
        <f>SUM('01_Data'!$B443:$AW443)</f>
        <v/>
      </c>
      <c r="D443">
        <f>COUNT('01_Data'!$B443:$AW443)</f>
        <v/>
      </c>
      <c r="E443" s="5">
        <f>MEDIAN(-6,LN((C443+0.3)/(D443-C443+0.3)),6)</f>
        <v/>
      </c>
      <c r="F443" s="5">
        <f>SUMPRODUCT(('01_Data'!$B443:$AW443&lt;&gt;"")*(1/(1+EXP(-(E443-'03_Lap_b'!$B$5:$AW$5)))))</f>
        <v/>
      </c>
      <c r="G443" s="5">
        <f>SUMPRODUCT(('01_Data'!$B443:$AW443&lt;&gt;"")*(1/(1+EXP(-(E443-'03_Lap_b'!$B$5:$AW$5))))^2)</f>
        <v/>
      </c>
      <c r="H443" s="5">
        <f>MEDIAN(-6,E443+(C443-F443)/MAX(F443-G443,0.000000001),6)</f>
        <v/>
      </c>
      <c r="I443" s="5">
        <f>SUMPRODUCT(('01_Data'!$B443:$AW443&lt;&gt;"")*(1/(1+EXP(-(H443-'03_Lap_b'!$B$10:$AW$10)))))</f>
        <v/>
      </c>
      <c r="J443" s="5">
        <f>SUMPRODUCT(('01_Data'!$B443:$AW443&lt;&gt;"")*(1/(1+EXP(-(H443-'03_Lap_b'!$B$10:$AW$10))))^2)</f>
        <v/>
      </c>
      <c r="K443" s="5">
        <f>MEDIAN(-6,H443+(C443-I443)/MAX(I443-J443,0.000000001),6)</f>
        <v/>
      </c>
      <c r="L443" s="5">
        <f>SUMPRODUCT(('01_Data'!$B443:$AW443&lt;&gt;"")*(1/(1+EXP(-(K443-'03_Lap_b'!$B$15:$AW$15)))))</f>
        <v/>
      </c>
      <c r="M443" s="5">
        <f>SUMPRODUCT(('01_Data'!$B443:$AW443&lt;&gt;"")*(1/(1+EXP(-(K443-'03_Lap_b'!$B$15:$AW$15))))^2)</f>
        <v/>
      </c>
      <c r="N443" s="5">
        <f>MEDIAN(-6,K443+(C443-L443)/MAX(L443-M443,0.000000001),6)</f>
        <v/>
      </c>
      <c r="O443" s="5">
        <f>SUMPRODUCT(('01_Data'!$B443:$AW443&lt;&gt;"")*(1/(1+EXP(-(N443-'03_Lap_b'!$B$20:$AW$20)))))</f>
        <v/>
      </c>
      <c r="P443" s="5">
        <f>SUMPRODUCT(('01_Data'!$B443:$AW443&lt;&gt;"")*(1/(1+EXP(-(N443-'03_Lap_b'!$B$20:$AW$20))))^2)</f>
        <v/>
      </c>
      <c r="Q443" s="5">
        <f>MEDIAN(-6,N443+(C443-O443)/MAX(O443-P443,0.000000001),6)</f>
        <v/>
      </c>
      <c r="R443" s="5">
        <f>SUMPRODUCT(('01_Data'!$B443:$AW443&lt;&gt;"")*(1/(1+EXP(-(Q443-'03_Lap_b'!$B$25:$AW$25)))))</f>
        <v/>
      </c>
      <c r="S443" s="5">
        <f>SUMPRODUCT(('01_Data'!$B443:$AW443&lt;&gt;"")*(1/(1+EXP(-(Q443-'03_Lap_b'!$B$25:$AW$25))))^2)</f>
        <v/>
      </c>
      <c r="T443" s="5">
        <f>MEDIAN(-6,Q443+(C443-R443)/MAX(R443-S443,0.000000001),6)</f>
        <v/>
      </c>
      <c r="U443" s="5">
        <f>SUMPRODUCT(('01_Data'!$B443:$AW443&lt;&gt;"")*(1/(1+EXP(-(T443-'03_Lap_b'!$B$30:$AW$30)))))</f>
        <v/>
      </c>
      <c r="V443" s="5">
        <f>SUMPRODUCT(('01_Data'!$B443:$AW443&lt;&gt;"")*(1/(1+EXP(-(T443-'03_Lap_b'!$B$30:$AW$30))))^2)</f>
        <v/>
      </c>
      <c r="W443" s="5">
        <f>MEDIAN(-6,T443+(C443-U443)/MAX(U443-V443,0.000000001),6)</f>
        <v/>
      </c>
      <c r="X443" s="5">
        <f>SUMPRODUCT(('01_Data'!$B443:$AW443&lt;&gt;"")*(1/(1+EXP(-(W443-'03_Lap_b'!$B$35:$AW$35)))))</f>
        <v/>
      </c>
      <c r="Y443" s="5">
        <f>SUMPRODUCT(('01_Data'!$B443:$AW443&lt;&gt;"")*(1/(1+EXP(-(W443-'03_Lap_b'!$B$35:$AW$35))))^2)</f>
        <v/>
      </c>
      <c r="Z443" s="5">
        <f>MEDIAN(-6,W443+(C443-X443)/MAX(X443-Y443,0.000000001),6)</f>
        <v/>
      </c>
      <c r="AA443" s="5">
        <f>SUMPRODUCT(('01_Data'!$B443:$AW443&lt;&gt;"")*(1/(1+EXP(-(Z443-'03_Lap_b'!$B$40:$AW$40)))))</f>
        <v/>
      </c>
      <c r="AB443" s="5">
        <f>SUMPRODUCT(('01_Data'!$B443:$AW443&lt;&gt;"")*(1/(1+EXP(-(Z443-'03_Lap_b'!$B$40:$AW$40))))^2)</f>
        <v/>
      </c>
      <c r="AC443" s="5">
        <f>MEDIAN(-6,Z443+(C443-AA443)/MAX(AA443-AB443,0.000000001),6)</f>
        <v/>
      </c>
    </row>
    <row r="444">
      <c r="A444" t="n">
        <v>443</v>
      </c>
      <c r="B444">
        <f>'01_Data'!A444</f>
        <v/>
      </c>
      <c r="C444">
        <f>SUM('01_Data'!$B444:$AW444)</f>
        <v/>
      </c>
      <c r="D444">
        <f>COUNT('01_Data'!$B444:$AW444)</f>
        <v/>
      </c>
      <c r="E444" s="5">
        <f>MEDIAN(-6,LN((C444+0.3)/(D444-C444+0.3)),6)</f>
        <v/>
      </c>
      <c r="F444" s="5">
        <f>SUMPRODUCT(('01_Data'!$B444:$AW444&lt;&gt;"")*(1/(1+EXP(-(E444-'03_Lap_b'!$B$5:$AW$5)))))</f>
        <v/>
      </c>
      <c r="G444" s="5">
        <f>SUMPRODUCT(('01_Data'!$B444:$AW444&lt;&gt;"")*(1/(1+EXP(-(E444-'03_Lap_b'!$B$5:$AW$5))))^2)</f>
        <v/>
      </c>
      <c r="H444" s="5">
        <f>MEDIAN(-6,E444+(C444-F444)/MAX(F444-G444,0.000000001),6)</f>
        <v/>
      </c>
      <c r="I444" s="5">
        <f>SUMPRODUCT(('01_Data'!$B444:$AW444&lt;&gt;"")*(1/(1+EXP(-(H444-'03_Lap_b'!$B$10:$AW$10)))))</f>
        <v/>
      </c>
      <c r="J444" s="5">
        <f>SUMPRODUCT(('01_Data'!$B444:$AW444&lt;&gt;"")*(1/(1+EXP(-(H444-'03_Lap_b'!$B$10:$AW$10))))^2)</f>
        <v/>
      </c>
      <c r="K444" s="5">
        <f>MEDIAN(-6,H444+(C444-I444)/MAX(I444-J444,0.000000001),6)</f>
        <v/>
      </c>
      <c r="L444" s="5">
        <f>SUMPRODUCT(('01_Data'!$B444:$AW444&lt;&gt;"")*(1/(1+EXP(-(K444-'03_Lap_b'!$B$15:$AW$15)))))</f>
        <v/>
      </c>
      <c r="M444" s="5">
        <f>SUMPRODUCT(('01_Data'!$B444:$AW444&lt;&gt;"")*(1/(1+EXP(-(K444-'03_Lap_b'!$B$15:$AW$15))))^2)</f>
        <v/>
      </c>
      <c r="N444" s="5">
        <f>MEDIAN(-6,K444+(C444-L444)/MAX(L444-M444,0.000000001),6)</f>
        <v/>
      </c>
      <c r="O444" s="5">
        <f>SUMPRODUCT(('01_Data'!$B444:$AW444&lt;&gt;"")*(1/(1+EXP(-(N444-'03_Lap_b'!$B$20:$AW$20)))))</f>
        <v/>
      </c>
      <c r="P444" s="5">
        <f>SUMPRODUCT(('01_Data'!$B444:$AW444&lt;&gt;"")*(1/(1+EXP(-(N444-'03_Lap_b'!$B$20:$AW$20))))^2)</f>
        <v/>
      </c>
      <c r="Q444" s="5">
        <f>MEDIAN(-6,N444+(C444-O444)/MAX(O444-P444,0.000000001),6)</f>
        <v/>
      </c>
      <c r="R444" s="5">
        <f>SUMPRODUCT(('01_Data'!$B444:$AW444&lt;&gt;"")*(1/(1+EXP(-(Q444-'03_Lap_b'!$B$25:$AW$25)))))</f>
        <v/>
      </c>
      <c r="S444" s="5">
        <f>SUMPRODUCT(('01_Data'!$B444:$AW444&lt;&gt;"")*(1/(1+EXP(-(Q444-'03_Lap_b'!$B$25:$AW$25))))^2)</f>
        <v/>
      </c>
      <c r="T444" s="5">
        <f>MEDIAN(-6,Q444+(C444-R444)/MAX(R444-S444,0.000000001),6)</f>
        <v/>
      </c>
      <c r="U444" s="5">
        <f>SUMPRODUCT(('01_Data'!$B444:$AW444&lt;&gt;"")*(1/(1+EXP(-(T444-'03_Lap_b'!$B$30:$AW$30)))))</f>
        <v/>
      </c>
      <c r="V444" s="5">
        <f>SUMPRODUCT(('01_Data'!$B444:$AW444&lt;&gt;"")*(1/(1+EXP(-(T444-'03_Lap_b'!$B$30:$AW$30))))^2)</f>
        <v/>
      </c>
      <c r="W444" s="5">
        <f>MEDIAN(-6,T444+(C444-U444)/MAX(U444-V444,0.000000001),6)</f>
        <v/>
      </c>
      <c r="X444" s="5">
        <f>SUMPRODUCT(('01_Data'!$B444:$AW444&lt;&gt;"")*(1/(1+EXP(-(W444-'03_Lap_b'!$B$35:$AW$35)))))</f>
        <v/>
      </c>
      <c r="Y444" s="5">
        <f>SUMPRODUCT(('01_Data'!$B444:$AW444&lt;&gt;"")*(1/(1+EXP(-(W444-'03_Lap_b'!$B$35:$AW$35))))^2)</f>
        <v/>
      </c>
      <c r="Z444" s="5">
        <f>MEDIAN(-6,W444+(C444-X444)/MAX(X444-Y444,0.000000001),6)</f>
        <v/>
      </c>
      <c r="AA444" s="5">
        <f>SUMPRODUCT(('01_Data'!$B444:$AW444&lt;&gt;"")*(1/(1+EXP(-(Z444-'03_Lap_b'!$B$40:$AW$40)))))</f>
        <v/>
      </c>
      <c r="AB444" s="5">
        <f>SUMPRODUCT(('01_Data'!$B444:$AW444&lt;&gt;"")*(1/(1+EXP(-(Z444-'03_Lap_b'!$B$40:$AW$40))))^2)</f>
        <v/>
      </c>
      <c r="AC444" s="5">
        <f>MEDIAN(-6,Z444+(C444-AA444)/MAX(AA444-AB444,0.000000001),6)</f>
        <v/>
      </c>
    </row>
    <row r="445">
      <c r="A445" t="n">
        <v>444</v>
      </c>
      <c r="B445">
        <f>'01_Data'!A445</f>
        <v/>
      </c>
      <c r="C445">
        <f>SUM('01_Data'!$B445:$AW445)</f>
        <v/>
      </c>
      <c r="D445">
        <f>COUNT('01_Data'!$B445:$AW445)</f>
        <v/>
      </c>
      <c r="E445" s="5">
        <f>MEDIAN(-6,LN((C445+0.3)/(D445-C445+0.3)),6)</f>
        <v/>
      </c>
      <c r="F445" s="5">
        <f>SUMPRODUCT(('01_Data'!$B445:$AW445&lt;&gt;"")*(1/(1+EXP(-(E445-'03_Lap_b'!$B$5:$AW$5)))))</f>
        <v/>
      </c>
      <c r="G445" s="5">
        <f>SUMPRODUCT(('01_Data'!$B445:$AW445&lt;&gt;"")*(1/(1+EXP(-(E445-'03_Lap_b'!$B$5:$AW$5))))^2)</f>
        <v/>
      </c>
      <c r="H445" s="5">
        <f>MEDIAN(-6,E445+(C445-F445)/MAX(F445-G445,0.000000001),6)</f>
        <v/>
      </c>
      <c r="I445" s="5">
        <f>SUMPRODUCT(('01_Data'!$B445:$AW445&lt;&gt;"")*(1/(1+EXP(-(H445-'03_Lap_b'!$B$10:$AW$10)))))</f>
        <v/>
      </c>
      <c r="J445" s="5">
        <f>SUMPRODUCT(('01_Data'!$B445:$AW445&lt;&gt;"")*(1/(1+EXP(-(H445-'03_Lap_b'!$B$10:$AW$10))))^2)</f>
        <v/>
      </c>
      <c r="K445" s="5">
        <f>MEDIAN(-6,H445+(C445-I445)/MAX(I445-J445,0.000000001),6)</f>
        <v/>
      </c>
      <c r="L445" s="5">
        <f>SUMPRODUCT(('01_Data'!$B445:$AW445&lt;&gt;"")*(1/(1+EXP(-(K445-'03_Lap_b'!$B$15:$AW$15)))))</f>
        <v/>
      </c>
      <c r="M445" s="5">
        <f>SUMPRODUCT(('01_Data'!$B445:$AW445&lt;&gt;"")*(1/(1+EXP(-(K445-'03_Lap_b'!$B$15:$AW$15))))^2)</f>
        <v/>
      </c>
      <c r="N445" s="5">
        <f>MEDIAN(-6,K445+(C445-L445)/MAX(L445-M445,0.000000001),6)</f>
        <v/>
      </c>
      <c r="O445" s="5">
        <f>SUMPRODUCT(('01_Data'!$B445:$AW445&lt;&gt;"")*(1/(1+EXP(-(N445-'03_Lap_b'!$B$20:$AW$20)))))</f>
        <v/>
      </c>
      <c r="P445" s="5">
        <f>SUMPRODUCT(('01_Data'!$B445:$AW445&lt;&gt;"")*(1/(1+EXP(-(N445-'03_Lap_b'!$B$20:$AW$20))))^2)</f>
        <v/>
      </c>
      <c r="Q445" s="5">
        <f>MEDIAN(-6,N445+(C445-O445)/MAX(O445-P445,0.000000001),6)</f>
        <v/>
      </c>
      <c r="R445" s="5">
        <f>SUMPRODUCT(('01_Data'!$B445:$AW445&lt;&gt;"")*(1/(1+EXP(-(Q445-'03_Lap_b'!$B$25:$AW$25)))))</f>
        <v/>
      </c>
      <c r="S445" s="5">
        <f>SUMPRODUCT(('01_Data'!$B445:$AW445&lt;&gt;"")*(1/(1+EXP(-(Q445-'03_Lap_b'!$B$25:$AW$25))))^2)</f>
        <v/>
      </c>
      <c r="T445" s="5">
        <f>MEDIAN(-6,Q445+(C445-R445)/MAX(R445-S445,0.000000001),6)</f>
        <v/>
      </c>
      <c r="U445" s="5">
        <f>SUMPRODUCT(('01_Data'!$B445:$AW445&lt;&gt;"")*(1/(1+EXP(-(T445-'03_Lap_b'!$B$30:$AW$30)))))</f>
        <v/>
      </c>
      <c r="V445" s="5">
        <f>SUMPRODUCT(('01_Data'!$B445:$AW445&lt;&gt;"")*(1/(1+EXP(-(T445-'03_Lap_b'!$B$30:$AW$30))))^2)</f>
        <v/>
      </c>
      <c r="W445" s="5">
        <f>MEDIAN(-6,T445+(C445-U445)/MAX(U445-V445,0.000000001),6)</f>
        <v/>
      </c>
      <c r="X445" s="5">
        <f>SUMPRODUCT(('01_Data'!$B445:$AW445&lt;&gt;"")*(1/(1+EXP(-(W445-'03_Lap_b'!$B$35:$AW$35)))))</f>
        <v/>
      </c>
      <c r="Y445" s="5">
        <f>SUMPRODUCT(('01_Data'!$B445:$AW445&lt;&gt;"")*(1/(1+EXP(-(W445-'03_Lap_b'!$B$35:$AW$35))))^2)</f>
        <v/>
      </c>
      <c r="Z445" s="5">
        <f>MEDIAN(-6,W445+(C445-X445)/MAX(X445-Y445,0.000000001),6)</f>
        <v/>
      </c>
      <c r="AA445" s="5">
        <f>SUMPRODUCT(('01_Data'!$B445:$AW445&lt;&gt;"")*(1/(1+EXP(-(Z445-'03_Lap_b'!$B$40:$AW$40)))))</f>
        <v/>
      </c>
      <c r="AB445" s="5">
        <f>SUMPRODUCT(('01_Data'!$B445:$AW445&lt;&gt;"")*(1/(1+EXP(-(Z445-'03_Lap_b'!$B$40:$AW$40))))^2)</f>
        <v/>
      </c>
      <c r="AC445" s="5">
        <f>MEDIAN(-6,Z445+(C445-AA445)/MAX(AA445-AB445,0.000000001),6)</f>
        <v/>
      </c>
    </row>
    <row r="446">
      <c r="A446" t="n">
        <v>445</v>
      </c>
      <c r="B446">
        <f>'01_Data'!A446</f>
        <v/>
      </c>
      <c r="C446">
        <f>SUM('01_Data'!$B446:$AW446)</f>
        <v/>
      </c>
      <c r="D446">
        <f>COUNT('01_Data'!$B446:$AW446)</f>
        <v/>
      </c>
      <c r="E446" s="5">
        <f>MEDIAN(-6,LN((C446+0.3)/(D446-C446+0.3)),6)</f>
        <v/>
      </c>
      <c r="F446" s="5">
        <f>SUMPRODUCT(('01_Data'!$B446:$AW446&lt;&gt;"")*(1/(1+EXP(-(E446-'03_Lap_b'!$B$5:$AW$5)))))</f>
        <v/>
      </c>
      <c r="G446" s="5">
        <f>SUMPRODUCT(('01_Data'!$B446:$AW446&lt;&gt;"")*(1/(1+EXP(-(E446-'03_Lap_b'!$B$5:$AW$5))))^2)</f>
        <v/>
      </c>
      <c r="H446" s="5">
        <f>MEDIAN(-6,E446+(C446-F446)/MAX(F446-G446,0.000000001),6)</f>
        <v/>
      </c>
      <c r="I446" s="5">
        <f>SUMPRODUCT(('01_Data'!$B446:$AW446&lt;&gt;"")*(1/(1+EXP(-(H446-'03_Lap_b'!$B$10:$AW$10)))))</f>
        <v/>
      </c>
      <c r="J446" s="5">
        <f>SUMPRODUCT(('01_Data'!$B446:$AW446&lt;&gt;"")*(1/(1+EXP(-(H446-'03_Lap_b'!$B$10:$AW$10))))^2)</f>
        <v/>
      </c>
      <c r="K446" s="5">
        <f>MEDIAN(-6,H446+(C446-I446)/MAX(I446-J446,0.000000001),6)</f>
        <v/>
      </c>
      <c r="L446" s="5">
        <f>SUMPRODUCT(('01_Data'!$B446:$AW446&lt;&gt;"")*(1/(1+EXP(-(K446-'03_Lap_b'!$B$15:$AW$15)))))</f>
        <v/>
      </c>
      <c r="M446" s="5">
        <f>SUMPRODUCT(('01_Data'!$B446:$AW446&lt;&gt;"")*(1/(1+EXP(-(K446-'03_Lap_b'!$B$15:$AW$15))))^2)</f>
        <v/>
      </c>
      <c r="N446" s="5">
        <f>MEDIAN(-6,K446+(C446-L446)/MAX(L446-M446,0.000000001),6)</f>
        <v/>
      </c>
      <c r="O446" s="5">
        <f>SUMPRODUCT(('01_Data'!$B446:$AW446&lt;&gt;"")*(1/(1+EXP(-(N446-'03_Lap_b'!$B$20:$AW$20)))))</f>
        <v/>
      </c>
      <c r="P446" s="5">
        <f>SUMPRODUCT(('01_Data'!$B446:$AW446&lt;&gt;"")*(1/(1+EXP(-(N446-'03_Lap_b'!$B$20:$AW$20))))^2)</f>
        <v/>
      </c>
      <c r="Q446" s="5">
        <f>MEDIAN(-6,N446+(C446-O446)/MAX(O446-P446,0.000000001),6)</f>
        <v/>
      </c>
      <c r="R446" s="5">
        <f>SUMPRODUCT(('01_Data'!$B446:$AW446&lt;&gt;"")*(1/(1+EXP(-(Q446-'03_Lap_b'!$B$25:$AW$25)))))</f>
        <v/>
      </c>
      <c r="S446" s="5">
        <f>SUMPRODUCT(('01_Data'!$B446:$AW446&lt;&gt;"")*(1/(1+EXP(-(Q446-'03_Lap_b'!$B$25:$AW$25))))^2)</f>
        <v/>
      </c>
      <c r="T446" s="5">
        <f>MEDIAN(-6,Q446+(C446-R446)/MAX(R446-S446,0.000000001),6)</f>
        <v/>
      </c>
      <c r="U446" s="5">
        <f>SUMPRODUCT(('01_Data'!$B446:$AW446&lt;&gt;"")*(1/(1+EXP(-(T446-'03_Lap_b'!$B$30:$AW$30)))))</f>
        <v/>
      </c>
      <c r="V446" s="5">
        <f>SUMPRODUCT(('01_Data'!$B446:$AW446&lt;&gt;"")*(1/(1+EXP(-(T446-'03_Lap_b'!$B$30:$AW$30))))^2)</f>
        <v/>
      </c>
      <c r="W446" s="5">
        <f>MEDIAN(-6,T446+(C446-U446)/MAX(U446-V446,0.000000001),6)</f>
        <v/>
      </c>
      <c r="X446" s="5">
        <f>SUMPRODUCT(('01_Data'!$B446:$AW446&lt;&gt;"")*(1/(1+EXP(-(W446-'03_Lap_b'!$B$35:$AW$35)))))</f>
        <v/>
      </c>
      <c r="Y446" s="5">
        <f>SUMPRODUCT(('01_Data'!$B446:$AW446&lt;&gt;"")*(1/(1+EXP(-(W446-'03_Lap_b'!$B$35:$AW$35))))^2)</f>
        <v/>
      </c>
      <c r="Z446" s="5">
        <f>MEDIAN(-6,W446+(C446-X446)/MAX(X446-Y446,0.000000001),6)</f>
        <v/>
      </c>
      <c r="AA446" s="5">
        <f>SUMPRODUCT(('01_Data'!$B446:$AW446&lt;&gt;"")*(1/(1+EXP(-(Z446-'03_Lap_b'!$B$40:$AW$40)))))</f>
        <v/>
      </c>
      <c r="AB446" s="5">
        <f>SUMPRODUCT(('01_Data'!$B446:$AW446&lt;&gt;"")*(1/(1+EXP(-(Z446-'03_Lap_b'!$B$40:$AW$40))))^2)</f>
        <v/>
      </c>
      <c r="AC446" s="5">
        <f>MEDIAN(-6,Z446+(C446-AA446)/MAX(AA446-AB446,0.000000001),6)</f>
        <v/>
      </c>
    </row>
    <row r="447">
      <c r="A447" t="n">
        <v>446</v>
      </c>
      <c r="B447">
        <f>'01_Data'!A447</f>
        <v/>
      </c>
      <c r="C447">
        <f>SUM('01_Data'!$B447:$AW447)</f>
        <v/>
      </c>
      <c r="D447">
        <f>COUNT('01_Data'!$B447:$AW447)</f>
        <v/>
      </c>
      <c r="E447" s="5">
        <f>MEDIAN(-6,LN((C447+0.3)/(D447-C447+0.3)),6)</f>
        <v/>
      </c>
      <c r="F447" s="5">
        <f>SUMPRODUCT(('01_Data'!$B447:$AW447&lt;&gt;"")*(1/(1+EXP(-(E447-'03_Lap_b'!$B$5:$AW$5)))))</f>
        <v/>
      </c>
      <c r="G447" s="5">
        <f>SUMPRODUCT(('01_Data'!$B447:$AW447&lt;&gt;"")*(1/(1+EXP(-(E447-'03_Lap_b'!$B$5:$AW$5))))^2)</f>
        <v/>
      </c>
      <c r="H447" s="5">
        <f>MEDIAN(-6,E447+(C447-F447)/MAX(F447-G447,0.000000001),6)</f>
        <v/>
      </c>
      <c r="I447" s="5">
        <f>SUMPRODUCT(('01_Data'!$B447:$AW447&lt;&gt;"")*(1/(1+EXP(-(H447-'03_Lap_b'!$B$10:$AW$10)))))</f>
        <v/>
      </c>
      <c r="J447" s="5">
        <f>SUMPRODUCT(('01_Data'!$B447:$AW447&lt;&gt;"")*(1/(1+EXP(-(H447-'03_Lap_b'!$B$10:$AW$10))))^2)</f>
        <v/>
      </c>
      <c r="K447" s="5">
        <f>MEDIAN(-6,H447+(C447-I447)/MAX(I447-J447,0.000000001),6)</f>
        <v/>
      </c>
      <c r="L447" s="5">
        <f>SUMPRODUCT(('01_Data'!$B447:$AW447&lt;&gt;"")*(1/(1+EXP(-(K447-'03_Lap_b'!$B$15:$AW$15)))))</f>
        <v/>
      </c>
      <c r="M447" s="5">
        <f>SUMPRODUCT(('01_Data'!$B447:$AW447&lt;&gt;"")*(1/(1+EXP(-(K447-'03_Lap_b'!$B$15:$AW$15))))^2)</f>
        <v/>
      </c>
      <c r="N447" s="5">
        <f>MEDIAN(-6,K447+(C447-L447)/MAX(L447-M447,0.000000001),6)</f>
        <v/>
      </c>
      <c r="O447" s="5">
        <f>SUMPRODUCT(('01_Data'!$B447:$AW447&lt;&gt;"")*(1/(1+EXP(-(N447-'03_Lap_b'!$B$20:$AW$20)))))</f>
        <v/>
      </c>
      <c r="P447" s="5">
        <f>SUMPRODUCT(('01_Data'!$B447:$AW447&lt;&gt;"")*(1/(1+EXP(-(N447-'03_Lap_b'!$B$20:$AW$20))))^2)</f>
        <v/>
      </c>
      <c r="Q447" s="5">
        <f>MEDIAN(-6,N447+(C447-O447)/MAX(O447-P447,0.000000001),6)</f>
        <v/>
      </c>
      <c r="R447" s="5">
        <f>SUMPRODUCT(('01_Data'!$B447:$AW447&lt;&gt;"")*(1/(1+EXP(-(Q447-'03_Lap_b'!$B$25:$AW$25)))))</f>
        <v/>
      </c>
      <c r="S447" s="5">
        <f>SUMPRODUCT(('01_Data'!$B447:$AW447&lt;&gt;"")*(1/(1+EXP(-(Q447-'03_Lap_b'!$B$25:$AW$25))))^2)</f>
        <v/>
      </c>
      <c r="T447" s="5">
        <f>MEDIAN(-6,Q447+(C447-R447)/MAX(R447-S447,0.000000001),6)</f>
        <v/>
      </c>
      <c r="U447" s="5">
        <f>SUMPRODUCT(('01_Data'!$B447:$AW447&lt;&gt;"")*(1/(1+EXP(-(T447-'03_Lap_b'!$B$30:$AW$30)))))</f>
        <v/>
      </c>
      <c r="V447" s="5">
        <f>SUMPRODUCT(('01_Data'!$B447:$AW447&lt;&gt;"")*(1/(1+EXP(-(T447-'03_Lap_b'!$B$30:$AW$30))))^2)</f>
        <v/>
      </c>
      <c r="W447" s="5">
        <f>MEDIAN(-6,T447+(C447-U447)/MAX(U447-V447,0.000000001),6)</f>
        <v/>
      </c>
      <c r="X447" s="5">
        <f>SUMPRODUCT(('01_Data'!$B447:$AW447&lt;&gt;"")*(1/(1+EXP(-(W447-'03_Lap_b'!$B$35:$AW$35)))))</f>
        <v/>
      </c>
      <c r="Y447" s="5">
        <f>SUMPRODUCT(('01_Data'!$B447:$AW447&lt;&gt;"")*(1/(1+EXP(-(W447-'03_Lap_b'!$B$35:$AW$35))))^2)</f>
        <v/>
      </c>
      <c r="Z447" s="5">
        <f>MEDIAN(-6,W447+(C447-X447)/MAX(X447-Y447,0.000000001),6)</f>
        <v/>
      </c>
      <c r="AA447" s="5">
        <f>SUMPRODUCT(('01_Data'!$B447:$AW447&lt;&gt;"")*(1/(1+EXP(-(Z447-'03_Lap_b'!$B$40:$AW$40)))))</f>
        <v/>
      </c>
      <c r="AB447" s="5">
        <f>SUMPRODUCT(('01_Data'!$B447:$AW447&lt;&gt;"")*(1/(1+EXP(-(Z447-'03_Lap_b'!$B$40:$AW$40))))^2)</f>
        <v/>
      </c>
      <c r="AC447" s="5">
        <f>MEDIAN(-6,Z447+(C447-AA447)/MAX(AA447-AB447,0.000000001),6)</f>
        <v/>
      </c>
    </row>
    <row r="448">
      <c r="A448" t="n">
        <v>447</v>
      </c>
      <c r="B448">
        <f>'01_Data'!A448</f>
        <v/>
      </c>
      <c r="C448">
        <f>SUM('01_Data'!$B448:$AW448)</f>
        <v/>
      </c>
      <c r="D448">
        <f>COUNT('01_Data'!$B448:$AW448)</f>
        <v/>
      </c>
      <c r="E448" s="5">
        <f>MEDIAN(-6,LN((C448+0.3)/(D448-C448+0.3)),6)</f>
        <v/>
      </c>
      <c r="F448" s="5">
        <f>SUMPRODUCT(('01_Data'!$B448:$AW448&lt;&gt;"")*(1/(1+EXP(-(E448-'03_Lap_b'!$B$5:$AW$5)))))</f>
        <v/>
      </c>
      <c r="G448" s="5">
        <f>SUMPRODUCT(('01_Data'!$B448:$AW448&lt;&gt;"")*(1/(1+EXP(-(E448-'03_Lap_b'!$B$5:$AW$5))))^2)</f>
        <v/>
      </c>
      <c r="H448" s="5">
        <f>MEDIAN(-6,E448+(C448-F448)/MAX(F448-G448,0.000000001),6)</f>
        <v/>
      </c>
      <c r="I448" s="5">
        <f>SUMPRODUCT(('01_Data'!$B448:$AW448&lt;&gt;"")*(1/(1+EXP(-(H448-'03_Lap_b'!$B$10:$AW$10)))))</f>
        <v/>
      </c>
      <c r="J448" s="5">
        <f>SUMPRODUCT(('01_Data'!$B448:$AW448&lt;&gt;"")*(1/(1+EXP(-(H448-'03_Lap_b'!$B$10:$AW$10))))^2)</f>
        <v/>
      </c>
      <c r="K448" s="5">
        <f>MEDIAN(-6,H448+(C448-I448)/MAX(I448-J448,0.000000001),6)</f>
        <v/>
      </c>
      <c r="L448" s="5">
        <f>SUMPRODUCT(('01_Data'!$B448:$AW448&lt;&gt;"")*(1/(1+EXP(-(K448-'03_Lap_b'!$B$15:$AW$15)))))</f>
        <v/>
      </c>
      <c r="M448" s="5">
        <f>SUMPRODUCT(('01_Data'!$B448:$AW448&lt;&gt;"")*(1/(1+EXP(-(K448-'03_Lap_b'!$B$15:$AW$15))))^2)</f>
        <v/>
      </c>
      <c r="N448" s="5">
        <f>MEDIAN(-6,K448+(C448-L448)/MAX(L448-M448,0.000000001),6)</f>
        <v/>
      </c>
      <c r="O448" s="5">
        <f>SUMPRODUCT(('01_Data'!$B448:$AW448&lt;&gt;"")*(1/(1+EXP(-(N448-'03_Lap_b'!$B$20:$AW$20)))))</f>
        <v/>
      </c>
      <c r="P448" s="5">
        <f>SUMPRODUCT(('01_Data'!$B448:$AW448&lt;&gt;"")*(1/(1+EXP(-(N448-'03_Lap_b'!$B$20:$AW$20))))^2)</f>
        <v/>
      </c>
      <c r="Q448" s="5">
        <f>MEDIAN(-6,N448+(C448-O448)/MAX(O448-P448,0.000000001),6)</f>
        <v/>
      </c>
      <c r="R448" s="5">
        <f>SUMPRODUCT(('01_Data'!$B448:$AW448&lt;&gt;"")*(1/(1+EXP(-(Q448-'03_Lap_b'!$B$25:$AW$25)))))</f>
        <v/>
      </c>
      <c r="S448" s="5">
        <f>SUMPRODUCT(('01_Data'!$B448:$AW448&lt;&gt;"")*(1/(1+EXP(-(Q448-'03_Lap_b'!$B$25:$AW$25))))^2)</f>
        <v/>
      </c>
      <c r="T448" s="5">
        <f>MEDIAN(-6,Q448+(C448-R448)/MAX(R448-S448,0.000000001),6)</f>
        <v/>
      </c>
      <c r="U448" s="5">
        <f>SUMPRODUCT(('01_Data'!$B448:$AW448&lt;&gt;"")*(1/(1+EXP(-(T448-'03_Lap_b'!$B$30:$AW$30)))))</f>
        <v/>
      </c>
      <c r="V448" s="5">
        <f>SUMPRODUCT(('01_Data'!$B448:$AW448&lt;&gt;"")*(1/(1+EXP(-(T448-'03_Lap_b'!$B$30:$AW$30))))^2)</f>
        <v/>
      </c>
      <c r="W448" s="5">
        <f>MEDIAN(-6,T448+(C448-U448)/MAX(U448-V448,0.000000001),6)</f>
        <v/>
      </c>
      <c r="X448" s="5">
        <f>SUMPRODUCT(('01_Data'!$B448:$AW448&lt;&gt;"")*(1/(1+EXP(-(W448-'03_Lap_b'!$B$35:$AW$35)))))</f>
        <v/>
      </c>
      <c r="Y448" s="5">
        <f>SUMPRODUCT(('01_Data'!$B448:$AW448&lt;&gt;"")*(1/(1+EXP(-(W448-'03_Lap_b'!$B$35:$AW$35))))^2)</f>
        <v/>
      </c>
      <c r="Z448" s="5">
        <f>MEDIAN(-6,W448+(C448-X448)/MAX(X448-Y448,0.000000001),6)</f>
        <v/>
      </c>
      <c r="AA448" s="5">
        <f>SUMPRODUCT(('01_Data'!$B448:$AW448&lt;&gt;"")*(1/(1+EXP(-(Z448-'03_Lap_b'!$B$40:$AW$40)))))</f>
        <v/>
      </c>
      <c r="AB448" s="5">
        <f>SUMPRODUCT(('01_Data'!$B448:$AW448&lt;&gt;"")*(1/(1+EXP(-(Z448-'03_Lap_b'!$B$40:$AW$40))))^2)</f>
        <v/>
      </c>
      <c r="AC448" s="5">
        <f>MEDIAN(-6,Z448+(C448-AA448)/MAX(AA448-AB448,0.000000001),6)</f>
        <v/>
      </c>
    </row>
    <row r="449">
      <c r="A449" t="n">
        <v>448</v>
      </c>
      <c r="B449">
        <f>'01_Data'!A449</f>
        <v/>
      </c>
      <c r="C449">
        <f>SUM('01_Data'!$B449:$AW449)</f>
        <v/>
      </c>
      <c r="D449">
        <f>COUNT('01_Data'!$B449:$AW449)</f>
        <v/>
      </c>
      <c r="E449" s="5">
        <f>MEDIAN(-6,LN((C449+0.3)/(D449-C449+0.3)),6)</f>
        <v/>
      </c>
      <c r="F449" s="5">
        <f>SUMPRODUCT(('01_Data'!$B449:$AW449&lt;&gt;"")*(1/(1+EXP(-(E449-'03_Lap_b'!$B$5:$AW$5)))))</f>
        <v/>
      </c>
      <c r="G449" s="5">
        <f>SUMPRODUCT(('01_Data'!$B449:$AW449&lt;&gt;"")*(1/(1+EXP(-(E449-'03_Lap_b'!$B$5:$AW$5))))^2)</f>
        <v/>
      </c>
      <c r="H449" s="5">
        <f>MEDIAN(-6,E449+(C449-F449)/MAX(F449-G449,0.000000001),6)</f>
        <v/>
      </c>
      <c r="I449" s="5">
        <f>SUMPRODUCT(('01_Data'!$B449:$AW449&lt;&gt;"")*(1/(1+EXP(-(H449-'03_Lap_b'!$B$10:$AW$10)))))</f>
        <v/>
      </c>
      <c r="J449" s="5">
        <f>SUMPRODUCT(('01_Data'!$B449:$AW449&lt;&gt;"")*(1/(1+EXP(-(H449-'03_Lap_b'!$B$10:$AW$10))))^2)</f>
        <v/>
      </c>
      <c r="K449" s="5">
        <f>MEDIAN(-6,H449+(C449-I449)/MAX(I449-J449,0.000000001),6)</f>
        <v/>
      </c>
      <c r="L449" s="5">
        <f>SUMPRODUCT(('01_Data'!$B449:$AW449&lt;&gt;"")*(1/(1+EXP(-(K449-'03_Lap_b'!$B$15:$AW$15)))))</f>
        <v/>
      </c>
      <c r="M449" s="5">
        <f>SUMPRODUCT(('01_Data'!$B449:$AW449&lt;&gt;"")*(1/(1+EXP(-(K449-'03_Lap_b'!$B$15:$AW$15))))^2)</f>
        <v/>
      </c>
      <c r="N449" s="5">
        <f>MEDIAN(-6,K449+(C449-L449)/MAX(L449-M449,0.000000001),6)</f>
        <v/>
      </c>
      <c r="O449" s="5">
        <f>SUMPRODUCT(('01_Data'!$B449:$AW449&lt;&gt;"")*(1/(1+EXP(-(N449-'03_Lap_b'!$B$20:$AW$20)))))</f>
        <v/>
      </c>
      <c r="P449" s="5">
        <f>SUMPRODUCT(('01_Data'!$B449:$AW449&lt;&gt;"")*(1/(1+EXP(-(N449-'03_Lap_b'!$B$20:$AW$20))))^2)</f>
        <v/>
      </c>
      <c r="Q449" s="5">
        <f>MEDIAN(-6,N449+(C449-O449)/MAX(O449-P449,0.000000001),6)</f>
        <v/>
      </c>
      <c r="R449" s="5">
        <f>SUMPRODUCT(('01_Data'!$B449:$AW449&lt;&gt;"")*(1/(1+EXP(-(Q449-'03_Lap_b'!$B$25:$AW$25)))))</f>
        <v/>
      </c>
      <c r="S449" s="5">
        <f>SUMPRODUCT(('01_Data'!$B449:$AW449&lt;&gt;"")*(1/(1+EXP(-(Q449-'03_Lap_b'!$B$25:$AW$25))))^2)</f>
        <v/>
      </c>
      <c r="T449" s="5">
        <f>MEDIAN(-6,Q449+(C449-R449)/MAX(R449-S449,0.000000001),6)</f>
        <v/>
      </c>
      <c r="U449" s="5">
        <f>SUMPRODUCT(('01_Data'!$B449:$AW449&lt;&gt;"")*(1/(1+EXP(-(T449-'03_Lap_b'!$B$30:$AW$30)))))</f>
        <v/>
      </c>
      <c r="V449" s="5">
        <f>SUMPRODUCT(('01_Data'!$B449:$AW449&lt;&gt;"")*(1/(1+EXP(-(T449-'03_Lap_b'!$B$30:$AW$30))))^2)</f>
        <v/>
      </c>
      <c r="W449" s="5">
        <f>MEDIAN(-6,T449+(C449-U449)/MAX(U449-V449,0.000000001),6)</f>
        <v/>
      </c>
      <c r="X449" s="5">
        <f>SUMPRODUCT(('01_Data'!$B449:$AW449&lt;&gt;"")*(1/(1+EXP(-(W449-'03_Lap_b'!$B$35:$AW$35)))))</f>
        <v/>
      </c>
      <c r="Y449" s="5">
        <f>SUMPRODUCT(('01_Data'!$B449:$AW449&lt;&gt;"")*(1/(1+EXP(-(W449-'03_Lap_b'!$B$35:$AW$35))))^2)</f>
        <v/>
      </c>
      <c r="Z449" s="5">
        <f>MEDIAN(-6,W449+(C449-X449)/MAX(X449-Y449,0.000000001),6)</f>
        <v/>
      </c>
      <c r="AA449" s="5">
        <f>SUMPRODUCT(('01_Data'!$B449:$AW449&lt;&gt;"")*(1/(1+EXP(-(Z449-'03_Lap_b'!$B$40:$AW$40)))))</f>
        <v/>
      </c>
      <c r="AB449" s="5">
        <f>SUMPRODUCT(('01_Data'!$B449:$AW449&lt;&gt;"")*(1/(1+EXP(-(Z449-'03_Lap_b'!$B$40:$AW$40))))^2)</f>
        <v/>
      </c>
      <c r="AC449" s="5">
        <f>MEDIAN(-6,Z449+(C449-AA449)/MAX(AA449-AB449,0.000000001),6)</f>
        <v/>
      </c>
    </row>
    <row r="450">
      <c r="A450" t="n">
        <v>449</v>
      </c>
      <c r="B450">
        <f>'01_Data'!A450</f>
        <v/>
      </c>
      <c r="C450">
        <f>SUM('01_Data'!$B450:$AW450)</f>
        <v/>
      </c>
      <c r="D450">
        <f>COUNT('01_Data'!$B450:$AW450)</f>
        <v/>
      </c>
      <c r="E450" s="5">
        <f>MEDIAN(-6,LN((C450+0.3)/(D450-C450+0.3)),6)</f>
        <v/>
      </c>
      <c r="F450" s="5">
        <f>SUMPRODUCT(('01_Data'!$B450:$AW450&lt;&gt;"")*(1/(1+EXP(-(E450-'03_Lap_b'!$B$5:$AW$5)))))</f>
        <v/>
      </c>
      <c r="G450" s="5">
        <f>SUMPRODUCT(('01_Data'!$B450:$AW450&lt;&gt;"")*(1/(1+EXP(-(E450-'03_Lap_b'!$B$5:$AW$5))))^2)</f>
        <v/>
      </c>
      <c r="H450" s="5">
        <f>MEDIAN(-6,E450+(C450-F450)/MAX(F450-G450,0.000000001),6)</f>
        <v/>
      </c>
      <c r="I450" s="5">
        <f>SUMPRODUCT(('01_Data'!$B450:$AW450&lt;&gt;"")*(1/(1+EXP(-(H450-'03_Lap_b'!$B$10:$AW$10)))))</f>
        <v/>
      </c>
      <c r="J450" s="5">
        <f>SUMPRODUCT(('01_Data'!$B450:$AW450&lt;&gt;"")*(1/(1+EXP(-(H450-'03_Lap_b'!$B$10:$AW$10))))^2)</f>
        <v/>
      </c>
      <c r="K450" s="5">
        <f>MEDIAN(-6,H450+(C450-I450)/MAX(I450-J450,0.000000001),6)</f>
        <v/>
      </c>
      <c r="L450" s="5">
        <f>SUMPRODUCT(('01_Data'!$B450:$AW450&lt;&gt;"")*(1/(1+EXP(-(K450-'03_Lap_b'!$B$15:$AW$15)))))</f>
        <v/>
      </c>
      <c r="M450" s="5">
        <f>SUMPRODUCT(('01_Data'!$B450:$AW450&lt;&gt;"")*(1/(1+EXP(-(K450-'03_Lap_b'!$B$15:$AW$15))))^2)</f>
        <v/>
      </c>
      <c r="N450" s="5">
        <f>MEDIAN(-6,K450+(C450-L450)/MAX(L450-M450,0.000000001),6)</f>
        <v/>
      </c>
      <c r="O450" s="5">
        <f>SUMPRODUCT(('01_Data'!$B450:$AW450&lt;&gt;"")*(1/(1+EXP(-(N450-'03_Lap_b'!$B$20:$AW$20)))))</f>
        <v/>
      </c>
      <c r="P450" s="5">
        <f>SUMPRODUCT(('01_Data'!$B450:$AW450&lt;&gt;"")*(1/(1+EXP(-(N450-'03_Lap_b'!$B$20:$AW$20))))^2)</f>
        <v/>
      </c>
      <c r="Q450" s="5">
        <f>MEDIAN(-6,N450+(C450-O450)/MAX(O450-P450,0.000000001),6)</f>
        <v/>
      </c>
      <c r="R450" s="5">
        <f>SUMPRODUCT(('01_Data'!$B450:$AW450&lt;&gt;"")*(1/(1+EXP(-(Q450-'03_Lap_b'!$B$25:$AW$25)))))</f>
        <v/>
      </c>
      <c r="S450" s="5">
        <f>SUMPRODUCT(('01_Data'!$B450:$AW450&lt;&gt;"")*(1/(1+EXP(-(Q450-'03_Lap_b'!$B$25:$AW$25))))^2)</f>
        <v/>
      </c>
      <c r="T450" s="5">
        <f>MEDIAN(-6,Q450+(C450-R450)/MAX(R450-S450,0.000000001),6)</f>
        <v/>
      </c>
      <c r="U450" s="5">
        <f>SUMPRODUCT(('01_Data'!$B450:$AW450&lt;&gt;"")*(1/(1+EXP(-(T450-'03_Lap_b'!$B$30:$AW$30)))))</f>
        <v/>
      </c>
      <c r="V450" s="5">
        <f>SUMPRODUCT(('01_Data'!$B450:$AW450&lt;&gt;"")*(1/(1+EXP(-(T450-'03_Lap_b'!$B$30:$AW$30))))^2)</f>
        <v/>
      </c>
      <c r="W450" s="5">
        <f>MEDIAN(-6,T450+(C450-U450)/MAX(U450-V450,0.000000001),6)</f>
        <v/>
      </c>
      <c r="X450" s="5">
        <f>SUMPRODUCT(('01_Data'!$B450:$AW450&lt;&gt;"")*(1/(1+EXP(-(W450-'03_Lap_b'!$B$35:$AW$35)))))</f>
        <v/>
      </c>
      <c r="Y450" s="5">
        <f>SUMPRODUCT(('01_Data'!$B450:$AW450&lt;&gt;"")*(1/(1+EXP(-(W450-'03_Lap_b'!$B$35:$AW$35))))^2)</f>
        <v/>
      </c>
      <c r="Z450" s="5">
        <f>MEDIAN(-6,W450+(C450-X450)/MAX(X450-Y450,0.000000001),6)</f>
        <v/>
      </c>
      <c r="AA450" s="5">
        <f>SUMPRODUCT(('01_Data'!$B450:$AW450&lt;&gt;"")*(1/(1+EXP(-(Z450-'03_Lap_b'!$B$40:$AW$40)))))</f>
        <v/>
      </c>
      <c r="AB450" s="5">
        <f>SUMPRODUCT(('01_Data'!$B450:$AW450&lt;&gt;"")*(1/(1+EXP(-(Z450-'03_Lap_b'!$B$40:$AW$40))))^2)</f>
        <v/>
      </c>
      <c r="AC450" s="5">
        <f>MEDIAN(-6,Z450+(C450-AA450)/MAX(AA450-AB450,0.000000001),6)</f>
        <v/>
      </c>
    </row>
    <row r="451">
      <c r="A451" t="n">
        <v>450</v>
      </c>
      <c r="B451">
        <f>'01_Data'!A451</f>
        <v/>
      </c>
      <c r="C451">
        <f>SUM('01_Data'!$B451:$AW451)</f>
        <v/>
      </c>
      <c r="D451">
        <f>COUNT('01_Data'!$B451:$AW451)</f>
        <v/>
      </c>
      <c r="E451" s="5">
        <f>MEDIAN(-6,LN((C451+0.3)/(D451-C451+0.3)),6)</f>
        <v/>
      </c>
      <c r="F451" s="5">
        <f>SUMPRODUCT(('01_Data'!$B451:$AW451&lt;&gt;"")*(1/(1+EXP(-(E451-'03_Lap_b'!$B$5:$AW$5)))))</f>
        <v/>
      </c>
      <c r="G451" s="5">
        <f>SUMPRODUCT(('01_Data'!$B451:$AW451&lt;&gt;"")*(1/(1+EXP(-(E451-'03_Lap_b'!$B$5:$AW$5))))^2)</f>
        <v/>
      </c>
      <c r="H451" s="5">
        <f>MEDIAN(-6,E451+(C451-F451)/MAX(F451-G451,0.000000001),6)</f>
        <v/>
      </c>
      <c r="I451" s="5">
        <f>SUMPRODUCT(('01_Data'!$B451:$AW451&lt;&gt;"")*(1/(1+EXP(-(H451-'03_Lap_b'!$B$10:$AW$10)))))</f>
        <v/>
      </c>
      <c r="J451" s="5">
        <f>SUMPRODUCT(('01_Data'!$B451:$AW451&lt;&gt;"")*(1/(1+EXP(-(H451-'03_Lap_b'!$B$10:$AW$10))))^2)</f>
        <v/>
      </c>
      <c r="K451" s="5">
        <f>MEDIAN(-6,H451+(C451-I451)/MAX(I451-J451,0.000000001),6)</f>
        <v/>
      </c>
      <c r="L451" s="5">
        <f>SUMPRODUCT(('01_Data'!$B451:$AW451&lt;&gt;"")*(1/(1+EXP(-(K451-'03_Lap_b'!$B$15:$AW$15)))))</f>
        <v/>
      </c>
      <c r="M451" s="5">
        <f>SUMPRODUCT(('01_Data'!$B451:$AW451&lt;&gt;"")*(1/(1+EXP(-(K451-'03_Lap_b'!$B$15:$AW$15))))^2)</f>
        <v/>
      </c>
      <c r="N451" s="5">
        <f>MEDIAN(-6,K451+(C451-L451)/MAX(L451-M451,0.000000001),6)</f>
        <v/>
      </c>
      <c r="O451" s="5">
        <f>SUMPRODUCT(('01_Data'!$B451:$AW451&lt;&gt;"")*(1/(1+EXP(-(N451-'03_Lap_b'!$B$20:$AW$20)))))</f>
        <v/>
      </c>
      <c r="P451" s="5">
        <f>SUMPRODUCT(('01_Data'!$B451:$AW451&lt;&gt;"")*(1/(1+EXP(-(N451-'03_Lap_b'!$B$20:$AW$20))))^2)</f>
        <v/>
      </c>
      <c r="Q451" s="5">
        <f>MEDIAN(-6,N451+(C451-O451)/MAX(O451-P451,0.000000001),6)</f>
        <v/>
      </c>
      <c r="R451" s="5">
        <f>SUMPRODUCT(('01_Data'!$B451:$AW451&lt;&gt;"")*(1/(1+EXP(-(Q451-'03_Lap_b'!$B$25:$AW$25)))))</f>
        <v/>
      </c>
      <c r="S451" s="5">
        <f>SUMPRODUCT(('01_Data'!$B451:$AW451&lt;&gt;"")*(1/(1+EXP(-(Q451-'03_Lap_b'!$B$25:$AW$25))))^2)</f>
        <v/>
      </c>
      <c r="T451" s="5">
        <f>MEDIAN(-6,Q451+(C451-R451)/MAX(R451-S451,0.000000001),6)</f>
        <v/>
      </c>
      <c r="U451" s="5">
        <f>SUMPRODUCT(('01_Data'!$B451:$AW451&lt;&gt;"")*(1/(1+EXP(-(T451-'03_Lap_b'!$B$30:$AW$30)))))</f>
        <v/>
      </c>
      <c r="V451" s="5">
        <f>SUMPRODUCT(('01_Data'!$B451:$AW451&lt;&gt;"")*(1/(1+EXP(-(T451-'03_Lap_b'!$B$30:$AW$30))))^2)</f>
        <v/>
      </c>
      <c r="W451" s="5">
        <f>MEDIAN(-6,T451+(C451-U451)/MAX(U451-V451,0.000000001),6)</f>
        <v/>
      </c>
      <c r="X451" s="5">
        <f>SUMPRODUCT(('01_Data'!$B451:$AW451&lt;&gt;"")*(1/(1+EXP(-(W451-'03_Lap_b'!$B$35:$AW$35)))))</f>
        <v/>
      </c>
      <c r="Y451" s="5">
        <f>SUMPRODUCT(('01_Data'!$B451:$AW451&lt;&gt;"")*(1/(1+EXP(-(W451-'03_Lap_b'!$B$35:$AW$35))))^2)</f>
        <v/>
      </c>
      <c r="Z451" s="5">
        <f>MEDIAN(-6,W451+(C451-X451)/MAX(X451-Y451,0.000000001),6)</f>
        <v/>
      </c>
      <c r="AA451" s="5">
        <f>SUMPRODUCT(('01_Data'!$B451:$AW451&lt;&gt;"")*(1/(1+EXP(-(Z451-'03_Lap_b'!$B$40:$AW$40)))))</f>
        <v/>
      </c>
      <c r="AB451" s="5">
        <f>SUMPRODUCT(('01_Data'!$B451:$AW451&lt;&gt;"")*(1/(1+EXP(-(Z451-'03_Lap_b'!$B$40:$AW$40))))^2)</f>
        <v/>
      </c>
      <c r="AC451" s="5">
        <f>MEDIAN(-6,Z451+(C451-AA451)/MAX(AA451-AB451,0.000000001),6)</f>
        <v/>
      </c>
    </row>
    <row r="452">
      <c r="A452" t="n">
        <v>451</v>
      </c>
      <c r="B452">
        <f>'01_Data'!A452</f>
        <v/>
      </c>
      <c r="C452">
        <f>SUM('01_Data'!$B452:$AW452)</f>
        <v/>
      </c>
      <c r="D452">
        <f>COUNT('01_Data'!$B452:$AW452)</f>
        <v/>
      </c>
      <c r="E452" s="5">
        <f>MEDIAN(-6,LN((C452+0.3)/(D452-C452+0.3)),6)</f>
        <v/>
      </c>
      <c r="F452" s="5">
        <f>SUMPRODUCT(('01_Data'!$B452:$AW452&lt;&gt;"")*(1/(1+EXP(-(E452-'03_Lap_b'!$B$5:$AW$5)))))</f>
        <v/>
      </c>
      <c r="G452" s="5">
        <f>SUMPRODUCT(('01_Data'!$B452:$AW452&lt;&gt;"")*(1/(1+EXP(-(E452-'03_Lap_b'!$B$5:$AW$5))))^2)</f>
        <v/>
      </c>
      <c r="H452" s="5">
        <f>MEDIAN(-6,E452+(C452-F452)/MAX(F452-G452,0.000000001),6)</f>
        <v/>
      </c>
      <c r="I452" s="5">
        <f>SUMPRODUCT(('01_Data'!$B452:$AW452&lt;&gt;"")*(1/(1+EXP(-(H452-'03_Lap_b'!$B$10:$AW$10)))))</f>
        <v/>
      </c>
      <c r="J452" s="5">
        <f>SUMPRODUCT(('01_Data'!$B452:$AW452&lt;&gt;"")*(1/(1+EXP(-(H452-'03_Lap_b'!$B$10:$AW$10))))^2)</f>
        <v/>
      </c>
      <c r="K452" s="5">
        <f>MEDIAN(-6,H452+(C452-I452)/MAX(I452-J452,0.000000001),6)</f>
        <v/>
      </c>
      <c r="L452" s="5">
        <f>SUMPRODUCT(('01_Data'!$B452:$AW452&lt;&gt;"")*(1/(1+EXP(-(K452-'03_Lap_b'!$B$15:$AW$15)))))</f>
        <v/>
      </c>
      <c r="M452" s="5">
        <f>SUMPRODUCT(('01_Data'!$B452:$AW452&lt;&gt;"")*(1/(1+EXP(-(K452-'03_Lap_b'!$B$15:$AW$15))))^2)</f>
        <v/>
      </c>
      <c r="N452" s="5">
        <f>MEDIAN(-6,K452+(C452-L452)/MAX(L452-M452,0.000000001),6)</f>
        <v/>
      </c>
      <c r="O452" s="5">
        <f>SUMPRODUCT(('01_Data'!$B452:$AW452&lt;&gt;"")*(1/(1+EXP(-(N452-'03_Lap_b'!$B$20:$AW$20)))))</f>
        <v/>
      </c>
      <c r="P452" s="5">
        <f>SUMPRODUCT(('01_Data'!$B452:$AW452&lt;&gt;"")*(1/(1+EXP(-(N452-'03_Lap_b'!$B$20:$AW$20))))^2)</f>
        <v/>
      </c>
      <c r="Q452" s="5">
        <f>MEDIAN(-6,N452+(C452-O452)/MAX(O452-P452,0.000000001),6)</f>
        <v/>
      </c>
      <c r="R452" s="5">
        <f>SUMPRODUCT(('01_Data'!$B452:$AW452&lt;&gt;"")*(1/(1+EXP(-(Q452-'03_Lap_b'!$B$25:$AW$25)))))</f>
        <v/>
      </c>
      <c r="S452" s="5">
        <f>SUMPRODUCT(('01_Data'!$B452:$AW452&lt;&gt;"")*(1/(1+EXP(-(Q452-'03_Lap_b'!$B$25:$AW$25))))^2)</f>
        <v/>
      </c>
      <c r="T452" s="5">
        <f>MEDIAN(-6,Q452+(C452-R452)/MAX(R452-S452,0.000000001),6)</f>
        <v/>
      </c>
      <c r="U452" s="5">
        <f>SUMPRODUCT(('01_Data'!$B452:$AW452&lt;&gt;"")*(1/(1+EXP(-(T452-'03_Lap_b'!$B$30:$AW$30)))))</f>
        <v/>
      </c>
      <c r="V452" s="5">
        <f>SUMPRODUCT(('01_Data'!$B452:$AW452&lt;&gt;"")*(1/(1+EXP(-(T452-'03_Lap_b'!$B$30:$AW$30))))^2)</f>
        <v/>
      </c>
      <c r="W452" s="5">
        <f>MEDIAN(-6,T452+(C452-U452)/MAX(U452-V452,0.000000001),6)</f>
        <v/>
      </c>
      <c r="X452" s="5">
        <f>SUMPRODUCT(('01_Data'!$B452:$AW452&lt;&gt;"")*(1/(1+EXP(-(W452-'03_Lap_b'!$B$35:$AW$35)))))</f>
        <v/>
      </c>
      <c r="Y452" s="5">
        <f>SUMPRODUCT(('01_Data'!$B452:$AW452&lt;&gt;"")*(1/(1+EXP(-(W452-'03_Lap_b'!$B$35:$AW$35))))^2)</f>
        <v/>
      </c>
      <c r="Z452" s="5">
        <f>MEDIAN(-6,W452+(C452-X452)/MAX(X452-Y452,0.000000001),6)</f>
        <v/>
      </c>
      <c r="AA452" s="5">
        <f>SUMPRODUCT(('01_Data'!$B452:$AW452&lt;&gt;"")*(1/(1+EXP(-(Z452-'03_Lap_b'!$B$40:$AW$40)))))</f>
        <v/>
      </c>
      <c r="AB452" s="5">
        <f>SUMPRODUCT(('01_Data'!$B452:$AW452&lt;&gt;"")*(1/(1+EXP(-(Z452-'03_Lap_b'!$B$40:$AW$40))))^2)</f>
        <v/>
      </c>
      <c r="AC452" s="5">
        <f>MEDIAN(-6,Z452+(C452-AA452)/MAX(AA452-AB452,0.000000001),6)</f>
        <v/>
      </c>
    </row>
    <row r="453">
      <c r="A453" t="n">
        <v>452</v>
      </c>
      <c r="B453">
        <f>'01_Data'!A453</f>
        <v/>
      </c>
      <c r="C453">
        <f>SUM('01_Data'!$B453:$AW453)</f>
        <v/>
      </c>
      <c r="D453">
        <f>COUNT('01_Data'!$B453:$AW453)</f>
        <v/>
      </c>
      <c r="E453" s="5">
        <f>MEDIAN(-6,LN((C453+0.3)/(D453-C453+0.3)),6)</f>
        <v/>
      </c>
      <c r="F453" s="5">
        <f>SUMPRODUCT(('01_Data'!$B453:$AW453&lt;&gt;"")*(1/(1+EXP(-(E453-'03_Lap_b'!$B$5:$AW$5)))))</f>
        <v/>
      </c>
      <c r="G453" s="5">
        <f>SUMPRODUCT(('01_Data'!$B453:$AW453&lt;&gt;"")*(1/(1+EXP(-(E453-'03_Lap_b'!$B$5:$AW$5))))^2)</f>
        <v/>
      </c>
      <c r="H453" s="5">
        <f>MEDIAN(-6,E453+(C453-F453)/MAX(F453-G453,0.000000001),6)</f>
        <v/>
      </c>
      <c r="I453" s="5">
        <f>SUMPRODUCT(('01_Data'!$B453:$AW453&lt;&gt;"")*(1/(1+EXP(-(H453-'03_Lap_b'!$B$10:$AW$10)))))</f>
        <v/>
      </c>
      <c r="J453" s="5">
        <f>SUMPRODUCT(('01_Data'!$B453:$AW453&lt;&gt;"")*(1/(1+EXP(-(H453-'03_Lap_b'!$B$10:$AW$10))))^2)</f>
        <v/>
      </c>
      <c r="K453" s="5">
        <f>MEDIAN(-6,H453+(C453-I453)/MAX(I453-J453,0.000000001),6)</f>
        <v/>
      </c>
      <c r="L453" s="5">
        <f>SUMPRODUCT(('01_Data'!$B453:$AW453&lt;&gt;"")*(1/(1+EXP(-(K453-'03_Lap_b'!$B$15:$AW$15)))))</f>
        <v/>
      </c>
      <c r="M453" s="5">
        <f>SUMPRODUCT(('01_Data'!$B453:$AW453&lt;&gt;"")*(1/(1+EXP(-(K453-'03_Lap_b'!$B$15:$AW$15))))^2)</f>
        <v/>
      </c>
      <c r="N453" s="5">
        <f>MEDIAN(-6,K453+(C453-L453)/MAX(L453-M453,0.000000001),6)</f>
        <v/>
      </c>
      <c r="O453" s="5">
        <f>SUMPRODUCT(('01_Data'!$B453:$AW453&lt;&gt;"")*(1/(1+EXP(-(N453-'03_Lap_b'!$B$20:$AW$20)))))</f>
        <v/>
      </c>
      <c r="P453" s="5">
        <f>SUMPRODUCT(('01_Data'!$B453:$AW453&lt;&gt;"")*(1/(1+EXP(-(N453-'03_Lap_b'!$B$20:$AW$20))))^2)</f>
        <v/>
      </c>
      <c r="Q453" s="5">
        <f>MEDIAN(-6,N453+(C453-O453)/MAX(O453-P453,0.000000001),6)</f>
        <v/>
      </c>
      <c r="R453" s="5">
        <f>SUMPRODUCT(('01_Data'!$B453:$AW453&lt;&gt;"")*(1/(1+EXP(-(Q453-'03_Lap_b'!$B$25:$AW$25)))))</f>
        <v/>
      </c>
      <c r="S453" s="5">
        <f>SUMPRODUCT(('01_Data'!$B453:$AW453&lt;&gt;"")*(1/(1+EXP(-(Q453-'03_Lap_b'!$B$25:$AW$25))))^2)</f>
        <v/>
      </c>
      <c r="T453" s="5">
        <f>MEDIAN(-6,Q453+(C453-R453)/MAX(R453-S453,0.000000001),6)</f>
        <v/>
      </c>
      <c r="U453" s="5">
        <f>SUMPRODUCT(('01_Data'!$B453:$AW453&lt;&gt;"")*(1/(1+EXP(-(T453-'03_Lap_b'!$B$30:$AW$30)))))</f>
        <v/>
      </c>
      <c r="V453" s="5">
        <f>SUMPRODUCT(('01_Data'!$B453:$AW453&lt;&gt;"")*(1/(1+EXP(-(T453-'03_Lap_b'!$B$30:$AW$30))))^2)</f>
        <v/>
      </c>
      <c r="W453" s="5">
        <f>MEDIAN(-6,T453+(C453-U453)/MAX(U453-V453,0.000000001),6)</f>
        <v/>
      </c>
      <c r="X453" s="5">
        <f>SUMPRODUCT(('01_Data'!$B453:$AW453&lt;&gt;"")*(1/(1+EXP(-(W453-'03_Lap_b'!$B$35:$AW$35)))))</f>
        <v/>
      </c>
      <c r="Y453" s="5">
        <f>SUMPRODUCT(('01_Data'!$B453:$AW453&lt;&gt;"")*(1/(1+EXP(-(W453-'03_Lap_b'!$B$35:$AW$35))))^2)</f>
        <v/>
      </c>
      <c r="Z453" s="5">
        <f>MEDIAN(-6,W453+(C453-X453)/MAX(X453-Y453,0.000000001),6)</f>
        <v/>
      </c>
      <c r="AA453" s="5">
        <f>SUMPRODUCT(('01_Data'!$B453:$AW453&lt;&gt;"")*(1/(1+EXP(-(Z453-'03_Lap_b'!$B$40:$AW$40)))))</f>
        <v/>
      </c>
      <c r="AB453" s="5">
        <f>SUMPRODUCT(('01_Data'!$B453:$AW453&lt;&gt;"")*(1/(1+EXP(-(Z453-'03_Lap_b'!$B$40:$AW$40))))^2)</f>
        <v/>
      </c>
      <c r="AC453" s="5">
        <f>MEDIAN(-6,Z453+(C453-AA453)/MAX(AA453-AB453,0.000000001),6)</f>
        <v/>
      </c>
    </row>
    <row r="454">
      <c r="A454" t="n">
        <v>453</v>
      </c>
      <c r="B454">
        <f>'01_Data'!A454</f>
        <v/>
      </c>
      <c r="C454">
        <f>SUM('01_Data'!$B454:$AW454)</f>
        <v/>
      </c>
      <c r="D454">
        <f>COUNT('01_Data'!$B454:$AW454)</f>
        <v/>
      </c>
      <c r="E454" s="5">
        <f>MEDIAN(-6,LN((C454+0.3)/(D454-C454+0.3)),6)</f>
        <v/>
      </c>
      <c r="F454" s="5">
        <f>SUMPRODUCT(('01_Data'!$B454:$AW454&lt;&gt;"")*(1/(1+EXP(-(E454-'03_Lap_b'!$B$5:$AW$5)))))</f>
        <v/>
      </c>
      <c r="G454" s="5">
        <f>SUMPRODUCT(('01_Data'!$B454:$AW454&lt;&gt;"")*(1/(1+EXP(-(E454-'03_Lap_b'!$B$5:$AW$5))))^2)</f>
        <v/>
      </c>
      <c r="H454" s="5">
        <f>MEDIAN(-6,E454+(C454-F454)/MAX(F454-G454,0.000000001),6)</f>
        <v/>
      </c>
      <c r="I454" s="5">
        <f>SUMPRODUCT(('01_Data'!$B454:$AW454&lt;&gt;"")*(1/(1+EXP(-(H454-'03_Lap_b'!$B$10:$AW$10)))))</f>
        <v/>
      </c>
      <c r="J454" s="5">
        <f>SUMPRODUCT(('01_Data'!$B454:$AW454&lt;&gt;"")*(1/(1+EXP(-(H454-'03_Lap_b'!$B$10:$AW$10))))^2)</f>
        <v/>
      </c>
      <c r="K454" s="5">
        <f>MEDIAN(-6,H454+(C454-I454)/MAX(I454-J454,0.000000001),6)</f>
        <v/>
      </c>
      <c r="L454" s="5">
        <f>SUMPRODUCT(('01_Data'!$B454:$AW454&lt;&gt;"")*(1/(1+EXP(-(K454-'03_Lap_b'!$B$15:$AW$15)))))</f>
        <v/>
      </c>
      <c r="M454" s="5">
        <f>SUMPRODUCT(('01_Data'!$B454:$AW454&lt;&gt;"")*(1/(1+EXP(-(K454-'03_Lap_b'!$B$15:$AW$15))))^2)</f>
        <v/>
      </c>
      <c r="N454" s="5">
        <f>MEDIAN(-6,K454+(C454-L454)/MAX(L454-M454,0.000000001),6)</f>
        <v/>
      </c>
      <c r="O454" s="5">
        <f>SUMPRODUCT(('01_Data'!$B454:$AW454&lt;&gt;"")*(1/(1+EXP(-(N454-'03_Lap_b'!$B$20:$AW$20)))))</f>
        <v/>
      </c>
      <c r="P454" s="5">
        <f>SUMPRODUCT(('01_Data'!$B454:$AW454&lt;&gt;"")*(1/(1+EXP(-(N454-'03_Lap_b'!$B$20:$AW$20))))^2)</f>
        <v/>
      </c>
      <c r="Q454" s="5">
        <f>MEDIAN(-6,N454+(C454-O454)/MAX(O454-P454,0.000000001),6)</f>
        <v/>
      </c>
      <c r="R454" s="5">
        <f>SUMPRODUCT(('01_Data'!$B454:$AW454&lt;&gt;"")*(1/(1+EXP(-(Q454-'03_Lap_b'!$B$25:$AW$25)))))</f>
        <v/>
      </c>
      <c r="S454" s="5">
        <f>SUMPRODUCT(('01_Data'!$B454:$AW454&lt;&gt;"")*(1/(1+EXP(-(Q454-'03_Lap_b'!$B$25:$AW$25))))^2)</f>
        <v/>
      </c>
      <c r="T454" s="5">
        <f>MEDIAN(-6,Q454+(C454-R454)/MAX(R454-S454,0.000000001),6)</f>
        <v/>
      </c>
      <c r="U454" s="5">
        <f>SUMPRODUCT(('01_Data'!$B454:$AW454&lt;&gt;"")*(1/(1+EXP(-(T454-'03_Lap_b'!$B$30:$AW$30)))))</f>
        <v/>
      </c>
      <c r="V454" s="5">
        <f>SUMPRODUCT(('01_Data'!$B454:$AW454&lt;&gt;"")*(1/(1+EXP(-(T454-'03_Lap_b'!$B$30:$AW$30))))^2)</f>
        <v/>
      </c>
      <c r="W454" s="5">
        <f>MEDIAN(-6,T454+(C454-U454)/MAX(U454-V454,0.000000001),6)</f>
        <v/>
      </c>
      <c r="X454" s="5">
        <f>SUMPRODUCT(('01_Data'!$B454:$AW454&lt;&gt;"")*(1/(1+EXP(-(W454-'03_Lap_b'!$B$35:$AW$35)))))</f>
        <v/>
      </c>
      <c r="Y454" s="5">
        <f>SUMPRODUCT(('01_Data'!$B454:$AW454&lt;&gt;"")*(1/(1+EXP(-(W454-'03_Lap_b'!$B$35:$AW$35))))^2)</f>
        <v/>
      </c>
      <c r="Z454" s="5">
        <f>MEDIAN(-6,W454+(C454-X454)/MAX(X454-Y454,0.000000001),6)</f>
        <v/>
      </c>
      <c r="AA454" s="5">
        <f>SUMPRODUCT(('01_Data'!$B454:$AW454&lt;&gt;"")*(1/(1+EXP(-(Z454-'03_Lap_b'!$B$40:$AW$40)))))</f>
        <v/>
      </c>
      <c r="AB454" s="5">
        <f>SUMPRODUCT(('01_Data'!$B454:$AW454&lt;&gt;"")*(1/(1+EXP(-(Z454-'03_Lap_b'!$B$40:$AW$40))))^2)</f>
        <v/>
      </c>
      <c r="AC454" s="5">
        <f>MEDIAN(-6,Z454+(C454-AA454)/MAX(AA454-AB454,0.000000001),6)</f>
        <v/>
      </c>
    </row>
    <row r="455">
      <c r="A455" t="n">
        <v>454</v>
      </c>
      <c r="B455">
        <f>'01_Data'!A455</f>
        <v/>
      </c>
      <c r="C455">
        <f>SUM('01_Data'!$B455:$AW455)</f>
        <v/>
      </c>
      <c r="D455">
        <f>COUNT('01_Data'!$B455:$AW455)</f>
        <v/>
      </c>
      <c r="E455" s="5">
        <f>MEDIAN(-6,LN((C455+0.3)/(D455-C455+0.3)),6)</f>
        <v/>
      </c>
      <c r="F455" s="5">
        <f>SUMPRODUCT(('01_Data'!$B455:$AW455&lt;&gt;"")*(1/(1+EXP(-(E455-'03_Lap_b'!$B$5:$AW$5)))))</f>
        <v/>
      </c>
      <c r="G455" s="5">
        <f>SUMPRODUCT(('01_Data'!$B455:$AW455&lt;&gt;"")*(1/(1+EXP(-(E455-'03_Lap_b'!$B$5:$AW$5))))^2)</f>
        <v/>
      </c>
      <c r="H455" s="5">
        <f>MEDIAN(-6,E455+(C455-F455)/MAX(F455-G455,0.000000001),6)</f>
        <v/>
      </c>
      <c r="I455" s="5">
        <f>SUMPRODUCT(('01_Data'!$B455:$AW455&lt;&gt;"")*(1/(1+EXP(-(H455-'03_Lap_b'!$B$10:$AW$10)))))</f>
        <v/>
      </c>
      <c r="J455" s="5">
        <f>SUMPRODUCT(('01_Data'!$B455:$AW455&lt;&gt;"")*(1/(1+EXP(-(H455-'03_Lap_b'!$B$10:$AW$10))))^2)</f>
        <v/>
      </c>
      <c r="K455" s="5">
        <f>MEDIAN(-6,H455+(C455-I455)/MAX(I455-J455,0.000000001),6)</f>
        <v/>
      </c>
      <c r="L455" s="5">
        <f>SUMPRODUCT(('01_Data'!$B455:$AW455&lt;&gt;"")*(1/(1+EXP(-(K455-'03_Lap_b'!$B$15:$AW$15)))))</f>
        <v/>
      </c>
      <c r="M455" s="5">
        <f>SUMPRODUCT(('01_Data'!$B455:$AW455&lt;&gt;"")*(1/(1+EXP(-(K455-'03_Lap_b'!$B$15:$AW$15))))^2)</f>
        <v/>
      </c>
      <c r="N455" s="5">
        <f>MEDIAN(-6,K455+(C455-L455)/MAX(L455-M455,0.000000001),6)</f>
        <v/>
      </c>
      <c r="O455" s="5">
        <f>SUMPRODUCT(('01_Data'!$B455:$AW455&lt;&gt;"")*(1/(1+EXP(-(N455-'03_Lap_b'!$B$20:$AW$20)))))</f>
        <v/>
      </c>
      <c r="P455" s="5">
        <f>SUMPRODUCT(('01_Data'!$B455:$AW455&lt;&gt;"")*(1/(1+EXP(-(N455-'03_Lap_b'!$B$20:$AW$20))))^2)</f>
        <v/>
      </c>
      <c r="Q455" s="5">
        <f>MEDIAN(-6,N455+(C455-O455)/MAX(O455-P455,0.000000001),6)</f>
        <v/>
      </c>
      <c r="R455" s="5">
        <f>SUMPRODUCT(('01_Data'!$B455:$AW455&lt;&gt;"")*(1/(1+EXP(-(Q455-'03_Lap_b'!$B$25:$AW$25)))))</f>
        <v/>
      </c>
      <c r="S455" s="5">
        <f>SUMPRODUCT(('01_Data'!$B455:$AW455&lt;&gt;"")*(1/(1+EXP(-(Q455-'03_Lap_b'!$B$25:$AW$25))))^2)</f>
        <v/>
      </c>
      <c r="T455" s="5">
        <f>MEDIAN(-6,Q455+(C455-R455)/MAX(R455-S455,0.000000001),6)</f>
        <v/>
      </c>
      <c r="U455" s="5">
        <f>SUMPRODUCT(('01_Data'!$B455:$AW455&lt;&gt;"")*(1/(1+EXP(-(T455-'03_Lap_b'!$B$30:$AW$30)))))</f>
        <v/>
      </c>
      <c r="V455" s="5">
        <f>SUMPRODUCT(('01_Data'!$B455:$AW455&lt;&gt;"")*(1/(1+EXP(-(T455-'03_Lap_b'!$B$30:$AW$30))))^2)</f>
        <v/>
      </c>
      <c r="W455" s="5">
        <f>MEDIAN(-6,T455+(C455-U455)/MAX(U455-V455,0.000000001),6)</f>
        <v/>
      </c>
      <c r="X455" s="5">
        <f>SUMPRODUCT(('01_Data'!$B455:$AW455&lt;&gt;"")*(1/(1+EXP(-(W455-'03_Lap_b'!$B$35:$AW$35)))))</f>
        <v/>
      </c>
      <c r="Y455" s="5">
        <f>SUMPRODUCT(('01_Data'!$B455:$AW455&lt;&gt;"")*(1/(1+EXP(-(W455-'03_Lap_b'!$B$35:$AW$35))))^2)</f>
        <v/>
      </c>
      <c r="Z455" s="5">
        <f>MEDIAN(-6,W455+(C455-X455)/MAX(X455-Y455,0.000000001),6)</f>
        <v/>
      </c>
      <c r="AA455" s="5">
        <f>SUMPRODUCT(('01_Data'!$B455:$AW455&lt;&gt;"")*(1/(1+EXP(-(Z455-'03_Lap_b'!$B$40:$AW$40)))))</f>
        <v/>
      </c>
      <c r="AB455" s="5">
        <f>SUMPRODUCT(('01_Data'!$B455:$AW455&lt;&gt;"")*(1/(1+EXP(-(Z455-'03_Lap_b'!$B$40:$AW$40))))^2)</f>
        <v/>
      </c>
      <c r="AC455" s="5">
        <f>MEDIAN(-6,Z455+(C455-AA455)/MAX(AA455-AB455,0.000000001),6)</f>
        <v/>
      </c>
    </row>
    <row r="456">
      <c r="A456" t="n">
        <v>455</v>
      </c>
      <c r="B456">
        <f>'01_Data'!A456</f>
        <v/>
      </c>
      <c r="C456">
        <f>SUM('01_Data'!$B456:$AW456)</f>
        <v/>
      </c>
      <c r="D456">
        <f>COUNT('01_Data'!$B456:$AW456)</f>
        <v/>
      </c>
      <c r="E456" s="5">
        <f>MEDIAN(-6,LN((C456+0.3)/(D456-C456+0.3)),6)</f>
        <v/>
      </c>
      <c r="F456" s="5">
        <f>SUMPRODUCT(('01_Data'!$B456:$AW456&lt;&gt;"")*(1/(1+EXP(-(E456-'03_Lap_b'!$B$5:$AW$5)))))</f>
        <v/>
      </c>
      <c r="G456" s="5">
        <f>SUMPRODUCT(('01_Data'!$B456:$AW456&lt;&gt;"")*(1/(1+EXP(-(E456-'03_Lap_b'!$B$5:$AW$5))))^2)</f>
        <v/>
      </c>
      <c r="H456" s="5">
        <f>MEDIAN(-6,E456+(C456-F456)/MAX(F456-G456,0.000000001),6)</f>
        <v/>
      </c>
      <c r="I456" s="5">
        <f>SUMPRODUCT(('01_Data'!$B456:$AW456&lt;&gt;"")*(1/(1+EXP(-(H456-'03_Lap_b'!$B$10:$AW$10)))))</f>
        <v/>
      </c>
      <c r="J456" s="5">
        <f>SUMPRODUCT(('01_Data'!$B456:$AW456&lt;&gt;"")*(1/(1+EXP(-(H456-'03_Lap_b'!$B$10:$AW$10))))^2)</f>
        <v/>
      </c>
      <c r="K456" s="5">
        <f>MEDIAN(-6,H456+(C456-I456)/MAX(I456-J456,0.000000001),6)</f>
        <v/>
      </c>
      <c r="L456" s="5">
        <f>SUMPRODUCT(('01_Data'!$B456:$AW456&lt;&gt;"")*(1/(1+EXP(-(K456-'03_Lap_b'!$B$15:$AW$15)))))</f>
        <v/>
      </c>
      <c r="M456" s="5">
        <f>SUMPRODUCT(('01_Data'!$B456:$AW456&lt;&gt;"")*(1/(1+EXP(-(K456-'03_Lap_b'!$B$15:$AW$15))))^2)</f>
        <v/>
      </c>
      <c r="N456" s="5">
        <f>MEDIAN(-6,K456+(C456-L456)/MAX(L456-M456,0.000000001),6)</f>
        <v/>
      </c>
      <c r="O456" s="5">
        <f>SUMPRODUCT(('01_Data'!$B456:$AW456&lt;&gt;"")*(1/(1+EXP(-(N456-'03_Lap_b'!$B$20:$AW$20)))))</f>
        <v/>
      </c>
      <c r="P456" s="5">
        <f>SUMPRODUCT(('01_Data'!$B456:$AW456&lt;&gt;"")*(1/(1+EXP(-(N456-'03_Lap_b'!$B$20:$AW$20))))^2)</f>
        <v/>
      </c>
      <c r="Q456" s="5">
        <f>MEDIAN(-6,N456+(C456-O456)/MAX(O456-P456,0.000000001),6)</f>
        <v/>
      </c>
      <c r="R456" s="5">
        <f>SUMPRODUCT(('01_Data'!$B456:$AW456&lt;&gt;"")*(1/(1+EXP(-(Q456-'03_Lap_b'!$B$25:$AW$25)))))</f>
        <v/>
      </c>
      <c r="S456" s="5">
        <f>SUMPRODUCT(('01_Data'!$B456:$AW456&lt;&gt;"")*(1/(1+EXP(-(Q456-'03_Lap_b'!$B$25:$AW$25))))^2)</f>
        <v/>
      </c>
      <c r="T456" s="5">
        <f>MEDIAN(-6,Q456+(C456-R456)/MAX(R456-S456,0.000000001),6)</f>
        <v/>
      </c>
      <c r="U456" s="5">
        <f>SUMPRODUCT(('01_Data'!$B456:$AW456&lt;&gt;"")*(1/(1+EXP(-(T456-'03_Lap_b'!$B$30:$AW$30)))))</f>
        <v/>
      </c>
      <c r="V456" s="5">
        <f>SUMPRODUCT(('01_Data'!$B456:$AW456&lt;&gt;"")*(1/(1+EXP(-(T456-'03_Lap_b'!$B$30:$AW$30))))^2)</f>
        <v/>
      </c>
      <c r="W456" s="5">
        <f>MEDIAN(-6,T456+(C456-U456)/MAX(U456-V456,0.000000001),6)</f>
        <v/>
      </c>
      <c r="X456" s="5">
        <f>SUMPRODUCT(('01_Data'!$B456:$AW456&lt;&gt;"")*(1/(1+EXP(-(W456-'03_Lap_b'!$B$35:$AW$35)))))</f>
        <v/>
      </c>
      <c r="Y456" s="5">
        <f>SUMPRODUCT(('01_Data'!$B456:$AW456&lt;&gt;"")*(1/(1+EXP(-(W456-'03_Lap_b'!$B$35:$AW$35))))^2)</f>
        <v/>
      </c>
      <c r="Z456" s="5">
        <f>MEDIAN(-6,W456+(C456-X456)/MAX(X456-Y456,0.000000001),6)</f>
        <v/>
      </c>
      <c r="AA456" s="5">
        <f>SUMPRODUCT(('01_Data'!$B456:$AW456&lt;&gt;"")*(1/(1+EXP(-(Z456-'03_Lap_b'!$B$40:$AW$40)))))</f>
        <v/>
      </c>
      <c r="AB456" s="5">
        <f>SUMPRODUCT(('01_Data'!$B456:$AW456&lt;&gt;"")*(1/(1+EXP(-(Z456-'03_Lap_b'!$B$40:$AW$40))))^2)</f>
        <v/>
      </c>
      <c r="AC456" s="5">
        <f>MEDIAN(-6,Z456+(C456-AA456)/MAX(AA456-AB456,0.000000001),6)</f>
        <v/>
      </c>
    </row>
    <row r="457">
      <c r="A457" t="n">
        <v>456</v>
      </c>
      <c r="B457">
        <f>'01_Data'!A457</f>
        <v/>
      </c>
      <c r="C457">
        <f>SUM('01_Data'!$B457:$AW457)</f>
        <v/>
      </c>
      <c r="D457">
        <f>COUNT('01_Data'!$B457:$AW457)</f>
        <v/>
      </c>
      <c r="E457" s="5">
        <f>MEDIAN(-6,LN((C457+0.3)/(D457-C457+0.3)),6)</f>
        <v/>
      </c>
      <c r="F457" s="5">
        <f>SUMPRODUCT(('01_Data'!$B457:$AW457&lt;&gt;"")*(1/(1+EXP(-(E457-'03_Lap_b'!$B$5:$AW$5)))))</f>
        <v/>
      </c>
      <c r="G457" s="5">
        <f>SUMPRODUCT(('01_Data'!$B457:$AW457&lt;&gt;"")*(1/(1+EXP(-(E457-'03_Lap_b'!$B$5:$AW$5))))^2)</f>
        <v/>
      </c>
      <c r="H457" s="5">
        <f>MEDIAN(-6,E457+(C457-F457)/MAX(F457-G457,0.000000001),6)</f>
        <v/>
      </c>
      <c r="I457" s="5">
        <f>SUMPRODUCT(('01_Data'!$B457:$AW457&lt;&gt;"")*(1/(1+EXP(-(H457-'03_Lap_b'!$B$10:$AW$10)))))</f>
        <v/>
      </c>
      <c r="J457" s="5">
        <f>SUMPRODUCT(('01_Data'!$B457:$AW457&lt;&gt;"")*(1/(1+EXP(-(H457-'03_Lap_b'!$B$10:$AW$10))))^2)</f>
        <v/>
      </c>
      <c r="K457" s="5">
        <f>MEDIAN(-6,H457+(C457-I457)/MAX(I457-J457,0.000000001),6)</f>
        <v/>
      </c>
      <c r="L457" s="5">
        <f>SUMPRODUCT(('01_Data'!$B457:$AW457&lt;&gt;"")*(1/(1+EXP(-(K457-'03_Lap_b'!$B$15:$AW$15)))))</f>
        <v/>
      </c>
      <c r="M457" s="5">
        <f>SUMPRODUCT(('01_Data'!$B457:$AW457&lt;&gt;"")*(1/(1+EXP(-(K457-'03_Lap_b'!$B$15:$AW$15))))^2)</f>
        <v/>
      </c>
      <c r="N457" s="5">
        <f>MEDIAN(-6,K457+(C457-L457)/MAX(L457-M457,0.000000001),6)</f>
        <v/>
      </c>
      <c r="O457" s="5">
        <f>SUMPRODUCT(('01_Data'!$B457:$AW457&lt;&gt;"")*(1/(1+EXP(-(N457-'03_Lap_b'!$B$20:$AW$20)))))</f>
        <v/>
      </c>
      <c r="P457" s="5">
        <f>SUMPRODUCT(('01_Data'!$B457:$AW457&lt;&gt;"")*(1/(1+EXP(-(N457-'03_Lap_b'!$B$20:$AW$20))))^2)</f>
        <v/>
      </c>
      <c r="Q457" s="5">
        <f>MEDIAN(-6,N457+(C457-O457)/MAX(O457-P457,0.000000001),6)</f>
        <v/>
      </c>
      <c r="R457" s="5">
        <f>SUMPRODUCT(('01_Data'!$B457:$AW457&lt;&gt;"")*(1/(1+EXP(-(Q457-'03_Lap_b'!$B$25:$AW$25)))))</f>
        <v/>
      </c>
      <c r="S457" s="5">
        <f>SUMPRODUCT(('01_Data'!$B457:$AW457&lt;&gt;"")*(1/(1+EXP(-(Q457-'03_Lap_b'!$B$25:$AW$25))))^2)</f>
        <v/>
      </c>
      <c r="T457" s="5">
        <f>MEDIAN(-6,Q457+(C457-R457)/MAX(R457-S457,0.000000001),6)</f>
        <v/>
      </c>
      <c r="U457" s="5">
        <f>SUMPRODUCT(('01_Data'!$B457:$AW457&lt;&gt;"")*(1/(1+EXP(-(T457-'03_Lap_b'!$B$30:$AW$30)))))</f>
        <v/>
      </c>
      <c r="V457" s="5">
        <f>SUMPRODUCT(('01_Data'!$B457:$AW457&lt;&gt;"")*(1/(1+EXP(-(T457-'03_Lap_b'!$B$30:$AW$30))))^2)</f>
        <v/>
      </c>
      <c r="W457" s="5">
        <f>MEDIAN(-6,T457+(C457-U457)/MAX(U457-V457,0.000000001),6)</f>
        <v/>
      </c>
      <c r="X457" s="5">
        <f>SUMPRODUCT(('01_Data'!$B457:$AW457&lt;&gt;"")*(1/(1+EXP(-(W457-'03_Lap_b'!$B$35:$AW$35)))))</f>
        <v/>
      </c>
      <c r="Y457" s="5">
        <f>SUMPRODUCT(('01_Data'!$B457:$AW457&lt;&gt;"")*(1/(1+EXP(-(W457-'03_Lap_b'!$B$35:$AW$35))))^2)</f>
        <v/>
      </c>
      <c r="Z457" s="5">
        <f>MEDIAN(-6,W457+(C457-X457)/MAX(X457-Y457,0.000000001),6)</f>
        <v/>
      </c>
      <c r="AA457" s="5">
        <f>SUMPRODUCT(('01_Data'!$B457:$AW457&lt;&gt;"")*(1/(1+EXP(-(Z457-'03_Lap_b'!$B$40:$AW$40)))))</f>
        <v/>
      </c>
      <c r="AB457" s="5">
        <f>SUMPRODUCT(('01_Data'!$B457:$AW457&lt;&gt;"")*(1/(1+EXP(-(Z457-'03_Lap_b'!$B$40:$AW$40))))^2)</f>
        <v/>
      </c>
      <c r="AC457" s="5">
        <f>MEDIAN(-6,Z457+(C457-AA457)/MAX(AA457-AB457,0.000000001),6)</f>
        <v/>
      </c>
    </row>
    <row r="458">
      <c r="A458" t="n">
        <v>457</v>
      </c>
      <c r="B458">
        <f>'01_Data'!A458</f>
        <v/>
      </c>
      <c r="C458">
        <f>SUM('01_Data'!$B458:$AW458)</f>
        <v/>
      </c>
      <c r="D458">
        <f>COUNT('01_Data'!$B458:$AW458)</f>
        <v/>
      </c>
      <c r="E458" s="5">
        <f>MEDIAN(-6,LN((C458+0.3)/(D458-C458+0.3)),6)</f>
        <v/>
      </c>
      <c r="F458" s="5">
        <f>SUMPRODUCT(('01_Data'!$B458:$AW458&lt;&gt;"")*(1/(1+EXP(-(E458-'03_Lap_b'!$B$5:$AW$5)))))</f>
        <v/>
      </c>
      <c r="G458" s="5">
        <f>SUMPRODUCT(('01_Data'!$B458:$AW458&lt;&gt;"")*(1/(1+EXP(-(E458-'03_Lap_b'!$B$5:$AW$5))))^2)</f>
        <v/>
      </c>
      <c r="H458" s="5">
        <f>MEDIAN(-6,E458+(C458-F458)/MAX(F458-G458,0.000000001),6)</f>
        <v/>
      </c>
      <c r="I458" s="5">
        <f>SUMPRODUCT(('01_Data'!$B458:$AW458&lt;&gt;"")*(1/(1+EXP(-(H458-'03_Lap_b'!$B$10:$AW$10)))))</f>
        <v/>
      </c>
      <c r="J458" s="5">
        <f>SUMPRODUCT(('01_Data'!$B458:$AW458&lt;&gt;"")*(1/(1+EXP(-(H458-'03_Lap_b'!$B$10:$AW$10))))^2)</f>
        <v/>
      </c>
      <c r="K458" s="5">
        <f>MEDIAN(-6,H458+(C458-I458)/MAX(I458-J458,0.000000001),6)</f>
        <v/>
      </c>
      <c r="L458" s="5">
        <f>SUMPRODUCT(('01_Data'!$B458:$AW458&lt;&gt;"")*(1/(1+EXP(-(K458-'03_Lap_b'!$B$15:$AW$15)))))</f>
        <v/>
      </c>
      <c r="M458" s="5">
        <f>SUMPRODUCT(('01_Data'!$B458:$AW458&lt;&gt;"")*(1/(1+EXP(-(K458-'03_Lap_b'!$B$15:$AW$15))))^2)</f>
        <v/>
      </c>
      <c r="N458" s="5">
        <f>MEDIAN(-6,K458+(C458-L458)/MAX(L458-M458,0.000000001),6)</f>
        <v/>
      </c>
      <c r="O458" s="5">
        <f>SUMPRODUCT(('01_Data'!$B458:$AW458&lt;&gt;"")*(1/(1+EXP(-(N458-'03_Lap_b'!$B$20:$AW$20)))))</f>
        <v/>
      </c>
      <c r="P458" s="5">
        <f>SUMPRODUCT(('01_Data'!$B458:$AW458&lt;&gt;"")*(1/(1+EXP(-(N458-'03_Lap_b'!$B$20:$AW$20))))^2)</f>
        <v/>
      </c>
      <c r="Q458" s="5">
        <f>MEDIAN(-6,N458+(C458-O458)/MAX(O458-P458,0.000000001),6)</f>
        <v/>
      </c>
      <c r="R458" s="5">
        <f>SUMPRODUCT(('01_Data'!$B458:$AW458&lt;&gt;"")*(1/(1+EXP(-(Q458-'03_Lap_b'!$B$25:$AW$25)))))</f>
        <v/>
      </c>
      <c r="S458" s="5">
        <f>SUMPRODUCT(('01_Data'!$B458:$AW458&lt;&gt;"")*(1/(1+EXP(-(Q458-'03_Lap_b'!$B$25:$AW$25))))^2)</f>
        <v/>
      </c>
      <c r="T458" s="5">
        <f>MEDIAN(-6,Q458+(C458-R458)/MAX(R458-S458,0.000000001),6)</f>
        <v/>
      </c>
      <c r="U458" s="5">
        <f>SUMPRODUCT(('01_Data'!$B458:$AW458&lt;&gt;"")*(1/(1+EXP(-(T458-'03_Lap_b'!$B$30:$AW$30)))))</f>
        <v/>
      </c>
      <c r="V458" s="5">
        <f>SUMPRODUCT(('01_Data'!$B458:$AW458&lt;&gt;"")*(1/(1+EXP(-(T458-'03_Lap_b'!$B$30:$AW$30))))^2)</f>
        <v/>
      </c>
      <c r="W458" s="5">
        <f>MEDIAN(-6,T458+(C458-U458)/MAX(U458-V458,0.000000001),6)</f>
        <v/>
      </c>
      <c r="X458" s="5">
        <f>SUMPRODUCT(('01_Data'!$B458:$AW458&lt;&gt;"")*(1/(1+EXP(-(W458-'03_Lap_b'!$B$35:$AW$35)))))</f>
        <v/>
      </c>
      <c r="Y458" s="5">
        <f>SUMPRODUCT(('01_Data'!$B458:$AW458&lt;&gt;"")*(1/(1+EXP(-(W458-'03_Lap_b'!$B$35:$AW$35))))^2)</f>
        <v/>
      </c>
      <c r="Z458" s="5">
        <f>MEDIAN(-6,W458+(C458-X458)/MAX(X458-Y458,0.000000001),6)</f>
        <v/>
      </c>
      <c r="AA458" s="5">
        <f>SUMPRODUCT(('01_Data'!$B458:$AW458&lt;&gt;"")*(1/(1+EXP(-(Z458-'03_Lap_b'!$B$40:$AW$40)))))</f>
        <v/>
      </c>
      <c r="AB458" s="5">
        <f>SUMPRODUCT(('01_Data'!$B458:$AW458&lt;&gt;"")*(1/(1+EXP(-(Z458-'03_Lap_b'!$B$40:$AW$40))))^2)</f>
        <v/>
      </c>
      <c r="AC458" s="5">
        <f>MEDIAN(-6,Z458+(C458-AA458)/MAX(AA458-AB458,0.000000001),6)</f>
        <v/>
      </c>
    </row>
    <row r="459">
      <c r="A459" t="n">
        <v>458</v>
      </c>
      <c r="B459">
        <f>'01_Data'!A459</f>
        <v/>
      </c>
      <c r="C459">
        <f>SUM('01_Data'!$B459:$AW459)</f>
        <v/>
      </c>
      <c r="D459">
        <f>COUNT('01_Data'!$B459:$AW459)</f>
        <v/>
      </c>
      <c r="E459" s="5">
        <f>MEDIAN(-6,LN((C459+0.3)/(D459-C459+0.3)),6)</f>
        <v/>
      </c>
      <c r="F459" s="5">
        <f>SUMPRODUCT(('01_Data'!$B459:$AW459&lt;&gt;"")*(1/(1+EXP(-(E459-'03_Lap_b'!$B$5:$AW$5)))))</f>
        <v/>
      </c>
      <c r="G459" s="5">
        <f>SUMPRODUCT(('01_Data'!$B459:$AW459&lt;&gt;"")*(1/(1+EXP(-(E459-'03_Lap_b'!$B$5:$AW$5))))^2)</f>
        <v/>
      </c>
      <c r="H459" s="5">
        <f>MEDIAN(-6,E459+(C459-F459)/MAX(F459-G459,0.000000001),6)</f>
        <v/>
      </c>
      <c r="I459" s="5">
        <f>SUMPRODUCT(('01_Data'!$B459:$AW459&lt;&gt;"")*(1/(1+EXP(-(H459-'03_Lap_b'!$B$10:$AW$10)))))</f>
        <v/>
      </c>
      <c r="J459" s="5">
        <f>SUMPRODUCT(('01_Data'!$B459:$AW459&lt;&gt;"")*(1/(1+EXP(-(H459-'03_Lap_b'!$B$10:$AW$10))))^2)</f>
        <v/>
      </c>
      <c r="K459" s="5">
        <f>MEDIAN(-6,H459+(C459-I459)/MAX(I459-J459,0.000000001),6)</f>
        <v/>
      </c>
      <c r="L459" s="5">
        <f>SUMPRODUCT(('01_Data'!$B459:$AW459&lt;&gt;"")*(1/(1+EXP(-(K459-'03_Lap_b'!$B$15:$AW$15)))))</f>
        <v/>
      </c>
      <c r="M459" s="5">
        <f>SUMPRODUCT(('01_Data'!$B459:$AW459&lt;&gt;"")*(1/(1+EXP(-(K459-'03_Lap_b'!$B$15:$AW$15))))^2)</f>
        <v/>
      </c>
      <c r="N459" s="5">
        <f>MEDIAN(-6,K459+(C459-L459)/MAX(L459-M459,0.000000001),6)</f>
        <v/>
      </c>
      <c r="O459" s="5">
        <f>SUMPRODUCT(('01_Data'!$B459:$AW459&lt;&gt;"")*(1/(1+EXP(-(N459-'03_Lap_b'!$B$20:$AW$20)))))</f>
        <v/>
      </c>
      <c r="P459" s="5">
        <f>SUMPRODUCT(('01_Data'!$B459:$AW459&lt;&gt;"")*(1/(1+EXP(-(N459-'03_Lap_b'!$B$20:$AW$20))))^2)</f>
        <v/>
      </c>
      <c r="Q459" s="5">
        <f>MEDIAN(-6,N459+(C459-O459)/MAX(O459-P459,0.000000001),6)</f>
        <v/>
      </c>
      <c r="R459" s="5">
        <f>SUMPRODUCT(('01_Data'!$B459:$AW459&lt;&gt;"")*(1/(1+EXP(-(Q459-'03_Lap_b'!$B$25:$AW$25)))))</f>
        <v/>
      </c>
      <c r="S459" s="5">
        <f>SUMPRODUCT(('01_Data'!$B459:$AW459&lt;&gt;"")*(1/(1+EXP(-(Q459-'03_Lap_b'!$B$25:$AW$25))))^2)</f>
        <v/>
      </c>
      <c r="T459" s="5">
        <f>MEDIAN(-6,Q459+(C459-R459)/MAX(R459-S459,0.000000001),6)</f>
        <v/>
      </c>
      <c r="U459" s="5">
        <f>SUMPRODUCT(('01_Data'!$B459:$AW459&lt;&gt;"")*(1/(1+EXP(-(T459-'03_Lap_b'!$B$30:$AW$30)))))</f>
        <v/>
      </c>
      <c r="V459" s="5">
        <f>SUMPRODUCT(('01_Data'!$B459:$AW459&lt;&gt;"")*(1/(1+EXP(-(T459-'03_Lap_b'!$B$30:$AW$30))))^2)</f>
        <v/>
      </c>
      <c r="W459" s="5">
        <f>MEDIAN(-6,T459+(C459-U459)/MAX(U459-V459,0.000000001),6)</f>
        <v/>
      </c>
      <c r="X459" s="5">
        <f>SUMPRODUCT(('01_Data'!$B459:$AW459&lt;&gt;"")*(1/(1+EXP(-(W459-'03_Lap_b'!$B$35:$AW$35)))))</f>
        <v/>
      </c>
      <c r="Y459" s="5">
        <f>SUMPRODUCT(('01_Data'!$B459:$AW459&lt;&gt;"")*(1/(1+EXP(-(W459-'03_Lap_b'!$B$35:$AW$35))))^2)</f>
        <v/>
      </c>
      <c r="Z459" s="5">
        <f>MEDIAN(-6,W459+(C459-X459)/MAX(X459-Y459,0.000000001),6)</f>
        <v/>
      </c>
      <c r="AA459" s="5">
        <f>SUMPRODUCT(('01_Data'!$B459:$AW459&lt;&gt;"")*(1/(1+EXP(-(Z459-'03_Lap_b'!$B$40:$AW$40)))))</f>
        <v/>
      </c>
      <c r="AB459" s="5">
        <f>SUMPRODUCT(('01_Data'!$B459:$AW459&lt;&gt;"")*(1/(1+EXP(-(Z459-'03_Lap_b'!$B$40:$AW$40))))^2)</f>
        <v/>
      </c>
      <c r="AC459" s="5">
        <f>MEDIAN(-6,Z459+(C459-AA459)/MAX(AA459-AB459,0.000000001),6)</f>
        <v/>
      </c>
    </row>
    <row r="460">
      <c r="A460" t="n">
        <v>459</v>
      </c>
      <c r="B460">
        <f>'01_Data'!A460</f>
        <v/>
      </c>
      <c r="C460">
        <f>SUM('01_Data'!$B460:$AW460)</f>
        <v/>
      </c>
      <c r="D460">
        <f>COUNT('01_Data'!$B460:$AW460)</f>
        <v/>
      </c>
      <c r="E460" s="5">
        <f>MEDIAN(-6,LN((C460+0.3)/(D460-C460+0.3)),6)</f>
        <v/>
      </c>
      <c r="F460" s="5">
        <f>SUMPRODUCT(('01_Data'!$B460:$AW460&lt;&gt;"")*(1/(1+EXP(-(E460-'03_Lap_b'!$B$5:$AW$5)))))</f>
        <v/>
      </c>
      <c r="G460" s="5">
        <f>SUMPRODUCT(('01_Data'!$B460:$AW460&lt;&gt;"")*(1/(1+EXP(-(E460-'03_Lap_b'!$B$5:$AW$5))))^2)</f>
        <v/>
      </c>
      <c r="H460" s="5">
        <f>MEDIAN(-6,E460+(C460-F460)/MAX(F460-G460,0.000000001),6)</f>
        <v/>
      </c>
      <c r="I460" s="5">
        <f>SUMPRODUCT(('01_Data'!$B460:$AW460&lt;&gt;"")*(1/(1+EXP(-(H460-'03_Lap_b'!$B$10:$AW$10)))))</f>
        <v/>
      </c>
      <c r="J460" s="5">
        <f>SUMPRODUCT(('01_Data'!$B460:$AW460&lt;&gt;"")*(1/(1+EXP(-(H460-'03_Lap_b'!$B$10:$AW$10))))^2)</f>
        <v/>
      </c>
      <c r="K460" s="5">
        <f>MEDIAN(-6,H460+(C460-I460)/MAX(I460-J460,0.000000001),6)</f>
        <v/>
      </c>
      <c r="L460" s="5">
        <f>SUMPRODUCT(('01_Data'!$B460:$AW460&lt;&gt;"")*(1/(1+EXP(-(K460-'03_Lap_b'!$B$15:$AW$15)))))</f>
        <v/>
      </c>
      <c r="M460" s="5">
        <f>SUMPRODUCT(('01_Data'!$B460:$AW460&lt;&gt;"")*(1/(1+EXP(-(K460-'03_Lap_b'!$B$15:$AW$15))))^2)</f>
        <v/>
      </c>
      <c r="N460" s="5">
        <f>MEDIAN(-6,K460+(C460-L460)/MAX(L460-M460,0.000000001),6)</f>
        <v/>
      </c>
      <c r="O460" s="5">
        <f>SUMPRODUCT(('01_Data'!$B460:$AW460&lt;&gt;"")*(1/(1+EXP(-(N460-'03_Lap_b'!$B$20:$AW$20)))))</f>
        <v/>
      </c>
      <c r="P460" s="5">
        <f>SUMPRODUCT(('01_Data'!$B460:$AW460&lt;&gt;"")*(1/(1+EXP(-(N460-'03_Lap_b'!$B$20:$AW$20))))^2)</f>
        <v/>
      </c>
      <c r="Q460" s="5">
        <f>MEDIAN(-6,N460+(C460-O460)/MAX(O460-P460,0.000000001),6)</f>
        <v/>
      </c>
      <c r="R460" s="5">
        <f>SUMPRODUCT(('01_Data'!$B460:$AW460&lt;&gt;"")*(1/(1+EXP(-(Q460-'03_Lap_b'!$B$25:$AW$25)))))</f>
        <v/>
      </c>
      <c r="S460" s="5">
        <f>SUMPRODUCT(('01_Data'!$B460:$AW460&lt;&gt;"")*(1/(1+EXP(-(Q460-'03_Lap_b'!$B$25:$AW$25))))^2)</f>
        <v/>
      </c>
      <c r="T460" s="5">
        <f>MEDIAN(-6,Q460+(C460-R460)/MAX(R460-S460,0.000000001),6)</f>
        <v/>
      </c>
      <c r="U460" s="5">
        <f>SUMPRODUCT(('01_Data'!$B460:$AW460&lt;&gt;"")*(1/(1+EXP(-(T460-'03_Lap_b'!$B$30:$AW$30)))))</f>
        <v/>
      </c>
      <c r="V460" s="5">
        <f>SUMPRODUCT(('01_Data'!$B460:$AW460&lt;&gt;"")*(1/(1+EXP(-(T460-'03_Lap_b'!$B$30:$AW$30))))^2)</f>
        <v/>
      </c>
      <c r="W460" s="5">
        <f>MEDIAN(-6,T460+(C460-U460)/MAX(U460-V460,0.000000001),6)</f>
        <v/>
      </c>
      <c r="X460" s="5">
        <f>SUMPRODUCT(('01_Data'!$B460:$AW460&lt;&gt;"")*(1/(1+EXP(-(W460-'03_Lap_b'!$B$35:$AW$35)))))</f>
        <v/>
      </c>
      <c r="Y460" s="5">
        <f>SUMPRODUCT(('01_Data'!$B460:$AW460&lt;&gt;"")*(1/(1+EXP(-(W460-'03_Lap_b'!$B$35:$AW$35))))^2)</f>
        <v/>
      </c>
      <c r="Z460" s="5">
        <f>MEDIAN(-6,W460+(C460-X460)/MAX(X460-Y460,0.000000001),6)</f>
        <v/>
      </c>
      <c r="AA460" s="5">
        <f>SUMPRODUCT(('01_Data'!$B460:$AW460&lt;&gt;"")*(1/(1+EXP(-(Z460-'03_Lap_b'!$B$40:$AW$40)))))</f>
        <v/>
      </c>
      <c r="AB460" s="5">
        <f>SUMPRODUCT(('01_Data'!$B460:$AW460&lt;&gt;"")*(1/(1+EXP(-(Z460-'03_Lap_b'!$B$40:$AW$40))))^2)</f>
        <v/>
      </c>
      <c r="AC460" s="5">
        <f>MEDIAN(-6,Z460+(C460-AA460)/MAX(AA460-AB460,0.000000001),6)</f>
        <v/>
      </c>
    </row>
    <row r="461">
      <c r="A461" t="n">
        <v>460</v>
      </c>
      <c r="B461">
        <f>'01_Data'!A461</f>
        <v/>
      </c>
      <c r="C461">
        <f>SUM('01_Data'!$B461:$AW461)</f>
        <v/>
      </c>
      <c r="D461">
        <f>COUNT('01_Data'!$B461:$AW461)</f>
        <v/>
      </c>
      <c r="E461" s="5">
        <f>MEDIAN(-6,LN((C461+0.3)/(D461-C461+0.3)),6)</f>
        <v/>
      </c>
      <c r="F461" s="5">
        <f>SUMPRODUCT(('01_Data'!$B461:$AW461&lt;&gt;"")*(1/(1+EXP(-(E461-'03_Lap_b'!$B$5:$AW$5)))))</f>
        <v/>
      </c>
      <c r="G461" s="5">
        <f>SUMPRODUCT(('01_Data'!$B461:$AW461&lt;&gt;"")*(1/(1+EXP(-(E461-'03_Lap_b'!$B$5:$AW$5))))^2)</f>
        <v/>
      </c>
      <c r="H461" s="5">
        <f>MEDIAN(-6,E461+(C461-F461)/MAX(F461-G461,0.000000001),6)</f>
        <v/>
      </c>
      <c r="I461" s="5">
        <f>SUMPRODUCT(('01_Data'!$B461:$AW461&lt;&gt;"")*(1/(1+EXP(-(H461-'03_Lap_b'!$B$10:$AW$10)))))</f>
        <v/>
      </c>
      <c r="J461" s="5">
        <f>SUMPRODUCT(('01_Data'!$B461:$AW461&lt;&gt;"")*(1/(1+EXP(-(H461-'03_Lap_b'!$B$10:$AW$10))))^2)</f>
        <v/>
      </c>
      <c r="K461" s="5">
        <f>MEDIAN(-6,H461+(C461-I461)/MAX(I461-J461,0.000000001),6)</f>
        <v/>
      </c>
      <c r="L461" s="5">
        <f>SUMPRODUCT(('01_Data'!$B461:$AW461&lt;&gt;"")*(1/(1+EXP(-(K461-'03_Lap_b'!$B$15:$AW$15)))))</f>
        <v/>
      </c>
      <c r="M461" s="5">
        <f>SUMPRODUCT(('01_Data'!$B461:$AW461&lt;&gt;"")*(1/(1+EXP(-(K461-'03_Lap_b'!$B$15:$AW$15))))^2)</f>
        <v/>
      </c>
      <c r="N461" s="5">
        <f>MEDIAN(-6,K461+(C461-L461)/MAX(L461-M461,0.000000001),6)</f>
        <v/>
      </c>
      <c r="O461" s="5">
        <f>SUMPRODUCT(('01_Data'!$B461:$AW461&lt;&gt;"")*(1/(1+EXP(-(N461-'03_Lap_b'!$B$20:$AW$20)))))</f>
        <v/>
      </c>
      <c r="P461" s="5">
        <f>SUMPRODUCT(('01_Data'!$B461:$AW461&lt;&gt;"")*(1/(1+EXP(-(N461-'03_Lap_b'!$B$20:$AW$20))))^2)</f>
        <v/>
      </c>
      <c r="Q461" s="5">
        <f>MEDIAN(-6,N461+(C461-O461)/MAX(O461-P461,0.000000001),6)</f>
        <v/>
      </c>
      <c r="R461" s="5">
        <f>SUMPRODUCT(('01_Data'!$B461:$AW461&lt;&gt;"")*(1/(1+EXP(-(Q461-'03_Lap_b'!$B$25:$AW$25)))))</f>
        <v/>
      </c>
      <c r="S461" s="5">
        <f>SUMPRODUCT(('01_Data'!$B461:$AW461&lt;&gt;"")*(1/(1+EXP(-(Q461-'03_Lap_b'!$B$25:$AW$25))))^2)</f>
        <v/>
      </c>
      <c r="T461" s="5">
        <f>MEDIAN(-6,Q461+(C461-R461)/MAX(R461-S461,0.000000001),6)</f>
        <v/>
      </c>
      <c r="U461" s="5">
        <f>SUMPRODUCT(('01_Data'!$B461:$AW461&lt;&gt;"")*(1/(1+EXP(-(T461-'03_Lap_b'!$B$30:$AW$30)))))</f>
        <v/>
      </c>
      <c r="V461" s="5">
        <f>SUMPRODUCT(('01_Data'!$B461:$AW461&lt;&gt;"")*(1/(1+EXP(-(T461-'03_Lap_b'!$B$30:$AW$30))))^2)</f>
        <v/>
      </c>
      <c r="W461" s="5">
        <f>MEDIAN(-6,T461+(C461-U461)/MAX(U461-V461,0.000000001),6)</f>
        <v/>
      </c>
      <c r="X461" s="5">
        <f>SUMPRODUCT(('01_Data'!$B461:$AW461&lt;&gt;"")*(1/(1+EXP(-(W461-'03_Lap_b'!$B$35:$AW$35)))))</f>
        <v/>
      </c>
      <c r="Y461" s="5">
        <f>SUMPRODUCT(('01_Data'!$B461:$AW461&lt;&gt;"")*(1/(1+EXP(-(W461-'03_Lap_b'!$B$35:$AW$35))))^2)</f>
        <v/>
      </c>
      <c r="Z461" s="5">
        <f>MEDIAN(-6,W461+(C461-X461)/MAX(X461-Y461,0.000000001),6)</f>
        <v/>
      </c>
      <c r="AA461" s="5">
        <f>SUMPRODUCT(('01_Data'!$B461:$AW461&lt;&gt;"")*(1/(1+EXP(-(Z461-'03_Lap_b'!$B$40:$AW$40)))))</f>
        <v/>
      </c>
      <c r="AB461" s="5">
        <f>SUMPRODUCT(('01_Data'!$B461:$AW461&lt;&gt;"")*(1/(1+EXP(-(Z461-'03_Lap_b'!$B$40:$AW$40))))^2)</f>
        <v/>
      </c>
      <c r="AC461" s="5">
        <f>MEDIAN(-6,Z461+(C461-AA461)/MAX(AA461-AB461,0.000000001),6)</f>
        <v/>
      </c>
    </row>
    <row r="462">
      <c r="A462" t="n">
        <v>461</v>
      </c>
      <c r="B462">
        <f>'01_Data'!A462</f>
        <v/>
      </c>
      <c r="C462">
        <f>SUM('01_Data'!$B462:$AW462)</f>
        <v/>
      </c>
      <c r="D462">
        <f>COUNT('01_Data'!$B462:$AW462)</f>
        <v/>
      </c>
      <c r="E462" s="5">
        <f>MEDIAN(-6,LN((C462+0.3)/(D462-C462+0.3)),6)</f>
        <v/>
      </c>
      <c r="F462" s="5">
        <f>SUMPRODUCT(('01_Data'!$B462:$AW462&lt;&gt;"")*(1/(1+EXP(-(E462-'03_Lap_b'!$B$5:$AW$5)))))</f>
        <v/>
      </c>
      <c r="G462" s="5">
        <f>SUMPRODUCT(('01_Data'!$B462:$AW462&lt;&gt;"")*(1/(1+EXP(-(E462-'03_Lap_b'!$B$5:$AW$5))))^2)</f>
        <v/>
      </c>
      <c r="H462" s="5">
        <f>MEDIAN(-6,E462+(C462-F462)/MAX(F462-G462,0.000000001),6)</f>
        <v/>
      </c>
      <c r="I462" s="5">
        <f>SUMPRODUCT(('01_Data'!$B462:$AW462&lt;&gt;"")*(1/(1+EXP(-(H462-'03_Lap_b'!$B$10:$AW$10)))))</f>
        <v/>
      </c>
      <c r="J462" s="5">
        <f>SUMPRODUCT(('01_Data'!$B462:$AW462&lt;&gt;"")*(1/(1+EXP(-(H462-'03_Lap_b'!$B$10:$AW$10))))^2)</f>
        <v/>
      </c>
      <c r="K462" s="5">
        <f>MEDIAN(-6,H462+(C462-I462)/MAX(I462-J462,0.000000001),6)</f>
        <v/>
      </c>
      <c r="L462" s="5">
        <f>SUMPRODUCT(('01_Data'!$B462:$AW462&lt;&gt;"")*(1/(1+EXP(-(K462-'03_Lap_b'!$B$15:$AW$15)))))</f>
        <v/>
      </c>
      <c r="M462" s="5">
        <f>SUMPRODUCT(('01_Data'!$B462:$AW462&lt;&gt;"")*(1/(1+EXP(-(K462-'03_Lap_b'!$B$15:$AW$15))))^2)</f>
        <v/>
      </c>
      <c r="N462" s="5">
        <f>MEDIAN(-6,K462+(C462-L462)/MAX(L462-M462,0.000000001),6)</f>
        <v/>
      </c>
      <c r="O462" s="5">
        <f>SUMPRODUCT(('01_Data'!$B462:$AW462&lt;&gt;"")*(1/(1+EXP(-(N462-'03_Lap_b'!$B$20:$AW$20)))))</f>
        <v/>
      </c>
      <c r="P462" s="5">
        <f>SUMPRODUCT(('01_Data'!$B462:$AW462&lt;&gt;"")*(1/(1+EXP(-(N462-'03_Lap_b'!$B$20:$AW$20))))^2)</f>
        <v/>
      </c>
      <c r="Q462" s="5">
        <f>MEDIAN(-6,N462+(C462-O462)/MAX(O462-P462,0.000000001),6)</f>
        <v/>
      </c>
      <c r="R462" s="5">
        <f>SUMPRODUCT(('01_Data'!$B462:$AW462&lt;&gt;"")*(1/(1+EXP(-(Q462-'03_Lap_b'!$B$25:$AW$25)))))</f>
        <v/>
      </c>
      <c r="S462" s="5">
        <f>SUMPRODUCT(('01_Data'!$B462:$AW462&lt;&gt;"")*(1/(1+EXP(-(Q462-'03_Lap_b'!$B$25:$AW$25))))^2)</f>
        <v/>
      </c>
      <c r="T462" s="5">
        <f>MEDIAN(-6,Q462+(C462-R462)/MAX(R462-S462,0.000000001),6)</f>
        <v/>
      </c>
      <c r="U462" s="5">
        <f>SUMPRODUCT(('01_Data'!$B462:$AW462&lt;&gt;"")*(1/(1+EXP(-(T462-'03_Lap_b'!$B$30:$AW$30)))))</f>
        <v/>
      </c>
      <c r="V462" s="5">
        <f>SUMPRODUCT(('01_Data'!$B462:$AW462&lt;&gt;"")*(1/(1+EXP(-(T462-'03_Lap_b'!$B$30:$AW$30))))^2)</f>
        <v/>
      </c>
      <c r="W462" s="5">
        <f>MEDIAN(-6,T462+(C462-U462)/MAX(U462-V462,0.000000001),6)</f>
        <v/>
      </c>
      <c r="X462" s="5">
        <f>SUMPRODUCT(('01_Data'!$B462:$AW462&lt;&gt;"")*(1/(1+EXP(-(W462-'03_Lap_b'!$B$35:$AW$35)))))</f>
        <v/>
      </c>
      <c r="Y462" s="5">
        <f>SUMPRODUCT(('01_Data'!$B462:$AW462&lt;&gt;"")*(1/(1+EXP(-(W462-'03_Lap_b'!$B$35:$AW$35))))^2)</f>
        <v/>
      </c>
      <c r="Z462" s="5">
        <f>MEDIAN(-6,W462+(C462-X462)/MAX(X462-Y462,0.000000001),6)</f>
        <v/>
      </c>
      <c r="AA462" s="5">
        <f>SUMPRODUCT(('01_Data'!$B462:$AW462&lt;&gt;"")*(1/(1+EXP(-(Z462-'03_Lap_b'!$B$40:$AW$40)))))</f>
        <v/>
      </c>
      <c r="AB462" s="5">
        <f>SUMPRODUCT(('01_Data'!$B462:$AW462&lt;&gt;"")*(1/(1+EXP(-(Z462-'03_Lap_b'!$B$40:$AW$40))))^2)</f>
        <v/>
      </c>
      <c r="AC462" s="5">
        <f>MEDIAN(-6,Z462+(C462-AA462)/MAX(AA462-AB462,0.000000001),6)</f>
        <v/>
      </c>
    </row>
    <row r="463">
      <c r="A463" t="n">
        <v>462</v>
      </c>
      <c r="B463">
        <f>'01_Data'!A463</f>
        <v/>
      </c>
      <c r="C463">
        <f>SUM('01_Data'!$B463:$AW463)</f>
        <v/>
      </c>
      <c r="D463">
        <f>COUNT('01_Data'!$B463:$AW463)</f>
        <v/>
      </c>
      <c r="E463" s="5">
        <f>MEDIAN(-6,LN((C463+0.3)/(D463-C463+0.3)),6)</f>
        <v/>
      </c>
      <c r="F463" s="5">
        <f>SUMPRODUCT(('01_Data'!$B463:$AW463&lt;&gt;"")*(1/(1+EXP(-(E463-'03_Lap_b'!$B$5:$AW$5)))))</f>
        <v/>
      </c>
      <c r="G463" s="5">
        <f>SUMPRODUCT(('01_Data'!$B463:$AW463&lt;&gt;"")*(1/(1+EXP(-(E463-'03_Lap_b'!$B$5:$AW$5))))^2)</f>
        <v/>
      </c>
      <c r="H463" s="5">
        <f>MEDIAN(-6,E463+(C463-F463)/MAX(F463-G463,0.000000001),6)</f>
        <v/>
      </c>
      <c r="I463" s="5">
        <f>SUMPRODUCT(('01_Data'!$B463:$AW463&lt;&gt;"")*(1/(1+EXP(-(H463-'03_Lap_b'!$B$10:$AW$10)))))</f>
        <v/>
      </c>
      <c r="J463" s="5">
        <f>SUMPRODUCT(('01_Data'!$B463:$AW463&lt;&gt;"")*(1/(1+EXP(-(H463-'03_Lap_b'!$B$10:$AW$10))))^2)</f>
        <v/>
      </c>
      <c r="K463" s="5">
        <f>MEDIAN(-6,H463+(C463-I463)/MAX(I463-J463,0.000000001),6)</f>
        <v/>
      </c>
      <c r="L463" s="5">
        <f>SUMPRODUCT(('01_Data'!$B463:$AW463&lt;&gt;"")*(1/(1+EXP(-(K463-'03_Lap_b'!$B$15:$AW$15)))))</f>
        <v/>
      </c>
      <c r="M463" s="5">
        <f>SUMPRODUCT(('01_Data'!$B463:$AW463&lt;&gt;"")*(1/(1+EXP(-(K463-'03_Lap_b'!$B$15:$AW$15))))^2)</f>
        <v/>
      </c>
      <c r="N463" s="5">
        <f>MEDIAN(-6,K463+(C463-L463)/MAX(L463-M463,0.000000001),6)</f>
        <v/>
      </c>
      <c r="O463" s="5">
        <f>SUMPRODUCT(('01_Data'!$B463:$AW463&lt;&gt;"")*(1/(1+EXP(-(N463-'03_Lap_b'!$B$20:$AW$20)))))</f>
        <v/>
      </c>
      <c r="P463" s="5">
        <f>SUMPRODUCT(('01_Data'!$B463:$AW463&lt;&gt;"")*(1/(1+EXP(-(N463-'03_Lap_b'!$B$20:$AW$20))))^2)</f>
        <v/>
      </c>
      <c r="Q463" s="5">
        <f>MEDIAN(-6,N463+(C463-O463)/MAX(O463-P463,0.000000001),6)</f>
        <v/>
      </c>
      <c r="R463" s="5">
        <f>SUMPRODUCT(('01_Data'!$B463:$AW463&lt;&gt;"")*(1/(1+EXP(-(Q463-'03_Lap_b'!$B$25:$AW$25)))))</f>
        <v/>
      </c>
      <c r="S463" s="5">
        <f>SUMPRODUCT(('01_Data'!$B463:$AW463&lt;&gt;"")*(1/(1+EXP(-(Q463-'03_Lap_b'!$B$25:$AW$25))))^2)</f>
        <v/>
      </c>
      <c r="T463" s="5">
        <f>MEDIAN(-6,Q463+(C463-R463)/MAX(R463-S463,0.000000001),6)</f>
        <v/>
      </c>
      <c r="U463" s="5">
        <f>SUMPRODUCT(('01_Data'!$B463:$AW463&lt;&gt;"")*(1/(1+EXP(-(T463-'03_Lap_b'!$B$30:$AW$30)))))</f>
        <v/>
      </c>
      <c r="V463" s="5">
        <f>SUMPRODUCT(('01_Data'!$B463:$AW463&lt;&gt;"")*(1/(1+EXP(-(T463-'03_Lap_b'!$B$30:$AW$30))))^2)</f>
        <v/>
      </c>
      <c r="W463" s="5">
        <f>MEDIAN(-6,T463+(C463-U463)/MAX(U463-V463,0.000000001),6)</f>
        <v/>
      </c>
      <c r="X463" s="5">
        <f>SUMPRODUCT(('01_Data'!$B463:$AW463&lt;&gt;"")*(1/(1+EXP(-(W463-'03_Lap_b'!$B$35:$AW$35)))))</f>
        <v/>
      </c>
      <c r="Y463" s="5">
        <f>SUMPRODUCT(('01_Data'!$B463:$AW463&lt;&gt;"")*(1/(1+EXP(-(W463-'03_Lap_b'!$B$35:$AW$35))))^2)</f>
        <v/>
      </c>
      <c r="Z463" s="5">
        <f>MEDIAN(-6,W463+(C463-X463)/MAX(X463-Y463,0.000000001),6)</f>
        <v/>
      </c>
      <c r="AA463" s="5">
        <f>SUMPRODUCT(('01_Data'!$B463:$AW463&lt;&gt;"")*(1/(1+EXP(-(Z463-'03_Lap_b'!$B$40:$AW$40)))))</f>
        <v/>
      </c>
      <c r="AB463" s="5">
        <f>SUMPRODUCT(('01_Data'!$B463:$AW463&lt;&gt;"")*(1/(1+EXP(-(Z463-'03_Lap_b'!$B$40:$AW$40))))^2)</f>
        <v/>
      </c>
      <c r="AC463" s="5">
        <f>MEDIAN(-6,Z463+(C463-AA463)/MAX(AA463-AB463,0.000000001),6)</f>
        <v/>
      </c>
    </row>
    <row r="464">
      <c r="A464" t="n">
        <v>463</v>
      </c>
      <c r="B464">
        <f>'01_Data'!A464</f>
        <v/>
      </c>
      <c r="C464">
        <f>SUM('01_Data'!$B464:$AW464)</f>
        <v/>
      </c>
      <c r="D464">
        <f>COUNT('01_Data'!$B464:$AW464)</f>
        <v/>
      </c>
      <c r="E464" s="5">
        <f>MEDIAN(-6,LN((C464+0.3)/(D464-C464+0.3)),6)</f>
        <v/>
      </c>
      <c r="F464" s="5">
        <f>SUMPRODUCT(('01_Data'!$B464:$AW464&lt;&gt;"")*(1/(1+EXP(-(E464-'03_Lap_b'!$B$5:$AW$5)))))</f>
        <v/>
      </c>
      <c r="G464" s="5">
        <f>SUMPRODUCT(('01_Data'!$B464:$AW464&lt;&gt;"")*(1/(1+EXP(-(E464-'03_Lap_b'!$B$5:$AW$5))))^2)</f>
        <v/>
      </c>
      <c r="H464" s="5">
        <f>MEDIAN(-6,E464+(C464-F464)/MAX(F464-G464,0.000000001),6)</f>
        <v/>
      </c>
      <c r="I464" s="5">
        <f>SUMPRODUCT(('01_Data'!$B464:$AW464&lt;&gt;"")*(1/(1+EXP(-(H464-'03_Lap_b'!$B$10:$AW$10)))))</f>
        <v/>
      </c>
      <c r="J464" s="5">
        <f>SUMPRODUCT(('01_Data'!$B464:$AW464&lt;&gt;"")*(1/(1+EXP(-(H464-'03_Lap_b'!$B$10:$AW$10))))^2)</f>
        <v/>
      </c>
      <c r="K464" s="5">
        <f>MEDIAN(-6,H464+(C464-I464)/MAX(I464-J464,0.000000001),6)</f>
        <v/>
      </c>
      <c r="L464" s="5">
        <f>SUMPRODUCT(('01_Data'!$B464:$AW464&lt;&gt;"")*(1/(1+EXP(-(K464-'03_Lap_b'!$B$15:$AW$15)))))</f>
        <v/>
      </c>
      <c r="M464" s="5">
        <f>SUMPRODUCT(('01_Data'!$B464:$AW464&lt;&gt;"")*(1/(1+EXP(-(K464-'03_Lap_b'!$B$15:$AW$15))))^2)</f>
        <v/>
      </c>
      <c r="N464" s="5">
        <f>MEDIAN(-6,K464+(C464-L464)/MAX(L464-M464,0.000000001),6)</f>
        <v/>
      </c>
      <c r="O464" s="5">
        <f>SUMPRODUCT(('01_Data'!$B464:$AW464&lt;&gt;"")*(1/(1+EXP(-(N464-'03_Lap_b'!$B$20:$AW$20)))))</f>
        <v/>
      </c>
      <c r="P464" s="5">
        <f>SUMPRODUCT(('01_Data'!$B464:$AW464&lt;&gt;"")*(1/(1+EXP(-(N464-'03_Lap_b'!$B$20:$AW$20))))^2)</f>
        <v/>
      </c>
      <c r="Q464" s="5">
        <f>MEDIAN(-6,N464+(C464-O464)/MAX(O464-P464,0.000000001),6)</f>
        <v/>
      </c>
      <c r="R464" s="5">
        <f>SUMPRODUCT(('01_Data'!$B464:$AW464&lt;&gt;"")*(1/(1+EXP(-(Q464-'03_Lap_b'!$B$25:$AW$25)))))</f>
        <v/>
      </c>
      <c r="S464" s="5">
        <f>SUMPRODUCT(('01_Data'!$B464:$AW464&lt;&gt;"")*(1/(1+EXP(-(Q464-'03_Lap_b'!$B$25:$AW$25))))^2)</f>
        <v/>
      </c>
      <c r="T464" s="5">
        <f>MEDIAN(-6,Q464+(C464-R464)/MAX(R464-S464,0.000000001),6)</f>
        <v/>
      </c>
      <c r="U464" s="5">
        <f>SUMPRODUCT(('01_Data'!$B464:$AW464&lt;&gt;"")*(1/(1+EXP(-(T464-'03_Lap_b'!$B$30:$AW$30)))))</f>
        <v/>
      </c>
      <c r="V464" s="5">
        <f>SUMPRODUCT(('01_Data'!$B464:$AW464&lt;&gt;"")*(1/(1+EXP(-(T464-'03_Lap_b'!$B$30:$AW$30))))^2)</f>
        <v/>
      </c>
      <c r="W464" s="5">
        <f>MEDIAN(-6,T464+(C464-U464)/MAX(U464-V464,0.000000001),6)</f>
        <v/>
      </c>
      <c r="X464" s="5">
        <f>SUMPRODUCT(('01_Data'!$B464:$AW464&lt;&gt;"")*(1/(1+EXP(-(W464-'03_Lap_b'!$B$35:$AW$35)))))</f>
        <v/>
      </c>
      <c r="Y464" s="5">
        <f>SUMPRODUCT(('01_Data'!$B464:$AW464&lt;&gt;"")*(1/(1+EXP(-(W464-'03_Lap_b'!$B$35:$AW$35))))^2)</f>
        <v/>
      </c>
      <c r="Z464" s="5">
        <f>MEDIAN(-6,W464+(C464-X464)/MAX(X464-Y464,0.000000001),6)</f>
        <v/>
      </c>
      <c r="AA464" s="5">
        <f>SUMPRODUCT(('01_Data'!$B464:$AW464&lt;&gt;"")*(1/(1+EXP(-(Z464-'03_Lap_b'!$B$40:$AW$40)))))</f>
        <v/>
      </c>
      <c r="AB464" s="5">
        <f>SUMPRODUCT(('01_Data'!$B464:$AW464&lt;&gt;"")*(1/(1+EXP(-(Z464-'03_Lap_b'!$B$40:$AW$40))))^2)</f>
        <v/>
      </c>
      <c r="AC464" s="5">
        <f>MEDIAN(-6,Z464+(C464-AA464)/MAX(AA464-AB464,0.000000001),6)</f>
        <v/>
      </c>
    </row>
    <row r="465">
      <c r="A465" t="n">
        <v>464</v>
      </c>
      <c r="B465">
        <f>'01_Data'!A465</f>
        <v/>
      </c>
      <c r="C465">
        <f>SUM('01_Data'!$B465:$AW465)</f>
        <v/>
      </c>
      <c r="D465">
        <f>COUNT('01_Data'!$B465:$AW465)</f>
        <v/>
      </c>
      <c r="E465" s="5">
        <f>MEDIAN(-6,LN((C465+0.3)/(D465-C465+0.3)),6)</f>
        <v/>
      </c>
      <c r="F465" s="5">
        <f>SUMPRODUCT(('01_Data'!$B465:$AW465&lt;&gt;"")*(1/(1+EXP(-(E465-'03_Lap_b'!$B$5:$AW$5)))))</f>
        <v/>
      </c>
      <c r="G465" s="5">
        <f>SUMPRODUCT(('01_Data'!$B465:$AW465&lt;&gt;"")*(1/(1+EXP(-(E465-'03_Lap_b'!$B$5:$AW$5))))^2)</f>
        <v/>
      </c>
      <c r="H465" s="5">
        <f>MEDIAN(-6,E465+(C465-F465)/MAX(F465-G465,0.000000001),6)</f>
        <v/>
      </c>
      <c r="I465" s="5">
        <f>SUMPRODUCT(('01_Data'!$B465:$AW465&lt;&gt;"")*(1/(1+EXP(-(H465-'03_Lap_b'!$B$10:$AW$10)))))</f>
        <v/>
      </c>
      <c r="J465" s="5">
        <f>SUMPRODUCT(('01_Data'!$B465:$AW465&lt;&gt;"")*(1/(1+EXP(-(H465-'03_Lap_b'!$B$10:$AW$10))))^2)</f>
        <v/>
      </c>
      <c r="K465" s="5">
        <f>MEDIAN(-6,H465+(C465-I465)/MAX(I465-J465,0.000000001),6)</f>
        <v/>
      </c>
      <c r="L465" s="5">
        <f>SUMPRODUCT(('01_Data'!$B465:$AW465&lt;&gt;"")*(1/(1+EXP(-(K465-'03_Lap_b'!$B$15:$AW$15)))))</f>
        <v/>
      </c>
      <c r="M465" s="5">
        <f>SUMPRODUCT(('01_Data'!$B465:$AW465&lt;&gt;"")*(1/(1+EXP(-(K465-'03_Lap_b'!$B$15:$AW$15))))^2)</f>
        <v/>
      </c>
      <c r="N465" s="5">
        <f>MEDIAN(-6,K465+(C465-L465)/MAX(L465-M465,0.000000001),6)</f>
        <v/>
      </c>
      <c r="O465" s="5">
        <f>SUMPRODUCT(('01_Data'!$B465:$AW465&lt;&gt;"")*(1/(1+EXP(-(N465-'03_Lap_b'!$B$20:$AW$20)))))</f>
        <v/>
      </c>
      <c r="P465" s="5">
        <f>SUMPRODUCT(('01_Data'!$B465:$AW465&lt;&gt;"")*(1/(1+EXP(-(N465-'03_Lap_b'!$B$20:$AW$20))))^2)</f>
        <v/>
      </c>
      <c r="Q465" s="5">
        <f>MEDIAN(-6,N465+(C465-O465)/MAX(O465-P465,0.000000001),6)</f>
        <v/>
      </c>
      <c r="R465" s="5">
        <f>SUMPRODUCT(('01_Data'!$B465:$AW465&lt;&gt;"")*(1/(1+EXP(-(Q465-'03_Lap_b'!$B$25:$AW$25)))))</f>
        <v/>
      </c>
      <c r="S465" s="5">
        <f>SUMPRODUCT(('01_Data'!$B465:$AW465&lt;&gt;"")*(1/(1+EXP(-(Q465-'03_Lap_b'!$B$25:$AW$25))))^2)</f>
        <v/>
      </c>
      <c r="T465" s="5">
        <f>MEDIAN(-6,Q465+(C465-R465)/MAX(R465-S465,0.000000001),6)</f>
        <v/>
      </c>
      <c r="U465" s="5">
        <f>SUMPRODUCT(('01_Data'!$B465:$AW465&lt;&gt;"")*(1/(1+EXP(-(T465-'03_Lap_b'!$B$30:$AW$30)))))</f>
        <v/>
      </c>
      <c r="V465" s="5">
        <f>SUMPRODUCT(('01_Data'!$B465:$AW465&lt;&gt;"")*(1/(1+EXP(-(T465-'03_Lap_b'!$B$30:$AW$30))))^2)</f>
        <v/>
      </c>
      <c r="W465" s="5">
        <f>MEDIAN(-6,T465+(C465-U465)/MAX(U465-V465,0.000000001),6)</f>
        <v/>
      </c>
      <c r="X465" s="5">
        <f>SUMPRODUCT(('01_Data'!$B465:$AW465&lt;&gt;"")*(1/(1+EXP(-(W465-'03_Lap_b'!$B$35:$AW$35)))))</f>
        <v/>
      </c>
      <c r="Y465" s="5">
        <f>SUMPRODUCT(('01_Data'!$B465:$AW465&lt;&gt;"")*(1/(1+EXP(-(W465-'03_Lap_b'!$B$35:$AW$35))))^2)</f>
        <v/>
      </c>
      <c r="Z465" s="5">
        <f>MEDIAN(-6,W465+(C465-X465)/MAX(X465-Y465,0.000000001),6)</f>
        <v/>
      </c>
      <c r="AA465" s="5">
        <f>SUMPRODUCT(('01_Data'!$B465:$AW465&lt;&gt;"")*(1/(1+EXP(-(Z465-'03_Lap_b'!$B$40:$AW$40)))))</f>
        <v/>
      </c>
      <c r="AB465" s="5">
        <f>SUMPRODUCT(('01_Data'!$B465:$AW465&lt;&gt;"")*(1/(1+EXP(-(Z465-'03_Lap_b'!$B$40:$AW$40))))^2)</f>
        <v/>
      </c>
      <c r="AC465" s="5">
        <f>MEDIAN(-6,Z465+(C465-AA465)/MAX(AA465-AB465,0.000000001),6)</f>
        <v/>
      </c>
    </row>
    <row r="466">
      <c r="A466" t="n">
        <v>465</v>
      </c>
      <c r="B466">
        <f>'01_Data'!A466</f>
        <v/>
      </c>
      <c r="C466">
        <f>SUM('01_Data'!$B466:$AW466)</f>
        <v/>
      </c>
      <c r="D466">
        <f>COUNT('01_Data'!$B466:$AW466)</f>
        <v/>
      </c>
      <c r="E466" s="5">
        <f>MEDIAN(-6,LN((C466+0.3)/(D466-C466+0.3)),6)</f>
        <v/>
      </c>
      <c r="F466" s="5">
        <f>SUMPRODUCT(('01_Data'!$B466:$AW466&lt;&gt;"")*(1/(1+EXP(-(E466-'03_Lap_b'!$B$5:$AW$5)))))</f>
        <v/>
      </c>
      <c r="G466" s="5">
        <f>SUMPRODUCT(('01_Data'!$B466:$AW466&lt;&gt;"")*(1/(1+EXP(-(E466-'03_Lap_b'!$B$5:$AW$5))))^2)</f>
        <v/>
      </c>
      <c r="H466" s="5">
        <f>MEDIAN(-6,E466+(C466-F466)/MAX(F466-G466,0.000000001),6)</f>
        <v/>
      </c>
      <c r="I466" s="5">
        <f>SUMPRODUCT(('01_Data'!$B466:$AW466&lt;&gt;"")*(1/(1+EXP(-(H466-'03_Lap_b'!$B$10:$AW$10)))))</f>
        <v/>
      </c>
      <c r="J466" s="5">
        <f>SUMPRODUCT(('01_Data'!$B466:$AW466&lt;&gt;"")*(1/(1+EXP(-(H466-'03_Lap_b'!$B$10:$AW$10))))^2)</f>
        <v/>
      </c>
      <c r="K466" s="5">
        <f>MEDIAN(-6,H466+(C466-I466)/MAX(I466-J466,0.000000001),6)</f>
        <v/>
      </c>
      <c r="L466" s="5">
        <f>SUMPRODUCT(('01_Data'!$B466:$AW466&lt;&gt;"")*(1/(1+EXP(-(K466-'03_Lap_b'!$B$15:$AW$15)))))</f>
        <v/>
      </c>
      <c r="M466" s="5">
        <f>SUMPRODUCT(('01_Data'!$B466:$AW466&lt;&gt;"")*(1/(1+EXP(-(K466-'03_Lap_b'!$B$15:$AW$15))))^2)</f>
        <v/>
      </c>
      <c r="N466" s="5">
        <f>MEDIAN(-6,K466+(C466-L466)/MAX(L466-M466,0.000000001),6)</f>
        <v/>
      </c>
      <c r="O466" s="5">
        <f>SUMPRODUCT(('01_Data'!$B466:$AW466&lt;&gt;"")*(1/(1+EXP(-(N466-'03_Lap_b'!$B$20:$AW$20)))))</f>
        <v/>
      </c>
      <c r="P466" s="5">
        <f>SUMPRODUCT(('01_Data'!$B466:$AW466&lt;&gt;"")*(1/(1+EXP(-(N466-'03_Lap_b'!$B$20:$AW$20))))^2)</f>
        <v/>
      </c>
      <c r="Q466" s="5">
        <f>MEDIAN(-6,N466+(C466-O466)/MAX(O466-P466,0.000000001),6)</f>
        <v/>
      </c>
      <c r="R466" s="5">
        <f>SUMPRODUCT(('01_Data'!$B466:$AW466&lt;&gt;"")*(1/(1+EXP(-(Q466-'03_Lap_b'!$B$25:$AW$25)))))</f>
        <v/>
      </c>
      <c r="S466" s="5">
        <f>SUMPRODUCT(('01_Data'!$B466:$AW466&lt;&gt;"")*(1/(1+EXP(-(Q466-'03_Lap_b'!$B$25:$AW$25))))^2)</f>
        <v/>
      </c>
      <c r="T466" s="5">
        <f>MEDIAN(-6,Q466+(C466-R466)/MAX(R466-S466,0.000000001),6)</f>
        <v/>
      </c>
      <c r="U466" s="5">
        <f>SUMPRODUCT(('01_Data'!$B466:$AW466&lt;&gt;"")*(1/(1+EXP(-(T466-'03_Lap_b'!$B$30:$AW$30)))))</f>
        <v/>
      </c>
      <c r="V466" s="5">
        <f>SUMPRODUCT(('01_Data'!$B466:$AW466&lt;&gt;"")*(1/(1+EXP(-(T466-'03_Lap_b'!$B$30:$AW$30))))^2)</f>
        <v/>
      </c>
      <c r="W466" s="5">
        <f>MEDIAN(-6,T466+(C466-U466)/MAX(U466-V466,0.000000001),6)</f>
        <v/>
      </c>
      <c r="X466" s="5">
        <f>SUMPRODUCT(('01_Data'!$B466:$AW466&lt;&gt;"")*(1/(1+EXP(-(W466-'03_Lap_b'!$B$35:$AW$35)))))</f>
        <v/>
      </c>
      <c r="Y466" s="5">
        <f>SUMPRODUCT(('01_Data'!$B466:$AW466&lt;&gt;"")*(1/(1+EXP(-(W466-'03_Lap_b'!$B$35:$AW$35))))^2)</f>
        <v/>
      </c>
      <c r="Z466" s="5">
        <f>MEDIAN(-6,W466+(C466-X466)/MAX(X466-Y466,0.000000001),6)</f>
        <v/>
      </c>
      <c r="AA466" s="5">
        <f>SUMPRODUCT(('01_Data'!$B466:$AW466&lt;&gt;"")*(1/(1+EXP(-(Z466-'03_Lap_b'!$B$40:$AW$40)))))</f>
        <v/>
      </c>
      <c r="AB466" s="5">
        <f>SUMPRODUCT(('01_Data'!$B466:$AW466&lt;&gt;"")*(1/(1+EXP(-(Z466-'03_Lap_b'!$B$40:$AW$40))))^2)</f>
        <v/>
      </c>
      <c r="AC466" s="5">
        <f>MEDIAN(-6,Z466+(C466-AA466)/MAX(AA466-AB466,0.000000001),6)</f>
        <v/>
      </c>
    </row>
    <row r="467">
      <c r="A467" t="n">
        <v>466</v>
      </c>
      <c r="B467">
        <f>'01_Data'!A467</f>
        <v/>
      </c>
      <c r="C467">
        <f>SUM('01_Data'!$B467:$AW467)</f>
        <v/>
      </c>
      <c r="D467">
        <f>COUNT('01_Data'!$B467:$AW467)</f>
        <v/>
      </c>
      <c r="E467" s="5">
        <f>MEDIAN(-6,LN((C467+0.3)/(D467-C467+0.3)),6)</f>
        <v/>
      </c>
      <c r="F467" s="5">
        <f>SUMPRODUCT(('01_Data'!$B467:$AW467&lt;&gt;"")*(1/(1+EXP(-(E467-'03_Lap_b'!$B$5:$AW$5)))))</f>
        <v/>
      </c>
      <c r="G467" s="5">
        <f>SUMPRODUCT(('01_Data'!$B467:$AW467&lt;&gt;"")*(1/(1+EXP(-(E467-'03_Lap_b'!$B$5:$AW$5))))^2)</f>
        <v/>
      </c>
      <c r="H467" s="5">
        <f>MEDIAN(-6,E467+(C467-F467)/MAX(F467-G467,0.000000001),6)</f>
        <v/>
      </c>
      <c r="I467" s="5">
        <f>SUMPRODUCT(('01_Data'!$B467:$AW467&lt;&gt;"")*(1/(1+EXP(-(H467-'03_Lap_b'!$B$10:$AW$10)))))</f>
        <v/>
      </c>
      <c r="J467" s="5">
        <f>SUMPRODUCT(('01_Data'!$B467:$AW467&lt;&gt;"")*(1/(1+EXP(-(H467-'03_Lap_b'!$B$10:$AW$10))))^2)</f>
        <v/>
      </c>
      <c r="K467" s="5">
        <f>MEDIAN(-6,H467+(C467-I467)/MAX(I467-J467,0.000000001),6)</f>
        <v/>
      </c>
      <c r="L467" s="5">
        <f>SUMPRODUCT(('01_Data'!$B467:$AW467&lt;&gt;"")*(1/(1+EXP(-(K467-'03_Lap_b'!$B$15:$AW$15)))))</f>
        <v/>
      </c>
      <c r="M467" s="5">
        <f>SUMPRODUCT(('01_Data'!$B467:$AW467&lt;&gt;"")*(1/(1+EXP(-(K467-'03_Lap_b'!$B$15:$AW$15))))^2)</f>
        <v/>
      </c>
      <c r="N467" s="5">
        <f>MEDIAN(-6,K467+(C467-L467)/MAX(L467-M467,0.000000001),6)</f>
        <v/>
      </c>
      <c r="O467" s="5">
        <f>SUMPRODUCT(('01_Data'!$B467:$AW467&lt;&gt;"")*(1/(1+EXP(-(N467-'03_Lap_b'!$B$20:$AW$20)))))</f>
        <v/>
      </c>
      <c r="P467" s="5">
        <f>SUMPRODUCT(('01_Data'!$B467:$AW467&lt;&gt;"")*(1/(1+EXP(-(N467-'03_Lap_b'!$B$20:$AW$20))))^2)</f>
        <v/>
      </c>
      <c r="Q467" s="5">
        <f>MEDIAN(-6,N467+(C467-O467)/MAX(O467-P467,0.000000001),6)</f>
        <v/>
      </c>
      <c r="R467" s="5">
        <f>SUMPRODUCT(('01_Data'!$B467:$AW467&lt;&gt;"")*(1/(1+EXP(-(Q467-'03_Lap_b'!$B$25:$AW$25)))))</f>
        <v/>
      </c>
      <c r="S467" s="5">
        <f>SUMPRODUCT(('01_Data'!$B467:$AW467&lt;&gt;"")*(1/(1+EXP(-(Q467-'03_Lap_b'!$B$25:$AW$25))))^2)</f>
        <v/>
      </c>
      <c r="T467" s="5">
        <f>MEDIAN(-6,Q467+(C467-R467)/MAX(R467-S467,0.000000001),6)</f>
        <v/>
      </c>
      <c r="U467" s="5">
        <f>SUMPRODUCT(('01_Data'!$B467:$AW467&lt;&gt;"")*(1/(1+EXP(-(T467-'03_Lap_b'!$B$30:$AW$30)))))</f>
        <v/>
      </c>
      <c r="V467" s="5">
        <f>SUMPRODUCT(('01_Data'!$B467:$AW467&lt;&gt;"")*(1/(1+EXP(-(T467-'03_Lap_b'!$B$30:$AW$30))))^2)</f>
        <v/>
      </c>
      <c r="W467" s="5">
        <f>MEDIAN(-6,T467+(C467-U467)/MAX(U467-V467,0.000000001),6)</f>
        <v/>
      </c>
      <c r="X467" s="5">
        <f>SUMPRODUCT(('01_Data'!$B467:$AW467&lt;&gt;"")*(1/(1+EXP(-(W467-'03_Lap_b'!$B$35:$AW$35)))))</f>
        <v/>
      </c>
      <c r="Y467" s="5">
        <f>SUMPRODUCT(('01_Data'!$B467:$AW467&lt;&gt;"")*(1/(1+EXP(-(W467-'03_Lap_b'!$B$35:$AW$35))))^2)</f>
        <v/>
      </c>
      <c r="Z467" s="5">
        <f>MEDIAN(-6,W467+(C467-X467)/MAX(X467-Y467,0.000000001),6)</f>
        <v/>
      </c>
      <c r="AA467" s="5">
        <f>SUMPRODUCT(('01_Data'!$B467:$AW467&lt;&gt;"")*(1/(1+EXP(-(Z467-'03_Lap_b'!$B$40:$AW$40)))))</f>
        <v/>
      </c>
      <c r="AB467" s="5">
        <f>SUMPRODUCT(('01_Data'!$B467:$AW467&lt;&gt;"")*(1/(1+EXP(-(Z467-'03_Lap_b'!$B$40:$AW$40))))^2)</f>
        <v/>
      </c>
      <c r="AC467" s="5">
        <f>MEDIAN(-6,Z467+(C467-AA467)/MAX(AA467-AB467,0.000000001),6)</f>
        <v/>
      </c>
    </row>
    <row r="468">
      <c r="A468" t="n">
        <v>467</v>
      </c>
      <c r="B468">
        <f>'01_Data'!A468</f>
        <v/>
      </c>
      <c r="C468">
        <f>SUM('01_Data'!$B468:$AW468)</f>
        <v/>
      </c>
      <c r="D468">
        <f>COUNT('01_Data'!$B468:$AW468)</f>
        <v/>
      </c>
      <c r="E468" s="5">
        <f>MEDIAN(-6,LN((C468+0.3)/(D468-C468+0.3)),6)</f>
        <v/>
      </c>
      <c r="F468" s="5">
        <f>SUMPRODUCT(('01_Data'!$B468:$AW468&lt;&gt;"")*(1/(1+EXP(-(E468-'03_Lap_b'!$B$5:$AW$5)))))</f>
        <v/>
      </c>
      <c r="G468" s="5">
        <f>SUMPRODUCT(('01_Data'!$B468:$AW468&lt;&gt;"")*(1/(1+EXP(-(E468-'03_Lap_b'!$B$5:$AW$5))))^2)</f>
        <v/>
      </c>
      <c r="H468" s="5">
        <f>MEDIAN(-6,E468+(C468-F468)/MAX(F468-G468,0.000000001),6)</f>
        <v/>
      </c>
      <c r="I468" s="5">
        <f>SUMPRODUCT(('01_Data'!$B468:$AW468&lt;&gt;"")*(1/(1+EXP(-(H468-'03_Lap_b'!$B$10:$AW$10)))))</f>
        <v/>
      </c>
      <c r="J468" s="5">
        <f>SUMPRODUCT(('01_Data'!$B468:$AW468&lt;&gt;"")*(1/(1+EXP(-(H468-'03_Lap_b'!$B$10:$AW$10))))^2)</f>
        <v/>
      </c>
      <c r="K468" s="5">
        <f>MEDIAN(-6,H468+(C468-I468)/MAX(I468-J468,0.000000001),6)</f>
        <v/>
      </c>
      <c r="L468" s="5">
        <f>SUMPRODUCT(('01_Data'!$B468:$AW468&lt;&gt;"")*(1/(1+EXP(-(K468-'03_Lap_b'!$B$15:$AW$15)))))</f>
        <v/>
      </c>
      <c r="M468" s="5">
        <f>SUMPRODUCT(('01_Data'!$B468:$AW468&lt;&gt;"")*(1/(1+EXP(-(K468-'03_Lap_b'!$B$15:$AW$15))))^2)</f>
        <v/>
      </c>
      <c r="N468" s="5">
        <f>MEDIAN(-6,K468+(C468-L468)/MAX(L468-M468,0.000000001),6)</f>
        <v/>
      </c>
      <c r="O468" s="5">
        <f>SUMPRODUCT(('01_Data'!$B468:$AW468&lt;&gt;"")*(1/(1+EXP(-(N468-'03_Lap_b'!$B$20:$AW$20)))))</f>
        <v/>
      </c>
      <c r="P468" s="5">
        <f>SUMPRODUCT(('01_Data'!$B468:$AW468&lt;&gt;"")*(1/(1+EXP(-(N468-'03_Lap_b'!$B$20:$AW$20))))^2)</f>
        <v/>
      </c>
      <c r="Q468" s="5">
        <f>MEDIAN(-6,N468+(C468-O468)/MAX(O468-P468,0.000000001),6)</f>
        <v/>
      </c>
      <c r="R468" s="5">
        <f>SUMPRODUCT(('01_Data'!$B468:$AW468&lt;&gt;"")*(1/(1+EXP(-(Q468-'03_Lap_b'!$B$25:$AW$25)))))</f>
        <v/>
      </c>
      <c r="S468" s="5">
        <f>SUMPRODUCT(('01_Data'!$B468:$AW468&lt;&gt;"")*(1/(1+EXP(-(Q468-'03_Lap_b'!$B$25:$AW$25))))^2)</f>
        <v/>
      </c>
      <c r="T468" s="5">
        <f>MEDIAN(-6,Q468+(C468-R468)/MAX(R468-S468,0.000000001),6)</f>
        <v/>
      </c>
      <c r="U468" s="5">
        <f>SUMPRODUCT(('01_Data'!$B468:$AW468&lt;&gt;"")*(1/(1+EXP(-(T468-'03_Lap_b'!$B$30:$AW$30)))))</f>
        <v/>
      </c>
      <c r="V468" s="5">
        <f>SUMPRODUCT(('01_Data'!$B468:$AW468&lt;&gt;"")*(1/(1+EXP(-(T468-'03_Lap_b'!$B$30:$AW$30))))^2)</f>
        <v/>
      </c>
      <c r="W468" s="5">
        <f>MEDIAN(-6,T468+(C468-U468)/MAX(U468-V468,0.000000001),6)</f>
        <v/>
      </c>
      <c r="X468" s="5">
        <f>SUMPRODUCT(('01_Data'!$B468:$AW468&lt;&gt;"")*(1/(1+EXP(-(W468-'03_Lap_b'!$B$35:$AW$35)))))</f>
        <v/>
      </c>
      <c r="Y468" s="5">
        <f>SUMPRODUCT(('01_Data'!$B468:$AW468&lt;&gt;"")*(1/(1+EXP(-(W468-'03_Lap_b'!$B$35:$AW$35))))^2)</f>
        <v/>
      </c>
      <c r="Z468" s="5">
        <f>MEDIAN(-6,W468+(C468-X468)/MAX(X468-Y468,0.000000001),6)</f>
        <v/>
      </c>
      <c r="AA468" s="5">
        <f>SUMPRODUCT(('01_Data'!$B468:$AW468&lt;&gt;"")*(1/(1+EXP(-(Z468-'03_Lap_b'!$B$40:$AW$40)))))</f>
        <v/>
      </c>
      <c r="AB468" s="5">
        <f>SUMPRODUCT(('01_Data'!$B468:$AW468&lt;&gt;"")*(1/(1+EXP(-(Z468-'03_Lap_b'!$B$40:$AW$40))))^2)</f>
        <v/>
      </c>
      <c r="AC468" s="5">
        <f>MEDIAN(-6,Z468+(C468-AA468)/MAX(AA468-AB468,0.000000001),6)</f>
        <v/>
      </c>
    </row>
    <row r="469">
      <c r="A469" t="n">
        <v>468</v>
      </c>
      <c r="B469">
        <f>'01_Data'!A469</f>
        <v/>
      </c>
      <c r="C469">
        <f>SUM('01_Data'!$B469:$AW469)</f>
        <v/>
      </c>
      <c r="D469">
        <f>COUNT('01_Data'!$B469:$AW469)</f>
        <v/>
      </c>
      <c r="E469" s="5">
        <f>MEDIAN(-6,LN((C469+0.3)/(D469-C469+0.3)),6)</f>
        <v/>
      </c>
      <c r="F469" s="5">
        <f>SUMPRODUCT(('01_Data'!$B469:$AW469&lt;&gt;"")*(1/(1+EXP(-(E469-'03_Lap_b'!$B$5:$AW$5)))))</f>
        <v/>
      </c>
      <c r="G469" s="5">
        <f>SUMPRODUCT(('01_Data'!$B469:$AW469&lt;&gt;"")*(1/(1+EXP(-(E469-'03_Lap_b'!$B$5:$AW$5))))^2)</f>
        <v/>
      </c>
      <c r="H469" s="5">
        <f>MEDIAN(-6,E469+(C469-F469)/MAX(F469-G469,0.000000001),6)</f>
        <v/>
      </c>
      <c r="I469" s="5">
        <f>SUMPRODUCT(('01_Data'!$B469:$AW469&lt;&gt;"")*(1/(1+EXP(-(H469-'03_Lap_b'!$B$10:$AW$10)))))</f>
        <v/>
      </c>
      <c r="J469" s="5">
        <f>SUMPRODUCT(('01_Data'!$B469:$AW469&lt;&gt;"")*(1/(1+EXP(-(H469-'03_Lap_b'!$B$10:$AW$10))))^2)</f>
        <v/>
      </c>
      <c r="K469" s="5">
        <f>MEDIAN(-6,H469+(C469-I469)/MAX(I469-J469,0.000000001),6)</f>
        <v/>
      </c>
      <c r="L469" s="5">
        <f>SUMPRODUCT(('01_Data'!$B469:$AW469&lt;&gt;"")*(1/(1+EXP(-(K469-'03_Lap_b'!$B$15:$AW$15)))))</f>
        <v/>
      </c>
      <c r="M469" s="5">
        <f>SUMPRODUCT(('01_Data'!$B469:$AW469&lt;&gt;"")*(1/(1+EXP(-(K469-'03_Lap_b'!$B$15:$AW$15))))^2)</f>
        <v/>
      </c>
      <c r="N469" s="5">
        <f>MEDIAN(-6,K469+(C469-L469)/MAX(L469-M469,0.000000001),6)</f>
        <v/>
      </c>
      <c r="O469" s="5">
        <f>SUMPRODUCT(('01_Data'!$B469:$AW469&lt;&gt;"")*(1/(1+EXP(-(N469-'03_Lap_b'!$B$20:$AW$20)))))</f>
        <v/>
      </c>
      <c r="P469" s="5">
        <f>SUMPRODUCT(('01_Data'!$B469:$AW469&lt;&gt;"")*(1/(1+EXP(-(N469-'03_Lap_b'!$B$20:$AW$20))))^2)</f>
        <v/>
      </c>
      <c r="Q469" s="5">
        <f>MEDIAN(-6,N469+(C469-O469)/MAX(O469-P469,0.000000001),6)</f>
        <v/>
      </c>
      <c r="R469" s="5">
        <f>SUMPRODUCT(('01_Data'!$B469:$AW469&lt;&gt;"")*(1/(1+EXP(-(Q469-'03_Lap_b'!$B$25:$AW$25)))))</f>
        <v/>
      </c>
      <c r="S469" s="5">
        <f>SUMPRODUCT(('01_Data'!$B469:$AW469&lt;&gt;"")*(1/(1+EXP(-(Q469-'03_Lap_b'!$B$25:$AW$25))))^2)</f>
        <v/>
      </c>
      <c r="T469" s="5">
        <f>MEDIAN(-6,Q469+(C469-R469)/MAX(R469-S469,0.000000001),6)</f>
        <v/>
      </c>
      <c r="U469" s="5">
        <f>SUMPRODUCT(('01_Data'!$B469:$AW469&lt;&gt;"")*(1/(1+EXP(-(T469-'03_Lap_b'!$B$30:$AW$30)))))</f>
        <v/>
      </c>
      <c r="V469" s="5">
        <f>SUMPRODUCT(('01_Data'!$B469:$AW469&lt;&gt;"")*(1/(1+EXP(-(T469-'03_Lap_b'!$B$30:$AW$30))))^2)</f>
        <v/>
      </c>
      <c r="W469" s="5">
        <f>MEDIAN(-6,T469+(C469-U469)/MAX(U469-V469,0.000000001),6)</f>
        <v/>
      </c>
      <c r="X469" s="5">
        <f>SUMPRODUCT(('01_Data'!$B469:$AW469&lt;&gt;"")*(1/(1+EXP(-(W469-'03_Lap_b'!$B$35:$AW$35)))))</f>
        <v/>
      </c>
      <c r="Y469" s="5">
        <f>SUMPRODUCT(('01_Data'!$B469:$AW469&lt;&gt;"")*(1/(1+EXP(-(W469-'03_Lap_b'!$B$35:$AW$35))))^2)</f>
        <v/>
      </c>
      <c r="Z469" s="5">
        <f>MEDIAN(-6,W469+(C469-X469)/MAX(X469-Y469,0.000000001),6)</f>
        <v/>
      </c>
      <c r="AA469" s="5">
        <f>SUMPRODUCT(('01_Data'!$B469:$AW469&lt;&gt;"")*(1/(1+EXP(-(Z469-'03_Lap_b'!$B$40:$AW$40)))))</f>
        <v/>
      </c>
      <c r="AB469" s="5">
        <f>SUMPRODUCT(('01_Data'!$B469:$AW469&lt;&gt;"")*(1/(1+EXP(-(Z469-'03_Lap_b'!$B$40:$AW$40))))^2)</f>
        <v/>
      </c>
      <c r="AC469" s="5">
        <f>MEDIAN(-6,Z469+(C469-AA469)/MAX(AA469-AB469,0.000000001),6)</f>
        <v/>
      </c>
    </row>
    <row r="470">
      <c r="A470" t="n">
        <v>469</v>
      </c>
      <c r="B470">
        <f>'01_Data'!A470</f>
        <v/>
      </c>
      <c r="C470">
        <f>SUM('01_Data'!$B470:$AW470)</f>
        <v/>
      </c>
      <c r="D470">
        <f>COUNT('01_Data'!$B470:$AW470)</f>
        <v/>
      </c>
      <c r="E470" s="5">
        <f>MEDIAN(-6,LN((C470+0.3)/(D470-C470+0.3)),6)</f>
        <v/>
      </c>
      <c r="F470" s="5">
        <f>SUMPRODUCT(('01_Data'!$B470:$AW470&lt;&gt;"")*(1/(1+EXP(-(E470-'03_Lap_b'!$B$5:$AW$5)))))</f>
        <v/>
      </c>
      <c r="G470" s="5">
        <f>SUMPRODUCT(('01_Data'!$B470:$AW470&lt;&gt;"")*(1/(1+EXP(-(E470-'03_Lap_b'!$B$5:$AW$5))))^2)</f>
        <v/>
      </c>
      <c r="H470" s="5">
        <f>MEDIAN(-6,E470+(C470-F470)/MAX(F470-G470,0.000000001),6)</f>
        <v/>
      </c>
      <c r="I470" s="5">
        <f>SUMPRODUCT(('01_Data'!$B470:$AW470&lt;&gt;"")*(1/(1+EXP(-(H470-'03_Lap_b'!$B$10:$AW$10)))))</f>
        <v/>
      </c>
      <c r="J470" s="5">
        <f>SUMPRODUCT(('01_Data'!$B470:$AW470&lt;&gt;"")*(1/(1+EXP(-(H470-'03_Lap_b'!$B$10:$AW$10))))^2)</f>
        <v/>
      </c>
      <c r="K470" s="5">
        <f>MEDIAN(-6,H470+(C470-I470)/MAX(I470-J470,0.000000001),6)</f>
        <v/>
      </c>
      <c r="L470" s="5">
        <f>SUMPRODUCT(('01_Data'!$B470:$AW470&lt;&gt;"")*(1/(1+EXP(-(K470-'03_Lap_b'!$B$15:$AW$15)))))</f>
        <v/>
      </c>
      <c r="M470" s="5">
        <f>SUMPRODUCT(('01_Data'!$B470:$AW470&lt;&gt;"")*(1/(1+EXP(-(K470-'03_Lap_b'!$B$15:$AW$15))))^2)</f>
        <v/>
      </c>
      <c r="N470" s="5">
        <f>MEDIAN(-6,K470+(C470-L470)/MAX(L470-M470,0.000000001),6)</f>
        <v/>
      </c>
      <c r="O470" s="5">
        <f>SUMPRODUCT(('01_Data'!$B470:$AW470&lt;&gt;"")*(1/(1+EXP(-(N470-'03_Lap_b'!$B$20:$AW$20)))))</f>
        <v/>
      </c>
      <c r="P470" s="5">
        <f>SUMPRODUCT(('01_Data'!$B470:$AW470&lt;&gt;"")*(1/(1+EXP(-(N470-'03_Lap_b'!$B$20:$AW$20))))^2)</f>
        <v/>
      </c>
      <c r="Q470" s="5">
        <f>MEDIAN(-6,N470+(C470-O470)/MAX(O470-P470,0.000000001),6)</f>
        <v/>
      </c>
      <c r="R470" s="5">
        <f>SUMPRODUCT(('01_Data'!$B470:$AW470&lt;&gt;"")*(1/(1+EXP(-(Q470-'03_Lap_b'!$B$25:$AW$25)))))</f>
        <v/>
      </c>
      <c r="S470" s="5">
        <f>SUMPRODUCT(('01_Data'!$B470:$AW470&lt;&gt;"")*(1/(1+EXP(-(Q470-'03_Lap_b'!$B$25:$AW$25))))^2)</f>
        <v/>
      </c>
      <c r="T470" s="5">
        <f>MEDIAN(-6,Q470+(C470-R470)/MAX(R470-S470,0.000000001),6)</f>
        <v/>
      </c>
      <c r="U470" s="5">
        <f>SUMPRODUCT(('01_Data'!$B470:$AW470&lt;&gt;"")*(1/(1+EXP(-(T470-'03_Lap_b'!$B$30:$AW$30)))))</f>
        <v/>
      </c>
      <c r="V470" s="5">
        <f>SUMPRODUCT(('01_Data'!$B470:$AW470&lt;&gt;"")*(1/(1+EXP(-(T470-'03_Lap_b'!$B$30:$AW$30))))^2)</f>
        <v/>
      </c>
      <c r="W470" s="5">
        <f>MEDIAN(-6,T470+(C470-U470)/MAX(U470-V470,0.000000001),6)</f>
        <v/>
      </c>
      <c r="X470" s="5">
        <f>SUMPRODUCT(('01_Data'!$B470:$AW470&lt;&gt;"")*(1/(1+EXP(-(W470-'03_Lap_b'!$B$35:$AW$35)))))</f>
        <v/>
      </c>
      <c r="Y470" s="5">
        <f>SUMPRODUCT(('01_Data'!$B470:$AW470&lt;&gt;"")*(1/(1+EXP(-(W470-'03_Lap_b'!$B$35:$AW$35))))^2)</f>
        <v/>
      </c>
      <c r="Z470" s="5">
        <f>MEDIAN(-6,W470+(C470-X470)/MAX(X470-Y470,0.000000001),6)</f>
        <v/>
      </c>
      <c r="AA470" s="5">
        <f>SUMPRODUCT(('01_Data'!$B470:$AW470&lt;&gt;"")*(1/(1+EXP(-(Z470-'03_Lap_b'!$B$40:$AW$40)))))</f>
        <v/>
      </c>
      <c r="AB470" s="5">
        <f>SUMPRODUCT(('01_Data'!$B470:$AW470&lt;&gt;"")*(1/(1+EXP(-(Z470-'03_Lap_b'!$B$40:$AW$40))))^2)</f>
        <v/>
      </c>
      <c r="AC470" s="5">
        <f>MEDIAN(-6,Z470+(C470-AA470)/MAX(AA470-AB470,0.000000001),6)</f>
        <v/>
      </c>
    </row>
    <row r="471">
      <c r="A471" t="n">
        <v>470</v>
      </c>
      <c r="B471">
        <f>'01_Data'!A471</f>
        <v/>
      </c>
      <c r="C471">
        <f>SUM('01_Data'!$B471:$AW471)</f>
        <v/>
      </c>
      <c r="D471">
        <f>COUNT('01_Data'!$B471:$AW471)</f>
        <v/>
      </c>
      <c r="E471" s="5">
        <f>MEDIAN(-6,LN((C471+0.3)/(D471-C471+0.3)),6)</f>
        <v/>
      </c>
      <c r="F471" s="5">
        <f>SUMPRODUCT(('01_Data'!$B471:$AW471&lt;&gt;"")*(1/(1+EXP(-(E471-'03_Lap_b'!$B$5:$AW$5)))))</f>
        <v/>
      </c>
      <c r="G471" s="5">
        <f>SUMPRODUCT(('01_Data'!$B471:$AW471&lt;&gt;"")*(1/(1+EXP(-(E471-'03_Lap_b'!$B$5:$AW$5))))^2)</f>
        <v/>
      </c>
      <c r="H471" s="5">
        <f>MEDIAN(-6,E471+(C471-F471)/MAX(F471-G471,0.000000001),6)</f>
        <v/>
      </c>
      <c r="I471" s="5">
        <f>SUMPRODUCT(('01_Data'!$B471:$AW471&lt;&gt;"")*(1/(1+EXP(-(H471-'03_Lap_b'!$B$10:$AW$10)))))</f>
        <v/>
      </c>
      <c r="J471" s="5">
        <f>SUMPRODUCT(('01_Data'!$B471:$AW471&lt;&gt;"")*(1/(1+EXP(-(H471-'03_Lap_b'!$B$10:$AW$10))))^2)</f>
        <v/>
      </c>
      <c r="K471" s="5">
        <f>MEDIAN(-6,H471+(C471-I471)/MAX(I471-J471,0.000000001),6)</f>
        <v/>
      </c>
      <c r="L471" s="5">
        <f>SUMPRODUCT(('01_Data'!$B471:$AW471&lt;&gt;"")*(1/(1+EXP(-(K471-'03_Lap_b'!$B$15:$AW$15)))))</f>
        <v/>
      </c>
      <c r="M471" s="5">
        <f>SUMPRODUCT(('01_Data'!$B471:$AW471&lt;&gt;"")*(1/(1+EXP(-(K471-'03_Lap_b'!$B$15:$AW$15))))^2)</f>
        <v/>
      </c>
      <c r="N471" s="5">
        <f>MEDIAN(-6,K471+(C471-L471)/MAX(L471-M471,0.000000001),6)</f>
        <v/>
      </c>
      <c r="O471" s="5">
        <f>SUMPRODUCT(('01_Data'!$B471:$AW471&lt;&gt;"")*(1/(1+EXP(-(N471-'03_Lap_b'!$B$20:$AW$20)))))</f>
        <v/>
      </c>
      <c r="P471" s="5">
        <f>SUMPRODUCT(('01_Data'!$B471:$AW471&lt;&gt;"")*(1/(1+EXP(-(N471-'03_Lap_b'!$B$20:$AW$20))))^2)</f>
        <v/>
      </c>
      <c r="Q471" s="5">
        <f>MEDIAN(-6,N471+(C471-O471)/MAX(O471-P471,0.000000001),6)</f>
        <v/>
      </c>
      <c r="R471" s="5">
        <f>SUMPRODUCT(('01_Data'!$B471:$AW471&lt;&gt;"")*(1/(1+EXP(-(Q471-'03_Lap_b'!$B$25:$AW$25)))))</f>
        <v/>
      </c>
      <c r="S471" s="5">
        <f>SUMPRODUCT(('01_Data'!$B471:$AW471&lt;&gt;"")*(1/(1+EXP(-(Q471-'03_Lap_b'!$B$25:$AW$25))))^2)</f>
        <v/>
      </c>
      <c r="T471" s="5">
        <f>MEDIAN(-6,Q471+(C471-R471)/MAX(R471-S471,0.000000001),6)</f>
        <v/>
      </c>
      <c r="U471" s="5">
        <f>SUMPRODUCT(('01_Data'!$B471:$AW471&lt;&gt;"")*(1/(1+EXP(-(T471-'03_Lap_b'!$B$30:$AW$30)))))</f>
        <v/>
      </c>
      <c r="V471" s="5">
        <f>SUMPRODUCT(('01_Data'!$B471:$AW471&lt;&gt;"")*(1/(1+EXP(-(T471-'03_Lap_b'!$B$30:$AW$30))))^2)</f>
        <v/>
      </c>
      <c r="W471" s="5">
        <f>MEDIAN(-6,T471+(C471-U471)/MAX(U471-V471,0.000000001),6)</f>
        <v/>
      </c>
      <c r="X471" s="5">
        <f>SUMPRODUCT(('01_Data'!$B471:$AW471&lt;&gt;"")*(1/(1+EXP(-(W471-'03_Lap_b'!$B$35:$AW$35)))))</f>
        <v/>
      </c>
      <c r="Y471" s="5">
        <f>SUMPRODUCT(('01_Data'!$B471:$AW471&lt;&gt;"")*(1/(1+EXP(-(W471-'03_Lap_b'!$B$35:$AW$35))))^2)</f>
        <v/>
      </c>
      <c r="Z471" s="5">
        <f>MEDIAN(-6,W471+(C471-X471)/MAX(X471-Y471,0.000000001),6)</f>
        <v/>
      </c>
      <c r="AA471" s="5">
        <f>SUMPRODUCT(('01_Data'!$B471:$AW471&lt;&gt;"")*(1/(1+EXP(-(Z471-'03_Lap_b'!$B$40:$AW$40)))))</f>
        <v/>
      </c>
      <c r="AB471" s="5">
        <f>SUMPRODUCT(('01_Data'!$B471:$AW471&lt;&gt;"")*(1/(1+EXP(-(Z471-'03_Lap_b'!$B$40:$AW$40))))^2)</f>
        <v/>
      </c>
      <c r="AC471" s="5">
        <f>MEDIAN(-6,Z471+(C471-AA471)/MAX(AA471-AB471,0.000000001),6)</f>
        <v/>
      </c>
    </row>
    <row r="472">
      <c r="A472" t="n">
        <v>471</v>
      </c>
      <c r="B472">
        <f>'01_Data'!A472</f>
        <v/>
      </c>
      <c r="C472">
        <f>SUM('01_Data'!$B472:$AW472)</f>
        <v/>
      </c>
      <c r="D472">
        <f>COUNT('01_Data'!$B472:$AW472)</f>
        <v/>
      </c>
      <c r="E472" s="5">
        <f>MEDIAN(-6,LN((C472+0.3)/(D472-C472+0.3)),6)</f>
        <v/>
      </c>
      <c r="F472" s="5">
        <f>SUMPRODUCT(('01_Data'!$B472:$AW472&lt;&gt;"")*(1/(1+EXP(-(E472-'03_Lap_b'!$B$5:$AW$5)))))</f>
        <v/>
      </c>
      <c r="G472" s="5">
        <f>SUMPRODUCT(('01_Data'!$B472:$AW472&lt;&gt;"")*(1/(1+EXP(-(E472-'03_Lap_b'!$B$5:$AW$5))))^2)</f>
        <v/>
      </c>
      <c r="H472" s="5">
        <f>MEDIAN(-6,E472+(C472-F472)/MAX(F472-G472,0.000000001),6)</f>
        <v/>
      </c>
      <c r="I472" s="5">
        <f>SUMPRODUCT(('01_Data'!$B472:$AW472&lt;&gt;"")*(1/(1+EXP(-(H472-'03_Lap_b'!$B$10:$AW$10)))))</f>
        <v/>
      </c>
      <c r="J472" s="5">
        <f>SUMPRODUCT(('01_Data'!$B472:$AW472&lt;&gt;"")*(1/(1+EXP(-(H472-'03_Lap_b'!$B$10:$AW$10))))^2)</f>
        <v/>
      </c>
      <c r="K472" s="5">
        <f>MEDIAN(-6,H472+(C472-I472)/MAX(I472-J472,0.000000001),6)</f>
        <v/>
      </c>
      <c r="L472" s="5">
        <f>SUMPRODUCT(('01_Data'!$B472:$AW472&lt;&gt;"")*(1/(1+EXP(-(K472-'03_Lap_b'!$B$15:$AW$15)))))</f>
        <v/>
      </c>
      <c r="M472" s="5">
        <f>SUMPRODUCT(('01_Data'!$B472:$AW472&lt;&gt;"")*(1/(1+EXP(-(K472-'03_Lap_b'!$B$15:$AW$15))))^2)</f>
        <v/>
      </c>
      <c r="N472" s="5">
        <f>MEDIAN(-6,K472+(C472-L472)/MAX(L472-M472,0.000000001),6)</f>
        <v/>
      </c>
      <c r="O472" s="5">
        <f>SUMPRODUCT(('01_Data'!$B472:$AW472&lt;&gt;"")*(1/(1+EXP(-(N472-'03_Lap_b'!$B$20:$AW$20)))))</f>
        <v/>
      </c>
      <c r="P472" s="5">
        <f>SUMPRODUCT(('01_Data'!$B472:$AW472&lt;&gt;"")*(1/(1+EXP(-(N472-'03_Lap_b'!$B$20:$AW$20))))^2)</f>
        <v/>
      </c>
      <c r="Q472" s="5">
        <f>MEDIAN(-6,N472+(C472-O472)/MAX(O472-P472,0.000000001),6)</f>
        <v/>
      </c>
      <c r="R472" s="5">
        <f>SUMPRODUCT(('01_Data'!$B472:$AW472&lt;&gt;"")*(1/(1+EXP(-(Q472-'03_Lap_b'!$B$25:$AW$25)))))</f>
        <v/>
      </c>
      <c r="S472" s="5">
        <f>SUMPRODUCT(('01_Data'!$B472:$AW472&lt;&gt;"")*(1/(1+EXP(-(Q472-'03_Lap_b'!$B$25:$AW$25))))^2)</f>
        <v/>
      </c>
      <c r="T472" s="5">
        <f>MEDIAN(-6,Q472+(C472-R472)/MAX(R472-S472,0.000000001),6)</f>
        <v/>
      </c>
      <c r="U472" s="5">
        <f>SUMPRODUCT(('01_Data'!$B472:$AW472&lt;&gt;"")*(1/(1+EXP(-(T472-'03_Lap_b'!$B$30:$AW$30)))))</f>
        <v/>
      </c>
      <c r="V472" s="5">
        <f>SUMPRODUCT(('01_Data'!$B472:$AW472&lt;&gt;"")*(1/(1+EXP(-(T472-'03_Lap_b'!$B$30:$AW$30))))^2)</f>
        <v/>
      </c>
      <c r="W472" s="5">
        <f>MEDIAN(-6,T472+(C472-U472)/MAX(U472-V472,0.000000001),6)</f>
        <v/>
      </c>
      <c r="X472" s="5">
        <f>SUMPRODUCT(('01_Data'!$B472:$AW472&lt;&gt;"")*(1/(1+EXP(-(W472-'03_Lap_b'!$B$35:$AW$35)))))</f>
        <v/>
      </c>
      <c r="Y472" s="5">
        <f>SUMPRODUCT(('01_Data'!$B472:$AW472&lt;&gt;"")*(1/(1+EXP(-(W472-'03_Lap_b'!$B$35:$AW$35))))^2)</f>
        <v/>
      </c>
      <c r="Z472" s="5">
        <f>MEDIAN(-6,W472+(C472-X472)/MAX(X472-Y472,0.000000001),6)</f>
        <v/>
      </c>
      <c r="AA472" s="5">
        <f>SUMPRODUCT(('01_Data'!$B472:$AW472&lt;&gt;"")*(1/(1+EXP(-(Z472-'03_Lap_b'!$B$40:$AW$40)))))</f>
        <v/>
      </c>
      <c r="AB472" s="5">
        <f>SUMPRODUCT(('01_Data'!$B472:$AW472&lt;&gt;"")*(1/(1+EXP(-(Z472-'03_Lap_b'!$B$40:$AW$40))))^2)</f>
        <v/>
      </c>
      <c r="AC472" s="5">
        <f>MEDIAN(-6,Z472+(C472-AA472)/MAX(AA472-AB472,0.000000001),6)</f>
        <v/>
      </c>
    </row>
    <row r="473">
      <c r="A473" t="n">
        <v>472</v>
      </c>
      <c r="B473">
        <f>'01_Data'!A473</f>
        <v/>
      </c>
      <c r="C473">
        <f>SUM('01_Data'!$B473:$AW473)</f>
        <v/>
      </c>
      <c r="D473">
        <f>COUNT('01_Data'!$B473:$AW473)</f>
        <v/>
      </c>
      <c r="E473" s="5">
        <f>MEDIAN(-6,LN((C473+0.3)/(D473-C473+0.3)),6)</f>
        <v/>
      </c>
      <c r="F473" s="5">
        <f>SUMPRODUCT(('01_Data'!$B473:$AW473&lt;&gt;"")*(1/(1+EXP(-(E473-'03_Lap_b'!$B$5:$AW$5)))))</f>
        <v/>
      </c>
      <c r="G473" s="5">
        <f>SUMPRODUCT(('01_Data'!$B473:$AW473&lt;&gt;"")*(1/(1+EXP(-(E473-'03_Lap_b'!$B$5:$AW$5))))^2)</f>
        <v/>
      </c>
      <c r="H473" s="5">
        <f>MEDIAN(-6,E473+(C473-F473)/MAX(F473-G473,0.000000001),6)</f>
        <v/>
      </c>
      <c r="I473" s="5">
        <f>SUMPRODUCT(('01_Data'!$B473:$AW473&lt;&gt;"")*(1/(1+EXP(-(H473-'03_Lap_b'!$B$10:$AW$10)))))</f>
        <v/>
      </c>
      <c r="J473" s="5">
        <f>SUMPRODUCT(('01_Data'!$B473:$AW473&lt;&gt;"")*(1/(1+EXP(-(H473-'03_Lap_b'!$B$10:$AW$10))))^2)</f>
        <v/>
      </c>
      <c r="K473" s="5">
        <f>MEDIAN(-6,H473+(C473-I473)/MAX(I473-J473,0.000000001),6)</f>
        <v/>
      </c>
      <c r="L473" s="5">
        <f>SUMPRODUCT(('01_Data'!$B473:$AW473&lt;&gt;"")*(1/(1+EXP(-(K473-'03_Lap_b'!$B$15:$AW$15)))))</f>
        <v/>
      </c>
      <c r="M473" s="5">
        <f>SUMPRODUCT(('01_Data'!$B473:$AW473&lt;&gt;"")*(1/(1+EXP(-(K473-'03_Lap_b'!$B$15:$AW$15))))^2)</f>
        <v/>
      </c>
      <c r="N473" s="5">
        <f>MEDIAN(-6,K473+(C473-L473)/MAX(L473-M473,0.000000001),6)</f>
        <v/>
      </c>
      <c r="O473" s="5">
        <f>SUMPRODUCT(('01_Data'!$B473:$AW473&lt;&gt;"")*(1/(1+EXP(-(N473-'03_Lap_b'!$B$20:$AW$20)))))</f>
        <v/>
      </c>
      <c r="P473" s="5">
        <f>SUMPRODUCT(('01_Data'!$B473:$AW473&lt;&gt;"")*(1/(1+EXP(-(N473-'03_Lap_b'!$B$20:$AW$20))))^2)</f>
        <v/>
      </c>
      <c r="Q473" s="5">
        <f>MEDIAN(-6,N473+(C473-O473)/MAX(O473-P473,0.000000001),6)</f>
        <v/>
      </c>
      <c r="R473" s="5">
        <f>SUMPRODUCT(('01_Data'!$B473:$AW473&lt;&gt;"")*(1/(1+EXP(-(Q473-'03_Lap_b'!$B$25:$AW$25)))))</f>
        <v/>
      </c>
      <c r="S473" s="5">
        <f>SUMPRODUCT(('01_Data'!$B473:$AW473&lt;&gt;"")*(1/(1+EXP(-(Q473-'03_Lap_b'!$B$25:$AW$25))))^2)</f>
        <v/>
      </c>
      <c r="T473" s="5">
        <f>MEDIAN(-6,Q473+(C473-R473)/MAX(R473-S473,0.000000001),6)</f>
        <v/>
      </c>
      <c r="U473" s="5">
        <f>SUMPRODUCT(('01_Data'!$B473:$AW473&lt;&gt;"")*(1/(1+EXP(-(T473-'03_Lap_b'!$B$30:$AW$30)))))</f>
        <v/>
      </c>
      <c r="V473" s="5">
        <f>SUMPRODUCT(('01_Data'!$B473:$AW473&lt;&gt;"")*(1/(1+EXP(-(T473-'03_Lap_b'!$B$30:$AW$30))))^2)</f>
        <v/>
      </c>
      <c r="W473" s="5">
        <f>MEDIAN(-6,T473+(C473-U473)/MAX(U473-V473,0.000000001),6)</f>
        <v/>
      </c>
      <c r="X473" s="5">
        <f>SUMPRODUCT(('01_Data'!$B473:$AW473&lt;&gt;"")*(1/(1+EXP(-(W473-'03_Lap_b'!$B$35:$AW$35)))))</f>
        <v/>
      </c>
      <c r="Y473" s="5">
        <f>SUMPRODUCT(('01_Data'!$B473:$AW473&lt;&gt;"")*(1/(1+EXP(-(W473-'03_Lap_b'!$B$35:$AW$35))))^2)</f>
        <v/>
      </c>
      <c r="Z473" s="5">
        <f>MEDIAN(-6,W473+(C473-X473)/MAX(X473-Y473,0.000000001),6)</f>
        <v/>
      </c>
      <c r="AA473" s="5">
        <f>SUMPRODUCT(('01_Data'!$B473:$AW473&lt;&gt;"")*(1/(1+EXP(-(Z473-'03_Lap_b'!$B$40:$AW$40)))))</f>
        <v/>
      </c>
      <c r="AB473" s="5">
        <f>SUMPRODUCT(('01_Data'!$B473:$AW473&lt;&gt;"")*(1/(1+EXP(-(Z473-'03_Lap_b'!$B$40:$AW$40))))^2)</f>
        <v/>
      </c>
      <c r="AC473" s="5">
        <f>MEDIAN(-6,Z473+(C473-AA473)/MAX(AA473-AB473,0.000000001),6)</f>
        <v/>
      </c>
    </row>
    <row r="474">
      <c r="A474" t="n">
        <v>473</v>
      </c>
      <c r="B474">
        <f>'01_Data'!A474</f>
        <v/>
      </c>
      <c r="C474">
        <f>SUM('01_Data'!$B474:$AW474)</f>
        <v/>
      </c>
      <c r="D474">
        <f>COUNT('01_Data'!$B474:$AW474)</f>
        <v/>
      </c>
      <c r="E474" s="5">
        <f>MEDIAN(-6,LN((C474+0.3)/(D474-C474+0.3)),6)</f>
        <v/>
      </c>
      <c r="F474" s="5">
        <f>SUMPRODUCT(('01_Data'!$B474:$AW474&lt;&gt;"")*(1/(1+EXP(-(E474-'03_Lap_b'!$B$5:$AW$5)))))</f>
        <v/>
      </c>
      <c r="G474" s="5">
        <f>SUMPRODUCT(('01_Data'!$B474:$AW474&lt;&gt;"")*(1/(1+EXP(-(E474-'03_Lap_b'!$B$5:$AW$5))))^2)</f>
        <v/>
      </c>
      <c r="H474" s="5">
        <f>MEDIAN(-6,E474+(C474-F474)/MAX(F474-G474,0.000000001),6)</f>
        <v/>
      </c>
      <c r="I474" s="5">
        <f>SUMPRODUCT(('01_Data'!$B474:$AW474&lt;&gt;"")*(1/(1+EXP(-(H474-'03_Lap_b'!$B$10:$AW$10)))))</f>
        <v/>
      </c>
      <c r="J474" s="5">
        <f>SUMPRODUCT(('01_Data'!$B474:$AW474&lt;&gt;"")*(1/(1+EXP(-(H474-'03_Lap_b'!$B$10:$AW$10))))^2)</f>
        <v/>
      </c>
      <c r="K474" s="5">
        <f>MEDIAN(-6,H474+(C474-I474)/MAX(I474-J474,0.000000001),6)</f>
        <v/>
      </c>
      <c r="L474" s="5">
        <f>SUMPRODUCT(('01_Data'!$B474:$AW474&lt;&gt;"")*(1/(1+EXP(-(K474-'03_Lap_b'!$B$15:$AW$15)))))</f>
        <v/>
      </c>
      <c r="M474" s="5">
        <f>SUMPRODUCT(('01_Data'!$B474:$AW474&lt;&gt;"")*(1/(1+EXP(-(K474-'03_Lap_b'!$B$15:$AW$15))))^2)</f>
        <v/>
      </c>
      <c r="N474" s="5">
        <f>MEDIAN(-6,K474+(C474-L474)/MAX(L474-M474,0.000000001),6)</f>
        <v/>
      </c>
      <c r="O474" s="5">
        <f>SUMPRODUCT(('01_Data'!$B474:$AW474&lt;&gt;"")*(1/(1+EXP(-(N474-'03_Lap_b'!$B$20:$AW$20)))))</f>
        <v/>
      </c>
      <c r="P474" s="5">
        <f>SUMPRODUCT(('01_Data'!$B474:$AW474&lt;&gt;"")*(1/(1+EXP(-(N474-'03_Lap_b'!$B$20:$AW$20))))^2)</f>
        <v/>
      </c>
      <c r="Q474" s="5">
        <f>MEDIAN(-6,N474+(C474-O474)/MAX(O474-P474,0.000000001),6)</f>
        <v/>
      </c>
      <c r="R474" s="5">
        <f>SUMPRODUCT(('01_Data'!$B474:$AW474&lt;&gt;"")*(1/(1+EXP(-(Q474-'03_Lap_b'!$B$25:$AW$25)))))</f>
        <v/>
      </c>
      <c r="S474" s="5">
        <f>SUMPRODUCT(('01_Data'!$B474:$AW474&lt;&gt;"")*(1/(1+EXP(-(Q474-'03_Lap_b'!$B$25:$AW$25))))^2)</f>
        <v/>
      </c>
      <c r="T474" s="5">
        <f>MEDIAN(-6,Q474+(C474-R474)/MAX(R474-S474,0.000000001),6)</f>
        <v/>
      </c>
      <c r="U474" s="5">
        <f>SUMPRODUCT(('01_Data'!$B474:$AW474&lt;&gt;"")*(1/(1+EXP(-(T474-'03_Lap_b'!$B$30:$AW$30)))))</f>
        <v/>
      </c>
      <c r="V474" s="5">
        <f>SUMPRODUCT(('01_Data'!$B474:$AW474&lt;&gt;"")*(1/(1+EXP(-(T474-'03_Lap_b'!$B$30:$AW$30))))^2)</f>
        <v/>
      </c>
      <c r="W474" s="5">
        <f>MEDIAN(-6,T474+(C474-U474)/MAX(U474-V474,0.000000001),6)</f>
        <v/>
      </c>
      <c r="X474" s="5">
        <f>SUMPRODUCT(('01_Data'!$B474:$AW474&lt;&gt;"")*(1/(1+EXP(-(W474-'03_Lap_b'!$B$35:$AW$35)))))</f>
        <v/>
      </c>
      <c r="Y474" s="5">
        <f>SUMPRODUCT(('01_Data'!$B474:$AW474&lt;&gt;"")*(1/(1+EXP(-(W474-'03_Lap_b'!$B$35:$AW$35))))^2)</f>
        <v/>
      </c>
      <c r="Z474" s="5">
        <f>MEDIAN(-6,W474+(C474-X474)/MAX(X474-Y474,0.000000001),6)</f>
        <v/>
      </c>
      <c r="AA474" s="5">
        <f>SUMPRODUCT(('01_Data'!$B474:$AW474&lt;&gt;"")*(1/(1+EXP(-(Z474-'03_Lap_b'!$B$40:$AW$40)))))</f>
        <v/>
      </c>
      <c r="AB474" s="5">
        <f>SUMPRODUCT(('01_Data'!$B474:$AW474&lt;&gt;"")*(1/(1+EXP(-(Z474-'03_Lap_b'!$B$40:$AW$40))))^2)</f>
        <v/>
      </c>
      <c r="AC474" s="5">
        <f>MEDIAN(-6,Z474+(C474-AA474)/MAX(AA474-AB474,0.000000001),6)</f>
        <v/>
      </c>
    </row>
    <row r="475">
      <c r="A475" t="n">
        <v>474</v>
      </c>
      <c r="B475">
        <f>'01_Data'!A475</f>
        <v/>
      </c>
      <c r="C475">
        <f>SUM('01_Data'!$B475:$AW475)</f>
        <v/>
      </c>
      <c r="D475">
        <f>COUNT('01_Data'!$B475:$AW475)</f>
        <v/>
      </c>
      <c r="E475" s="5">
        <f>MEDIAN(-6,LN((C475+0.3)/(D475-C475+0.3)),6)</f>
        <v/>
      </c>
      <c r="F475" s="5">
        <f>SUMPRODUCT(('01_Data'!$B475:$AW475&lt;&gt;"")*(1/(1+EXP(-(E475-'03_Lap_b'!$B$5:$AW$5)))))</f>
        <v/>
      </c>
      <c r="G475" s="5">
        <f>SUMPRODUCT(('01_Data'!$B475:$AW475&lt;&gt;"")*(1/(1+EXP(-(E475-'03_Lap_b'!$B$5:$AW$5))))^2)</f>
        <v/>
      </c>
      <c r="H475" s="5">
        <f>MEDIAN(-6,E475+(C475-F475)/MAX(F475-G475,0.000000001),6)</f>
        <v/>
      </c>
      <c r="I475" s="5">
        <f>SUMPRODUCT(('01_Data'!$B475:$AW475&lt;&gt;"")*(1/(1+EXP(-(H475-'03_Lap_b'!$B$10:$AW$10)))))</f>
        <v/>
      </c>
      <c r="J475" s="5">
        <f>SUMPRODUCT(('01_Data'!$B475:$AW475&lt;&gt;"")*(1/(1+EXP(-(H475-'03_Lap_b'!$B$10:$AW$10))))^2)</f>
        <v/>
      </c>
      <c r="K475" s="5">
        <f>MEDIAN(-6,H475+(C475-I475)/MAX(I475-J475,0.000000001),6)</f>
        <v/>
      </c>
      <c r="L475" s="5">
        <f>SUMPRODUCT(('01_Data'!$B475:$AW475&lt;&gt;"")*(1/(1+EXP(-(K475-'03_Lap_b'!$B$15:$AW$15)))))</f>
        <v/>
      </c>
      <c r="M475" s="5">
        <f>SUMPRODUCT(('01_Data'!$B475:$AW475&lt;&gt;"")*(1/(1+EXP(-(K475-'03_Lap_b'!$B$15:$AW$15))))^2)</f>
        <v/>
      </c>
      <c r="N475" s="5">
        <f>MEDIAN(-6,K475+(C475-L475)/MAX(L475-M475,0.000000001),6)</f>
        <v/>
      </c>
      <c r="O475" s="5">
        <f>SUMPRODUCT(('01_Data'!$B475:$AW475&lt;&gt;"")*(1/(1+EXP(-(N475-'03_Lap_b'!$B$20:$AW$20)))))</f>
        <v/>
      </c>
      <c r="P475" s="5">
        <f>SUMPRODUCT(('01_Data'!$B475:$AW475&lt;&gt;"")*(1/(1+EXP(-(N475-'03_Lap_b'!$B$20:$AW$20))))^2)</f>
        <v/>
      </c>
      <c r="Q475" s="5">
        <f>MEDIAN(-6,N475+(C475-O475)/MAX(O475-P475,0.000000001),6)</f>
        <v/>
      </c>
      <c r="R475" s="5">
        <f>SUMPRODUCT(('01_Data'!$B475:$AW475&lt;&gt;"")*(1/(1+EXP(-(Q475-'03_Lap_b'!$B$25:$AW$25)))))</f>
        <v/>
      </c>
      <c r="S475" s="5">
        <f>SUMPRODUCT(('01_Data'!$B475:$AW475&lt;&gt;"")*(1/(1+EXP(-(Q475-'03_Lap_b'!$B$25:$AW$25))))^2)</f>
        <v/>
      </c>
      <c r="T475" s="5">
        <f>MEDIAN(-6,Q475+(C475-R475)/MAX(R475-S475,0.000000001),6)</f>
        <v/>
      </c>
      <c r="U475" s="5">
        <f>SUMPRODUCT(('01_Data'!$B475:$AW475&lt;&gt;"")*(1/(1+EXP(-(T475-'03_Lap_b'!$B$30:$AW$30)))))</f>
        <v/>
      </c>
      <c r="V475" s="5">
        <f>SUMPRODUCT(('01_Data'!$B475:$AW475&lt;&gt;"")*(1/(1+EXP(-(T475-'03_Lap_b'!$B$30:$AW$30))))^2)</f>
        <v/>
      </c>
      <c r="W475" s="5">
        <f>MEDIAN(-6,T475+(C475-U475)/MAX(U475-V475,0.000000001),6)</f>
        <v/>
      </c>
      <c r="X475" s="5">
        <f>SUMPRODUCT(('01_Data'!$B475:$AW475&lt;&gt;"")*(1/(1+EXP(-(W475-'03_Lap_b'!$B$35:$AW$35)))))</f>
        <v/>
      </c>
      <c r="Y475" s="5">
        <f>SUMPRODUCT(('01_Data'!$B475:$AW475&lt;&gt;"")*(1/(1+EXP(-(W475-'03_Lap_b'!$B$35:$AW$35))))^2)</f>
        <v/>
      </c>
      <c r="Z475" s="5">
        <f>MEDIAN(-6,W475+(C475-X475)/MAX(X475-Y475,0.000000001),6)</f>
        <v/>
      </c>
      <c r="AA475" s="5">
        <f>SUMPRODUCT(('01_Data'!$B475:$AW475&lt;&gt;"")*(1/(1+EXP(-(Z475-'03_Lap_b'!$B$40:$AW$40)))))</f>
        <v/>
      </c>
      <c r="AB475" s="5">
        <f>SUMPRODUCT(('01_Data'!$B475:$AW475&lt;&gt;"")*(1/(1+EXP(-(Z475-'03_Lap_b'!$B$40:$AW$40))))^2)</f>
        <v/>
      </c>
      <c r="AC475" s="5">
        <f>MEDIAN(-6,Z475+(C475-AA475)/MAX(AA475-AB475,0.000000001),6)</f>
        <v/>
      </c>
    </row>
    <row r="476">
      <c r="A476" t="n">
        <v>475</v>
      </c>
      <c r="B476">
        <f>'01_Data'!A476</f>
        <v/>
      </c>
      <c r="C476">
        <f>SUM('01_Data'!$B476:$AW476)</f>
        <v/>
      </c>
      <c r="D476">
        <f>COUNT('01_Data'!$B476:$AW476)</f>
        <v/>
      </c>
      <c r="E476" s="5">
        <f>MEDIAN(-6,LN((C476+0.3)/(D476-C476+0.3)),6)</f>
        <v/>
      </c>
      <c r="F476" s="5">
        <f>SUMPRODUCT(('01_Data'!$B476:$AW476&lt;&gt;"")*(1/(1+EXP(-(E476-'03_Lap_b'!$B$5:$AW$5)))))</f>
        <v/>
      </c>
      <c r="G476" s="5">
        <f>SUMPRODUCT(('01_Data'!$B476:$AW476&lt;&gt;"")*(1/(1+EXP(-(E476-'03_Lap_b'!$B$5:$AW$5))))^2)</f>
        <v/>
      </c>
      <c r="H476" s="5">
        <f>MEDIAN(-6,E476+(C476-F476)/MAX(F476-G476,0.000000001),6)</f>
        <v/>
      </c>
      <c r="I476" s="5">
        <f>SUMPRODUCT(('01_Data'!$B476:$AW476&lt;&gt;"")*(1/(1+EXP(-(H476-'03_Lap_b'!$B$10:$AW$10)))))</f>
        <v/>
      </c>
      <c r="J476" s="5">
        <f>SUMPRODUCT(('01_Data'!$B476:$AW476&lt;&gt;"")*(1/(1+EXP(-(H476-'03_Lap_b'!$B$10:$AW$10))))^2)</f>
        <v/>
      </c>
      <c r="K476" s="5">
        <f>MEDIAN(-6,H476+(C476-I476)/MAX(I476-J476,0.000000001),6)</f>
        <v/>
      </c>
      <c r="L476" s="5">
        <f>SUMPRODUCT(('01_Data'!$B476:$AW476&lt;&gt;"")*(1/(1+EXP(-(K476-'03_Lap_b'!$B$15:$AW$15)))))</f>
        <v/>
      </c>
      <c r="M476" s="5">
        <f>SUMPRODUCT(('01_Data'!$B476:$AW476&lt;&gt;"")*(1/(1+EXP(-(K476-'03_Lap_b'!$B$15:$AW$15))))^2)</f>
        <v/>
      </c>
      <c r="N476" s="5">
        <f>MEDIAN(-6,K476+(C476-L476)/MAX(L476-M476,0.000000001),6)</f>
        <v/>
      </c>
      <c r="O476" s="5">
        <f>SUMPRODUCT(('01_Data'!$B476:$AW476&lt;&gt;"")*(1/(1+EXP(-(N476-'03_Lap_b'!$B$20:$AW$20)))))</f>
        <v/>
      </c>
      <c r="P476" s="5">
        <f>SUMPRODUCT(('01_Data'!$B476:$AW476&lt;&gt;"")*(1/(1+EXP(-(N476-'03_Lap_b'!$B$20:$AW$20))))^2)</f>
        <v/>
      </c>
      <c r="Q476" s="5">
        <f>MEDIAN(-6,N476+(C476-O476)/MAX(O476-P476,0.000000001),6)</f>
        <v/>
      </c>
      <c r="R476" s="5">
        <f>SUMPRODUCT(('01_Data'!$B476:$AW476&lt;&gt;"")*(1/(1+EXP(-(Q476-'03_Lap_b'!$B$25:$AW$25)))))</f>
        <v/>
      </c>
      <c r="S476" s="5">
        <f>SUMPRODUCT(('01_Data'!$B476:$AW476&lt;&gt;"")*(1/(1+EXP(-(Q476-'03_Lap_b'!$B$25:$AW$25))))^2)</f>
        <v/>
      </c>
      <c r="T476" s="5">
        <f>MEDIAN(-6,Q476+(C476-R476)/MAX(R476-S476,0.000000001),6)</f>
        <v/>
      </c>
      <c r="U476" s="5">
        <f>SUMPRODUCT(('01_Data'!$B476:$AW476&lt;&gt;"")*(1/(1+EXP(-(T476-'03_Lap_b'!$B$30:$AW$30)))))</f>
        <v/>
      </c>
      <c r="V476" s="5">
        <f>SUMPRODUCT(('01_Data'!$B476:$AW476&lt;&gt;"")*(1/(1+EXP(-(T476-'03_Lap_b'!$B$30:$AW$30))))^2)</f>
        <v/>
      </c>
      <c r="W476" s="5">
        <f>MEDIAN(-6,T476+(C476-U476)/MAX(U476-V476,0.000000001),6)</f>
        <v/>
      </c>
      <c r="X476" s="5">
        <f>SUMPRODUCT(('01_Data'!$B476:$AW476&lt;&gt;"")*(1/(1+EXP(-(W476-'03_Lap_b'!$B$35:$AW$35)))))</f>
        <v/>
      </c>
      <c r="Y476" s="5">
        <f>SUMPRODUCT(('01_Data'!$B476:$AW476&lt;&gt;"")*(1/(1+EXP(-(W476-'03_Lap_b'!$B$35:$AW$35))))^2)</f>
        <v/>
      </c>
      <c r="Z476" s="5">
        <f>MEDIAN(-6,W476+(C476-X476)/MAX(X476-Y476,0.000000001),6)</f>
        <v/>
      </c>
      <c r="AA476" s="5">
        <f>SUMPRODUCT(('01_Data'!$B476:$AW476&lt;&gt;"")*(1/(1+EXP(-(Z476-'03_Lap_b'!$B$40:$AW$40)))))</f>
        <v/>
      </c>
      <c r="AB476" s="5">
        <f>SUMPRODUCT(('01_Data'!$B476:$AW476&lt;&gt;"")*(1/(1+EXP(-(Z476-'03_Lap_b'!$B$40:$AW$40))))^2)</f>
        <v/>
      </c>
      <c r="AC476" s="5">
        <f>MEDIAN(-6,Z476+(C476-AA476)/MAX(AA476-AB476,0.000000001),6)</f>
        <v/>
      </c>
    </row>
    <row r="477">
      <c r="A477" t="n">
        <v>476</v>
      </c>
      <c r="B477">
        <f>'01_Data'!A477</f>
        <v/>
      </c>
      <c r="C477">
        <f>SUM('01_Data'!$B477:$AW477)</f>
        <v/>
      </c>
      <c r="D477">
        <f>COUNT('01_Data'!$B477:$AW477)</f>
        <v/>
      </c>
      <c r="E477" s="5">
        <f>MEDIAN(-6,LN((C477+0.3)/(D477-C477+0.3)),6)</f>
        <v/>
      </c>
      <c r="F477" s="5">
        <f>SUMPRODUCT(('01_Data'!$B477:$AW477&lt;&gt;"")*(1/(1+EXP(-(E477-'03_Lap_b'!$B$5:$AW$5)))))</f>
        <v/>
      </c>
      <c r="G477" s="5">
        <f>SUMPRODUCT(('01_Data'!$B477:$AW477&lt;&gt;"")*(1/(1+EXP(-(E477-'03_Lap_b'!$B$5:$AW$5))))^2)</f>
        <v/>
      </c>
      <c r="H477" s="5">
        <f>MEDIAN(-6,E477+(C477-F477)/MAX(F477-G477,0.000000001),6)</f>
        <v/>
      </c>
      <c r="I477" s="5">
        <f>SUMPRODUCT(('01_Data'!$B477:$AW477&lt;&gt;"")*(1/(1+EXP(-(H477-'03_Lap_b'!$B$10:$AW$10)))))</f>
        <v/>
      </c>
      <c r="J477" s="5">
        <f>SUMPRODUCT(('01_Data'!$B477:$AW477&lt;&gt;"")*(1/(1+EXP(-(H477-'03_Lap_b'!$B$10:$AW$10))))^2)</f>
        <v/>
      </c>
      <c r="K477" s="5">
        <f>MEDIAN(-6,H477+(C477-I477)/MAX(I477-J477,0.000000001),6)</f>
        <v/>
      </c>
      <c r="L477" s="5">
        <f>SUMPRODUCT(('01_Data'!$B477:$AW477&lt;&gt;"")*(1/(1+EXP(-(K477-'03_Lap_b'!$B$15:$AW$15)))))</f>
        <v/>
      </c>
      <c r="M477" s="5">
        <f>SUMPRODUCT(('01_Data'!$B477:$AW477&lt;&gt;"")*(1/(1+EXP(-(K477-'03_Lap_b'!$B$15:$AW$15))))^2)</f>
        <v/>
      </c>
      <c r="N477" s="5">
        <f>MEDIAN(-6,K477+(C477-L477)/MAX(L477-M477,0.000000001),6)</f>
        <v/>
      </c>
      <c r="O477" s="5">
        <f>SUMPRODUCT(('01_Data'!$B477:$AW477&lt;&gt;"")*(1/(1+EXP(-(N477-'03_Lap_b'!$B$20:$AW$20)))))</f>
        <v/>
      </c>
      <c r="P477" s="5">
        <f>SUMPRODUCT(('01_Data'!$B477:$AW477&lt;&gt;"")*(1/(1+EXP(-(N477-'03_Lap_b'!$B$20:$AW$20))))^2)</f>
        <v/>
      </c>
      <c r="Q477" s="5">
        <f>MEDIAN(-6,N477+(C477-O477)/MAX(O477-P477,0.000000001),6)</f>
        <v/>
      </c>
      <c r="R477" s="5">
        <f>SUMPRODUCT(('01_Data'!$B477:$AW477&lt;&gt;"")*(1/(1+EXP(-(Q477-'03_Lap_b'!$B$25:$AW$25)))))</f>
        <v/>
      </c>
      <c r="S477" s="5">
        <f>SUMPRODUCT(('01_Data'!$B477:$AW477&lt;&gt;"")*(1/(1+EXP(-(Q477-'03_Lap_b'!$B$25:$AW$25))))^2)</f>
        <v/>
      </c>
      <c r="T477" s="5">
        <f>MEDIAN(-6,Q477+(C477-R477)/MAX(R477-S477,0.000000001),6)</f>
        <v/>
      </c>
      <c r="U477" s="5">
        <f>SUMPRODUCT(('01_Data'!$B477:$AW477&lt;&gt;"")*(1/(1+EXP(-(T477-'03_Lap_b'!$B$30:$AW$30)))))</f>
        <v/>
      </c>
      <c r="V477" s="5">
        <f>SUMPRODUCT(('01_Data'!$B477:$AW477&lt;&gt;"")*(1/(1+EXP(-(T477-'03_Lap_b'!$B$30:$AW$30))))^2)</f>
        <v/>
      </c>
      <c r="W477" s="5">
        <f>MEDIAN(-6,T477+(C477-U477)/MAX(U477-V477,0.000000001),6)</f>
        <v/>
      </c>
      <c r="X477" s="5">
        <f>SUMPRODUCT(('01_Data'!$B477:$AW477&lt;&gt;"")*(1/(1+EXP(-(W477-'03_Lap_b'!$B$35:$AW$35)))))</f>
        <v/>
      </c>
      <c r="Y477" s="5">
        <f>SUMPRODUCT(('01_Data'!$B477:$AW477&lt;&gt;"")*(1/(1+EXP(-(W477-'03_Lap_b'!$B$35:$AW$35))))^2)</f>
        <v/>
      </c>
      <c r="Z477" s="5">
        <f>MEDIAN(-6,W477+(C477-X477)/MAX(X477-Y477,0.000000001),6)</f>
        <v/>
      </c>
      <c r="AA477" s="5">
        <f>SUMPRODUCT(('01_Data'!$B477:$AW477&lt;&gt;"")*(1/(1+EXP(-(Z477-'03_Lap_b'!$B$40:$AW$40)))))</f>
        <v/>
      </c>
      <c r="AB477" s="5">
        <f>SUMPRODUCT(('01_Data'!$B477:$AW477&lt;&gt;"")*(1/(1+EXP(-(Z477-'03_Lap_b'!$B$40:$AW$40))))^2)</f>
        <v/>
      </c>
      <c r="AC477" s="5">
        <f>MEDIAN(-6,Z477+(C477-AA477)/MAX(AA477-AB477,0.000000001),6)</f>
        <v/>
      </c>
    </row>
    <row r="478">
      <c r="A478" t="n">
        <v>477</v>
      </c>
      <c r="B478">
        <f>'01_Data'!A478</f>
        <v/>
      </c>
      <c r="C478">
        <f>SUM('01_Data'!$B478:$AW478)</f>
        <v/>
      </c>
      <c r="D478">
        <f>COUNT('01_Data'!$B478:$AW478)</f>
        <v/>
      </c>
      <c r="E478" s="5">
        <f>MEDIAN(-6,LN((C478+0.3)/(D478-C478+0.3)),6)</f>
        <v/>
      </c>
      <c r="F478" s="5">
        <f>SUMPRODUCT(('01_Data'!$B478:$AW478&lt;&gt;"")*(1/(1+EXP(-(E478-'03_Lap_b'!$B$5:$AW$5)))))</f>
        <v/>
      </c>
      <c r="G478" s="5">
        <f>SUMPRODUCT(('01_Data'!$B478:$AW478&lt;&gt;"")*(1/(1+EXP(-(E478-'03_Lap_b'!$B$5:$AW$5))))^2)</f>
        <v/>
      </c>
      <c r="H478" s="5">
        <f>MEDIAN(-6,E478+(C478-F478)/MAX(F478-G478,0.000000001),6)</f>
        <v/>
      </c>
      <c r="I478" s="5">
        <f>SUMPRODUCT(('01_Data'!$B478:$AW478&lt;&gt;"")*(1/(1+EXP(-(H478-'03_Lap_b'!$B$10:$AW$10)))))</f>
        <v/>
      </c>
      <c r="J478" s="5">
        <f>SUMPRODUCT(('01_Data'!$B478:$AW478&lt;&gt;"")*(1/(1+EXP(-(H478-'03_Lap_b'!$B$10:$AW$10))))^2)</f>
        <v/>
      </c>
      <c r="K478" s="5">
        <f>MEDIAN(-6,H478+(C478-I478)/MAX(I478-J478,0.000000001),6)</f>
        <v/>
      </c>
      <c r="L478" s="5">
        <f>SUMPRODUCT(('01_Data'!$B478:$AW478&lt;&gt;"")*(1/(1+EXP(-(K478-'03_Lap_b'!$B$15:$AW$15)))))</f>
        <v/>
      </c>
      <c r="M478" s="5">
        <f>SUMPRODUCT(('01_Data'!$B478:$AW478&lt;&gt;"")*(1/(1+EXP(-(K478-'03_Lap_b'!$B$15:$AW$15))))^2)</f>
        <v/>
      </c>
      <c r="N478" s="5">
        <f>MEDIAN(-6,K478+(C478-L478)/MAX(L478-M478,0.000000001),6)</f>
        <v/>
      </c>
      <c r="O478" s="5">
        <f>SUMPRODUCT(('01_Data'!$B478:$AW478&lt;&gt;"")*(1/(1+EXP(-(N478-'03_Lap_b'!$B$20:$AW$20)))))</f>
        <v/>
      </c>
      <c r="P478" s="5">
        <f>SUMPRODUCT(('01_Data'!$B478:$AW478&lt;&gt;"")*(1/(1+EXP(-(N478-'03_Lap_b'!$B$20:$AW$20))))^2)</f>
        <v/>
      </c>
      <c r="Q478" s="5">
        <f>MEDIAN(-6,N478+(C478-O478)/MAX(O478-P478,0.000000001),6)</f>
        <v/>
      </c>
      <c r="R478" s="5">
        <f>SUMPRODUCT(('01_Data'!$B478:$AW478&lt;&gt;"")*(1/(1+EXP(-(Q478-'03_Lap_b'!$B$25:$AW$25)))))</f>
        <v/>
      </c>
      <c r="S478" s="5">
        <f>SUMPRODUCT(('01_Data'!$B478:$AW478&lt;&gt;"")*(1/(1+EXP(-(Q478-'03_Lap_b'!$B$25:$AW$25))))^2)</f>
        <v/>
      </c>
      <c r="T478" s="5">
        <f>MEDIAN(-6,Q478+(C478-R478)/MAX(R478-S478,0.000000001),6)</f>
        <v/>
      </c>
      <c r="U478" s="5">
        <f>SUMPRODUCT(('01_Data'!$B478:$AW478&lt;&gt;"")*(1/(1+EXP(-(T478-'03_Lap_b'!$B$30:$AW$30)))))</f>
        <v/>
      </c>
      <c r="V478" s="5">
        <f>SUMPRODUCT(('01_Data'!$B478:$AW478&lt;&gt;"")*(1/(1+EXP(-(T478-'03_Lap_b'!$B$30:$AW$30))))^2)</f>
        <v/>
      </c>
      <c r="W478" s="5">
        <f>MEDIAN(-6,T478+(C478-U478)/MAX(U478-V478,0.000000001),6)</f>
        <v/>
      </c>
      <c r="X478" s="5">
        <f>SUMPRODUCT(('01_Data'!$B478:$AW478&lt;&gt;"")*(1/(1+EXP(-(W478-'03_Lap_b'!$B$35:$AW$35)))))</f>
        <v/>
      </c>
      <c r="Y478" s="5">
        <f>SUMPRODUCT(('01_Data'!$B478:$AW478&lt;&gt;"")*(1/(1+EXP(-(W478-'03_Lap_b'!$B$35:$AW$35))))^2)</f>
        <v/>
      </c>
      <c r="Z478" s="5">
        <f>MEDIAN(-6,W478+(C478-X478)/MAX(X478-Y478,0.000000001),6)</f>
        <v/>
      </c>
      <c r="AA478" s="5">
        <f>SUMPRODUCT(('01_Data'!$B478:$AW478&lt;&gt;"")*(1/(1+EXP(-(Z478-'03_Lap_b'!$B$40:$AW$40)))))</f>
        <v/>
      </c>
      <c r="AB478" s="5">
        <f>SUMPRODUCT(('01_Data'!$B478:$AW478&lt;&gt;"")*(1/(1+EXP(-(Z478-'03_Lap_b'!$B$40:$AW$40))))^2)</f>
        <v/>
      </c>
      <c r="AC478" s="5">
        <f>MEDIAN(-6,Z478+(C478-AA478)/MAX(AA478-AB478,0.000000001),6)</f>
        <v/>
      </c>
    </row>
    <row r="479">
      <c r="A479" t="n">
        <v>478</v>
      </c>
      <c r="B479">
        <f>'01_Data'!A479</f>
        <v/>
      </c>
      <c r="C479">
        <f>SUM('01_Data'!$B479:$AW479)</f>
        <v/>
      </c>
      <c r="D479">
        <f>COUNT('01_Data'!$B479:$AW479)</f>
        <v/>
      </c>
      <c r="E479" s="5">
        <f>MEDIAN(-6,LN((C479+0.3)/(D479-C479+0.3)),6)</f>
        <v/>
      </c>
      <c r="F479" s="5">
        <f>SUMPRODUCT(('01_Data'!$B479:$AW479&lt;&gt;"")*(1/(1+EXP(-(E479-'03_Lap_b'!$B$5:$AW$5)))))</f>
        <v/>
      </c>
      <c r="G479" s="5">
        <f>SUMPRODUCT(('01_Data'!$B479:$AW479&lt;&gt;"")*(1/(1+EXP(-(E479-'03_Lap_b'!$B$5:$AW$5))))^2)</f>
        <v/>
      </c>
      <c r="H479" s="5">
        <f>MEDIAN(-6,E479+(C479-F479)/MAX(F479-G479,0.000000001),6)</f>
        <v/>
      </c>
      <c r="I479" s="5">
        <f>SUMPRODUCT(('01_Data'!$B479:$AW479&lt;&gt;"")*(1/(1+EXP(-(H479-'03_Lap_b'!$B$10:$AW$10)))))</f>
        <v/>
      </c>
      <c r="J479" s="5">
        <f>SUMPRODUCT(('01_Data'!$B479:$AW479&lt;&gt;"")*(1/(1+EXP(-(H479-'03_Lap_b'!$B$10:$AW$10))))^2)</f>
        <v/>
      </c>
      <c r="K479" s="5">
        <f>MEDIAN(-6,H479+(C479-I479)/MAX(I479-J479,0.000000001),6)</f>
        <v/>
      </c>
      <c r="L479" s="5">
        <f>SUMPRODUCT(('01_Data'!$B479:$AW479&lt;&gt;"")*(1/(1+EXP(-(K479-'03_Lap_b'!$B$15:$AW$15)))))</f>
        <v/>
      </c>
      <c r="M479" s="5">
        <f>SUMPRODUCT(('01_Data'!$B479:$AW479&lt;&gt;"")*(1/(1+EXP(-(K479-'03_Lap_b'!$B$15:$AW$15))))^2)</f>
        <v/>
      </c>
      <c r="N479" s="5">
        <f>MEDIAN(-6,K479+(C479-L479)/MAX(L479-M479,0.000000001),6)</f>
        <v/>
      </c>
      <c r="O479" s="5">
        <f>SUMPRODUCT(('01_Data'!$B479:$AW479&lt;&gt;"")*(1/(1+EXP(-(N479-'03_Lap_b'!$B$20:$AW$20)))))</f>
        <v/>
      </c>
      <c r="P479" s="5">
        <f>SUMPRODUCT(('01_Data'!$B479:$AW479&lt;&gt;"")*(1/(1+EXP(-(N479-'03_Lap_b'!$B$20:$AW$20))))^2)</f>
        <v/>
      </c>
      <c r="Q479" s="5">
        <f>MEDIAN(-6,N479+(C479-O479)/MAX(O479-P479,0.000000001),6)</f>
        <v/>
      </c>
      <c r="R479" s="5">
        <f>SUMPRODUCT(('01_Data'!$B479:$AW479&lt;&gt;"")*(1/(1+EXP(-(Q479-'03_Lap_b'!$B$25:$AW$25)))))</f>
        <v/>
      </c>
      <c r="S479" s="5">
        <f>SUMPRODUCT(('01_Data'!$B479:$AW479&lt;&gt;"")*(1/(1+EXP(-(Q479-'03_Lap_b'!$B$25:$AW$25))))^2)</f>
        <v/>
      </c>
      <c r="T479" s="5">
        <f>MEDIAN(-6,Q479+(C479-R479)/MAX(R479-S479,0.000000001),6)</f>
        <v/>
      </c>
      <c r="U479" s="5">
        <f>SUMPRODUCT(('01_Data'!$B479:$AW479&lt;&gt;"")*(1/(1+EXP(-(T479-'03_Lap_b'!$B$30:$AW$30)))))</f>
        <v/>
      </c>
      <c r="V479" s="5">
        <f>SUMPRODUCT(('01_Data'!$B479:$AW479&lt;&gt;"")*(1/(1+EXP(-(T479-'03_Lap_b'!$B$30:$AW$30))))^2)</f>
        <v/>
      </c>
      <c r="W479" s="5">
        <f>MEDIAN(-6,T479+(C479-U479)/MAX(U479-V479,0.000000001),6)</f>
        <v/>
      </c>
      <c r="X479" s="5">
        <f>SUMPRODUCT(('01_Data'!$B479:$AW479&lt;&gt;"")*(1/(1+EXP(-(W479-'03_Lap_b'!$B$35:$AW$35)))))</f>
        <v/>
      </c>
      <c r="Y479" s="5">
        <f>SUMPRODUCT(('01_Data'!$B479:$AW479&lt;&gt;"")*(1/(1+EXP(-(W479-'03_Lap_b'!$B$35:$AW$35))))^2)</f>
        <v/>
      </c>
      <c r="Z479" s="5">
        <f>MEDIAN(-6,W479+(C479-X479)/MAX(X479-Y479,0.000000001),6)</f>
        <v/>
      </c>
      <c r="AA479" s="5">
        <f>SUMPRODUCT(('01_Data'!$B479:$AW479&lt;&gt;"")*(1/(1+EXP(-(Z479-'03_Lap_b'!$B$40:$AW$40)))))</f>
        <v/>
      </c>
      <c r="AB479" s="5">
        <f>SUMPRODUCT(('01_Data'!$B479:$AW479&lt;&gt;"")*(1/(1+EXP(-(Z479-'03_Lap_b'!$B$40:$AW$40))))^2)</f>
        <v/>
      </c>
      <c r="AC479" s="5">
        <f>MEDIAN(-6,Z479+(C479-AA479)/MAX(AA479-AB479,0.000000001),6)</f>
        <v/>
      </c>
    </row>
    <row r="480">
      <c r="A480" t="n">
        <v>479</v>
      </c>
      <c r="B480">
        <f>'01_Data'!A480</f>
        <v/>
      </c>
      <c r="C480">
        <f>SUM('01_Data'!$B480:$AW480)</f>
        <v/>
      </c>
      <c r="D480">
        <f>COUNT('01_Data'!$B480:$AW480)</f>
        <v/>
      </c>
      <c r="E480" s="5">
        <f>MEDIAN(-6,LN((C480+0.3)/(D480-C480+0.3)),6)</f>
        <v/>
      </c>
      <c r="F480" s="5">
        <f>SUMPRODUCT(('01_Data'!$B480:$AW480&lt;&gt;"")*(1/(1+EXP(-(E480-'03_Lap_b'!$B$5:$AW$5)))))</f>
        <v/>
      </c>
      <c r="G480" s="5">
        <f>SUMPRODUCT(('01_Data'!$B480:$AW480&lt;&gt;"")*(1/(1+EXP(-(E480-'03_Lap_b'!$B$5:$AW$5))))^2)</f>
        <v/>
      </c>
      <c r="H480" s="5">
        <f>MEDIAN(-6,E480+(C480-F480)/MAX(F480-G480,0.000000001),6)</f>
        <v/>
      </c>
      <c r="I480" s="5">
        <f>SUMPRODUCT(('01_Data'!$B480:$AW480&lt;&gt;"")*(1/(1+EXP(-(H480-'03_Lap_b'!$B$10:$AW$10)))))</f>
        <v/>
      </c>
      <c r="J480" s="5">
        <f>SUMPRODUCT(('01_Data'!$B480:$AW480&lt;&gt;"")*(1/(1+EXP(-(H480-'03_Lap_b'!$B$10:$AW$10))))^2)</f>
        <v/>
      </c>
      <c r="K480" s="5">
        <f>MEDIAN(-6,H480+(C480-I480)/MAX(I480-J480,0.000000001),6)</f>
        <v/>
      </c>
      <c r="L480" s="5">
        <f>SUMPRODUCT(('01_Data'!$B480:$AW480&lt;&gt;"")*(1/(1+EXP(-(K480-'03_Lap_b'!$B$15:$AW$15)))))</f>
        <v/>
      </c>
      <c r="M480" s="5">
        <f>SUMPRODUCT(('01_Data'!$B480:$AW480&lt;&gt;"")*(1/(1+EXP(-(K480-'03_Lap_b'!$B$15:$AW$15))))^2)</f>
        <v/>
      </c>
      <c r="N480" s="5">
        <f>MEDIAN(-6,K480+(C480-L480)/MAX(L480-M480,0.000000001),6)</f>
        <v/>
      </c>
      <c r="O480" s="5">
        <f>SUMPRODUCT(('01_Data'!$B480:$AW480&lt;&gt;"")*(1/(1+EXP(-(N480-'03_Lap_b'!$B$20:$AW$20)))))</f>
        <v/>
      </c>
      <c r="P480" s="5">
        <f>SUMPRODUCT(('01_Data'!$B480:$AW480&lt;&gt;"")*(1/(1+EXP(-(N480-'03_Lap_b'!$B$20:$AW$20))))^2)</f>
        <v/>
      </c>
      <c r="Q480" s="5">
        <f>MEDIAN(-6,N480+(C480-O480)/MAX(O480-P480,0.000000001),6)</f>
        <v/>
      </c>
      <c r="R480" s="5">
        <f>SUMPRODUCT(('01_Data'!$B480:$AW480&lt;&gt;"")*(1/(1+EXP(-(Q480-'03_Lap_b'!$B$25:$AW$25)))))</f>
        <v/>
      </c>
      <c r="S480" s="5">
        <f>SUMPRODUCT(('01_Data'!$B480:$AW480&lt;&gt;"")*(1/(1+EXP(-(Q480-'03_Lap_b'!$B$25:$AW$25))))^2)</f>
        <v/>
      </c>
      <c r="T480" s="5">
        <f>MEDIAN(-6,Q480+(C480-R480)/MAX(R480-S480,0.000000001),6)</f>
        <v/>
      </c>
      <c r="U480" s="5">
        <f>SUMPRODUCT(('01_Data'!$B480:$AW480&lt;&gt;"")*(1/(1+EXP(-(T480-'03_Lap_b'!$B$30:$AW$30)))))</f>
        <v/>
      </c>
      <c r="V480" s="5">
        <f>SUMPRODUCT(('01_Data'!$B480:$AW480&lt;&gt;"")*(1/(1+EXP(-(T480-'03_Lap_b'!$B$30:$AW$30))))^2)</f>
        <v/>
      </c>
      <c r="W480" s="5">
        <f>MEDIAN(-6,T480+(C480-U480)/MAX(U480-V480,0.000000001),6)</f>
        <v/>
      </c>
      <c r="X480" s="5">
        <f>SUMPRODUCT(('01_Data'!$B480:$AW480&lt;&gt;"")*(1/(1+EXP(-(W480-'03_Lap_b'!$B$35:$AW$35)))))</f>
        <v/>
      </c>
      <c r="Y480" s="5">
        <f>SUMPRODUCT(('01_Data'!$B480:$AW480&lt;&gt;"")*(1/(1+EXP(-(W480-'03_Lap_b'!$B$35:$AW$35))))^2)</f>
        <v/>
      </c>
      <c r="Z480" s="5">
        <f>MEDIAN(-6,W480+(C480-X480)/MAX(X480-Y480,0.000000001),6)</f>
        <v/>
      </c>
      <c r="AA480" s="5">
        <f>SUMPRODUCT(('01_Data'!$B480:$AW480&lt;&gt;"")*(1/(1+EXP(-(Z480-'03_Lap_b'!$B$40:$AW$40)))))</f>
        <v/>
      </c>
      <c r="AB480" s="5">
        <f>SUMPRODUCT(('01_Data'!$B480:$AW480&lt;&gt;"")*(1/(1+EXP(-(Z480-'03_Lap_b'!$B$40:$AW$40))))^2)</f>
        <v/>
      </c>
      <c r="AC480" s="5">
        <f>MEDIAN(-6,Z480+(C480-AA480)/MAX(AA480-AB480,0.000000001),6)</f>
        <v/>
      </c>
    </row>
    <row r="481">
      <c r="A481" t="n">
        <v>480</v>
      </c>
      <c r="B481">
        <f>'01_Data'!A481</f>
        <v/>
      </c>
      <c r="C481">
        <f>SUM('01_Data'!$B481:$AW481)</f>
        <v/>
      </c>
      <c r="D481">
        <f>COUNT('01_Data'!$B481:$AW481)</f>
        <v/>
      </c>
      <c r="E481" s="5">
        <f>MEDIAN(-6,LN((C481+0.3)/(D481-C481+0.3)),6)</f>
        <v/>
      </c>
      <c r="F481" s="5">
        <f>SUMPRODUCT(('01_Data'!$B481:$AW481&lt;&gt;"")*(1/(1+EXP(-(E481-'03_Lap_b'!$B$5:$AW$5)))))</f>
        <v/>
      </c>
      <c r="G481" s="5">
        <f>SUMPRODUCT(('01_Data'!$B481:$AW481&lt;&gt;"")*(1/(1+EXP(-(E481-'03_Lap_b'!$B$5:$AW$5))))^2)</f>
        <v/>
      </c>
      <c r="H481" s="5">
        <f>MEDIAN(-6,E481+(C481-F481)/MAX(F481-G481,0.000000001),6)</f>
        <v/>
      </c>
      <c r="I481" s="5">
        <f>SUMPRODUCT(('01_Data'!$B481:$AW481&lt;&gt;"")*(1/(1+EXP(-(H481-'03_Lap_b'!$B$10:$AW$10)))))</f>
        <v/>
      </c>
      <c r="J481" s="5">
        <f>SUMPRODUCT(('01_Data'!$B481:$AW481&lt;&gt;"")*(1/(1+EXP(-(H481-'03_Lap_b'!$B$10:$AW$10))))^2)</f>
        <v/>
      </c>
      <c r="K481" s="5">
        <f>MEDIAN(-6,H481+(C481-I481)/MAX(I481-J481,0.000000001),6)</f>
        <v/>
      </c>
      <c r="L481" s="5">
        <f>SUMPRODUCT(('01_Data'!$B481:$AW481&lt;&gt;"")*(1/(1+EXP(-(K481-'03_Lap_b'!$B$15:$AW$15)))))</f>
        <v/>
      </c>
      <c r="M481" s="5">
        <f>SUMPRODUCT(('01_Data'!$B481:$AW481&lt;&gt;"")*(1/(1+EXP(-(K481-'03_Lap_b'!$B$15:$AW$15))))^2)</f>
        <v/>
      </c>
      <c r="N481" s="5">
        <f>MEDIAN(-6,K481+(C481-L481)/MAX(L481-M481,0.000000001),6)</f>
        <v/>
      </c>
      <c r="O481" s="5">
        <f>SUMPRODUCT(('01_Data'!$B481:$AW481&lt;&gt;"")*(1/(1+EXP(-(N481-'03_Lap_b'!$B$20:$AW$20)))))</f>
        <v/>
      </c>
      <c r="P481" s="5">
        <f>SUMPRODUCT(('01_Data'!$B481:$AW481&lt;&gt;"")*(1/(1+EXP(-(N481-'03_Lap_b'!$B$20:$AW$20))))^2)</f>
        <v/>
      </c>
      <c r="Q481" s="5">
        <f>MEDIAN(-6,N481+(C481-O481)/MAX(O481-P481,0.000000001),6)</f>
        <v/>
      </c>
      <c r="R481" s="5">
        <f>SUMPRODUCT(('01_Data'!$B481:$AW481&lt;&gt;"")*(1/(1+EXP(-(Q481-'03_Lap_b'!$B$25:$AW$25)))))</f>
        <v/>
      </c>
      <c r="S481" s="5">
        <f>SUMPRODUCT(('01_Data'!$B481:$AW481&lt;&gt;"")*(1/(1+EXP(-(Q481-'03_Lap_b'!$B$25:$AW$25))))^2)</f>
        <v/>
      </c>
      <c r="T481" s="5">
        <f>MEDIAN(-6,Q481+(C481-R481)/MAX(R481-S481,0.000000001),6)</f>
        <v/>
      </c>
      <c r="U481" s="5">
        <f>SUMPRODUCT(('01_Data'!$B481:$AW481&lt;&gt;"")*(1/(1+EXP(-(T481-'03_Lap_b'!$B$30:$AW$30)))))</f>
        <v/>
      </c>
      <c r="V481" s="5">
        <f>SUMPRODUCT(('01_Data'!$B481:$AW481&lt;&gt;"")*(1/(1+EXP(-(T481-'03_Lap_b'!$B$30:$AW$30))))^2)</f>
        <v/>
      </c>
      <c r="W481" s="5">
        <f>MEDIAN(-6,T481+(C481-U481)/MAX(U481-V481,0.000000001),6)</f>
        <v/>
      </c>
      <c r="X481" s="5">
        <f>SUMPRODUCT(('01_Data'!$B481:$AW481&lt;&gt;"")*(1/(1+EXP(-(W481-'03_Lap_b'!$B$35:$AW$35)))))</f>
        <v/>
      </c>
      <c r="Y481" s="5">
        <f>SUMPRODUCT(('01_Data'!$B481:$AW481&lt;&gt;"")*(1/(1+EXP(-(W481-'03_Lap_b'!$B$35:$AW$35))))^2)</f>
        <v/>
      </c>
      <c r="Z481" s="5">
        <f>MEDIAN(-6,W481+(C481-X481)/MAX(X481-Y481,0.000000001),6)</f>
        <v/>
      </c>
      <c r="AA481" s="5">
        <f>SUMPRODUCT(('01_Data'!$B481:$AW481&lt;&gt;"")*(1/(1+EXP(-(Z481-'03_Lap_b'!$B$40:$AW$40)))))</f>
        <v/>
      </c>
      <c r="AB481" s="5">
        <f>SUMPRODUCT(('01_Data'!$B481:$AW481&lt;&gt;"")*(1/(1+EXP(-(Z481-'03_Lap_b'!$B$40:$AW$40))))^2)</f>
        <v/>
      </c>
      <c r="AC481" s="5">
        <f>MEDIAN(-6,Z481+(C481-AA481)/MAX(AA481-AB481,0.000000001),6)</f>
        <v/>
      </c>
    </row>
    <row r="482">
      <c r="A482" t="n">
        <v>481</v>
      </c>
      <c r="B482">
        <f>'01_Data'!A482</f>
        <v/>
      </c>
      <c r="C482">
        <f>SUM('01_Data'!$B482:$AW482)</f>
        <v/>
      </c>
      <c r="D482">
        <f>COUNT('01_Data'!$B482:$AW482)</f>
        <v/>
      </c>
      <c r="E482" s="5">
        <f>MEDIAN(-6,LN((C482+0.3)/(D482-C482+0.3)),6)</f>
        <v/>
      </c>
      <c r="F482" s="5">
        <f>SUMPRODUCT(('01_Data'!$B482:$AW482&lt;&gt;"")*(1/(1+EXP(-(E482-'03_Lap_b'!$B$5:$AW$5)))))</f>
        <v/>
      </c>
      <c r="G482" s="5">
        <f>SUMPRODUCT(('01_Data'!$B482:$AW482&lt;&gt;"")*(1/(1+EXP(-(E482-'03_Lap_b'!$B$5:$AW$5))))^2)</f>
        <v/>
      </c>
      <c r="H482" s="5">
        <f>MEDIAN(-6,E482+(C482-F482)/MAX(F482-G482,0.000000001),6)</f>
        <v/>
      </c>
      <c r="I482" s="5">
        <f>SUMPRODUCT(('01_Data'!$B482:$AW482&lt;&gt;"")*(1/(1+EXP(-(H482-'03_Lap_b'!$B$10:$AW$10)))))</f>
        <v/>
      </c>
      <c r="J482" s="5">
        <f>SUMPRODUCT(('01_Data'!$B482:$AW482&lt;&gt;"")*(1/(1+EXP(-(H482-'03_Lap_b'!$B$10:$AW$10))))^2)</f>
        <v/>
      </c>
      <c r="K482" s="5">
        <f>MEDIAN(-6,H482+(C482-I482)/MAX(I482-J482,0.000000001),6)</f>
        <v/>
      </c>
      <c r="L482" s="5">
        <f>SUMPRODUCT(('01_Data'!$B482:$AW482&lt;&gt;"")*(1/(1+EXP(-(K482-'03_Lap_b'!$B$15:$AW$15)))))</f>
        <v/>
      </c>
      <c r="M482" s="5">
        <f>SUMPRODUCT(('01_Data'!$B482:$AW482&lt;&gt;"")*(1/(1+EXP(-(K482-'03_Lap_b'!$B$15:$AW$15))))^2)</f>
        <v/>
      </c>
      <c r="N482" s="5">
        <f>MEDIAN(-6,K482+(C482-L482)/MAX(L482-M482,0.000000001),6)</f>
        <v/>
      </c>
      <c r="O482" s="5">
        <f>SUMPRODUCT(('01_Data'!$B482:$AW482&lt;&gt;"")*(1/(1+EXP(-(N482-'03_Lap_b'!$B$20:$AW$20)))))</f>
        <v/>
      </c>
      <c r="P482" s="5">
        <f>SUMPRODUCT(('01_Data'!$B482:$AW482&lt;&gt;"")*(1/(1+EXP(-(N482-'03_Lap_b'!$B$20:$AW$20))))^2)</f>
        <v/>
      </c>
      <c r="Q482" s="5">
        <f>MEDIAN(-6,N482+(C482-O482)/MAX(O482-P482,0.000000001),6)</f>
        <v/>
      </c>
      <c r="R482" s="5">
        <f>SUMPRODUCT(('01_Data'!$B482:$AW482&lt;&gt;"")*(1/(1+EXP(-(Q482-'03_Lap_b'!$B$25:$AW$25)))))</f>
        <v/>
      </c>
      <c r="S482" s="5">
        <f>SUMPRODUCT(('01_Data'!$B482:$AW482&lt;&gt;"")*(1/(1+EXP(-(Q482-'03_Lap_b'!$B$25:$AW$25))))^2)</f>
        <v/>
      </c>
      <c r="T482" s="5">
        <f>MEDIAN(-6,Q482+(C482-R482)/MAX(R482-S482,0.000000001),6)</f>
        <v/>
      </c>
      <c r="U482" s="5">
        <f>SUMPRODUCT(('01_Data'!$B482:$AW482&lt;&gt;"")*(1/(1+EXP(-(T482-'03_Lap_b'!$B$30:$AW$30)))))</f>
        <v/>
      </c>
      <c r="V482" s="5">
        <f>SUMPRODUCT(('01_Data'!$B482:$AW482&lt;&gt;"")*(1/(1+EXP(-(T482-'03_Lap_b'!$B$30:$AW$30))))^2)</f>
        <v/>
      </c>
      <c r="W482" s="5">
        <f>MEDIAN(-6,T482+(C482-U482)/MAX(U482-V482,0.000000001),6)</f>
        <v/>
      </c>
      <c r="X482" s="5">
        <f>SUMPRODUCT(('01_Data'!$B482:$AW482&lt;&gt;"")*(1/(1+EXP(-(W482-'03_Lap_b'!$B$35:$AW$35)))))</f>
        <v/>
      </c>
      <c r="Y482" s="5">
        <f>SUMPRODUCT(('01_Data'!$B482:$AW482&lt;&gt;"")*(1/(1+EXP(-(W482-'03_Lap_b'!$B$35:$AW$35))))^2)</f>
        <v/>
      </c>
      <c r="Z482" s="5">
        <f>MEDIAN(-6,W482+(C482-X482)/MAX(X482-Y482,0.000000001),6)</f>
        <v/>
      </c>
      <c r="AA482" s="5">
        <f>SUMPRODUCT(('01_Data'!$B482:$AW482&lt;&gt;"")*(1/(1+EXP(-(Z482-'03_Lap_b'!$B$40:$AW$40)))))</f>
        <v/>
      </c>
      <c r="AB482" s="5">
        <f>SUMPRODUCT(('01_Data'!$B482:$AW482&lt;&gt;"")*(1/(1+EXP(-(Z482-'03_Lap_b'!$B$40:$AW$40))))^2)</f>
        <v/>
      </c>
      <c r="AC482" s="5">
        <f>MEDIAN(-6,Z482+(C482-AA482)/MAX(AA482-AB482,0.000000001),6)</f>
        <v/>
      </c>
    </row>
    <row r="483">
      <c r="A483" t="n">
        <v>482</v>
      </c>
      <c r="B483">
        <f>'01_Data'!A483</f>
        <v/>
      </c>
      <c r="C483">
        <f>SUM('01_Data'!$B483:$AW483)</f>
        <v/>
      </c>
      <c r="D483">
        <f>COUNT('01_Data'!$B483:$AW483)</f>
        <v/>
      </c>
      <c r="E483" s="5">
        <f>MEDIAN(-6,LN((C483+0.3)/(D483-C483+0.3)),6)</f>
        <v/>
      </c>
      <c r="F483" s="5">
        <f>SUMPRODUCT(('01_Data'!$B483:$AW483&lt;&gt;"")*(1/(1+EXP(-(E483-'03_Lap_b'!$B$5:$AW$5)))))</f>
        <v/>
      </c>
      <c r="G483" s="5">
        <f>SUMPRODUCT(('01_Data'!$B483:$AW483&lt;&gt;"")*(1/(1+EXP(-(E483-'03_Lap_b'!$B$5:$AW$5))))^2)</f>
        <v/>
      </c>
      <c r="H483" s="5">
        <f>MEDIAN(-6,E483+(C483-F483)/MAX(F483-G483,0.000000001),6)</f>
        <v/>
      </c>
      <c r="I483" s="5">
        <f>SUMPRODUCT(('01_Data'!$B483:$AW483&lt;&gt;"")*(1/(1+EXP(-(H483-'03_Lap_b'!$B$10:$AW$10)))))</f>
        <v/>
      </c>
      <c r="J483" s="5">
        <f>SUMPRODUCT(('01_Data'!$B483:$AW483&lt;&gt;"")*(1/(1+EXP(-(H483-'03_Lap_b'!$B$10:$AW$10))))^2)</f>
        <v/>
      </c>
      <c r="K483" s="5">
        <f>MEDIAN(-6,H483+(C483-I483)/MAX(I483-J483,0.000000001),6)</f>
        <v/>
      </c>
      <c r="L483" s="5">
        <f>SUMPRODUCT(('01_Data'!$B483:$AW483&lt;&gt;"")*(1/(1+EXP(-(K483-'03_Lap_b'!$B$15:$AW$15)))))</f>
        <v/>
      </c>
      <c r="M483" s="5">
        <f>SUMPRODUCT(('01_Data'!$B483:$AW483&lt;&gt;"")*(1/(1+EXP(-(K483-'03_Lap_b'!$B$15:$AW$15))))^2)</f>
        <v/>
      </c>
      <c r="N483" s="5">
        <f>MEDIAN(-6,K483+(C483-L483)/MAX(L483-M483,0.000000001),6)</f>
        <v/>
      </c>
      <c r="O483" s="5">
        <f>SUMPRODUCT(('01_Data'!$B483:$AW483&lt;&gt;"")*(1/(1+EXP(-(N483-'03_Lap_b'!$B$20:$AW$20)))))</f>
        <v/>
      </c>
      <c r="P483" s="5">
        <f>SUMPRODUCT(('01_Data'!$B483:$AW483&lt;&gt;"")*(1/(1+EXP(-(N483-'03_Lap_b'!$B$20:$AW$20))))^2)</f>
        <v/>
      </c>
      <c r="Q483" s="5">
        <f>MEDIAN(-6,N483+(C483-O483)/MAX(O483-P483,0.000000001),6)</f>
        <v/>
      </c>
      <c r="R483" s="5">
        <f>SUMPRODUCT(('01_Data'!$B483:$AW483&lt;&gt;"")*(1/(1+EXP(-(Q483-'03_Lap_b'!$B$25:$AW$25)))))</f>
        <v/>
      </c>
      <c r="S483" s="5">
        <f>SUMPRODUCT(('01_Data'!$B483:$AW483&lt;&gt;"")*(1/(1+EXP(-(Q483-'03_Lap_b'!$B$25:$AW$25))))^2)</f>
        <v/>
      </c>
      <c r="T483" s="5">
        <f>MEDIAN(-6,Q483+(C483-R483)/MAX(R483-S483,0.000000001),6)</f>
        <v/>
      </c>
      <c r="U483" s="5">
        <f>SUMPRODUCT(('01_Data'!$B483:$AW483&lt;&gt;"")*(1/(1+EXP(-(T483-'03_Lap_b'!$B$30:$AW$30)))))</f>
        <v/>
      </c>
      <c r="V483" s="5">
        <f>SUMPRODUCT(('01_Data'!$B483:$AW483&lt;&gt;"")*(1/(1+EXP(-(T483-'03_Lap_b'!$B$30:$AW$30))))^2)</f>
        <v/>
      </c>
      <c r="W483" s="5">
        <f>MEDIAN(-6,T483+(C483-U483)/MAX(U483-V483,0.000000001),6)</f>
        <v/>
      </c>
      <c r="X483" s="5">
        <f>SUMPRODUCT(('01_Data'!$B483:$AW483&lt;&gt;"")*(1/(1+EXP(-(W483-'03_Lap_b'!$B$35:$AW$35)))))</f>
        <v/>
      </c>
      <c r="Y483" s="5">
        <f>SUMPRODUCT(('01_Data'!$B483:$AW483&lt;&gt;"")*(1/(1+EXP(-(W483-'03_Lap_b'!$B$35:$AW$35))))^2)</f>
        <v/>
      </c>
      <c r="Z483" s="5">
        <f>MEDIAN(-6,W483+(C483-X483)/MAX(X483-Y483,0.000000001),6)</f>
        <v/>
      </c>
      <c r="AA483" s="5">
        <f>SUMPRODUCT(('01_Data'!$B483:$AW483&lt;&gt;"")*(1/(1+EXP(-(Z483-'03_Lap_b'!$B$40:$AW$40)))))</f>
        <v/>
      </c>
      <c r="AB483" s="5">
        <f>SUMPRODUCT(('01_Data'!$B483:$AW483&lt;&gt;"")*(1/(1+EXP(-(Z483-'03_Lap_b'!$B$40:$AW$40))))^2)</f>
        <v/>
      </c>
      <c r="AC483" s="5">
        <f>MEDIAN(-6,Z483+(C483-AA483)/MAX(AA483-AB483,0.000000001),6)</f>
        <v/>
      </c>
    </row>
    <row r="484">
      <c r="A484" t="n">
        <v>483</v>
      </c>
      <c r="B484">
        <f>'01_Data'!A484</f>
        <v/>
      </c>
      <c r="C484">
        <f>SUM('01_Data'!$B484:$AW484)</f>
        <v/>
      </c>
      <c r="D484">
        <f>COUNT('01_Data'!$B484:$AW484)</f>
        <v/>
      </c>
      <c r="E484" s="5">
        <f>MEDIAN(-6,LN((C484+0.3)/(D484-C484+0.3)),6)</f>
        <v/>
      </c>
      <c r="F484" s="5">
        <f>SUMPRODUCT(('01_Data'!$B484:$AW484&lt;&gt;"")*(1/(1+EXP(-(E484-'03_Lap_b'!$B$5:$AW$5)))))</f>
        <v/>
      </c>
      <c r="G484" s="5">
        <f>SUMPRODUCT(('01_Data'!$B484:$AW484&lt;&gt;"")*(1/(1+EXP(-(E484-'03_Lap_b'!$B$5:$AW$5))))^2)</f>
        <v/>
      </c>
      <c r="H484" s="5">
        <f>MEDIAN(-6,E484+(C484-F484)/MAX(F484-G484,0.000000001),6)</f>
        <v/>
      </c>
      <c r="I484" s="5">
        <f>SUMPRODUCT(('01_Data'!$B484:$AW484&lt;&gt;"")*(1/(1+EXP(-(H484-'03_Lap_b'!$B$10:$AW$10)))))</f>
        <v/>
      </c>
      <c r="J484" s="5">
        <f>SUMPRODUCT(('01_Data'!$B484:$AW484&lt;&gt;"")*(1/(1+EXP(-(H484-'03_Lap_b'!$B$10:$AW$10))))^2)</f>
        <v/>
      </c>
      <c r="K484" s="5">
        <f>MEDIAN(-6,H484+(C484-I484)/MAX(I484-J484,0.000000001),6)</f>
        <v/>
      </c>
      <c r="L484" s="5">
        <f>SUMPRODUCT(('01_Data'!$B484:$AW484&lt;&gt;"")*(1/(1+EXP(-(K484-'03_Lap_b'!$B$15:$AW$15)))))</f>
        <v/>
      </c>
      <c r="M484" s="5">
        <f>SUMPRODUCT(('01_Data'!$B484:$AW484&lt;&gt;"")*(1/(1+EXP(-(K484-'03_Lap_b'!$B$15:$AW$15))))^2)</f>
        <v/>
      </c>
      <c r="N484" s="5">
        <f>MEDIAN(-6,K484+(C484-L484)/MAX(L484-M484,0.000000001),6)</f>
        <v/>
      </c>
      <c r="O484" s="5">
        <f>SUMPRODUCT(('01_Data'!$B484:$AW484&lt;&gt;"")*(1/(1+EXP(-(N484-'03_Lap_b'!$B$20:$AW$20)))))</f>
        <v/>
      </c>
      <c r="P484" s="5">
        <f>SUMPRODUCT(('01_Data'!$B484:$AW484&lt;&gt;"")*(1/(1+EXP(-(N484-'03_Lap_b'!$B$20:$AW$20))))^2)</f>
        <v/>
      </c>
      <c r="Q484" s="5">
        <f>MEDIAN(-6,N484+(C484-O484)/MAX(O484-P484,0.000000001),6)</f>
        <v/>
      </c>
      <c r="R484" s="5">
        <f>SUMPRODUCT(('01_Data'!$B484:$AW484&lt;&gt;"")*(1/(1+EXP(-(Q484-'03_Lap_b'!$B$25:$AW$25)))))</f>
        <v/>
      </c>
      <c r="S484" s="5">
        <f>SUMPRODUCT(('01_Data'!$B484:$AW484&lt;&gt;"")*(1/(1+EXP(-(Q484-'03_Lap_b'!$B$25:$AW$25))))^2)</f>
        <v/>
      </c>
      <c r="T484" s="5">
        <f>MEDIAN(-6,Q484+(C484-R484)/MAX(R484-S484,0.000000001),6)</f>
        <v/>
      </c>
      <c r="U484" s="5">
        <f>SUMPRODUCT(('01_Data'!$B484:$AW484&lt;&gt;"")*(1/(1+EXP(-(T484-'03_Lap_b'!$B$30:$AW$30)))))</f>
        <v/>
      </c>
      <c r="V484" s="5">
        <f>SUMPRODUCT(('01_Data'!$B484:$AW484&lt;&gt;"")*(1/(1+EXP(-(T484-'03_Lap_b'!$B$30:$AW$30))))^2)</f>
        <v/>
      </c>
      <c r="W484" s="5">
        <f>MEDIAN(-6,T484+(C484-U484)/MAX(U484-V484,0.000000001),6)</f>
        <v/>
      </c>
      <c r="X484" s="5">
        <f>SUMPRODUCT(('01_Data'!$B484:$AW484&lt;&gt;"")*(1/(1+EXP(-(W484-'03_Lap_b'!$B$35:$AW$35)))))</f>
        <v/>
      </c>
      <c r="Y484" s="5">
        <f>SUMPRODUCT(('01_Data'!$B484:$AW484&lt;&gt;"")*(1/(1+EXP(-(W484-'03_Lap_b'!$B$35:$AW$35))))^2)</f>
        <v/>
      </c>
      <c r="Z484" s="5">
        <f>MEDIAN(-6,W484+(C484-X484)/MAX(X484-Y484,0.000000001),6)</f>
        <v/>
      </c>
      <c r="AA484" s="5">
        <f>SUMPRODUCT(('01_Data'!$B484:$AW484&lt;&gt;"")*(1/(1+EXP(-(Z484-'03_Lap_b'!$B$40:$AW$40)))))</f>
        <v/>
      </c>
      <c r="AB484" s="5">
        <f>SUMPRODUCT(('01_Data'!$B484:$AW484&lt;&gt;"")*(1/(1+EXP(-(Z484-'03_Lap_b'!$B$40:$AW$40))))^2)</f>
        <v/>
      </c>
      <c r="AC484" s="5">
        <f>MEDIAN(-6,Z484+(C484-AA484)/MAX(AA484-AB484,0.000000001),6)</f>
        <v/>
      </c>
    </row>
    <row r="485">
      <c r="A485" t="n">
        <v>484</v>
      </c>
      <c r="B485">
        <f>'01_Data'!A485</f>
        <v/>
      </c>
      <c r="C485">
        <f>SUM('01_Data'!$B485:$AW485)</f>
        <v/>
      </c>
      <c r="D485">
        <f>COUNT('01_Data'!$B485:$AW485)</f>
        <v/>
      </c>
      <c r="E485" s="5">
        <f>MEDIAN(-6,LN((C485+0.3)/(D485-C485+0.3)),6)</f>
        <v/>
      </c>
      <c r="F485" s="5">
        <f>SUMPRODUCT(('01_Data'!$B485:$AW485&lt;&gt;"")*(1/(1+EXP(-(E485-'03_Lap_b'!$B$5:$AW$5)))))</f>
        <v/>
      </c>
      <c r="G485" s="5">
        <f>SUMPRODUCT(('01_Data'!$B485:$AW485&lt;&gt;"")*(1/(1+EXP(-(E485-'03_Lap_b'!$B$5:$AW$5))))^2)</f>
        <v/>
      </c>
      <c r="H485" s="5">
        <f>MEDIAN(-6,E485+(C485-F485)/MAX(F485-G485,0.000000001),6)</f>
        <v/>
      </c>
      <c r="I485" s="5">
        <f>SUMPRODUCT(('01_Data'!$B485:$AW485&lt;&gt;"")*(1/(1+EXP(-(H485-'03_Lap_b'!$B$10:$AW$10)))))</f>
        <v/>
      </c>
      <c r="J485" s="5">
        <f>SUMPRODUCT(('01_Data'!$B485:$AW485&lt;&gt;"")*(1/(1+EXP(-(H485-'03_Lap_b'!$B$10:$AW$10))))^2)</f>
        <v/>
      </c>
      <c r="K485" s="5">
        <f>MEDIAN(-6,H485+(C485-I485)/MAX(I485-J485,0.000000001),6)</f>
        <v/>
      </c>
      <c r="L485" s="5">
        <f>SUMPRODUCT(('01_Data'!$B485:$AW485&lt;&gt;"")*(1/(1+EXP(-(K485-'03_Lap_b'!$B$15:$AW$15)))))</f>
        <v/>
      </c>
      <c r="M485" s="5">
        <f>SUMPRODUCT(('01_Data'!$B485:$AW485&lt;&gt;"")*(1/(1+EXP(-(K485-'03_Lap_b'!$B$15:$AW$15))))^2)</f>
        <v/>
      </c>
      <c r="N485" s="5">
        <f>MEDIAN(-6,K485+(C485-L485)/MAX(L485-M485,0.000000001),6)</f>
        <v/>
      </c>
      <c r="O485" s="5">
        <f>SUMPRODUCT(('01_Data'!$B485:$AW485&lt;&gt;"")*(1/(1+EXP(-(N485-'03_Lap_b'!$B$20:$AW$20)))))</f>
        <v/>
      </c>
      <c r="P485" s="5">
        <f>SUMPRODUCT(('01_Data'!$B485:$AW485&lt;&gt;"")*(1/(1+EXP(-(N485-'03_Lap_b'!$B$20:$AW$20))))^2)</f>
        <v/>
      </c>
      <c r="Q485" s="5">
        <f>MEDIAN(-6,N485+(C485-O485)/MAX(O485-P485,0.000000001),6)</f>
        <v/>
      </c>
      <c r="R485" s="5">
        <f>SUMPRODUCT(('01_Data'!$B485:$AW485&lt;&gt;"")*(1/(1+EXP(-(Q485-'03_Lap_b'!$B$25:$AW$25)))))</f>
        <v/>
      </c>
      <c r="S485" s="5">
        <f>SUMPRODUCT(('01_Data'!$B485:$AW485&lt;&gt;"")*(1/(1+EXP(-(Q485-'03_Lap_b'!$B$25:$AW$25))))^2)</f>
        <v/>
      </c>
      <c r="T485" s="5">
        <f>MEDIAN(-6,Q485+(C485-R485)/MAX(R485-S485,0.000000001),6)</f>
        <v/>
      </c>
      <c r="U485" s="5">
        <f>SUMPRODUCT(('01_Data'!$B485:$AW485&lt;&gt;"")*(1/(1+EXP(-(T485-'03_Lap_b'!$B$30:$AW$30)))))</f>
        <v/>
      </c>
      <c r="V485" s="5">
        <f>SUMPRODUCT(('01_Data'!$B485:$AW485&lt;&gt;"")*(1/(1+EXP(-(T485-'03_Lap_b'!$B$30:$AW$30))))^2)</f>
        <v/>
      </c>
      <c r="W485" s="5">
        <f>MEDIAN(-6,T485+(C485-U485)/MAX(U485-V485,0.000000001),6)</f>
        <v/>
      </c>
      <c r="X485" s="5">
        <f>SUMPRODUCT(('01_Data'!$B485:$AW485&lt;&gt;"")*(1/(1+EXP(-(W485-'03_Lap_b'!$B$35:$AW$35)))))</f>
        <v/>
      </c>
      <c r="Y485" s="5">
        <f>SUMPRODUCT(('01_Data'!$B485:$AW485&lt;&gt;"")*(1/(1+EXP(-(W485-'03_Lap_b'!$B$35:$AW$35))))^2)</f>
        <v/>
      </c>
      <c r="Z485" s="5">
        <f>MEDIAN(-6,W485+(C485-X485)/MAX(X485-Y485,0.000000001),6)</f>
        <v/>
      </c>
      <c r="AA485" s="5">
        <f>SUMPRODUCT(('01_Data'!$B485:$AW485&lt;&gt;"")*(1/(1+EXP(-(Z485-'03_Lap_b'!$B$40:$AW$40)))))</f>
        <v/>
      </c>
      <c r="AB485" s="5">
        <f>SUMPRODUCT(('01_Data'!$B485:$AW485&lt;&gt;"")*(1/(1+EXP(-(Z485-'03_Lap_b'!$B$40:$AW$40))))^2)</f>
        <v/>
      </c>
      <c r="AC485" s="5">
        <f>MEDIAN(-6,Z485+(C485-AA485)/MAX(AA485-AB485,0.000000001),6)</f>
        <v/>
      </c>
    </row>
    <row r="486">
      <c r="A486" t="n">
        <v>485</v>
      </c>
      <c r="B486">
        <f>'01_Data'!A486</f>
        <v/>
      </c>
      <c r="C486">
        <f>SUM('01_Data'!$B486:$AW486)</f>
        <v/>
      </c>
      <c r="D486">
        <f>COUNT('01_Data'!$B486:$AW486)</f>
        <v/>
      </c>
      <c r="E486" s="5">
        <f>MEDIAN(-6,LN((C486+0.3)/(D486-C486+0.3)),6)</f>
        <v/>
      </c>
      <c r="F486" s="5">
        <f>SUMPRODUCT(('01_Data'!$B486:$AW486&lt;&gt;"")*(1/(1+EXP(-(E486-'03_Lap_b'!$B$5:$AW$5)))))</f>
        <v/>
      </c>
      <c r="G486" s="5">
        <f>SUMPRODUCT(('01_Data'!$B486:$AW486&lt;&gt;"")*(1/(1+EXP(-(E486-'03_Lap_b'!$B$5:$AW$5))))^2)</f>
        <v/>
      </c>
      <c r="H486" s="5">
        <f>MEDIAN(-6,E486+(C486-F486)/MAX(F486-G486,0.000000001),6)</f>
        <v/>
      </c>
      <c r="I486" s="5">
        <f>SUMPRODUCT(('01_Data'!$B486:$AW486&lt;&gt;"")*(1/(1+EXP(-(H486-'03_Lap_b'!$B$10:$AW$10)))))</f>
        <v/>
      </c>
      <c r="J486" s="5">
        <f>SUMPRODUCT(('01_Data'!$B486:$AW486&lt;&gt;"")*(1/(1+EXP(-(H486-'03_Lap_b'!$B$10:$AW$10))))^2)</f>
        <v/>
      </c>
      <c r="K486" s="5">
        <f>MEDIAN(-6,H486+(C486-I486)/MAX(I486-J486,0.000000001),6)</f>
        <v/>
      </c>
      <c r="L486" s="5">
        <f>SUMPRODUCT(('01_Data'!$B486:$AW486&lt;&gt;"")*(1/(1+EXP(-(K486-'03_Lap_b'!$B$15:$AW$15)))))</f>
        <v/>
      </c>
      <c r="M486" s="5">
        <f>SUMPRODUCT(('01_Data'!$B486:$AW486&lt;&gt;"")*(1/(1+EXP(-(K486-'03_Lap_b'!$B$15:$AW$15))))^2)</f>
        <v/>
      </c>
      <c r="N486" s="5">
        <f>MEDIAN(-6,K486+(C486-L486)/MAX(L486-M486,0.000000001),6)</f>
        <v/>
      </c>
      <c r="O486" s="5">
        <f>SUMPRODUCT(('01_Data'!$B486:$AW486&lt;&gt;"")*(1/(1+EXP(-(N486-'03_Lap_b'!$B$20:$AW$20)))))</f>
        <v/>
      </c>
      <c r="P486" s="5">
        <f>SUMPRODUCT(('01_Data'!$B486:$AW486&lt;&gt;"")*(1/(1+EXP(-(N486-'03_Lap_b'!$B$20:$AW$20))))^2)</f>
        <v/>
      </c>
      <c r="Q486" s="5">
        <f>MEDIAN(-6,N486+(C486-O486)/MAX(O486-P486,0.000000001),6)</f>
        <v/>
      </c>
      <c r="R486" s="5">
        <f>SUMPRODUCT(('01_Data'!$B486:$AW486&lt;&gt;"")*(1/(1+EXP(-(Q486-'03_Lap_b'!$B$25:$AW$25)))))</f>
        <v/>
      </c>
      <c r="S486" s="5">
        <f>SUMPRODUCT(('01_Data'!$B486:$AW486&lt;&gt;"")*(1/(1+EXP(-(Q486-'03_Lap_b'!$B$25:$AW$25))))^2)</f>
        <v/>
      </c>
      <c r="T486" s="5">
        <f>MEDIAN(-6,Q486+(C486-R486)/MAX(R486-S486,0.000000001),6)</f>
        <v/>
      </c>
      <c r="U486" s="5">
        <f>SUMPRODUCT(('01_Data'!$B486:$AW486&lt;&gt;"")*(1/(1+EXP(-(T486-'03_Lap_b'!$B$30:$AW$30)))))</f>
        <v/>
      </c>
      <c r="V486" s="5">
        <f>SUMPRODUCT(('01_Data'!$B486:$AW486&lt;&gt;"")*(1/(1+EXP(-(T486-'03_Lap_b'!$B$30:$AW$30))))^2)</f>
        <v/>
      </c>
      <c r="W486" s="5">
        <f>MEDIAN(-6,T486+(C486-U486)/MAX(U486-V486,0.000000001),6)</f>
        <v/>
      </c>
      <c r="X486" s="5">
        <f>SUMPRODUCT(('01_Data'!$B486:$AW486&lt;&gt;"")*(1/(1+EXP(-(W486-'03_Lap_b'!$B$35:$AW$35)))))</f>
        <v/>
      </c>
      <c r="Y486" s="5">
        <f>SUMPRODUCT(('01_Data'!$B486:$AW486&lt;&gt;"")*(1/(1+EXP(-(W486-'03_Lap_b'!$B$35:$AW$35))))^2)</f>
        <v/>
      </c>
      <c r="Z486" s="5">
        <f>MEDIAN(-6,W486+(C486-X486)/MAX(X486-Y486,0.000000001),6)</f>
        <v/>
      </c>
      <c r="AA486" s="5">
        <f>SUMPRODUCT(('01_Data'!$B486:$AW486&lt;&gt;"")*(1/(1+EXP(-(Z486-'03_Lap_b'!$B$40:$AW$40)))))</f>
        <v/>
      </c>
      <c r="AB486" s="5">
        <f>SUMPRODUCT(('01_Data'!$B486:$AW486&lt;&gt;"")*(1/(1+EXP(-(Z486-'03_Lap_b'!$B$40:$AW$40))))^2)</f>
        <v/>
      </c>
      <c r="AC486" s="5">
        <f>MEDIAN(-6,Z486+(C486-AA486)/MAX(AA486-AB486,0.000000001),6)</f>
        <v/>
      </c>
    </row>
    <row r="487">
      <c r="A487" t="n">
        <v>486</v>
      </c>
      <c r="B487">
        <f>'01_Data'!A487</f>
        <v/>
      </c>
      <c r="C487">
        <f>SUM('01_Data'!$B487:$AW487)</f>
        <v/>
      </c>
      <c r="D487">
        <f>COUNT('01_Data'!$B487:$AW487)</f>
        <v/>
      </c>
      <c r="E487" s="5">
        <f>MEDIAN(-6,LN((C487+0.3)/(D487-C487+0.3)),6)</f>
        <v/>
      </c>
      <c r="F487" s="5">
        <f>SUMPRODUCT(('01_Data'!$B487:$AW487&lt;&gt;"")*(1/(1+EXP(-(E487-'03_Lap_b'!$B$5:$AW$5)))))</f>
        <v/>
      </c>
      <c r="G487" s="5">
        <f>SUMPRODUCT(('01_Data'!$B487:$AW487&lt;&gt;"")*(1/(1+EXP(-(E487-'03_Lap_b'!$B$5:$AW$5))))^2)</f>
        <v/>
      </c>
      <c r="H487" s="5">
        <f>MEDIAN(-6,E487+(C487-F487)/MAX(F487-G487,0.000000001),6)</f>
        <v/>
      </c>
      <c r="I487" s="5">
        <f>SUMPRODUCT(('01_Data'!$B487:$AW487&lt;&gt;"")*(1/(1+EXP(-(H487-'03_Lap_b'!$B$10:$AW$10)))))</f>
        <v/>
      </c>
      <c r="J487" s="5">
        <f>SUMPRODUCT(('01_Data'!$B487:$AW487&lt;&gt;"")*(1/(1+EXP(-(H487-'03_Lap_b'!$B$10:$AW$10))))^2)</f>
        <v/>
      </c>
      <c r="K487" s="5">
        <f>MEDIAN(-6,H487+(C487-I487)/MAX(I487-J487,0.000000001),6)</f>
        <v/>
      </c>
      <c r="L487" s="5">
        <f>SUMPRODUCT(('01_Data'!$B487:$AW487&lt;&gt;"")*(1/(1+EXP(-(K487-'03_Lap_b'!$B$15:$AW$15)))))</f>
        <v/>
      </c>
      <c r="M487" s="5">
        <f>SUMPRODUCT(('01_Data'!$B487:$AW487&lt;&gt;"")*(1/(1+EXP(-(K487-'03_Lap_b'!$B$15:$AW$15))))^2)</f>
        <v/>
      </c>
      <c r="N487" s="5">
        <f>MEDIAN(-6,K487+(C487-L487)/MAX(L487-M487,0.000000001),6)</f>
        <v/>
      </c>
      <c r="O487" s="5">
        <f>SUMPRODUCT(('01_Data'!$B487:$AW487&lt;&gt;"")*(1/(1+EXP(-(N487-'03_Lap_b'!$B$20:$AW$20)))))</f>
        <v/>
      </c>
      <c r="P487" s="5">
        <f>SUMPRODUCT(('01_Data'!$B487:$AW487&lt;&gt;"")*(1/(1+EXP(-(N487-'03_Lap_b'!$B$20:$AW$20))))^2)</f>
        <v/>
      </c>
      <c r="Q487" s="5">
        <f>MEDIAN(-6,N487+(C487-O487)/MAX(O487-P487,0.000000001),6)</f>
        <v/>
      </c>
      <c r="R487" s="5">
        <f>SUMPRODUCT(('01_Data'!$B487:$AW487&lt;&gt;"")*(1/(1+EXP(-(Q487-'03_Lap_b'!$B$25:$AW$25)))))</f>
        <v/>
      </c>
      <c r="S487" s="5">
        <f>SUMPRODUCT(('01_Data'!$B487:$AW487&lt;&gt;"")*(1/(1+EXP(-(Q487-'03_Lap_b'!$B$25:$AW$25))))^2)</f>
        <v/>
      </c>
      <c r="T487" s="5">
        <f>MEDIAN(-6,Q487+(C487-R487)/MAX(R487-S487,0.000000001),6)</f>
        <v/>
      </c>
      <c r="U487" s="5">
        <f>SUMPRODUCT(('01_Data'!$B487:$AW487&lt;&gt;"")*(1/(1+EXP(-(T487-'03_Lap_b'!$B$30:$AW$30)))))</f>
        <v/>
      </c>
      <c r="V487" s="5">
        <f>SUMPRODUCT(('01_Data'!$B487:$AW487&lt;&gt;"")*(1/(1+EXP(-(T487-'03_Lap_b'!$B$30:$AW$30))))^2)</f>
        <v/>
      </c>
      <c r="W487" s="5">
        <f>MEDIAN(-6,T487+(C487-U487)/MAX(U487-V487,0.000000001),6)</f>
        <v/>
      </c>
      <c r="X487" s="5">
        <f>SUMPRODUCT(('01_Data'!$B487:$AW487&lt;&gt;"")*(1/(1+EXP(-(W487-'03_Lap_b'!$B$35:$AW$35)))))</f>
        <v/>
      </c>
      <c r="Y487" s="5">
        <f>SUMPRODUCT(('01_Data'!$B487:$AW487&lt;&gt;"")*(1/(1+EXP(-(W487-'03_Lap_b'!$B$35:$AW$35))))^2)</f>
        <v/>
      </c>
      <c r="Z487" s="5">
        <f>MEDIAN(-6,W487+(C487-X487)/MAX(X487-Y487,0.000000001),6)</f>
        <v/>
      </c>
      <c r="AA487" s="5">
        <f>SUMPRODUCT(('01_Data'!$B487:$AW487&lt;&gt;"")*(1/(1+EXP(-(Z487-'03_Lap_b'!$B$40:$AW$40)))))</f>
        <v/>
      </c>
      <c r="AB487" s="5">
        <f>SUMPRODUCT(('01_Data'!$B487:$AW487&lt;&gt;"")*(1/(1+EXP(-(Z487-'03_Lap_b'!$B$40:$AW$40))))^2)</f>
        <v/>
      </c>
      <c r="AC487" s="5">
        <f>MEDIAN(-6,Z487+(C487-AA487)/MAX(AA487-AB487,0.000000001),6)</f>
        <v/>
      </c>
    </row>
    <row r="488">
      <c r="A488" t="n">
        <v>487</v>
      </c>
      <c r="B488">
        <f>'01_Data'!A488</f>
        <v/>
      </c>
      <c r="C488">
        <f>SUM('01_Data'!$B488:$AW488)</f>
        <v/>
      </c>
      <c r="D488">
        <f>COUNT('01_Data'!$B488:$AW488)</f>
        <v/>
      </c>
      <c r="E488" s="5">
        <f>MEDIAN(-6,LN((C488+0.3)/(D488-C488+0.3)),6)</f>
        <v/>
      </c>
      <c r="F488" s="5">
        <f>SUMPRODUCT(('01_Data'!$B488:$AW488&lt;&gt;"")*(1/(1+EXP(-(E488-'03_Lap_b'!$B$5:$AW$5)))))</f>
        <v/>
      </c>
      <c r="G488" s="5">
        <f>SUMPRODUCT(('01_Data'!$B488:$AW488&lt;&gt;"")*(1/(1+EXP(-(E488-'03_Lap_b'!$B$5:$AW$5))))^2)</f>
        <v/>
      </c>
      <c r="H488" s="5">
        <f>MEDIAN(-6,E488+(C488-F488)/MAX(F488-G488,0.000000001),6)</f>
        <v/>
      </c>
      <c r="I488" s="5">
        <f>SUMPRODUCT(('01_Data'!$B488:$AW488&lt;&gt;"")*(1/(1+EXP(-(H488-'03_Lap_b'!$B$10:$AW$10)))))</f>
        <v/>
      </c>
      <c r="J488" s="5">
        <f>SUMPRODUCT(('01_Data'!$B488:$AW488&lt;&gt;"")*(1/(1+EXP(-(H488-'03_Lap_b'!$B$10:$AW$10))))^2)</f>
        <v/>
      </c>
      <c r="K488" s="5">
        <f>MEDIAN(-6,H488+(C488-I488)/MAX(I488-J488,0.000000001),6)</f>
        <v/>
      </c>
      <c r="L488" s="5">
        <f>SUMPRODUCT(('01_Data'!$B488:$AW488&lt;&gt;"")*(1/(1+EXP(-(K488-'03_Lap_b'!$B$15:$AW$15)))))</f>
        <v/>
      </c>
      <c r="M488" s="5">
        <f>SUMPRODUCT(('01_Data'!$B488:$AW488&lt;&gt;"")*(1/(1+EXP(-(K488-'03_Lap_b'!$B$15:$AW$15))))^2)</f>
        <v/>
      </c>
      <c r="N488" s="5">
        <f>MEDIAN(-6,K488+(C488-L488)/MAX(L488-M488,0.000000001),6)</f>
        <v/>
      </c>
      <c r="O488" s="5">
        <f>SUMPRODUCT(('01_Data'!$B488:$AW488&lt;&gt;"")*(1/(1+EXP(-(N488-'03_Lap_b'!$B$20:$AW$20)))))</f>
        <v/>
      </c>
      <c r="P488" s="5">
        <f>SUMPRODUCT(('01_Data'!$B488:$AW488&lt;&gt;"")*(1/(1+EXP(-(N488-'03_Lap_b'!$B$20:$AW$20))))^2)</f>
        <v/>
      </c>
      <c r="Q488" s="5">
        <f>MEDIAN(-6,N488+(C488-O488)/MAX(O488-P488,0.000000001),6)</f>
        <v/>
      </c>
      <c r="R488" s="5">
        <f>SUMPRODUCT(('01_Data'!$B488:$AW488&lt;&gt;"")*(1/(1+EXP(-(Q488-'03_Lap_b'!$B$25:$AW$25)))))</f>
        <v/>
      </c>
      <c r="S488" s="5">
        <f>SUMPRODUCT(('01_Data'!$B488:$AW488&lt;&gt;"")*(1/(1+EXP(-(Q488-'03_Lap_b'!$B$25:$AW$25))))^2)</f>
        <v/>
      </c>
      <c r="T488" s="5">
        <f>MEDIAN(-6,Q488+(C488-R488)/MAX(R488-S488,0.000000001),6)</f>
        <v/>
      </c>
      <c r="U488" s="5">
        <f>SUMPRODUCT(('01_Data'!$B488:$AW488&lt;&gt;"")*(1/(1+EXP(-(T488-'03_Lap_b'!$B$30:$AW$30)))))</f>
        <v/>
      </c>
      <c r="V488" s="5">
        <f>SUMPRODUCT(('01_Data'!$B488:$AW488&lt;&gt;"")*(1/(1+EXP(-(T488-'03_Lap_b'!$B$30:$AW$30))))^2)</f>
        <v/>
      </c>
      <c r="W488" s="5">
        <f>MEDIAN(-6,T488+(C488-U488)/MAX(U488-V488,0.000000001),6)</f>
        <v/>
      </c>
      <c r="X488" s="5">
        <f>SUMPRODUCT(('01_Data'!$B488:$AW488&lt;&gt;"")*(1/(1+EXP(-(W488-'03_Lap_b'!$B$35:$AW$35)))))</f>
        <v/>
      </c>
      <c r="Y488" s="5">
        <f>SUMPRODUCT(('01_Data'!$B488:$AW488&lt;&gt;"")*(1/(1+EXP(-(W488-'03_Lap_b'!$B$35:$AW$35))))^2)</f>
        <v/>
      </c>
      <c r="Z488" s="5">
        <f>MEDIAN(-6,W488+(C488-X488)/MAX(X488-Y488,0.000000001),6)</f>
        <v/>
      </c>
      <c r="AA488" s="5">
        <f>SUMPRODUCT(('01_Data'!$B488:$AW488&lt;&gt;"")*(1/(1+EXP(-(Z488-'03_Lap_b'!$B$40:$AW$40)))))</f>
        <v/>
      </c>
      <c r="AB488" s="5">
        <f>SUMPRODUCT(('01_Data'!$B488:$AW488&lt;&gt;"")*(1/(1+EXP(-(Z488-'03_Lap_b'!$B$40:$AW$40))))^2)</f>
        <v/>
      </c>
      <c r="AC488" s="5">
        <f>MEDIAN(-6,Z488+(C488-AA488)/MAX(AA488-AB488,0.000000001),6)</f>
        <v/>
      </c>
    </row>
    <row r="489">
      <c r="A489" t="n">
        <v>488</v>
      </c>
      <c r="B489">
        <f>'01_Data'!A489</f>
        <v/>
      </c>
      <c r="C489">
        <f>SUM('01_Data'!$B489:$AW489)</f>
        <v/>
      </c>
      <c r="D489">
        <f>COUNT('01_Data'!$B489:$AW489)</f>
        <v/>
      </c>
      <c r="E489" s="5">
        <f>MEDIAN(-6,LN((C489+0.3)/(D489-C489+0.3)),6)</f>
        <v/>
      </c>
      <c r="F489" s="5">
        <f>SUMPRODUCT(('01_Data'!$B489:$AW489&lt;&gt;"")*(1/(1+EXP(-(E489-'03_Lap_b'!$B$5:$AW$5)))))</f>
        <v/>
      </c>
      <c r="G489" s="5">
        <f>SUMPRODUCT(('01_Data'!$B489:$AW489&lt;&gt;"")*(1/(1+EXP(-(E489-'03_Lap_b'!$B$5:$AW$5))))^2)</f>
        <v/>
      </c>
      <c r="H489" s="5">
        <f>MEDIAN(-6,E489+(C489-F489)/MAX(F489-G489,0.000000001),6)</f>
        <v/>
      </c>
      <c r="I489" s="5">
        <f>SUMPRODUCT(('01_Data'!$B489:$AW489&lt;&gt;"")*(1/(1+EXP(-(H489-'03_Lap_b'!$B$10:$AW$10)))))</f>
        <v/>
      </c>
      <c r="J489" s="5">
        <f>SUMPRODUCT(('01_Data'!$B489:$AW489&lt;&gt;"")*(1/(1+EXP(-(H489-'03_Lap_b'!$B$10:$AW$10))))^2)</f>
        <v/>
      </c>
      <c r="K489" s="5">
        <f>MEDIAN(-6,H489+(C489-I489)/MAX(I489-J489,0.000000001),6)</f>
        <v/>
      </c>
      <c r="L489" s="5">
        <f>SUMPRODUCT(('01_Data'!$B489:$AW489&lt;&gt;"")*(1/(1+EXP(-(K489-'03_Lap_b'!$B$15:$AW$15)))))</f>
        <v/>
      </c>
      <c r="M489" s="5">
        <f>SUMPRODUCT(('01_Data'!$B489:$AW489&lt;&gt;"")*(1/(1+EXP(-(K489-'03_Lap_b'!$B$15:$AW$15))))^2)</f>
        <v/>
      </c>
      <c r="N489" s="5">
        <f>MEDIAN(-6,K489+(C489-L489)/MAX(L489-M489,0.000000001),6)</f>
        <v/>
      </c>
      <c r="O489" s="5">
        <f>SUMPRODUCT(('01_Data'!$B489:$AW489&lt;&gt;"")*(1/(1+EXP(-(N489-'03_Lap_b'!$B$20:$AW$20)))))</f>
        <v/>
      </c>
      <c r="P489" s="5">
        <f>SUMPRODUCT(('01_Data'!$B489:$AW489&lt;&gt;"")*(1/(1+EXP(-(N489-'03_Lap_b'!$B$20:$AW$20))))^2)</f>
        <v/>
      </c>
      <c r="Q489" s="5">
        <f>MEDIAN(-6,N489+(C489-O489)/MAX(O489-P489,0.000000001),6)</f>
        <v/>
      </c>
      <c r="R489" s="5">
        <f>SUMPRODUCT(('01_Data'!$B489:$AW489&lt;&gt;"")*(1/(1+EXP(-(Q489-'03_Lap_b'!$B$25:$AW$25)))))</f>
        <v/>
      </c>
      <c r="S489" s="5">
        <f>SUMPRODUCT(('01_Data'!$B489:$AW489&lt;&gt;"")*(1/(1+EXP(-(Q489-'03_Lap_b'!$B$25:$AW$25))))^2)</f>
        <v/>
      </c>
      <c r="T489" s="5">
        <f>MEDIAN(-6,Q489+(C489-R489)/MAX(R489-S489,0.000000001),6)</f>
        <v/>
      </c>
      <c r="U489" s="5">
        <f>SUMPRODUCT(('01_Data'!$B489:$AW489&lt;&gt;"")*(1/(1+EXP(-(T489-'03_Lap_b'!$B$30:$AW$30)))))</f>
        <v/>
      </c>
      <c r="V489" s="5">
        <f>SUMPRODUCT(('01_Data'!$B489:$AW489&lt;&gt;"")*(1/(1+EXP(-(T489-'03_Lap_b'!$B$30:$AW$30))))^2)</f>
        <v/>
      </c>
      <c r="W489" s="5">
        <f>MEDIAN(-6,T489+(C489-U489)/MAX(U489-V489,0.000000001),6)</f>
        <v/>
      </c>
      <c r="X489" s="5">
        <f>SUMPRODUCT(('01_Data'!$B489:$AW489&lt;&gt;"")*(1/(1+EXP(-(W489-'03_Lap_b'!$B$35:$AW$35)))))</f>
        <v/>
      </c>
      <c r="Y489" s="5">
        <f>SUMPRODUCT(('01_Data'!$B489:$AW489&lt;&gt;"")*(1/(1+EXP(-(W489-'03_Lap_b'!$B$35:$AW$35))))^2)</f>
        <v/>
      </c>
      <c r="Z489" s="5">
        <f>MEDIAN(-6,W489+(C489-X489)/MAX(X489-Y489,0.000000001),6)</f>
        <v/>
      </c>
      <c r="AA489" s="5">
        <f>SUMPRODUCT(('01_Data'!$B489:$AW489&lt;&gt;"")*(1/(1+EXP(-(Z489-'03_Lap_b'!$B$40:$AW$40)))))</f>
        <v/>
      </c>
      <c r="AB489" s="5">
        <f>SUMPRODUCT(('01_Data'!$B489:$AW489&lt;&gt;"")*(1/(1+EXP(-(Z489-'03_Lap_b'!$B$40:$AW$40))))^2)</f>
        <v/>
      </c>
      <c r="AC489" s="5">
        <f>MEDIAN(-6,Z489+(C489-AA489)/MAX(AA489-AB489,0.000000001),6)</f>
        <v/>
      </c>
    </row>
    <row r="490">
      <c r="A490" t="n">
        <v>489</v>
      </c>
      <c r="B490">
        <f>'01_Data'!A490</f>
        <v/>
      </c>
      <c r="C490">
        <f>SUM('01_Data'!$B490:$AW490)</f>
        <v/>
      </c>
      <c r="D490">
        <f>COUNT('01_Data'!$B490:$AW490)</f>
        <v/>
      </c>
      <c r="E490" s="5">
        <f>MEDIAN(-6,LN((C490+0.3)/(D490-C490+0.3)),6)</f>
        <v/>
      </c>
      <c r="F490" s="5">
        <f>SUMPRODUCT(('01_Data'!$B490:$AW490&lt;&gt;"")*(1/(1+EXP(-(E490-'03_Lap_b'!$B$5:$AW$5)))))</f>
        <v/>
      </c>
      <c r="G490" s="5">
        <f>SUMPRODUCT(('01_Data'!$B490:$AW490&lt;&gt;"")*(1/(1+EXP(-(E490-'03_Lap_b'!$B$5:$AW$5))))^2)</f>
        <v/>
      </c>
      <c r="H490" s="5">
        <f>MEDIAN(-6,E490+(C490-F490)/MAX(F490-G490,0.000000001),6)</f>
        <v/>
      </c>
      <c r="I490" s="5">
        <f>SUMPRODUCT(('01_Data'!$B490:$AW490&lt;&gt;"")*(1/(1+EXP(-(H490-'03_Lap_b'!$B$10:$AW$10)))))</f>
        <v/>
      </c>
      <c r="J490" s="5">
        <f>SUMPRODUCT(('01_Data'!$B490:$AW490&lt;&gt;"")*(1/(1+EXP(-(H490-'03_Lap_b'!$B$10:$AW$10))))^2)</f>
        <v/>
      </c>
      <c r="K490" s="5">
        <f>MEDIAN(-6,H490+(C490-I490)/MAX(I490-J490,0.000000001),6)</f>
        <v/>
      </c>
      <c r="L490" s="5">
        <f>SUMPRODUCT(('01_Data'!$B490:$AW490&lt;&gt;"")*(1/(1+EXP(-(K490-'03_Lap_b'!$B$15:$AW$15)))))</f>
        <v/>
      </c>
      <c r="M490" s="5">
        <f>SUMPRODUCT(('01_Data'!$B490:$AW490&lt;&gt;"")*(1/(1+EXP(-(K490-'03_Lap_b'!$B$15:$AW$15))))^2)</f>
        <v/>
      </c>
      <c r="N490" s="5">
        <f>MEDIAN(-6,K490+(C490-L490)/MAX(L490-M490,0.000000001),6)</f>
        <v/>
      </c>
      <c r="O490" s="5">
        <f>SUMPRODUCT(('01_Data'!$B490:$AW490&lt;&gt;"")*(1/(1+EXP(-(N490-'03_Lap_b'!$B$20:$AW$20)))))</f>
        <v/>
      </c>
      <c r="P490" s="5">
        <f>SUMPRODUCT(('01_Data'!$B490:$AW490&lt;&gt;"")*(1/(1+EXP(-(N490-'03_Lap_b'!$B$20:$AW$20))))^2)</f>
        <v/>
      </c>
      <c r="Q490" s="5">
        <f>MEDIAN(-6,N490+(C490-O490)/MAX(O490-P490,0.000000001),6)</f>
        <v/>
      </c>
      <c r="R490" s="5">
        <f>SUMPRODUCT(('01_Data'!$B490:$AW490&lt;&gt;"")*(1/(1+EXP(-(Q490-'03_Lap_b'!$B$25:$AW$25)))))</f>
        <v/>
      </c>
      <c r="S490" s="5">
        <f>SUMPRODUCT(('01_Data'!$B490:$AW490&lt;&gt;"")*(1/(1+EXP(-(Q490-'03_Lap_b'!$B$25:$AW$25))))^2)</f>
        <v/>
      </c>
      <c r="T490" s="5">
        <f>MEDIAN(-6,Q490+(C490-R490)/MAX(R490-S490,0.000000001),6)</f>
        <v/>
      </c>
      <c r="U490" s="5">
        <f>SUMPRODUCT(('01_Data'!$B490:$AW490&lt;&gt;"")*(1/(1+EXP(-(T490-'03_Lap_b'!$B$30:$AW$30)))))</f>
        <v/>
      </c>
      <c r="V490" s="5">
        <f>SUMPRODUCT(('01_Data'!$B490:$AW490&lt;&gt;"")*(1/(1+EXP(-(T490-'03_Lap_b'!$B$30:$AW$30))))^2)</f>
        <v/>
      </c>
      <c r="W490" s="5">
        <f>MEDIAN(-6,T490+(C490-U490)/MAX(U490-V490,0.000000001),6)</f>
        <v/>
      </c>
      <c r="X490" s="5">
        <f>SUMPRODUCT(('01_Data'!$B490:$AW490&lt;&gt;"")*(1/(1+EXP(-(W490-'03_Lap_b'!$B$35:$AW$35)))))</f>
        <v/>
      </c>
      <c r="Y490" s="5">
        <f>SUMPRODUCT(('01_Data'!$B490:$AW490&lt;&gt;"")*(1/(1+EXP(-(W490-'03_Lap_b'!$B$35:$AW$35))))^2)</f>
        <v/>
      </c>
      <c r="Z490" s="5">
        <f>MEDIAN(-6,W490+(C490-X490)/MAX(X490-Y490,0.000000001),6)</f>
        <v/>
      </c>
      <c r="AA490" s="5">
        <f>SUMPRODUCT(('01_Data'!$B490:$AW490&lt;&gt;"")*(1/(1+EXP(-(Z490-'03_Lap_b'!$B$40:$AW$40)))))</f>
        <v/>
      </c>
      <c r="AB490" s="5">
        <f>SUMPRODUCT(('01_Data'!$B490:$AW490&lt;&gt;"")*(1/(1+EXP(-(Z490-'03_Lap_b'!$B$40:$AW$40))))^2)</f>
        <v/>
      </c>
      <c r="AC490" s="5">
        <f>MEDIAN(-6,Z490+(C490-AA490)/MAX(AA490-AB490,0.000000001),6)</f>
        <v/>
      </c>
    </row>
    <row r="491">
      <c r="A491" t="n">
        <v>490</v>
      </c>
      <c r="B491">
        <f>'01_Data'!A491</f>
        <v/>
      </c>
      <c r="C491">
        <f>SUM('01_Data'!$B491:$AW491)</f>
        <v/>
      </c>
      <c r="D491">
        <f>COUNT('01_Data'!$B491:$AW491)</f>
        <v/>
      </c>
      <c r="E491" s="5">
        <f>MEDIAN(-6,LN((C491+0.3)/(D491-C491+0.3)),6)</f>
        <v/>
      </c>
      <c r="F491" s="5">
        <f>SUMPRODUCT(('01_Data'!$B491:$AW491&lt;&gt;"")*(1/(1+EXP(-(E491-'03_Lap_b'!$B$5:$AW$5)))))</f>
        <v/>
      </c>
      <c r="G491" s="5">
        <f>SUMPRODUCT(('01_Data'!$B491:$AW491&lt;&gt;"")*(1/(1+EXP(-(E491-'03_Lap_b'!$B$5:$AW$5))))^2)</f>
        <v/>
      </c>
      <c r="H491" s="5">
        <f>MEDIAN(-6,E491+(C491-F491)/MAX(F491-G491,0.000000001),6)</f>
        <v/>
      </c>
      <c r="I491" s="5">
        <f>SUMPRODUCT(('01_Data'!$B491:$AW491&lt;&gt;"")*(1/(1+EXP(-(H491-'03_Lap_b'!$B$10:$AW$10)))))</f>
        <v/>
      </c>
      <c r="J491" s="5">
        <f>SUMPRODUCT(('01_Data'!$B491:$AW491&lt;&gt;"")*(1/(1+EXP(-(H491-'03_Lap_b'!$B$10:$AW$10))))^2)</f>
        <v/>
      </c>
      <c r="K491" s="5">
        <f>MEDIAN(-6,H491+(C491-I491)/MAX(I491-J491,0.000000001),6)</f>
        <v/>
      </c>
      <c r="L491" s="5">
        <f>SUMPRODUCT(('01_Data'!$B491:$AW491&lt;&gt;"")*(1/(1+EXP(-(K491-'03_Lap_b'!$B$15:$AW$15)))))</f>
        <v/>
      </c>
      <c r="M491" s="5">
        <f>SUMPRODUCT(('01_Data'!$B491:$AW491&lt;&gt;"")*(1/(1+EXP(-(K491-'03_Lap_b'!$B$15:$AW$15))))^2)</f>
        <v/>
      </c>
      <c r="N491" s="5">
        <f>MEDIAN(-6,K491+(C491-L491)/MAX(L491-M491,0.000000001),6)</f>
        <v/>
      </c>
      <c r="O491" s="5">
        <f>SUMPRODUCT(('01_Data'!$B491:$AW491&lt;&gt;"")*(1/(1+EXP(-(N491-'03_Lap_b'!$B$20:$AW$20)))))</f>
        <v/>
      </c>
      <c r="P491" s="5">
        <f>SUMPRODUCT(('01_Data'!$B491:$AW491&lt;&gt;"")*(1/(1+EXP(-(N491-'03_Lap_b'!$B$20:$AW$20))))^2)</f>
        <v/>
      </c>
      <c r="Q491" s="5">
        <f>MEDIAN(-6,N491+(C491-O491)/MAX(O491-P491,0.000000001),6)</f>
        <v/>
      </c>
      <c r="R491" s="5">
        <f>SUMPRODUCT(('01_Data'!$B491:$AW491&lt;&gt;"")*(1/(1+EXP(-(Q491-'03_Lap_b'!$B$25:$AW$25)))))</f>
        <v/>
      </c>
      <c r="S491" s="5">
        <f>SUMPRODUCT(('01_Data'!$B491:$AW491&lt;&gt;"")*(1/(1+EXP(-(Q491-'03_Lap_b'!$B$25:$AW$25))))^2)</f>
        <v/>
      </c>
      <c r="T491" s="5">
        <f>MEDIAN(-6,Q491+(C491-R491)/MAX(R491-S491,0.000000001),6)</f>
        <v/>
      </c>
      <c r="U491" s="5">
        <f>SUMPRODUCT(('01_Data'!$B491:$AW491&lt;&gt;"")*(1/(1+EXP(-(T491-'03_Lap_b'!$B$30:$AW$30)))))</f>
        <v/>
      </c>
      <c r="V491" s="5">
        <f>SUMPRODUCT(('01_Data'!$B491:$AW491&lt;&gt;"")*(1/(1+EXP(-(T491-'03_Lap_b'!$B$30:$AW$30))))^2)</f>
        <v/>
      </c>
      <c r="W491" s="5">
        <f>MEDIAN(-6,T491+(C491-U491)/MAX(U491-V491,0.000000001),6)</f>
        <v/>
      </c>
      <c r="X491" s="5">
        <f>SUMPRODUCT(('01_Data'!$B491:$AW491&lt;&gt;"")*(1/(1+EXP(-(W491-'03_Lap_b'!$B$35:$AW$35)))))</f>
        <v/>
      </c>
      <c r="Y491" s="5">
        <f>SUMPRODUCT(('01_Data'!$B491:$AW491&lt;&gt;"")*(1/(1+EXP(-(W491-'03_Lap_b'!$B$35:$AW$35))))^2)</f>
        <v/>
      </c>
      <c r="Z491" s="5">
        <f>MEDIAN(-6,W491+(C491-X491)/MAX(X491-Y491,0.000000001),6)</f>
        <v/>
      </c>
      <c r="AA491" s="5">
        <f>SUMPRODUCT(('01_Data'!$B491:$AW491&lt;&gt;"")*(1/(1+EXP(-(Z491-'03_Lap_b'!$B$40:$AW$40)))))</f>
        <v/>
      </c>
      <c r="AB491" s="5">
        <f>SUMPRODUCT(('01_Data'!$B491:$AW491&lt;&gt;"")*(1/(1+EXP(-(Z491-'03_Lap_b'!$B$40:$AW$40))))^2)</f>
        <v/>
      </c>
      <c r="AC491" s="5">
        <f>MEDIAN(-6,Z491+(C491-AA491)/MAX(AA491-AB491,0.000000001),6)</f>
        <v/>
      </c>
    </row>
    <row r="492">
      <c r="A492" t="n">
        <v>491</v>
      </c>
      <c r="B492">
        <f>'01_Data'!A492</f>
        <v/>
      </c>
      <c r="C492">
        <f>SUM('01_Data'!$B492:$AW492)</f>
        <v/>
      </c>
      <c r="D492">
        <f>COUNT('01_Data'!$B492:$AW492)</f>
        <v/>
      </c>
      <c r="E492" s="5">
        <f>MEDIAN(-6,LN((C492+0.3)/(D492-C492+0.3)),6)</f>
        <v/>
      </c>
      <c r="F492" s="5">
        <f>SUMPRODUCT(('01_Data'!$B492:$AW492&lt;&gt;"")*(1/(1+EXP(-(E492-'03_Lap_b'!$B$5:$AW$5)))))</f>
        <v/>
      </c>
      <c r="G492" s="5">
        <f>SUMPRODUCT(('01_Data'!$B492:$AW492&lt;&gt;"")*(1/(1+EXP(-(E492-'03_Lap_b'!$B$5:$AW$5))))^2)</f>
        <v/>
      </c>
      <c r="H492" s="5">
        <f>MEDIAN(-6,E492+(C492-F492)/MAX(F492-G492,0.000000001),6)</f>
        <v/>
      </c>
      <c r="I492" s="5">
        <f>SUMPRODUCT(('01_Data'!$B492:$AW492&lt;&gt;"")*(1/(1+EXP(-(H492-'03_Lap_b'!$B$10:$AW$10)))))</f>
        <v/>
      </c>
      <c r="J492" s="5">
        <f>SUMPRODUCT(('01_Data'!$B492:$AW492&lt;&gt;"")*(1/(1+EXP(-(H492-'03_Lap_b'!$B$10:$AW$10))))^2)</f>
        <v/>
      </c>
      <c r="K492" s="5">
        <f>MEDIAN(-6,H492+(C492-I492)/MAX(I492-J492,0.000000001),6)</f>
        <v/>
      </c>
      <c r="L492" s="5">
        <f>SUMPRODUCT(('01_Data'!$B492:$AW492&lt;&gt;"")*(1/(1+EXP(-(K492-'03_Lap_b'!$B$15:$AW$15)))))</f>
        <v/>
      </c>
      <c r="M492" s="5">
        <f>SUMPRODUCT(('01_Data'!$B492:$AW492&lt;&gt;"")*(1/(1+EXP(-(K492-'03_Lap_b'!$B$15:$AW$15))))^2)</f>
        <v/>
      </c>
      <c r="N492" s="5">
        <f>MEDIAN(-6,K492+(C492-L492)/MAX(L492-M492,0.000000001),6)</f>
        <v/>
      </c>
      <c r="O492" s="5">
        <f>SUMPRODUCT(('01_Data'!$B492:$AW492&lt;&gt;"")*(1/(1+EXP(-(N492-'03_Lap_b'!$B$20:$AW$20)))))</f>
        <v/>
      </c>
      <c r="P492" s="5">
        <f>SUMPRODUCT(('01_Data'!$B492:$AW492&lt;&gt;"")*(1/(1+EXP(-(N492-'03_Lap_b'!$B$20:$AW$20))))^2)</f>
        <v/>
      </c>
      <c r="Q492" s="5">
        <f>MEDIAN(-6,N492+(C492-O492)/MAX(O492-P492,0.000000001),6)</f>
        <v/>
      </c>
      <c r="R492" s="5">
        <f>SUMPRODUCT(('01_Data'!$B492:$AW492&lt;&gt;"")*(1/(1+EXP(-(Q492-'03_Lap_b'!$B$25:$AW$25)))))</f>
        <v/>
      </c>
      <c r="S492" s="5">
        <f>SUMPRODUCT(('01_Data'!$B492:$AW492&lt;&gt;"")*(1/(1+EXP(-(Q492-'03_Lap_b'!$B$25:$AW$25))))^2)</f>
        <v/>
      </c>
      <c r="T492" s="5">
        <f>MEDIAN(-6,Q492+(C492-R492)/MAX(R492-S492,0.000000001),6)</f>
        <v/>
      </c>
      <c r="U492" s="5">
        <f>SUMPRODUCT(('01_Data'!$B492:$AW492&lt;&gt;"")*(1/(1+EXP(-(T492-'03_Lap_b'!$B$30:$AW$30)))))</f>
        <v/>
      </c>
      <c r="V492" s="5">
        <f>SUMPRODUCT(('01_Data'!$B492:$AW492&lt;&gt;"")*(1/(1+EXP(-(T492-'03_Lap_b'!$B$30:$AW$30))))^2)</f>
        <v/>
      </c>
      <c r="W492" s="5">
        <f>MEDIAN(-6,T492+(C492-U492)/MAX(U492-V492,0.000000001),6)</f>
        <v/>
      </c>
      <c r="X492" s="5">
        <f>SUMPRODUCT(('01_Data'!$B492:$AW492&lt;&gt;"")*(1/(1+EXP(-(W492-'03_Lap_b'!$B$35:$AW$35)))))</f>
        <v/>
      </c>
      <c r="Y492" s="5">
        <f>SUMPRODUCT(('01_Data'!$B492:$AW492&lt;&gt;"")*(1/(1+EXP(-(W492-'03_Lap_b'!$B$35:$AW$35))))^2)</f>
        <v/>
      </c>
      <c r="Z492" s="5">
        <f>MEDIAN(-6,W492+(C492-X492)/MAX(X492-Y492,0.000000001),6)</f>
        <v/>
      </c>
      <c r="AA492" s="5">
        <f>SUMPRODUCT(('01_Data'!$B492:$AW492&lt;&gt;"")*(1/(1+EXP(-(Z492-'03_Lap_b'!$B$40:$AW$40)))))</f>
        <v/>
      </c>
      <c r="AB492" s="5">
        <f>SUMPRODUCT(('01_Data'!$B492:$AW492&lt;&gt;"")*(1/(1+EXP(-(Z492-'03_Lap_b'!$B$40:$AW$40))))^2)</f>
        <v/>
      </c>
      <c r="AC492" s="5">
        <f>MEDIAN(-6,Z492+(C492-AA492)/MAX(AA492-AB492,0.000000001),6)</f>
        <v/>
      </c>
    </row>
    <row r="493">
      <c r="A493" t="n">
        <v>492</v>
      </c>
      <c r="B493">
        <f>'01_Data'!A493</f>
        <v/>
      </c>
      <c r="C493">
        <f>SUM('01_Data'!$B493:$AW493)</f>
        <v/>
      </c>
      <c r="D493">
        <f>COUNT('01_Data'!$B493:$AW493)</f>
        <v/>
      </c>
      <c r="E493" s="5">
        <f>MEDIAN(-6,LN((C493+0.3)/(D493-C493+0.3)),6)</f>
        <v/>
      </c>
      <c r="F493" s="5">
        <f>SUMPRODUCT(('01_Data'!$B493:$AW493&lt;&gt;"")*(1/(1+EXP(-(E493-'03_Lap_b'!$B$5:$AW$5)))))</f>
        <v/>
      </c>
      <c r="G493" s="5">
        <f>SUMPRODUCT(('01_Data'!$B493:$AW493&lt;&gt;"")*(1/(1+EXP(-(E493-'03_Lap_b'!$B$5:$AW$5))))^2)</f>
        <v/>
      </c>
      <c r="H493" s="5">
        <f>MEDIAN(-6,E493+(C493-F493)/MAX(F493-G493,0.000000001),6)</f>
        <v/>
      </c>
      <c r="I493" s="5">
        <f>SUMPRODUCT(('01_Data'!$B493:$AW493&lt;&gt;"")*(1/(1+EXP(-(H493-'03_Lap_b'!$B$10:$AW$10)))))</f>
        <v/>
      </c>
      <c r="J493" s="5">
        <f>SUMPRODUCT(('01_Data'!$B493:$AW493&lt;&gt;"")*(1/(1+EXP(-(H493-'03_Lap_b'!$B$10:$AW$10))))^2)</f>
        <v/>
      </c>
      <c r="K493" s="5">
        <f>MEDIAN(-6,H493+(C493-I493)/MAX(I493-J493,0.000000001),6)</f>
        <v/>
      </c>
      <c r="L493" s="5">
        <f>SUMPRODUCT(('01_Data'!$B493:$AW493&lt;&gt;"")*(1/(1+EXP(-(K493-'03_Lap_b'!$B$15:$AW$15)))))</f>
        <v/>
      </c>
      <c r="M493" s="5">
        <f>SUMPRODUCT(('01_Data'!$B493:$AW493&lt;&gt;"")*(1/(1+EXP(-(K493-'03_Lap_b'!$B$15:$AW$15))))^2)</f>
        <v/>
      </c>
      <c r="N493" s="5">
        <f>MEDIAN(-6,K493+(C493-L493)/MAX(L493-M493,0.000000001),6)</f>
        <v/>
      </c>
      <c r="O493" s="5">
        <f>SUMPRODUCT(('01_Data'!$B493:$AW493&lt;&gt;"")*(1/(1+EXP(-(N493-'03_Lap_b'!$B$20:$AW$20)))))</f>
        <v/>
      </c>
      <c r="P493" s="5">
        <f>SUMPRODUCT(('01_Data'!$B493:$AW493&lt;&gt;"")*(1/(1+EXP(-(N493-'03_Lap_b'!$B$20:$AW$20))))^2)</f>
        <v/>
      </c>
      <c r="Q493" s="5">
        <f>MEDIAN(-6,N493+(C493-O493)/MAX(O493-P493,0.000000001),6)</f>
        <v/>
      </c>
      <c r="R493" s="5">
        <f>SUMPRODUCT(('01_Data'!$B493:$AW493&lt;&gt;"")*(1/(1+EXP(-(Q493-'03_Lap_b'!$B$25:$AW$25)))))</f>
        <v/>
      </c>
      <c r="S493" s="5">
        <f>SUMPRODUCT(('01_Data'!$B493:$AW493&lt;&gt;"")*(1/(1+EXP(-(Q493-'03_Lap_b'!$B$25:$AW$25))))^2)</f>
        <v/>
      </c>
      <c r="T493" s="5">
        <f>MEDIAN(-6,Q493+(C493-R493)/MAX(R493-S493,0.000000001),6)</f>
        <v/>
      </c>
      <c r="U493" s="5">
        <f>SUMPRODUCT(('01_Data'!$B493:$AW493&lt;&gt;"")*(1/(1+EXP(-(T493-'03_Lap_b'!$B$30:$AW$30)))))</f>
        <v/>
      </c>
      <c r="V493" s="5">
        <f>SUMPRODUCT(('01_Data'!$B493:$AW493&lt;&gt;"")*(1/(1+EXP(-(T493-'03_Lap_b'!$B$30:$AW$30))))^2)</f>
        <v/>
      </c>
      <c r="W493" s="5">
        <f>MEDIAN(-6,T493+(C493-U493)/MAX(U493-V493,0.000000001),6)</f>
        <v/>
      </c>
      <c r="X493" s="5">
        <f>SUMPRODUCT(('01_Data'!$B493:$AW493&lt;&gt;"")*(1/(1+EXP(-(W493-'03_Lap_b'!$B$35:$AW$35)))))</f>
        <v/>
      </c>
      <c r="Y493" s="5">
        <f>SUMPRODUCT(('01_Data'!$B493:$AW493&lt;&gt;"")*(1/(1+EXP(-(W493-'03_Lap_b'!$B$35:$AW$35))))^2)</f>
        <v/>
      </c>
      <c r="Z493" s="5">
        <f>MEDIAN(-6,W493+(C493-X493)/MAX(X493-Y493,0.000000001),6)</f>
        <v/>
      </c>
      <c r="AA493" s="5">
        <f>SUMPRODUCT(('01_Data'!$B493:$AW493&lt;&gt;"")*(1/(1+EXP(-(Z493-'03_Lap_b'!$B$40:$AW$40)))))</f>
        <v/>
      </c>
      <c r="AB493" s="5">
        <f>SUMPRODUCT(('01_Data'!$B493:$AW493&lt;&gt;"")*(1/(1+EXP(-(Z493-'03_Lap_b'!$B$40:$AW$40))))^2)</f>
        <v/>
      </c>
      <c r="AC493" s="5">
        <f>MEDIAN(-6,Z493+(C493-AA493)/MAX(AA493-AB493,0.000000001),6)</f>
        <v/>
      </c>
    </row>
    <row r="494">
      <c r="A494" t="n">
        <v>493</v>
      </c>
      <c r="B494">
        <f>'01_Data'!A494</f>
        <v/>
      </c>
      <c r="C494">
        <f>SUM('01_Data'!$B494:$AW494)</f>
        <v/>
      </c>
      <c r="D494">
        <f>COUNT('01_Data'!$B494:$AW494)</f>
        <v/>
      </c>
      <c r="E494" s="5">
        <f>MEDIAN(-6,LN((C494+0.3)/(D494-C494+0.3)),6)</f>
        <v/>
      </c>
      <c r="F494" s="5">
        <f>SUMPRODUCT(('01_Data'!$B494:$AW494&lt;&gt;"")*(1/(1+EXP(-(E494-'03_Lap_b'!$B$5:$AW$5)))))</f>
        <v/>
      </c>
      <c r="G494" s="5">
        <f>SUMPRODUCT(('01_Data'!$B494:$AW494&lt;&gt;"")*(1/(1+EXP(-(E494-'03_Lap_b'!$B$5:$AW$5))))^2)</f>
        <v/>
      </c>
      <c r="H494" s="5">
        <f>MEDIAN(-6,E494+(C494-F494)/MAX(F494-G494,0.000000001),6)</f>
        <v/>
      </c>
      <c r="I494" s="5">
        <f>SUMPRODUCT(('01_Data'!$B494:$AW494&lt;&gt;"")*(1/(1+EXP(-(H494-'03_Lap_b'!$B$10:$AW$10)))))</f>
        <v/>
      </c>
      <c r="J494" s="5">
        <f>SUMPRODUCT(('01_Data'!$B494:$AW494&lt;&gt;"")*(1/(1+EXP(-(H494-'03_Lap_b'!$B$10:$AW$10))))^2)</f>
        <v/>
      </c>
      <c r="K494" s="5">
        <f>MEDIAN(-6,H494+(C494-I494)/MAX(I494-J494,0.000000001),6)</f>
        <v/>
      </c>
      <c r="L494" s="5">
        <f>SUMPRODUCT(('01_Data'!$B494:$AW494&lt;&gt;"")*(1/(1+EXP(-(K494-'03_Lap_b'!$B$15:$AW$15)))))</f>
        <v/>
      </c>
      <c r="M494" s="5">
        <f>SUMPRODUCT(('01_Data'!$B494:$AW494&lt;&gt;"")*(1/(1+EXP(-(K494-'03_Lap_b'!$B$15:$AW$15))))^2)</f>
        <v/>
      </c>
      <c r="N494" s="5">
        <f>MEDIAN(-6,K494+(C494-L494)/MAX(L494-M494,0.000000001),6)</f>
        <v/>
      </c>
      <c r="O494" s="5">
        <f>SUMPRODUCT(('01_Data'!$B494:$AW494&lt;&gt;"")*(1/(1+EXP(-(N494-'03_Lap_b'!$B$20:$AW$20)))))</f>
        <v/>
      </c>
      <c r="P494" s="5">
        <f>SUMPRODUCT(('01_Data'!$B494:$AW494&lt;&gt;"")*(1/(1+EXP(-(N494-'03_Lap_b'!$B$20:$AW$20))))^2)</f>
        <v/>
      </c>
      <c r="Q494" s="5">
        <f>MEDIAN(-6,N494+(C494-O494)/MAX(O494-P494,0.000000001),6)</f>
        <v/>
      </c>
      <c r="R494" s="5">
        <f>SUMPRODUCT(('01_Data'!$B494:$AW494&lt;&gt;"")*(1/(1+EXP(-(Q494-'03_Lap_b'!$B$25:$AW$25)))))</f>
        <v/>
      </c>
      <c r="S494" s="5">
        <f>SUMPRODUCT(('01_Data'!$B494:$AW494&lt;&gt;"")*(1/(1+EXP(-(Q494-'03_Lap_b'!$B$25:$AW$25))))^2)</f>
        <v/>
      </c>
      <c r="T494" s="5">
        <f>MEDIAN(-6,Q494+(C494-R494)/MAX(R494-S494,0.000000001),6)</f>
        <v/>
      </c>
      <c r="U494" s="5">
        <f>SUMPRODUCT(('01_Data'!$B494:$AW494&lt;&gt;"")*(1/(1+EXP(-(T494-'03_Lap_b'!$B$30:$AW$30)))))</f>
        <v/>
      </c>
      <c r="V494" s="5">
        <f>SUMPRODUCT(('01_Data'!$B494:$AW494&lt;&gt;"")*(1/(1+EXP(-(T494-'03_Lap_b'!$B$30:$AW$30))))^2)</f>
        <v/>
      </c>
      <c r="W494" s="5">
        <f>MEDIAN(-6,T494+(C494-U494)/MAX(U494-V494,0.000000001),6)</f>
        <v/>
      </c>
      <c r="X494" s="5">
        <f>SUMPRODUCT(('01_Data'!$B494:$AW494&lt;&gt;"")*(1/(1+EXP(-(W494-'03_Lap_b'!$B$35:$AW$35)))))</f>
        <v/>
      </c>
      <c r="Y494" s="5">
        <f>SUMPRODUCT(('01_Data'!$B494:$AW494&lt;&gt;"")*(1/(1+EXP(-(W494-'03_Lap_b'!$B$35:$AW$35))))^2)</f>
        <v/>
      </c>
      <c r="Z494" s="5">
        <f>MEDIAN(-6,W494+(C494-X494)/MAX(X494-Y494,0.000000001),6)</f>
        <v/>
      </c>
      <c r="AA494" s="5">
        <f>SUMPRODUCT(('01_Data'!$B494:$AW494&lt;&gt;"")*(1/(1+EXP(-(Z494-'03_Lap_b'!$B$40:$AW$40)))))</f>
        <v/>
      </c>
      <c r="AB494" s="5">
        <f>SUMPRODUCT(('01_Data'!$B494:$AW494&lt;&gt;"")*(1/(1+EXP(-(Z494-'03_Lap_b'!$B$40:$AW$40))))^2)</f>
        <v/>
      </c>
      <c r="AC494" s="5">
        <f>MEDIAN(-6,Z494+(C494-AA494)/MAX(AA494-AB494,0.000000001),6)</f>
        <v/>
      </c>
    </row>
    <row r="495">
      <c r="A495" t="n">
        <v>494</v>
      </c>
      <c r="B495">
        <f>'01_Data'!A495</f>
        <v/>
      </c>
      <c r="C495">
        <f>SUM('01_Data'!$B495:$AW495)</f>
        <v/>
      </c>
      <c r="D495">
        <f>COUNT('01_Data'!$B495:$AW495)</f>
        <v/>
      </c>
      <c r="E495" s="5">
        <f>MEDIAN(-6,LN((C495+0.3)/(D495-C495+0.3)),6)</f>
        <v/>
      </c>
      <c r="F495" s="5">
        <f>SUMPRODUCT(('01_Data'!$B495:$AW495&lt;&gt;"")*(1/(1+EXP(-(E495-'03_Lap_b'!$B$5:$AW$5)))))</f>
        <v/>
      </c>
      <c r="G495" s="5">
        <f>SUMPRODUCT(('01_Data'!$B495:$AW495&lt;&gt;"")*(1/(1+EXP(-(E495-'03_Lap_b'!$B$5:$AW$5))))^2)</f>
        <v/>
      </c>
      <c r="H495" s="5">
        <f>MEDIAN(-6,E495+(C495-F495)/MAX(F495-G495,0.000000001),6)</f>
        <v/>
      </c>
      <c r="I495" s="5">
        <f>SUMPRODUCT(('01_Data'!$B495:$AW495&lt;&gt;"")*(1/(1+EXP(-(H495-'03_Lap_b'!$B$10:$AW$10)))))</f>
        <v/>
      </c>
      <c r="J495" s="5">
        <f>SUMPRODUCT(('01_Data'!$B495:$AW495&lt;&gt;"")*(1/(1+EXP(-(H495-'03_Lap_b'!$B$10:$AW$10))))^2)</f>
        <v/>
      </c>
      <c r="K495" s="5">
        <f>MEDIAN(-6,H495+(C495-I495)/MAX(I495-J495,0.000000001),6)</f>
        <v/>
      </c>
      <c r="L495" s="5">
        <f>SUMPRODUCT(('01_Data'!$B495:$AW495&lt;&gt;"")*(1/(1+EXP(-(K495-'03_Lap_b'!$B$15:$AW$15)))))</f>
        <v/>
      </c>
      <c r="M495" s="5">
        <f>SUMPRODUCT(('01_Data'!$B495:$AW495&lt;&gt;"")*(1/(1+EXP(-(K495-'03_Lap_b'!$B$15:$AW$15))))^2)</f>
        <v/>
      </c>
      <c r="N495" s="5">
        <f>MEDIAN(-6,K495+(C495-L495)/MAX(L495-M495,0.000000001),6)</f>
        <v/>
      </c>
      <c r="O495" s="5">
        <f>SUMPRODUCT(('01_Data'!$B495:$AW495&lt;&gt;"")*(1/(1+EXP(-(N495-'03_Lap_b'!$B$20:$AW$20)))))</f>
        <v/>
      </c>
      <c r="P495" s="5">
        <f>SUMPRODUCT(('01_Data'!$B495:$AW495&lt;&gt;"")*(1/(1+EXP(-(N495-'03_Lap_b'!$B$20:$AW$20))))^2)</f>
        <v/>
      </c>
      <c r="Q495" s="5">
        <f>MEDIAN(-6,N495+(C495-O495)/MAX(O495-P495,0.000000001),6)</f>
        <v/>
      </c>
      <c r="R495" s="5">
        <f>SUMPRODUCT(('01_Data'!$B495:$AW495&lt;&gt;"")*(1/(1+EXP(-(Q495-'03_Lap_b'!$B$25:$AW$25)))))</f>
        <v/>
      </c>
      <c r="S495" s="5">
        <f>SUMPRODUCT(('01_Data'!$B495:$AW495&lt;&gt;"")*(1/(1+EXP(-(Q495-'03_Lap_b'!$B$25:$AW$25))))^2)</f>
        <v/>
      </c>
      <c r="T495" s="5">
        <f>MEDIAN(-6,Q495+(C495-R495)/MAX(R495-S495,0.000000001),6)</f>
        <v/>
      </c>
      <c r="U495" s="5">
        <f>SUMPRODUCT(('01_Data'!$B495:$AW495&lt;&gt;"")*(1/(1+EXP(-(T495-'03_Lap_b'!$B$30:$AW$30)))))</f>
        <v/>
      </c>
      <c r="V495" s="5">
        <f>SUMPRODUCT(('01_Data'!$B495:$AW495&lt;&gt;"")*(1/(1+EXP(-(T495-'03_Lap_b'!$B$30:$AW$30))))^2)</f>
        <v/>
      </c>
      <c r="W495" s="5">
        <f>MEDIAN(-6,T495+(C495-U495)/MAX(U495-V495,0.000000001),6)</f>
        <v/>
      </c>
      <c r="X495" s="5">
        <f>SUMPRODUCT(('01_Data'!$B495:$AW495&lt;&gt;"")*(1/(1+EXP(-(W495-'03_Lap_b'!$B$35:$AW$35)))))</f>
        <v/>
      </c>
      <c r="Y495" s="5">
        <f>SUMPRODUCT(('01_Data'!$B495:$AW495&lt;&gt;"")*(1/(1+EXP(-(W495-'03_Lap_b'!$B$35:$AW$35))))^2)</f>
        <v/>
      </c>
      <c r="Z495" s="5">
        <f>MEDIAN(-6,W495+(C495-X495)/MAX(X495-Y495,0.000000001),6)</f>
        <v/>
      </c>
      <c r="AA495" s="5">
        <f>SUMPRODUCT(('01_Data'!$B495:$AW495&lt;&gt;"")*(1/(1+EXP(-(Z495-'03_Lap_b'!$B$40:$AW$40)))))</f>
        <v/>
      </c>
      <c r="AB495" s="5">
        <f>SUMPRODUCT(('01_Data'!$B495:$AW495&lt;&gt;"")*(1/(1+EXP(-(Z495-'03_Lap_b'!$B$40:$AW$40))))^2)</f>
        <v/>
      </c>
      <c r="AC495" s="5">
        <f>MEDIAN(-6,Z495+(C495-AA495)/MAX(AA495-AB495,0.000000001),6)</f>
        <v/>
      </c>
    </row>
    <row r="496">
      <c r="A496" t="n">
        <v>495</v>
      </c>
      <c r="B496">
        <f>'01_Data'!A496</f>
        <v/>
      </c>
      <c r="C496">
        <f>SUM('01_Data'!$B496:$AW496)</f>
        <v/>
      </c>
      <c r="D496">
        <f>COUNT('01_Data'!$B496:$AW496)</f>
        <v/>
      </c>
      <c r="E496" s="5">
        <f>MEDIAN(-6,LN((C496+0.3)/(D496-C496+0.3)),6)</f>
        <v/>
      </c>
      <c r="F496" s="5">
        <f>SUMPRODUCT(('01_Data'!$B496:$AW496&lt;&gt;"")*(1/(1+EXP(-(E496-'03_Lap_b'!$B$5:$AW$5)))))</f>
        <v/>
      </c>
      <c r="G496" s="5">
        <f>SUMPRODUCT(('01_Data'!$B496:$AW496&lt;&gt;"")*(1/(1+EXP(-(E496-'03_Lap_b'!$B$5:$AW$5))))^2)</f>
        <v/>
      </c>
      <c r="H496" s="5">
        <f>MEDIAN(-6,E496+(C496-F496)/MAX(F496-G496,0.000000001),6)</f>
        <v/>
      </c>
      <c r="I496" s="5">
        <f>SUMPRODUCT(('01_Data'!$B496:$AW496&lt;&gt;"")*(1/(1+EXP(-(H496-'03_Lap_b'!$B$10:$AW$10)))))</f>
        <v/>
      </c>
      <c r="J496" s="5">
        <f>SUMPRODUCT(('01_Data'!$B496:$AW496&lt;&gt;"")*(1/(1+EXP(-(H496-'03_Lap_b'!$B$10:$AW$10))))^2)</f>
        <v/>
      </c>
      <c r="K496" s="5">
        <f>MEDIAN(-6,H496+(C496-I496)/MAX(I496-J496,0.000000001),6)</f>
        <v/>
      </c>
      <c r="L496" s="5">
        <f>SUMPRODUCT(('01_Data'!$B496:$AW496&lt;&gt;"")*(1/(1+EXP(-(K496-'03_Lap_b'!$B$15:$AW$15)))))</f>
        <v/>
      </c>
      <c r="M496" s="5">
        <f>SUMPRODUCT(('01_Data'!$B496:$AW496&lt;&gt;"")*(1/(1+EXP(-(K496-'03_Lap_b'!$B$15:$AW$15))))^2)</f>
        <v/>
      </c>
      <c r="N496" s="5">
        <f>MEDIAN(-6,K496+(C496-L496)/MAX(L496-M496,0.000000001),6)</f>
        <v/>
      </c>
      <c r="O496" s="5">
        <f>SUMPRODUCT(('01_Data'!$B496:$AW496&lt;&gt;"")*(1/(1+EXP(-(N496-'03_Lap_b'!$B$20:$AW$20)))))</f>
        <v/>
      </c>
      <c r="P496" s="5">
        <f>SUMPRODUCT(('01_Data'!$B496:$AW496&lt;&gt;"")*(1/(1+EXP(-(N496-'03_Lap_b'!$B$20:$AW$20))))^2)</f>
        <v/>
      </c>
      <c r="Q496" s="5">
        <f>MEDIAN(-6,N496+(C496-O496)/MAX(O496-P496,0.000000001),6)</f>
        <v/>
      </c>
      <c r="R496" s="5">
        <f>SUMPRODUCT(('01_Data'!$B496:$AW496&lt;&gt;"")*(1/(1+EXP(-(Q496-'03_Lap_b'!$B$25:$AW$25)))))</f>
        <v/>
      </c>
      <c r="S496" s="5">
        <f>SUMPRODUCT(('01_Data'!$B496:$AW496&lt;&gt;"")*(1/(1+EXP(-(Q496-'03_Lap_b'!$B$25:$AW$25))))^2)</f>
        <v/>
      </c>
      <c r="T496" s="5">
        <f>MEDIAN(-6,Q496+(C496-R496)/MAX(R496-S496,0.000000001),6)</f>
        <v/>
      </c>
      <c r="U496" s="5">
        <f>SUMPRODUCT(('01_Data'!$B496:$AW496&lt;&gt;"")*(1/(1+EXP(-(T496-'03_Lap_b'!$B$30:$AW$30)))))</f>
        <v/>
      </c>
      <c r="V496" s="5">
        <f>SUMPRODUCT(('01_Data'!$B496:$AW496&lt;&gt;"")*(1/(1+EXP(-(T496-'03_Lap_b'!$B$30:$AW$30))))^2)</f>
        <v/>
      </c>
      <c r="W496" s="5">
        <f>MEDIAN(-6,T496+(C496-U496)/MAX(U496-V496,0.000000001),6)</f>
        <v/>
      </c>
      <c r="X496" s="5">
        <f>SUMPRODUCT(('01_Data'!$B496:$AW496&lt;&gt;"")*(1/(1+EXP(-(W496-'03_Lap_b'!$B$35:$AW$35)))))</f>
        <v/>
      </c>
      <c r="Y496" s="5">
        <f>SUMPRODUCT(('01_Data'!$B496:$AW496&lt;&gt;"")*(1/(1+EXP(-(W496-'03_Lap_b'!$B$35:$AW$35))))^2)</f>
        <v/>
      </c>
      <c r="Z496" s="5">
        <f>MEDIAN(-6,W496+(C496-X496)/MAX(X496-Y496,0.000000001),6)</f>
        <v/>
      </c>
      <c r="AA496" s="5">
        <f>SUMPRODUCT(('01_Data'!$B496:$AW496&lt;&gt;"")*(1/(1+EXP(-(Z496-'03_Lap_b'!$B$40:$AW$40)))))</f>
        <v/>
      </c>
      <c r="AB496" s="5">
        <f>SUMPRODUCT(('01_Data'!$B496:$AW496&lt;&gt;"")*(1/(1+EXP(-(Z496-'03_Lap_b'!$B$40:$AW$40))))^2)</f>
        <v/>
      </c>
      <c r="AC496" s="5">
        <f>MEDIAN(-6,Z496+(C496-AA496)/MAX(AA496-AB496,0.000000001),6)</f>
        <v/>
      </c>
    </row>
    <row r="497">
      <c r="A497" t="n">
        <v>496</v>
      </c>
      <c r="B497">
        <f>'01_Data'!A497</f>
        <v/>
      </c>
      <c r="C497">
        <f>SUM('01_Data'!$B497:$AW497)</f>
        <v/>
      </c>
      <c r="D497">
        <f>COUNT('01_Data'!$B497:$AW497)</f>
        <v/>
      </c>
      <c r="E497" s="5">
        <f>MEDIAN(-6,LN((C497+0.3)/(D497-C497+0.3)),6)</f>
        <v/>
      </c>
      <c r="F497" s="5">
        <f>SUMPRODUCT(('01_Data'!$B497:$AW497&lt;&gt;"")*(1/(1+EXP(-(E497-'03_Lap_b'!$B$5:$AW$5)))))</f>
        <v/>
      </c>
      <c r="G497" s="5">
        <f>SUMPRODUCT(('01_Data'!$B497:$AW497&lt;&gt;"")*(1/(1+EXP(-(E497-'03_Lap_b'!$B$5:$AW$5))))^2)</f>
        <v/>
      </c>
      <c r="H497" s="5">
        <f>MEDIAN(-6,E497+(C497-F497)/MAX(F497-G497,0.000000001),6)</f>
        <v/>
      </c>
      <c r="I497" s="5">
        <f>SUMPRODUCT(('01_Data'!$B497:$AW497&lt;&gt;"")*(1/(1+EXP(-(H497-'03_Lap_b'!$B$10:$AW$10)))))</f>
        <v/>
      </c>
      <c r="J497" s="5">
        <f>SUMPRODUCT(('01_Data'!$B497:$AW497&lt;&gt;"")*(1/(1+EXP(-(H497-'03_Lap_b'!$B$10:$AW$10))))^2)</f>
        <v/>
      </c>
      <c r="K497" s="5">
        <f>MEDIAN(-6,H497+(C497-I497)/MAX(I497-J497,0.000000001),6)</f>
        <v/>
      </c>
      <c r="L497" s="5">
        <f>SUMPRODUCT(('01_Data'!$B497:$AW497&lt;&gt;"")*(1/(1+EXP(-(K497-'03_Lap_b'!$B$15:$AW$15)))))</f>
        <v/>
      </c>
      <c r="M497" s="5">
        <f>SUMPRODUCT(('01_Data'!$B497:$AW497&lt;&gt;"")*(1/(1+EXP(-(K497-'03_Lap_b'!$B$15:$AW$15))))^2)</f>
        <v/>
      </c>
      <c r="N497" s="5">
        <f>MEDIAN(-6,K497+(C497-L497)/MAX(L497-M497,0.000000001),6)</f>
        <v/>
      </c>
      <c r="O497" s="5">
        <f>SUMPRODUCT(('01_Data'!$B497:$AW497&lt;&gt;"")*(1/(1+EXP(-(N497-'03_Lap_b'!$B$20:$AW$20)))))</f>
        <v/>
      </c>
      <c r="P497" s="5">
        <f>SUMPRODUCT(('01_Data'!$B497:$AW497&lt;&gt;"")*(1/(1+EXP(-(N497-'03_Lap_b'!$B$20:$AW$20))))^2)</f>
        <v/>
      </c>
      <c r="Q497" s="5">
        <f>MEDIAN(-6,N497+(C497-O497)/MAX(O497-P497,0.000000001),6)</f>
        <v/>
      </c>
      <c r="R497" s="5">
        <f>SUMPRODUCT(('01_Data'!$B497:$AW497&lt;&gt;"")*(1/(1+EXP(-(Q497-'03_Lap_b'!$B$25:$AW$25)))))</f>
        <v/>
      </c>
      <c r="S497" s="5">
        <f>SUMPRODUCT(('01_Data'!$B497:$AW497&lt;&gt;"")*(1/(1+EXP(-(Q497-'03_Lap_b'!$B$25:$AW$25))))^2)</f>
        <v/>
      </c>
      <c r="T497" s="5">
        <f>MEDIAN(-6,Q497+(C497-R497)/MAX(R497-S497,0.000000001),6)</f>
        <v/>
      </c>
      <c r="U497" s="5">
        <f>SUMPRODUCT(('01_Data'!$B497:$AW497&lt;&gt;"")*(1/(1+EXP(-(T497-'03_Lap_b'!$B$30:$AW$30)))))</f>
        <v/>
      </c>
      <c r="V497" s="5">
        <f>SUMPRODUCT(('01_Data'!$B497:$AW497&lt;&gt;"")*(1/(1+EXP(-(T497-'03_Lap_b'!$B$30:$AW$30))))^2)</f>
        <v/>
      </c>
      <c r="W497" s="5">
        <f>MEDIAN(-6,T497+(C497-U497)/MAX(U497-V497,0.000000001),6)</f>
        <v/>
      </c>
      <c r="X497" s="5">
        <f>SUMPRODUCT(('01_Data'!$B497:$AW497&lt;&gt;"")*(1/(1+EXP(-(W497-'03_Lap_b'!$B$35:$AW$35)))))</f>
        <v/>
      </c>
      <c r="Y497" s="5">
        <f>SUMPRODUCT(('01_Data'!$B497:$AW497&lt;&gt;"")*(1/(1+EXP(-(W497-'03_Lap_b'!$B$35:$AW$35))))^2)</f>
        <v/>
      </c>
      <c r="Z497" s="5">
        <f>MEDIAN(-6,W497+(C497-X497)/MAX(X497-Y497,0.000000001),6)</f>
        <v/>
      </c>
      <c r="AA497" s="5">
        <f>SUMPRODUCT(('01_Data'!$B497:$AW497&lt;&gt;"")*(1/(1+EXP(-(Z497-'03_Lap_b'!$B$40:$AW$40)))))</f>
        <v/>
      </c>
      <c r="AB497" s="5">
        <f>SUMPRODUCT(('01_Data'!$B497:$AW497&lt;&gt;"")*(1/(1+EXP(-(Z497-'03_Lap_b'!$B$40:$AW$40))))^2)</f>
        <v/>
      </c>
      <c r="AC497" s="5">
        <f>MEDIAN(-6,Z497+(C497-AA497)/MAX(AA497-AB497,0.000000001),6)</f>
        <v/>
      </c>
    </row>
    <row r="498">
      <c r="A498" t="n">
        <v>497</v>
      </c>
      <c r="B498">
        <f>'01_Data'!A498</f>
        <v/>
      </c>
      <c r="C498">
        <f>SUM('01_Data'!$B498:$AW498)</f>
        <v/>
      </c>
      <c r="D498">
        <f>COUNT('01_Data'!$B498:$AW498)</f>
        <v/>
      </c>
      <c r="E498" s="5">
        <f>MEDIAN(-6,LN((C498+0.3)/(D498-C498+0.3)),6)</f>
        <v/>
      </c>
      <c r="F498" s="5">
        <f>SUMPRODUCT(('01_Data'!$B498:$AW498&lt;&gt;"")*(1/(1+EXP(-(E498-'03_Lap_b'!$B$5:$AW$5)))))</f>
        <v/>
      </c>
      <c r="G498" s="5">
        <f>SUMPRODUCT(('01_Data'!$B498:$AW498&lt;&gt;"")*(1/(1+EXP(-(E498-'03_Lap_b'!$B$5:$AW$5))))^2)</f>
        <v/>
      </c>
      <c r="H498" s="5">
        <f>MEDIAN(-6,E498+(C498-F498)/MAX(F498-G498,0.000000001),6)</f>
        <v/>
      </c>
      <c r="I498" s="5">
        <f>SUMPRODUCT(('01_Data'!$B498:$AW498&lt;&gt;"")*(1/(1+EXP(-(H498-'03_Lap_b'!$B$10:$AW$10)))))</f>
        <v/>
      </c>
      <c r="J498" s="5">
        <f>SUMPRODUCT(('01_Data'!$B498:$AW498&lt;&gt;"")*(1/(1+EXP(-(H498-'03_Lap_b'!$B$10:$AW$10))))^2)</f>
        <v/>
      </c>
      <c r="K498" s="5">
        <f>MEDIAN(-6,H498+(C498-I498)/MAX(I498-J498,0.000000001),6)</f>
        <v/>
      </c>
      <c r="L498" s="5">
        <f>SUMPRODUCT(('01_Data'!$B498:$AW498&lt;&gt;"")*(1/(1+EXP(-(K498-'03_Lap_b'!$B$15:$AW$15)))))</f>
        <v/>
      </c>
      <c r="M498" s="5">
        <f>SUMPRODUCT(('01_Data'!$B498:$AW498&lt;&gt;"")*(1/(1+EXP(-(K498-'03_Lap_b'!$B$15:$AW$15))))^2)</f>
        <v/>
      </c>
      <c r="N498" s="5">
        <f>MEDIAN(-6,K498+(C498-L498)/MAX(L498-M498,0.000000001),6)</f>
        <v/>
      </c>
      <c r="O498" s="5">
        <f>SUMPRODUCT(('01_Data'!$B498:$AW498&lt;&gt;"")*(1/(1+EXP(-(N498-'03_Lap_b'!$B$20:$AW$20)))))</f>
        <v/>
      </c>
      <c r="P498" s="5">
        <f>SUMPRODUCT(('01_Data'!$B498:$AW498&lt;&gt;"")*(1/(1+EXP(-(N498-'03_Lap_b'!$B$20:$AW$20))))^2)</f>
        <v/>
      </c>
      <c r="Q498" s="5">
        <f>MEDIAN(-6,N498+(C498-O498)/MAX(O498-P498,0.000000001),6)</f>
        <v/>
      </c>
      <c r="R498" s="5">
        <f>SUMPRODUCT(('01_Data'!$B498:$AW498&lt;&gt;"")*(1/(1+EXP(-(Q498-'03_Lap_b'!$B$25:$AW$25)))))</f>
        <v/>
      </c>
      <c r="S498" s="5">
        <f>SUMPRODUCT(('01_Data'!$B498:$AW498&lt;&gt;"")*(1/(1+EXP(-(Q498-'03_Lap_b'!$B$25:$AW$25))))^2)</f>
        <v/>
      </c>
      <c r="T498" s="5">
        <f>MEDIAN(-6,Q498+(C498-R498)/MAX(R498-S498,0.000000001),6)</f>
        <v/>
      </c>
      <c r="U498" s="5">
        <f>SUMPRODUCT(('01_Data'!$B498:$AW498&lt;&gt;"")*(1/(1+EXP(-(T498-'03_Lap_b'!$B$30:$AW$30)))))</f>
        <v/>
      </c>
      <c r="V498" s="5">
        <f>SUMPRODUCT(('01_Data'!$B498:$AW498&lt;&gt;"")*(1/(1+EXP(-(T498-'03_Lap_b'!$B$30:$AW$30))))^2)</f>
        <v/>
      </c>
      <c r="W498" s="5">
        <f>MEDIAN(-6,T498+(C498-U498)/MAX(U498-V498,0.000000001),6)</f>
        <v/>
      </c>
      <c r="X498" s="5">
        <f>SUMPRODUCT(('01_Data'!$B498:$AW498&lt;&gt;"")*(1/(1+EXP(-(W498-'03_Lap_b'!$B$35:$AW$35)))))</f>
        <v/>
      </c>
      <c r="Y498" s="5">
        <f>SUMPRODUCT(('01_Data'!$B498:$AW498&lt;&gt;"")*(1/(1+EXP(-(W498-'03_Lap_b'!$B$35:$AW$35))))^2)</f>
        <v/>
      </c>
      <c r="Z498" s="5">
        <f>MEDIAN(-6,W498+(C498-X498)/MAX(X498-Y498,0.000000001),6)</f>
        <v/>
      </c>
      <c r="AA498" s="5">
        <f>SUMPRODUCT(('01_Data'!$B498:$AW498&lt;&gt;"")*(1/(1+EXP(-(Z498-'03_Lap_b'!$B$40:$AW$40)))))</f>
        <v/>
      </c>
      <c r="AB498" s="5">
        <f>SUMPRODUCT(('01_Data'!$B498:$AW498&lt;&gt;"")*(1/(1+EXP(-(Z498-'03_Lap_b'!$B$40:$AW$40))))^2)</f>
        <v/>
      </c>
      <c r="AC498" s="5">
        <f>MEDIAN(-6,Z498+(C498-AA498)/MAX(AA498-AB498,0.000000001),6)</f>
        <v/>
      </c>
    </row>
    <row r="499">
      <c r="A499" t="n">
        <v>498</v>
      </c>
      <c r="B499">
        <f>'01_Data'!A499</f>
        <v/>
      </c>
      <c r="C499">
        <f>SUM('01_Data'!$B499:$AW499)</f>
        <v/>
      </c>
      <c r="D499">
        <f>COUNT('01_Data'!$B499:$AW499)</f>
        <v/>
      </c>
      <c r="E499" s="5">
        <f>MEDIAN(-6,LN((C499+0.3)/(D499-C499+0.3)),6)</f>
        <v/>
      </c>
      <c r="F499" s="5">
        <f>SUMPRODUCT(('01_Data'!$B499:$AW499&lt;&gt;"")*(1/(1+EXP(-(E499-'03_Lap_b'!$B$5:$AW$5)))))</f>
        <v/>
      </c>
      <c r="G499" s="5">
        <f>SUMPRODUCT(('01_Data'!$B499:$AW499&lt;&gt;"")*(1/(1+EXP(-(E499-'03_Lap_b'!$B$5:$AW$5))))^2)</f>
        <v/>
      </c>
      <c r="H499" s="5">
        <f>MEDIAN(-6,E499+(C499-F499)/MAX(F499-G499,0.000000001),6)</f>
        <v/>
      </c>
      <c r="I499" s="5">
        <f>SUMPRODUCT(('01_Data'!$B499:$AW499&lt;&gt;"")*(1/(1+EXP(-(H499-'03_Lap_b'!$B$10:$AW$10)))))</f>
        <v/>
      </c>
      <c r="J499" s="5">
        <f>SUMPRODUCT(('01_Data'!$B499:$AW499&lt;&gt;"")*(1/(1+EXP(-(H499-'03_Lap_b'!$B$10:$AW$10))))^2)</f>
        <v/>
      </c>
      <c r="K499" s="5">
        <f>MEDIAN(-6,H499+(C499-I499)/MAX(I499-J499,0.000000001),6)</f>
        <v/>
      </c>
      <c r="L499" s="5">
        <f>SUMPRODUCT(('01_Data'!$B499:$AW499&lt;&gt;"")*(1/(1+EXP(-(K499-'03_Lap_b'!$B$15:$AW$15)))))</f>
        <v/>
      </c>
      <c r="M499" s="5">
        <f>SUMPRODUCT(('01_Data'!$B499:$AW499&lt;&gt;"")*(1/(1+EXP(-(K499-'03_Lap_b'!$B$15:$AW$15))))^2)</f>
        <v/>
      </c>
      <c r="N499" s="5">
        <f>MEDIAN(-6,K499+(C499-L499)/MAX(L499-M499,0.000000001),6)</f>
        <v/>
      </c>
      <c r="O499" s="5">
        <f>SUMPRODUCT(('01_Data'!$B499:$AW499&lt;&gt;"")*(1/(1+EXP(-(N499-'03_Lap_b'!$B$20:$AW$20)))))</f>
        <v/>
      </c>
      <c r="P499" s="5">
        <f>SUMPRODUCT(('01_Data'!$B499:$AW499&lt;&gt;"")*(1/(1+EXP(-(N499-'03_Lap_b'!$B$20:$AW$20))))^2)</f>
        <v/>
      </c>
      <c r="Q499" s="5">
        <f>MEDIAN(-6,N499+(C499-O499)/MAX(O499-P499,0.000000001),6)</f>
        <v/>
      </c>
      <c r="R499" s="5">
        <f>SUMPRODUCT(('01_Data'!$B499:$AW499&lt;&gt;"")*(1/(1+EXP(-(Q499-'03_Lap_b'!$B$25:$AW$25)))))</f>
        <v/>
      </c>
      <c r="S499" s="5">
        <f>SUMPRODUCT(('01_Data'!$B499:$AW499&lt;&gt;"")*(1/(1+EXP(-(Q499-'03_Lap_b'!$B$25:$AW$25))))^2)</f>
        <v/>
      </c>
      <c r="T499" s="5">
        <f>MEDIAN(-6,Q499+(C499-R499)/MAX(R499-S499,0.000000001),6)</f>
        <v/>
      </c>
      <c r="U499" s="5">
        <f>SUMPRODUCT(('01_Data'!$B499:$AW499&lt;&gt;"")*(1/(1+EXP(-(T499-'03_Lap_b'!$B$30:$AW$30)))))</f>
        <v/>
      </c>
      <c r="V499" s="5">
        <f>SUMPRODUCT(('01_Data'!$B499:$AW499&lt;&gt;"")*(1/(1+EXP(-(T499-'03_Lap_b'!$B$30:$AW$30))))^2)</f>
        <v/>
      </c>
      <c r="W499" s="5">
        <f>MEDIAN(-6,T499+(C499-U499)/MAX(U499-V499,0.000000001),6)</f>
        <v/>
      </c>
      <c r="X499" s="5">
        <f>SUMPRODUCT(('01_Data'!$B499:$AW499&lt;&gt;"")*(1/(1+EXP(-(W499-'03_Lap_b'!$B$35:$AW$35)))))</f>
        <v/>
      </c>
      <c r="Y499" s="5">
        <f>SUMPRODUCT(('01_Data'!$B499:$AW499&lt;&gt;"")*(1/(1+EXP(-(W499-'03_Lap_b'!$B$35:$AW$35))))^2)</f>
        <v/>
      </c>
      <c r="Z499" s="5">
        <f>MEDIAN(-6,W499+(C499-X499)/MAX(X499-Y499,0.000000001),6)</f>
        <v/>
      </c>
      <c r="AA499" s="5">
        <f>SUMPRODUCT(('01_Data'!$B499:$AW499&lt;&gt;"")*(1/(1+EXP(-(Z499-'03_Lap_b'!$B$40:$AW$40)))))</f>
        <v/>
      </c>
      <c r="AB499" s="5">
        <f>SUMPRODUCT(('01_Data'!$B499:$AW499&lt;&gt;"")*(1/(1+EXP(-(Z499-'03_Lap_b'!$B$40:$AW$40))))^2)</f>
        <v/>
      </c>
      <c r="AC499" s="5">
        <f>MEDIAN(-6,Z499+(C499-AA499)/MAX(AA499-AB499,0.000000001),6)</f>
        <v/>
      </c>
    </row>
    <row r="500">
      <c r="A500" t="n">
        <v>499</v>
      </c>
      <c r="B500">
        <f>'01_Data'!A500</f>
        <v/>
      </c>
      <c r="C500">
        <f>SUM('01_Data'!$B500:$AW500)</f>
        <v/>
      </c>
      <c r="D500">
        <f>COUNT('01_Data'!$B500:$AW500)</f>
        <v/>
      </c>
      <c r="E500" s="5">
        <f>MEDIAN(-6,LN((C500+0.3)/(D500-C500+0.3)),6)</f>
        <v/>
      </c>
      <c r="F500" s="5">
        <f>SUMPRODUCT(('01_Data'!$B500:$AW500&lt;&gt;"")*(1/(1+EXP(-(E500-'03_Lap_b'!$B$5:$AW$5)))))</f>
        <v/>
      </c>
      <c r="G500" s="5">
        <f>SUMPRODUCT(('01_Data'!$B500:$AW500&lt;&gt;"")*(1/(1+EXP(-(E500-'03_Lap_b'!$B$5:$AW$5))))^2)</f>
        <v/>
      </c>
      <c r="H500" s="5">
        <f>MEDIAN(-6,E500+(C500-F500)/MAX(F500-G500,0.000000001),6)</f>
        <v/>
      </c>
      <c r="I500" s="5">
        <f>SUMPRODUCT(('01_Data'!$B500:$AW500&lt;&gt;"")*(1/(1+EXP(-(H500-'03_Lap_b'!$B$10:$AW$10)))))</f>
        <v/>
      </c>
      <c r="J500" s="5">
        <f>SUMPRODUCT(('01_Data'!$B500:$AW500&lt;&gt;"")*(1/(1+EXP(-(H500-'03_Lap_b'!$B$10:$AW$10))))^2)</f>
        <v/>
      </c>
      <c r="K500" s="5">
        <f>MEDIAN(-6,H500+(C500-I500)/MAX(I500-J500,0.000000001),6)</f>
        <v/>
      </c>
      <c r="L500" s="5">
        <f>SUMPRODUCT(('01_Data'!$B500:$AW500&lt;&gt;"")*(1/(1+EXP(-(K500-'03_Lap_b'!$B$15:$AW$15)))))</f>
        <v/>
      </c>
      <c r="M500" s="5">
        <f>SUMPRODUCT(('01_Data'!$B500:$AW500&lt;&gt;"")*(1/(1+EXP(-(K500-'03_Lap_b'!$B$15:$AW$15))))^2)</f>
        <v/>
      </c>
      <c r="N500" s="5">
        <f>MEDIAN(-6,K500+(C500-L500)/MAX(L500-M500,0.000000001),6)</f>
        <v/>
      </c>
      <c r="O500" s="5">
        <f>SUMPRODUCT(('01_Data'!$B500:$AW500&lt;&gt;"")*(1/(1+EXP(-(N500-'03_Lap_b'!$B$20:$AW$20)))))</f>
        <v/>
      </c>
      <c r="P500" s="5">
        <f>SUMPRODUCT(('01_Data'!$B500:$AW500&lt;&gt;"")*(1/(1+EXP(-(N500-'03_Lap_b'!$B$20:$AW$20))))^2)</f>
        <v/>
      </c>
      <c r="Q500" s="5">
        <f>MEDIAN(-6,N500+(C500-O500)/MAX(O500-P500,0.000000001),6)</f>
        <v/>
      </c>
      <c r="R500" s="5">
        <f>SUMPRODUCT(('01_Data'!$B500:$AW500&lt;&gt;"")*(1/(1+EXP(-(Q500-'03_Lap_b'!$B$25:$AW$25)))))</f>
        <v/>
      </c>
      <c r="S500" s="5">
        <f>SUMPRODUCT(('01_Data'!$B500:$AW500&lt;&gt;"")*(1/(1+EXP(-(Q500-'03_Lap_b'!$B$25:$AW$25))))^2)</f>
        <v/>
      </c>
      <c r="T500" s="5">
        <f>MEDIAN(-6,Q500+(C500-R500)/MAX(R500-S500,0.000000001),6)</f>
        <v/>
      </c>
      <c r="U500" s="5">
        <f>SUMPRODUCT(('01_Data'!$B500:$AW500&lt;&gt;"")*(1/(1+EXP(-(T500-'03_Lap_b'!$B$30:$AW$30)))))</f>
        <v/>
      </c>
      <c r="V500" s="5">
        <f>SUMPRODUCT(('01_Data'!$B500:$AW500&lt;&gt;"")*(1/(1+EXP(-(T500-'03_Lap_b'!$B$30:$AW$30))))^2)</f>
        <v/>
      </c>
      <c r="W500" s="5">
        <f>MEDIAN(-6,T500+(C500-U500)/MAX(U500-V500,0.000000001),6)</f>
        <v/>
      </c>
      <c r="X500" s="5">
        <f>SUMPRODUCT(('01_Data'!$B500:$AW500&lt;&gt;"")*(1/(1+EXP(-(W500-'03_Lap_b'!$B$35:$AW$35)))))</f>
        <v/>
      </c>
      <c r="Y500" s="5">
        <f>SUMPRODUCT(('01_Data'!$B500:$AW500&lt;&gt;"")*(1/(1+EXP(-(W500-'03_Lap_b'!$B$35:$AW$35))))^2)</f>
        <v/>
      </c>
      <c r="Z500" s="5">
        <f>MEDIAN(-6,W500+(C500-X500)/MAX(X500-Y500,0.000000001),6)</f>
        <v/>
      </c>
      <c r="AA500" s="5">
        <f>SUMPRODUCT(('01_Data'!$B500:$AW500&lt;&gt;"")*(1/(1+EXP(-(Z500-'03_Lap_b'!$B$40:$AW$40)))))</f>
        <v/>
      </c>
      <c r="AB500" s="5">
        <f>SUMPRODUCT(('01_Data'!$B500:$AW500&lt;&gt;"")*(1/(1+EXP(-(Z500-'03_Lap_b'!$B$40:$AW$40))))^2)</f>
        <v/>
      </c>
      <c r="AC500" s="5">
        <f>MEDIAN(-6,Z500+(C500-AA500)/MAX(AA500-AB500,0.000000001),6)</f>
        <v/>
      </c>
    </row>
    <row r="501">
      <c r="A501" t="n">
        <v>500</v>
      </c>
      <c r="B501">
        <f>'01_Data'!A501</f>
        <v/>
      </c>
      <c r="C501">
        <f>SUM('01_Data'!$B501:$AW501)</f>
        <v/>
      </c>
      <c r="D501">
        <f>COUNT('01_Data'!$B501:$AW501)</f>
        <v/>
      </c>
      <c r="E501" s="5">
        <f>MEDIAN(-6,LN((C501+0.3)/(D501-C501+0.3)),6)</f>
        <v/>
      </c>
      <c r="F501" s="5">
        <f>SUMPRODUCT(('01_Data'!$B501:$AW501&lt;&gt;"")*(1/(1+EXP(-(E501-'03_Lap_b'!$B$5:$AW$5)))))</f>
        <v/>
      </c>
      <c r="G501" s="5">
        <f>SUMPRODUCT(('01_Data'!$B501:$AW501&lt;&gt;"")*(1/(1+EXP(-(E501-'03_Lap_b'!$B$5:$AW$5))))^2)</f>
        <v/>
      </c>
      <c r="H501" s="5">
        <f>MEDIAN(-6,E501+(C501-F501)/MAX(F501-G501,0.000000001),6)</f>
        <v/>
      </c>
      <c r="I501" s="5">
        <f>SUMPRODUCT(('01_Data'!$B501:$AW501&lt;&gt;"")*(1/(1+EXP(-(H501-'03_Lap_b'!$B$10:$AW$10)))))</f>
        <v/>
      </c>
      <c r="J501" s="5">
        <f>SUMPRODUCT(('01_Data'!$B501:$AW501&lt;&gt;"")*(1/(1+EXP(-(H501-'03_Lap_b'!$B$10:$AW$10))))^2)</f>
        <v/>
      </c>
      <c r="K501" s="5">
        <f>MEDIAN(-6,H501+(C501-I501)/MAX(I501-J501,0.000000001),6)</f>
        <v/>
      </c>
      <c r="L501" s="5">
        <f>SUMPRODUCT(('01_Data'!$B501:$AW501&lt;&gt;"")*(1/(1+EXP(-(K501-'03_Lap_b'!$B$15:$AW$15)))))</f>
        <v/>
      </c>
      <c r="M501" s="5">
        <f>SUMPRODUCT(('01_Data'!$B501:$AW501&lt;&gt;"")*(1/(1+EXP(-(K501-'03_Lap_b'!$B$15:$AW$15))))^2)</f>
        <v/>
      </c>
      <c r="N501" s="5">
        <f>MEDIAN(-6,K501+(C501-L501)/MAX(L501-M501,0.000000001),6)</f>
        <v/>
      </c>
      <c r="O501" s="5">
        <f>SUMPRODUCT(('01_Data'!$B501:$AW501&lt;&gt;"")*(1/(1+EXP(-(N501-'03_Lap_b'!$B$20:$AW$20)))))</f>
        <v/>
      </c>
      <c r="P501" s="5">
        <f>SUMPRODUCT(('01_Data'!$B501:$AW501&lt;&gt;"")*(1/(1+EXP(-(N501-'03_Lap_b'!$B$20:$AW$20))))^2)</f>
        <v/>
      </c>
      <c r="Q501" s="5">
        <f>MEDIAN(-6,N501+(C501-O501)/MAX(O501-P501,0.000000001),6)</f>
        <v/>
      </c>
      <c r="R501" s="5">
        <f>SUMPRODUCT(('01_Data'!$B501:$AW501&lt;&gt;"")*(1/(1+EXP(-(Q501-'03_Lap_b'!$B$25:$AW$25)))))</f>
        <v/>
      </c>
      <c r="S501" s="5">
        <f>SUMPRODUCT(('01_Data'!$B501:$AW501&lt;&gt;"")*(1/(1+EXP(-(Q501-'03_Lap_b'!$B$25:$AW$25))))^2)</f>
        <v/>
      </c>
      <c r="T501" s="5">
        <f>MEDIAN(-6,Q501+(C501-R501)/MAX(R501-S501,0.000000001),6)</f>
        <v/>
      </c>
      <c r="U501" s="5">
        <f>SUMPRODUCT(('01_Data'!$B501:$AW501&lt;&gt;"")*(1/(1+EXP(-(T501-'03_Lap_b'!$B$30:$AW$30)))))</f>
        <v/>
      </c>
      <c r="V501" s="5">
        <f>SUMPRODUCT(('01_Data'!$B501:$AW501&lt;&gt;"")*(1/(1+EXP(-(T501-'03_Lap_b'!$B$30:$AW$30))))^2)</f>
        <v/>
      </c>
      <c r="W501" s="5">
        <f>MEDIAN(-6,T501+(C501-U501)/MAX(U501-V501,0.000000001),6)</f>
        <v/>
      </c>
      <c r="X501" s="5">
        <f>SUMPRODUCT(('01_Data'!$B501:$AW501&lt;&gt;"")*(1/(1+EXP(-(W501-'03_Lap_b'!$B$35:$AW$35)))))</f>
        <v/>
      </c>
      <c r="Y501" s="5">
        <f>SUMPRODUCT(('01_Data'!$B501:$AW501&lt;&gt;"")*(1/(1+EXP(-(W501-'03_Lap_b'!$B$35:$AW$35))))^2)</f>
        <v/>
      </c>
      <c r="Z501" s="5">
        <f>MEDIAN(-6,W501+(C501-X501)/MAX(X501-Y501,0.000000001),6)</f>
        <v/>
      </c>
      <c r="AA501" s="5">
        <f>SUMPRODUCT(('01_Data'!$B501:$AW501&lt;&gt;"")*(1/(1+EXP(-(Z501-'03_Lap_b'!$B$40:$AW$40)))))</f>
        <v/>
      </c>
      <c r="AB501" s="5">
        <f>SUMPRODUCT(('01_Data'!$B501:$AW501&lt;&gt;"")*(1/(1+EXP(-(Z501-'03_Lap_b'!$B$40:$AW$40))))^2)</f>
        <v/>
      </c>
      <c r="AC501" s="5">
        <f>MEDIAN(-6,Z501+(C501-AA501)/MAX(AA501-AB501,0.000000001),6)</f>
        <v/>
      </c>
    </row>
    <row r="502">
      <c r="A502" t="n">
        <v>501</v>
      </c>
      <c r="B502">
        <f>'01_Data'!A502</f>
        <v/>
      </c>
      <c r="C502">
        <f>SUM('01_Data'!$B502:$AW502)</f>
        <v/>
      </c>
      <c r="D502">
        <f>COUNT('01_Data'!$B502:$AW502)</f>
        <v/>
      </c>
      <c r="E502" s="5">
        <f>MEDIAN(-6,LN((C502+0.3)/(D502-C502+0.3)),6)</f>
        <v/>
      </c>
      <c r="F502" s="5">
        <f>SUMPRODUCT(('01_Data'!$B502:$AW502&lt;&gt;"")*(1/(1+EXP(-(E502-'03_Lap_b'!$B$5:$AW$5)))))</f>
        <v/>
      </c>
      <c r="G502" s="5">
        <f>SUMPRODUCT(('01_Data'!$B502:$AW502&lt;&gt;"")*(1/(1+EXP(-(E502-'03_Lap_b'!$B$5:$AW$5))))^2)</f>
        <v/>
      </c>
      <c r="H502" s="5">
        <f>MEDIAN(-6,E502+(C502-F502)/MAX(F502-G502,0.000000001),6)</f>
        <v/>
      </c>
      <c r="I502" s="5">
        <f>SUMPRODUCT(('01_Data'!$B502:$AW502&lt;&gt;"")*(1/(1+EXP(-(H502-'03_Lap_b'!$B$10:$AW$10)))))</f>
        <v/>
      </c>
      <c r="J502" s="5">
        <f>SUMPRODUCT(('01_Data'!$B502:$AW502&lt;&gt;"")*(1/(1+EXP(-(H502-'03_Lap_b'!$B$10:$AW$10))))^2)</f>
        <v/>
      </c>
      <c r="K502" s="5">
        <f>MEDIAN(-6,H502+(C502-I502)/MAX(I502-J502,0.000000001),6)</f>
        <v/>
      </c>
      <c r="L502" s="5">
        <f>SUMPRODUCT(('01_Data'!$B502:$AW502&lt;&gt;"")*(1/(1+EXP(-(K502-'03_Lap_b'!$B$15:$AW$15)))))</f>
        <v/>
      </c>
      <c r="M502" s="5">
        <f>SUMPRODUCT(('01_Data'!$B502:$AW502&lt;&gt;"")*(1/(1+EXP(-(K502-'03_Lap_b'!$B$15:$AW$15))))^2)</f>
        <v/>
      </c>
      <c r="N502" s="5">
        <f>MEDIAN(-6,K502+(C502-L502)/MAX(L502-M502,0.000000001),6)</f>
        <v/>
      </c>
      <c r="O502" s="5">
        <f>SUMPRODUCT(('01_Data'!$B502:$AW502&lt;&gt;"")*(1/(1+EXP(-(N502-'03_Lap_b'!$B$20:$AW$20)))))</f>
        <v/>
      </c>
      <c r="P502" s="5">
        <f>SUMPRODUCT(('01_Data'!$B502:$AW502&lt;&gt;"")*(1/(1+EXP(-(N502-'03_Lap_b'!$B$20:$AW$20))))^2)</f>
        <v/>
      </c>
      <c r="Q502" s="5">
        <f>MEDIAN(-6,N502+(C502-O502)/MAX(O502-P502,0.000000001),6)</f>
        <v/>
      </c>
      <c r="R502" s="5">
        <f>SUMPRODUCT(('01_Data'!$B502:$AW502&lt;&gt;"")*(1/(1+EXP(-(Q502-'03_Lap_b'!$B$25:$AW$25)))))</f>
        <v/>
      </c>
      <c r="S502" s="5">
        <f>SUMPRODUCT(('01_Data'!$B502:$AW502&lt;&gt;"")*(1/(1+EXP(-(Q502-'03_Lap_b'!$B$25:$AW$25))))^2)</f>
        <v/>
      </c>
      <c r="T502" s="5">
        <f>MEDIAN(-6,Q502+(C502-R502)/MAX(R502-S502,0.000000001),6)</f>
        <v/>
      </c>
      <c r="U502" s="5">
        <f>SUMPRODUCT(('01_Data'!$B502:$AW502&lt;&gt;"")*(1/(1+EXP(-(T502-'03_Lap_b'!$B$30:$AW$30)))))</f>
        <v/>
      </c>
      <c r="V502" s="5">
        <f>SUMPRODUCT(('01_Data'!$B502:$AW502&lt;&gt;"")*(1/(1+EXP(-(T502-'03_Lap_b'!$B$30:$AW$30))))^2)</f>
        <v/>
      </c>
      <c r="W502" s="5">
        <f>MEDIAN(-6,T502+(C502-U502)/MAX(U502-V502,0.000000001),6)</f>
        <v/>
      </c>
      <c r="X502" s="5">
        <f>SUMPRODUCT(('01_Data'!$B502:$AW502&lt;&gt;"")*(1/(1+EXP(-(W502-'03_Lap_b'!$B$35:$AW$35)))))</f>
        <v/>
      </c>
      <c r="Y502" s="5">
        <f>SUMPRODUCT(('01_Data'!$B502:$AW502&lt;&gt;"")*(1/(1+EXP(-(W502-'03_Lap_b'!$B$35:$AW$35))))^2)</f>
        <v/>
      </c>
      <c r="Z502" s="5">
        <f>MEDIAN(-6,W502+(C502-X502)/MAX(X502-Y502,0.000000001),6)</f>
        <v/>
      </c>
      <c r="AA502" s="5">
        <f>SUMPRODUCT(('01_Data'!$B502:$AW502&lt;&gt;"")*(1/(1+EXP(-(Z502-'03_Lap_b'!$B$40:$AW$40)))))</f>
        <v/>
      </c>
      <c r="AB502" s="5">
        <f>SUMPRODUCT(('01_Data'!$B502:$AW502&lt;&gt;"")*(1/(1+EXP(-(Z502-'03_Lap_b'!$B$40:$AW$40))))^2)</f>
        <v/>
      </c>
      <c r="AC502" s="5">
        <f>MEDIAN(-6,Z502+(C502-AA502)/MAX(AA502-AB502,0.000000001),6)</f>
        <v/>
      </c>
    </row>
    <row r="503">
      <c r="A503" t="n">
        <v>502</v>
      </c>
      <c r="B503">
        <f>'01_Data'!A503</f>
        <v/>
      </c>
      <c r="C503">
        <f>SUM('01_Data'!$B503:$AW503)</f>
        <v/>
      </c>
      <c r="D503">
        <f>COUNT('01_Data'!$B503:$AW503)</f>
        <v/>
      </c>
      <c r="E503" s="5">
        <f>MEDIAN(-6,LN((C503+0.3)/(D503-C503+0.3)),6)</f>
        <v/>
      </c>
      <c r="F503" s="5">
        <f>SUMPRODUCT(('01_Data'!$B503:$AW503&lt;&gt;"")*(1/(1+EXP(-(E503-'03_Lap_b'!$B$5:$AW$5)))))</f>
        <v/>
      </c>
      <c r="G503" s="5">
        <f>SUMPRODUCT(('01_Data'!$B503:$AW503&lt;&gt;"")*(1/(1+EXP(-(E503-'03_Lap_b'!$B$5:$AW$5))))^2)</f>
        <v/>
      </c>
      <c r="H503" s="5">
        <f>MEDIAN(-6,E503+(C503-F503)/MAX(F503-G503,0.000000001),6)</f>
        <v/>
      </c>
      <c r="I503" s="5">
        <f>SUMPRODUCT(('01_Data'!$B503:$AW503&lt;&gt;"")*(1/(1+EXP(-(H503-'03_Lap_b'!$B$10:$AW$10)))))</f>
        <v/>
      </c>
      <c r="J503" s="5">
        <f>SUMPRODUCT(('01_Data'!$B503:$AW503&lt;&gt;"")*(1/(1+EXP(-(H503-'03_Lap_b'!$B$10:$AW$10))))^2)</f>
        <v/>
      </c>
      <c r="K503" s="5">
        <f>MEDIAN(-6,H503+(C503-I503)/MAX(I503-J503,0.000000001),6)</f>
        <v/>
      </c>
      <c r="L503" s="5">
        <f>SUMPRODUCT(('01_Data'!$B503:$AW503&lt;&gt;"")*(1/(1+EXP(-(K503-'03_Lap_b'!$B$15:$AW$15)))))</f>
        <v/>
      </c>
      <c r="M503" s="5">
        <f>SUMPRODUCT(('01_Data'!$B503:$AW503&lt;&gt;"")*(1/(1+EXP(-(K503-'03_Lap_b'!$B$15:$AW$15))))^2)</f>
        <v/>
      </c>
      <c r="N503" s="5">
        <f>MEDIAN(-6,K503+(C503-L503)/MAX(L503-M503,0.000000001),6)</f>
        <v/>
      </c>
      <c r="O503" s="5">
        <f>SUMPRODUCT(('01_Data'!$B503:$AW503&lt;&gt;"")*(1/(1+EXP(-(N503-'03_Lap_b'!$B$20:$AW$20)))))</f>
        <v/>
      </c>
      <c r="P503" s="5">
        <f>SUMPRODUCT(('01_Data'!$B503:$AW503&lt;&gt;"")*(1/(1+EXP(-(N503-'03_Lap_b'!$B$20:$AW$20))))^2)</f>
        <v/>
      </c>
      <c r="Q503" s="5">
        <f>MEDIAN(-6,N503+(C503-O503)/MAX(O503-P503,0.000000001),6)</f>
        <v/>
      </c>
      <c r="R503" s="5">
        <f>SUMPRODUCT(('01_Data'!$B503:$AW503&lt;&gt;"")*(1/(1+EXP(-(Q503-'03_Lap_b'!$B$25:$AW$25)))))</f>
        <v/>
      </c>
      <c r="S503" s="5">
        <f>SUMPRODUCT(('01_Data'!$B503:$AW503&lt;&gt;"")*(1/(1+EXP(-(Q503-'03_Lap_b'!$B$25:$AW$25))))^2)</f>
        <v/>
      </c>
      <c r="T503" s="5">
        <f>MEDIAN(-6,Q503+(C503-R503)/MAX(R503-S503,0.000000001),6)</f>
        <v/>
      </c>
      <c r="U503" s="5">
        <f>SUMPRODUCT(('01_Data'!$B503:$AW503&lt;&gt;"")*(1/(1+EXP(-(T503-'03_Lap_b'!$B$30:$AW$30)))))</f>
        <v/>
      </c>
      <c r="V503" s="5">
        <f>SUMPRODUCT(('01_Data'!$B503:$AW503&lt;&gt;"")*(1/(1+EXP(-(T503-'03_Lap_b'!$B$30:$AW$30))))^2)</f>
        <v/>
      </c>
      <c r="W503" s="5">
        <f>MEDIAN(-6,T503+(C503-U503)/MAX(U503-V503,0.000000001),6)</f>
        <v/>
      </c>
      <c r="X503" s="5">
        <f>SUMPRODUCT(('01_Data'!$B503:$AW503&lt;&gt;"")*(1/(1+EXP(-(W503-'03_Lap_b'!$B$35:$AW$35)))))</f>
        <v/>
      </c>
      <c r="Y503" s="5">
        <f>SUMPRODUCT(('01_Data'!$B503:$AW503&lt;&gt;"")*(1/(1+EXP(-(W503-'03_Lap_b'!$B$35:$AW$35))))^2)</f>
        <v/>
      </c>
      <c r="Z503" s="5">
        <f>MEDIAN(-6,W503+(C503-X503)/MAX(X503-Y503,0.000000001),6)</f>
        <v/>
      </c>
      <c r="AA503" s="5">
        <f>SUMPRODUCT(('01_Data'!$B503:$AW503&lt;&gt;"")*(1/(1+EXP(-(Z503-'03_Lap_b'!$B$40:$AW$40)))))</f>
        <v/>
      </c>
      <c r="AB503" s="5">
        <f>SUMPRODUCT(('01_Data'!$B503:$AW503&lt;&gt;"")*(1/(1+EXP(-(Z503-'03_Lap_b'!$B$40:$AW$40))))^2)</f>
        <v/>
      </c>
      <c r="AC503" s="5">
        <f>MEDIAN(-6,Z503+(C503-AA503)/MAX(AA503-AB503,0.000000001),6)</f>
        <v/>
      </c>
    </row>
    <row r="504">
      <c r="A504" t="n">
        <v>503</v>
      </c>
      <c r="B504">
        <f>'01_Data'!A504</f>
        <v/>
      </c>
      <c r="C504">
        <f>SUM('01_Data'!$B504:$AW504)</f>
        <v/>
      </c>
      <c r="D504">
        <f>COUNT('01_Data'!$B504:$AW504)</f>
        <v/>
      </c>
      <c r="E504" s="5">
        <f>MEDIAN(-6,LN((C504+0.3)/(D504-C504+0.3)),6)</f>
        <v/>
      </c>
      <c r="F504" s="5">
        <f>SUMPRODUCT(('01_Data'!$B504:$AW504&lt;&gt;"")*(1/(1+EXP(-(E504-'03_Lap_b'!$B$5:$AW$5)))))</f>
        <v/>
      </c>
      <c r="G504" s="5">
        <f>SUMPRODUCT(('01_Data'!$B504:$AW504&lt;&gt;"")*(1/(1+EXP(-(E504-'03_Lap_b'!$B$5:$AW$5))))^2)</f>
        <v/>
      </c>
      <c r="H504" s="5">
        <f>MEDIAN(-6,E504+(C504-F504)/MAX(F504-G504,0.000000001),6)</f>
        <v/>
      </c>
      <c r="I504" s="5">
        <f>SUMPRODUCT(('01_Data'!$B504:$AW504&lt;&gt;"")*(1/(1+EXP(-(H504-'03_Lap_b'!$B$10:$AW$10)))))</f>
        <v/>
      </c>
      <c r="J504" s="5">
        <f>SUMPRODUCT(('01_Data'!$B504:$AW504&lt;&gt;"")*(1/(1+EXP(-(H504-'03_Lap_b'!$B$10:$AW$10))))^2)</f>
        <v/>
      </c>
      <c r="K504" s="5">
        <f>MEDIAN(-6,H504+(C504-I504)/MAX(I504-J504,0.000000001),6)</f>
        <v/>
      </c>
      <c r="L504" s="5">
        <f>SUMPRODUCT(('01_Data'!$B504:$AW504&lt;&gt;"")*(1/(1+EXP(-(K504-'03_Lap_b'!$B$15:$AW$15)))))</f>
        <v/>
      </c>
      <c r="M504" s="5">
        <f>SUMPRODUCT(('01_Data'!$B504:$AW504&lt;&gt;"")*(1/(1+EXP(-(K504-'03_Lap_b'!$B$15:$AW$15))))^2)</f>
        <v/>
      </c>
      <c r="N504" s="5">
        <f>MEDIAN(-6,K504+(C504-L504)/MAX(L504-M504,0.000000001),6)</f>
        <v/>
      </c>
      <c r="O504" s="5">
        <f>SUMPRODUCT(('01_Data'!$B504:$AW504&lt;&gt;"")*(1/(1+EXP(-(N504-'03_Lap_b'!$B$20:$AW$20)))))</f>
        <v/>
      </c>
      <c r="P504" s="5">
        <f>SUMPRODUCT(('01_Data'!$B504:$AW504&lt;&gt;"")*(1/(1+EXP(-(N504-'03_Lap_b'!$B$20:$AW$20))))^2)</f>
        <v/>
      </c>
      <c r="Q504" s="5">
        <f>MEDIAN(-6,N504+(C504-O504)/MAX(O504-P504,0.000000001),6)</f>
        <v/>
      </c>
      <c r="R504" s="5">
        <f>SUMPRODUCT(('01_Data'!$B504:$AW504&lt;&gt;"")*(1/(1+EXP(-(Q504-'03_Lap_b'!$B$25:$AW$25)))))</f>
        <v/>
      </c>
      <c r="S504" s="5">
        <f>SUMPRODUCT(('01_Data'!$B504:$AW504&lt;&gt;"")*(1/(1+EXP(-(Q504-'03_Lap_b'!$B$25:$AW$25))))^2)</f>
        <v/>
      </c>
      <c r="T504" s="5">
        <f>MEDIAN(-6,Q504+(C504-R504)/MAX(R504-S504,0.000000001),6)</f>
        <v/>
      </c>
      <c r="U504" s="5">
        <f>SUMPRODUCT(('01_Data'!$B504:$AW504&lt;&gt;"")*(1/(1+EXP(-(T504-'03_Lap_b'!$B$30:$AW$30)))))</f>
        <v/>
      </c>
      <c r="V504" s="5">
        <f>SUMPRODUCT(('01_Data'!$B504:$AW504&lt;&gt;"")*(1/(1+EXP(-(T504-'03_Lap_b'!$B$30:$AW$30))))^2)</f>
        <v/>
      </c>
      <c r="W504" s="5">
        <f>MEDIAN(-6,T504+(C504-U504)/MAX(U504-V504,0.000000001),6)</f>
        <v/>
      </c>
      <c r="X504" s="5">
        <f>SUMPRODUCT(('01_Data'!$B504:$AW504&lt;&gt;"")*(1/(1+EXP(-(W504-'03_Lap_b'!$B$35:$AW$35)))))</f>
        <v/>
      </c>
      <c r="Y504" s="5">
        <f>SUMPRODUCT(('01_Data'!$B504:$AW504&lt;&gt;"")*(1/(1+EXP(-(W504-'03_Lap_b'!$B$35:$AW$35))))^2)</f>
        <v/>
      </c>
      <c r="Z504" s="5">
        <f>MEDIAN(-6,W504+(C504-X504)/MAX(X504-Y504,0.000000001),6)</f>
        <v/>
      </c>
      <c r="AA504" s="5">
        <f>SUMPRODUCT(('01_Data'!$B504:$AW504&lt;&gt;"")*(1/(1+EXP(-(Z504-'03_Lap_b'!$B$40:$AW$40)))))</f>
        <v/>
      </c>
      <c r="AB504" s="5">
        <f>SUMPRODUCT(('01_Data'!$B504:$AW504&lt;&gt;"")*(1/(1+EXP(-(Z504-'03_Lap_b'!$B$40:$AW$40))))^2)</f>
        <v/>
      </c>
      <c r="AC504" s="5">
        <f>MEDIAN(-6,Z504+(C504-AA504)/MAX(AA504-AB504,0.000000001),6)</f>
        <v/>
      </c>
    </row>
    <row r="505">
      <c r="A505" t="n">
        <v>504</v>
      </c>
      <c r="B505">
        <f>'01_Data'!A505</f>
        <v/>
      </c>
      <c r="C505">
        <f>SUM('01_Data'!$B505:$AW505)</f>
        <v/>
      </c>
      <c r="D505">
        <f>COUNT('01_Data'!$B505:$AW505)</f>
        <v/>
      </c>
      <c r="E505" s="5">
        <f>MEDIAN(-6,LN((C505+0.3)/(D505-C505+0.3)),6)</f>
        <v/>
      </c>
      <c r="F505" s="5">
        <f>SUMPRODUCT(('01_Data'!$B505:$AW505&lt;&gt;"")*(1/(1+EXP(-(E505-'03_Lap_b'!$B$5:$AW$5)))))</f>
        <v/>
      </c>
      <c r="G505" s="5">
        <f>SUMPRODUCT(('01_Data'!$B505:$AW505&lt;&gt;"")*(1/(1+EXP(-(E505-'03_Lap_b'!$B$5:$AW$5))))^2)</f>
        <v/>
      </c>
      <c r="H505" s="5">
        <f>MEDIAN(-6,E505+(C505-F505)/MAX(F505-G505,0.000000001),6)</f>
        <v/>
      </c>
      <c r="I505" s="5">
        <f>SUMPRODUCT(('01_Data'!$B505:$AW505&lt;&gt;"")*(1/(1+EXP(-(H505-'03_Lap_b'!$B$10:$AW$10)))))</f>
        <v/>
      </c>
      <c r="J505" s="5">
        <f>SUMPRODUCT(('01_Data'!$B505:$AW505&lt;&gt;"")*(1/(1+EXP(-(H505-'03_Lap_b'!$B$10:$AW$10))))^2)</f>
        <v/>
      </c>
      <c r="K505" s="5">
        <f>MEDIAN(-6,H505+(C505-I505)/MAX(I505-J505,0.000000001),6)</f>
        <v/>
      </c>
      <c r="L505" s="5">
        <f>SUMPRODUCT(('01_Data'!$B505:$AW505&lt;&gt;"")*(1/(1+EXP(-(K505-'03_Lap_b'!$B$15:$AW$15)))))</f>
        <v/>
      </c>
      <c r="M505" s="5">
        <f>SUMPRODUCT(('01_Data'!$B505:$AW505&lt;&gt;"")*(1/(1+EXP(-(K505-'03_Lap_b'!$B$15:$AW$15))))^2)</f>
        <v/>
      </c>
      <c r="N505" s="5">
        <f>MEDIAN(-6,K505+(C505-L505)/MAX(L505-M505,0.000000001),6)</f>
        <v/>
      </c>
      <c r="O505" s="5">
        <f>SUMPRODUCT(('01_Data'!$B505:$AW505&lt;&gt;"")*(1/(1+EXP(-(N505-'03_Lap_b'!$B$20:$AW$20)))))</f>
        <v/>
      </c>
      <c r="P505" s="5">
        <f>SUMPRODUCT(('01_Data'!$B505:$AW505&lt;&gt;"")*(1/(1+EXP(-(N505-'03_Lap_b'!$B$20:$AW$20))))^2)</f>
        <v/>
      </c>
      <c r="Q505" s="5">
        <f>MEDIAN(-6,N505+(C505-O505)/MAX(O505-P505,0.000000001),6)</f>
        <v/>
      </c>
      <c r="R505" s="5">
        <f>SUMPRODUCT(('01_Data'!$B505:$AW505&lt;&gt;"")*(1/(1+EXP(-(Q505-'03_Lap_b'!$B$25:$AW$25)))))</f>
        <v/>
      </c>
      <c r="S505" s="5">
        <f>SUMPRODUCT(('01_Data'!$B505:$AW505&lt;&gt;"")*(1/(1+EXP(-(Q505-'03_Lap_b'!$B$25:$AW$25))))^2)</f>
        <v/>
      </c>
      <c r="T505" s="5">
        <f>MEDIAN(-6,Q505+(C505-R505)/MAX(R505-S505,0.000000001),6)</f>
        <v/>
      </c>
      <c r="U505" s="5">
        <f>SUMPRODUCT(('01_Data'!$B505:$AW505&lt;&gt;"")*(1/(1+EXP(-(T505-'03_Lap_b'!$B$30:$AW$30)))))</f>
        <v/>
      </c>
      <c r="V505" s="5">
        <f>SUMPRODUCT(('01_Data'!$B505:$AW505&lt;&gt;"")*(1/(1+EXP(-(T505-'03_Lap_b'!$B$30:$AW$30))))^2)</f>
        <v/>
      </c>
      <c r="W505" s="5">
        <f>MEDIAN(-6,T505+(C505-U505)/MAX(U505-V505,0.000000001),6)</f>
        <v/>
      </c>
      <c r="X505" s="5">
        <f>SUMPRODUCT(('01_Data'!$B505:$AW505&lt;&gt;"")*(1/(1+EXP(-(W505-'03_Lap_b'!$B$35:$AW$35)))))</f>
        <v/>
      </c>
      <c r="Y505" s="5">
        <f>SUMPRODUCT(('01_Data'!$B505:$AW505&lt;&gt;"")*(1/(1+EXP(-(W505-'03_Lap_b'!$B$35:$AW$35))))^2)</f>
        <v/>
      </c>
      <c r="Z505" s="5">
        <f>MEDIAN(-6,W505+(C505-X505)/MAX(X505-Y505,0.000000001),6)</f>
        <v/>
      </c>
      <c r="AA505" s="5">
        <f>SUMPRODUCT(('01_Data'!$B505:$AW505&lt;&gt;"")*(1/(1+EXP(-(Z505-'03_Lap_b'!$B$40:$AW$40)))))</f>
        <v/>
      </c>
      <c r="AB505" s="5">
        <f>SUMPRODUCT(('01_Data'!$B505:$AW505&lt;&gt;"")*(1/(1+EXP(-(Z505-'03_Lap_b'!$B$40:$AW$40))))^2)</f>
        <v/>
      </c>
      <c r="AC505" s="5">
        <f>MEDIAN(-6,Z505+(C505-AA505)/MAX(AA505-AB505,0.000000001),6)</f>
        <v/>
      </c>
    </row>
    <row r="506">
      <c r="A506" t="n">
        <v>505</v>
      </c>
      <c r="B506">
        <f>'01_Data'!A506</f>
        <v/>
      </c>
      <c r="C506">
        <f>SUM('01_Data'!$B506:$AW506)</f>
        <v/>
      </c>
      <c r="D506">
        <f>COUNT('01_Data'!$B506:$AW506)</f>
        <v/>
      </c>
      <c r="E506" s="5">
        <f>MEDIAN(-6,LN((C506+0.3)/(D506-C506+0.3)),6)</f>
        <v/>
      </c>
      <c r="F506" s="5">
        <f>SUMPRODUCT(('01_Data'!$B506:$AW506&lt;&gt;"")*(1/(1+EXP(-(E506-'03_Lap_b'!$B$5:$AW$5)))))</f>
        <v/>
      </c>
      <c r="G506" s="5">
        <f>SUMPRODUCT(('01_Data'!$B506:$AW506&lt;&gt;"")*(1/(1+EXP(-(E506-'03_Lap_b'!$B$5:$AW$5))))^2)</f>
        <v/>
      </c>
      <c r="H506" s="5">
        <f>MEDIAN(-6,E506+(C506-F506)/MAX(F506-G506,0.000000001),6)</f>
        <v/>
      </c>
      <c r="I506" s="5">
        <f>SUMPRODUCT(('01_Data'!$B506:$AW506&lt;&gt;"")*(1/(1+EXP(-(H506-'03_Lap_b'!$B$10:$AW$10)))))</f>
        <v/>
      </c>
      <c r="J506" s="5">
        <f>SUMPRODUCT(('01_Data'!$B506:$AW506&lt;&gt;"")*(1/(1+EXP(-(H506-'03_Lap_b'!$B$10:$AW$10))))^2)</f>
        <v/>
      </c>
      <c r="K506" s="5">
        <f>MEDIAN(-6,H506+(C506-I506)/MAX(I506-J506,0.000000001),6)</f>
        <v/>
      </c>
      <c r="L506" s="5">
        <f>SUMPRODUCT(('01_Data'!$B506:$AW506&lt;&gt;"")*(1/(1+EXP(-(K506-'03_Lap_b'!$B$15:$AW$15)))))</f>
        <v/>
      </c>
      <c r="M506" s="5">
        <f>SUMPRODUCT(('01_Data'!$B506:$AW506&lt;&gt;"")*(1/(1+EXP(-(K506-'03_Lap_b'!$B$15:$AW$15))))^2)</f>
        <v/>
      </c>
      <c r="N506" s="5">
        <f>MEDIAN(-6,K506+(C506-L506)/MAX(L506-M506,0.000000001),6)</f>
        <v/>
      </c>
      <c r="O506" s="5">
        <f>SUMPRODUCT(('01_Data'!$B506:$AW506&lt;&gt;"")*(1/(1+EXP(-(N506-'03_Lap_b'!$B$20:$AW$20)))))</f>
        <v/>
      </c>
      <c r="P506" s="5">
        <f>SUMPRODUCT(('01_Data'!$B506:$AW506&lt;&gt;"")*(1/(1+EXP(-(N506-'03_Lap_b'!$B$20:$AW$20))))^2)</f>
        <v/>
      </c>
      <c r="Q506" s="5">
        <f>MEDIAN(-6,N506+(C506-O506)/MAX(O506-P506,0.000000001),6)</f>
        <v/>
      </c>
      <c r="R506" s="5">
        <f>SUMPRODUCT(('01_Data'!$B506:$AW506&lt;&gt;"")*(1/(1+EXP(-(Q506-'03_Lap_b'!$B$25:$AW$25)))))</f>
        <v/>
      </c>
      <c r="S506" s="5">
        <f>SUMPRODUCT(('01_Data'!$B506:$AW506&lt;&gt;"")*(1/(1+EXP(-(Q506-'03_Lap_b'!$B$25:$AW$25))))^2)</f>
        <v/>
      </c>
      <c r="T506" s="5">
        <f>MEDIAN(-6,Q506+(C506-R506)/MAX(R506-S506,0.000000001),6)</f>
        <v/>
      </c>
      <c r="U506" s="5">
        <f>SUMPRODUCT(('01_Data'!$B506:$AW506&lt;&gt;"")*(1/(1+EXP(-(T506-'03_Lap_b'!$B$30:$AW$30)))))</f>
        <v/>
      </c>
      <c r="V506" s="5">
        <f>SUMPRODUCT(('01_Data'!$B506:$AW506&lt;&gt;"")*(1/(1+EXP(-(T506-'03_Lap_b'!$B$30:$AW$30))))^2)</f>
        <v/>
      </c>
      <c r="W506" s="5">
        <f>MEDIAN(-6,T506+(C506-U506)/MAX(U506-V506,0.000000001),6)</f>
        <v/>
      </c>
      <c r="X506" s="5">
        <f>SUMPRODUCT(('01_Data'!$B506:$AW506&lt;&gt;"")*(1/(1+EXP(-(W506-'03_Lap_b'!$B$35:$AW$35)))))</f>
        <v/>
      </c>
      <c r="Y506" s="5">
        <f>SUMPRODUCT(('01_Data'!$B506:$AW506&lt;&gt;"")*(1/(1+EXP(-(W506-'03_Lap_b'!$B$35:$AW$35))))^2)</f>
        <v/>
      </c>
      <c r="Z506" s="5">
        <f>MEDIAN(-6,W506+(C506-X506)/MAX(X506-Y506,0.000000001),6)</f>
        <v/>
      </c>
      <c r="AA506" s="5">
        <f>SUMPRODUCT(('01_Data'!$B506:$AW506&lt;&gt;"")*(1/(1+EXP(-(Z506-'03_Lap_b'!$B$40:$AW$40)))))</f>
        <v/>
      </c>
      <c r="AB506" s="5">
        <f>SUMPRODUCT(('01_Data'!$B506:$AW506&lt;&gt;"")*(1/(1+EXP(-(Z506-'03_Lap_b'!$B$40:$AW$40))))^2)</f>
        <v/>
      </c>
      <c r="AC506" s="5">
        <f>MEDIAN(-6,Z506+(C506-AA506)/MAX(AA506-AB506,0.000000001),6)</f>
        <v/>
      </c>
    </row>
    <row r="507">
      <c r="A507" t="n">
        <v>506</v>
      </c>
      <c r="B507">
        <f>'01_Data'!A507</f>
        <v/>
      </c>
      <c r="C507">
        <f>SUM('01_Data'!$B507:$AW507)</f>
        <v/>
      </c>
      <c r="D507">
        <f>COUNT('01_Data'!$B507:$AW507)</f>
        <v/>
      </c>
      <c r="E507" s="5">
        <f>MEDIAN(-6,LN((C507+0.3)/(D507-C507+0.3)),6)</f>
        <v/>
      </c>
      <c r="F507" s="5">
        <f>SUMPRODUCT(('01_Data'!$B507:$AW507&lt;&gt;"")*(1/(1+EXP(-(E507-'03_Lap_b'!$B$5:$AW$5)))))</f>
        <v/>
      </c>
      <c r="G507" s="5">
        <f>SUMPRODUCT(('01_Data'!$B507:$AW507&lt;&gt;"")*(1/(1+EXP(-(E507-'03_Lap_b'!$B$5:$AW$5))))^2)</f>
        <v/>
      </c>
      <c r="H507" s="5">
        <f>MEDIAN(-6,E507+(C507-F507)/MAX(F507-G507,0.000000001),6)</f>
        <v/>
      </c>
      <c r="I507" s="5">
        <f>SUMPRODUCT(('01_Data'!$B507:$AW507&lt;&gt;"")*(1/(1+EXP(-(H507-'03_Lap_b'!$B$10:$AW$10)))))</f>
        <v/>
      </c>
      <c r="J507" s="5">
        <f>SUMPRODUCT(('01_Data'!$B507:$AW507&lt;&gt;"")*(1/(1+EXP(-(H507-'03_Lap_b'!$B$10:$AW$10))))^2)</f>
        <v/>
      </c>
      <c r="K507" s="5">
        <f>MEDIAN(-6,H507+(C507-I507)/MAX(I507-J507,0.000000001),6)</f>
        <v/>
      </c>
      <c r="L507" s="5">
        <f>SUMPRODUCT(('01_Data'!$B507:$AW507&lt;&gt;"")*(1/(1+EXP(-(K507-'03_Lap_b'!$B$15:$AW$15)))))</f>
        <v/>
      </c>
      <c r="M507" s="5">
        <f>SUMPRODUCT(('01_Data'!$B507:$AW507&lt;&gt;"")*(1/(1+EXP(-(K507-'03_Lap_b'!$B$15:$AW$15))))^2)</f>
        <v/>
      </c>
      <c r="N507" s="5">
        <f>MEDIAN(-6,K507+(C507-L507)/MAX(L507-M507,0.000000001),6)</f>
        <v/>
      </c>
      <c r="O507" s="5">
        <f>SUMPRODUCT(('01_Data'!$B507:$AW507&lt;&gt;"")*(1/(1+EXP(-(N507-'03_Lap_b'!$B$20:$AW$20)))))</f>
        <v/>
      </c>
      <c r="P507" s="5">
        <f>SUMPRODUCT(('01_Data'!$B507:$AW507&lt;&gt;"")*(1/(1+EXP(-(N507-'03_Lap_b'!$B$20:$AW$20))))^2)</f>
        <v/>
      </c>
      <c r="Q507" s="5">
        <f>MEDIAN(-6,N507+(C507-O507)/MAX(O507-P507,0.000000001),6)</f>
        <v/>
      </c>
      <c r="R507" s="5">
        <f>SUMPRODUCT(('01_Data'!$B507:$AW507&lt;&gt;"")*(1/(1+EXP(-(Q507-'03_Lap_b'!$B$25:$AW$25)))))</f>
        <v/>
      </c>
      <c r="S507" s="5">
        <f>SUMPRODUCT(('01_Data'!$B507:$AW507&lt;&gt;"")*(1/(1+EXP(-(Q507-'03_Lap_b'!$B$25:$AW$25))))^2)</f>
        <v/>
      </c>
      <c r="T507" s="5">
        <f>MEDIAN(-6,Q507+(C507-R507)/MAX(R507-S507,0.000000001),6)</f>
        <v/>
      </c>
      <c r="U507" s="5">
        <f>SUMPRODUCT(('01_Data'!$B507:$AW507&lt;&gt;"")*(1/(1+EXP(-(T507-'03_Lap_b'!$B$30:$AW$30)))))</f>
        <v/>
      </c>
      <c r="V507" s="5">
        <f>SUMPRODUCT(('01_Data'!$B507:$AW507&lt;&gt;"")*(1/(1+EXP(-(T507-'03_Lap_b'!$B$30:$AW$30))))^2)</f>
        <v/>
      </c>
      <c r="W507" s="5">
        <f>MEDIAN(-6,T507+(C507-U507)/MAX(U507-V507,0.000000001),6)</f>
        <v/>
      </c>
      <c r="X507" s="5">
        <f>SUMPRODUCT(('01_Data'!$B507:$AW507&lt;&gt;"")*(1/(1+EXP(-(W507-'03_Lap_b'!$B$35:$AW$35)))))</f>
        <v/>
      </c>
      <c r="Y507" s="5">
        <f>SUMPRODUCT(('01_Data'!$B507:$AW507&lt;&gt;"")*(1/(1+EXP(-(W507-'03_Lap_b'!$B$35:$AW$35))))^2)</f>
        <v/>
      </c>
      <c r="Z507" s="5">
        <f>MEDIAN(-6,W507+(C507-X507)/MAX(X507-Y507,0.000000001),6)</f>
        <v/>
      </c>
      <c r="AA507" s="5">
        <f>SUMPRODUCT(('01_Data'!$B507:$AW507&lt;&gt;"")*(1/(1+EXP(-(Z507-'03_Lap_b'!$B$40:$AW$40)))))</f>
        <v/>
      </c>
      <c r="AB507" s="5">
        <f>SUMPRODUCT(('01_Data'!$B507:$AW507&lt;&gt;"")*(1/(1+EXP(-(Z507-'03_Lap_b'!$B$40:$AW$40))))^2)</f>
        <v/>
      </c>
      <c r="AC507" s="5">
        <f>MEDIAN(-6,Z507+(C507-AA507)/MAX(AA507-AB507,0.000000001),6)</f>
        <v/>
      </c>
    </row>
    <row r="508">
      <c r="A508" t="n">
        <v>507</v>
      </c>
      <c r="B508">
        <f>'01_Data'!A508</f>
        <v/>
      </c>
      <c r="C508">
        <f>SUM('01_Data'!$B508:$AW508)</f>
        <v/>
      </c>
      <c r="D508">
        <f>COUNT('01_Data'!$B508:$AW508)</f>
        <v/>
      </c>
      <c r="E508" s="5">
        <f>MEDIAN(-6,LN((C508+0.3)/(D508-C508+0.3)),6)</f>
        <v/>
      </c>
      <c r="F508" s="5">
        <f>SUMPRODUCT(('01_Data'!$B508:$AW508&lt;&gt;"")*(1/(1+EXP(-(E508-'03_Lap_b'!$B$5:$AW$5)))))</f>
        <v/>
      </c>
      <c r="G508" s="5">
        <f>SUMPRODUCT(('01_Data'!$B508:$AW508&lt;&gt;"")*(1/(1+EXP(-(E508-'03_Lap_b'!$B$5:$AW$5))))^2)</f>
        <v/>
      </c>
      <c r="H508" s="5">
        <f>MEDIAN(-6,E508+(C508-F508)/MAX(F508-G508,0.000000001),6)</f>
        <v/>
      </c>
      <c r="I508" s="5">
        <f>SUMPRODUCT(('01_Data'!$B508:$AW508&lt;&gt;"")*(1/(1+EXP(-(H508-'03_Lap_b'!$B$10:$AW$10)))))</f>
        <v/>
      </c>
      <c r="J508" s="5">
        <f>SUMPRODUCT(('01_Data'!$B508:$AW508&lt;&gt;"")*(1/(1+EXP(-(H508-'03_Lap_b'!$B$10:$AW$10))))^2)</f>
        <v/>
      </c>
      <c r="K508" s="5">
        <f>MEDIAN(-6,H508+(C508-I508)/MAX(I508-J508,0.000000001),6)</f>
        <v/>
      </c>
      <c r="L508" s="5">
        <f>SUMPRODUCT(('01_Data'!$B508:$AW508&lt;&gt;"")*(1/(1+EXP(-(K508-'03_Lap_b'!$B$15:$AW$15)))))</f>
        <v/>
      </c>
      <c r="M508" s="5">
        <f>SUMPRODUCT(('01_Data'!$B508:$AW508&lt;&gt;"")*(1/(1+EXP(-(K508-'03_Lap_b'!$B$15:$AW$15))))^2)</f>
        <v/>
      </c>
      <c r="N508" s="5">
        <f>MEDIAN(-6,K508+(C508-L508)/MAX(L508-M508,0.000000001),6)</f>
        <v/>
      </c>
      <c r="O508" s="5">
        <f>SUMPRODUCT(('01_Data'!$B508:$AW508&lt;&gt;"")*(1/(1+EXP(-(N508-'03_Lap_b'!$B$20:$AW$20)))))</f>
        <v/>
      </c>
      <c r="P508" s="5">
        <f>SUMPRODUCT(('01_Data'!$B508:$AW508&lt;&gt;"")*(1/(1+EXP(-(N508-'03_Lap_b'!$B$20:$AW$20))))^2)</f>
        <v/>
      </c>
      <c r="Q508" s="5">
        <f>MEDIAN(-6,N508+(C508-O508)/MAX(O508-P508,0.000000001),6)</f>
        <v/>
      </c>
      <c r="R508" s="5">
        <f>SUMPRODUCT(('01_Data'!$B508:$AW508&lt;&gt;"")*(1/(1+EXP(-(Q508-'03_Lap_b'!$B$25:$AW$25)))))</f>
        <v/>
      </c>
      <c r="S508" s="5">
        <f>SUMPRODUCT(('01_Data'!$B508:$AW508&lt;&gt;"")*(1/(1+EXP(-(Q508-'03_Lap_b'!$B$25:$AW$25))))^2)</f>
        <v/>
      </c>
      <c r="T508" s="5">
        <f>MEDIAN(-6,Q508+(C508-R508)/MAX(R508-S508,0.000000001),6)</f>
        <v/>
      </c>
      <c r="U508" s="5">
        <f>SUMPRODUCT(('01_Data'!$B508:$AW508&lt;&gt;"")*(1/(1+EXP(-(T508-'03_Lap_b'!$B$30:$AW$30)))))</f>
        <v/>
      </c>
      <c r="V508" s="5">
        <f>SUMPRODUCT(('01_Data'!$B508:$AW508&lt;&gt;"")*(1/(1+EXP(-(T508-'03_Lap_b'!$B$30:$AW$30))))^2)</f>
        <v/>
      </c>
      <c r="W508" s="5">
        <f>MEDIAN(-6,T508+(C508-U508)/MAX(U508-V508,0.000000001),6)</f>
        <v/>
      </c>
      <c r="X508" s="5">
        <f>SUMPRODUCT(('01_Data'!$B508:$AW508&lt;&gt;"")*(1/(1+EXP(-(W508-'03_Lap_b'!$B$35:$AW$35)))))</f>
        <v/>
      </c>
      <c r="Y508" s="5">
        <f>SUMPRODUCT(('01_Data'!$B508:$AW508&lt;&gt;"")*(1/(1+EXP(-(W508-'03_Lap_b'!$B$35:$AW$35))))^2)</f>
        <v/>
      </c>
      <c r="Z508" s="5">
        <f>MEDIAN(-6,W508+(C508-X508)/MAX(X508-Y508,0.000000001),6)</f>
        <v/>
      </c>
      <c r="AA508" s="5">
        <f>SUMPRODUCT(('01_Data'!$B508:$AW508&lt;&gt;"")*(1/(1+EXP(-(Z508-'03_Lap_b'!$B$40:$AW$40)))))</f>
        <v/>
      </c>
      <c r="AB508" s="5">
        <f>SUMPRODUCT(('01_Data'!$B508:$AW508&lt;&gt;"")*(1/(1+EXP(-(Z508-'03_Lap_b'!$B$40:$AW$40))))^2)</f>
        <v/>
      </c>
      <c r="AC508" s="5">
        <f>MEDIAN(-6,Z508+(C508-AA508)/MAX(AA508-AB508,0.000000001),6)</f>
        <v/>
      </c>
    </row>
    <row r="509">
      <c r="A509" t="n">
        <v>508</v>
      </c>
      <c r="B509">
        <f>'01_Data'!A509</f>
        <v/>
      </c>
      <c r="C509">
        <f>SUM('01_Data'!$B509:$AW509)</f>
        <v/>
      </c>
      <c r="D509">
        <f>COUNT('01_Data'!$B509:$AW509)</f>
        <v/>
      </c>
      <c r="E509" s="5">
        <f>MEDIAN(-6,LN((C509+0.3)/(D509-C509+0.3)),6)</f>
        <v/>
      </c>
      <c r="F509" s="5">
        <f>SUMPRODUCT(('01_Data'!$B509:$AW509&lt;&gt;"")*(1/(1+EXP(-(E509-'03_Lap_b'!$B$5:$AW$5)))))</f>
        <v/>
      </c>
      <c r="G509" s="5">
        <f>SUMPRODUCT(('01_Data'!$B509:$AW509&lt;&gt;"")*(1/(1+EXP(-(E509-'03_Lap_b'!$B$5:$AW$5))))^2)</f>
        <v/>
      </c>
      <c r="H509" s="5">
        <f>MEDIAN(-6,E509+(C509-F509)/MAX(F509-G509,0.000000001),6)</f>
        <v/>
      </c>
      <c r="I509" s="5">
        <f>SUMPRODUCT(('01_Data'!$B509:$AW509&lt;&gt;"")*(1/(1+EXP(-(H509-'03_Lap_b'!$B$10:$AW$10)))))</f>
        <v/>
      </c>
      <c r="J509" s="5">
        <f>SUMPRODUCT(('01_Data'!$B509:$AW509&lt;&gt;"")*(1/(1+EXP(-(H509-'03_Lap_b'!$B$10:$AW$10))))^2)</f>
        <v/>
      </c>
      <c r="K509" s="5">
        <f>MEDIAN(-6,H509+(C509-I509)/MAX(I509-J509,0.000000001),6)</f>
        <v/>
      </c>
      <c r="L509" s="5">
        <f>SUMPRODUCT(('01_Data'!$B509:$AW509&lt;&gt;"")*(1/(1+EXP(-(K509-'03_Lap_b'!$B$15:$AW$15)))))</f>
        <v/>
      </c>
      <c r="M509" s="5">
        <f>SUMPRODUCT(('01_Data'!$B509:$AW509&lt;&gt;"")*(1/(1+EXP(-(K509-'03_Lap_b'!$B$15:$AW$15))))^2)</f>
        <v/>
      </c>
      <c r="N509" s="5">
        <f>MEDIAN(-6,K509+(C509-L509)/MAX(L509-M509,0.000000001),6)</f>
        <v/>
      </c>
      <c r="O509" s="5">
        <f>SUMPRODUCT(('01_Data'!$B509:$AW509&lt;&gt;"")*(1/(1+EXP(-(N509-'03_Lap_b'!$B$20:$AW$20)))))</f>
        <v/>
      </c>
      <c r="P509" s="5">
        <f>SUMPRODUCT(('01_Data'!$B509:$AW509&lt;&gt;"")*(1/(1+EXP(-(N509-'03_Lap_b'!$B$20:$AW$20))))^2)</f>
        <v/>
      </c>
      <c r="Q509" s="5">
        <f>MEDIAN(-6,N509+(C509-O509)/MAX(O509-P509,0.000000001),6)</f>
        <v/>
      </c>
      <c r="R509" s="5">
        <f>SUMPRODUCT(('01_Data'!$B509:$AW509&lt;&gt;"")*(1/(1+EXP(-(Q509-'03_Lap_b'!$B$25:$AW$25)))))</f>
        <v/>
      </c>
      <c r="S509" s="5">
        <f>SUMPRODUCT(('01_Data'!$B509:$AW509&lt;&gt;"")*(1/(1+EXP(-(Q509-'03_Lap_b'!$B$25:$AW$25))))^2)</f>
        <v/>
      </c>
      <c r="T509" s="5">
        <f>MEDIAN(-6,Q509+(C509-R509)/MAX(R509-S509,0.000000001),6)</f>
        <v/>
      </c>
      <c r="U509" s="5">
        <f>SUMPRODUCT(('01_Data'!$B509:$AW509&lt;&gt;"")*(1/(1+EXP(-(T509-'03_Lap_b'!$B$30:$AW$30)))))</f>
        <v/>
      </c>
      <c r="V509" s="5">
        <f>SUMPRODUCT(('01_Data'!$B509:$AW509&lt;&gt;"")*(1/(1+EXP(-(T509-'03_Lap_b'!$B$30:$AW$30))))^2)</f>
        <v/>
      </c>
      <c r="W509" s="5">
        <f>MEDIAN(-6,T509+(C509-U509)/MAX(U509-V509,0.000000001),6)</f>
        <v/>
      </c>
      <c r="X509" s="5">
        <f>SUMPRODUCT(('01_Data'!$B509:$AW509&lt;&gt;"")*(1/(1+EXP(-(W509-'03_Lap_b'!$B$35:$AW$35)))))</f>
        <v/>
      </c>
      <c r="Y509" s="5">
        <f>SUMPRODUCT(('01_Data'!$B509:$AW509&lt;&gt;"")*(1/(1+EXP(-(W509-'03_Lap_b'!$B$35:$AW$35))))^2)</f>
        <v/>
      </c>
      <c r="Z509" s="5">
        <f>MEDIAN(-6,W509+(C509-X509)/MAX(X509-Y509,0.000000001),6)</f>
        <v/>
      </c>
      <c r="AA509" s="5">
        <f>SUMPRODUCT(('01_Data'!$B509:$AW509&lt;&gt;"")*(1/(1+EXP(-(Z509-'03_Lap_b'!$B$40:$AW$40)))))</f>
        <v/>
      </c>
      <c r="AB509" s="5">
        <f>SUMPRODUCT(('01_Data'!$B509:$AW509&lt;&gt;"")*(1/(1+EXP(-(Z509-'03_Lap_b'!$B$40:$AW$40))))^2)</f>
        <v/>
      </c>
      <c r="AC509" s="5">
        <f>MEDIAN(-6,Z509+(C509-AA509)/MAX(AA509-AB509,0.000000001),6)</f>
        <v/>
      </c>
    </row>
    <row r="510">
      <c r="A510" t="n">
        <v>509</v>
      </c>
      <c r="B510">
        <f>'01_Data'!A510</f>
        <v/>
      </c>
      <c r="C510">
        <f>SUM('01_Data'!$B510:$AW510)</f>
        <v/>
      </c>
      <c r="D510">
        <f>COUNT('01_Data'!$B510:$AW510)</f>
        <v/>
      </c>
      <c r="E510" s="5">
        <f>MEDIAN(-6,LN((C510+0.3)/(D510-C510+0.3)),6)</f>
        <v/>
      </c>
      <c r="F510" s="5">
        <f>SUMPRODUCT(('01_Data'!$B510:$AW510&lt;&gt;"")*(1/(1+EXP(-(E510-'03_Lap_b'!$B$5:$AW$5)))))</f>
        <v/>
      </c>
      <c r="G510" s="5">
        <f>SUMPRODUCT(('01_Data'!$B510:$AW510&lt;&gt;"")*(1/(1+EXP(-(E510-'03_Lap_b'!$B$5:$AW$5))))^2)</f>
        <v/>
      </c>
      <c r="H510" s="5">
        <f>MEDIAN(-6,E510+(C510-F510)/MAX(F510-G510,0.000000001),6)</f>
        <v/>
      </c>
      <c r="I510" s="5">
        <f>SUMPRODUCT(('01_Data'!$B510:$AW510&lt;&gt;"")*(1/(1+EXP(-(H510-'03_Lap_b'!$B$10:$AW$10)))))</f>
        <v/>
      </c>
      <c r="J510" s="5">
        <f>SUMPRODUCT(('01_Data'!$B510:$AW510&lt;&gt;"")*(1/(1+EXP(-(H510-'03_Lap_b'!$B$10:$AW$10))))^2)</f>
        <v/>
      </c>
      <c r="K510" s="5">
        <f>MEDIAN(-6,H510+(C510-I510)/MAX(I510-J510,0.000000001),6)</f>
        <v/>
      </c>
      <c r="L510" s="5">
        <f>SUMPRODUCT(('01_Data'!$B510:$AW510&lt;&gt;"")*(1/(1+EXP(-(K510-'03_Lap_b'!$B$15:$AW$15)))))</f>
        <v/>
      </c>
      <c r="M510" s="5">
        <f>SUMPRODUCT(('01_Data'!$B510:$AW510&lt;&gt;"")*(1/(1+EXP(-(K510-'03_Lap_b'!$B$15:$AW$15))))^2)</f>
        <v/>
      </c>
      <c r="N510" s="5">
        <f>MEDIAN(-6,K510+(C510-L510)/MAX(L510-M510,0.000000001),6)</f>
        <v/>
      </c>
      <c r="O510" s="5">
        <f>SUMPRODUCT(('01_Data'!$B510:$AW510&lt;&gt;"")*(1/(1+EXP(-(N510-'03_Lap_b'!$B$20:$AW$20)))))</f>
        <v/>
      </c>
      <c r="P510" s="5">
        <f>SUMPRODUCT(('01_Data'!$B510:$AW510&lt;&gt;"")*(1/(1+EXP(-(N510-'03_Lap_b'!$B$20:$AW$20))))^2)</f>
        <v/>
      </c>
      <c r="Q510" s="5">
        <f>MEDIAN(-6,N510+(C510-O510)/MAX(O510-P510,0.000000001),6)</f>
        <v/>
      </c>
      <c r="R510" s="5">
        <f>SUMPRODUCT(('01_Data'!$B510:$AW510&lt;&gt;"")*(1/(1+EXP(-(Q510-'03_Lap_b'!$B$25:$AW$25)))))</f>
        <v/>
      </c>
      <c r="S510" s="5">
        <f>SUMPRODUCT(('01_Data'!$B510:$AW510&lt;&gt;"")*(1/(1+EXP(-(Q510-'03_Lap_b'!$B$25:$AW$25))))^2)</f>
        <v/>
      </c>
      <c r="T510" s="5">
        <f>MEDIAN(-6,Q510+(C510-R510)/MAX(R510-S510,0.000000001),6)</f>
        <v/>
      </c>
      <c r="U510" s="5">
        <f>SUMPRODUCT(('01_Data'!$B510:$AW510&lt;&gt;"")*(1/(1+EXP(-(T510-'03_Lap_b'!$B$30:$AW$30)))))</f>
        <v/>
      </c>
      <c r="V510" s="5">
        <f>SUMPRODUCT(('01_Data'!$B510:$AW510&lt;&gt;"")*(1/(1+EXP(-(T510-'03_Lap_b'!$B$30:$AW$30))))^2)</f>
        <v/>
      </c>
      <c r="W510" s="5">
        <f>MEDIAN(-6,T510+(C510-U510)/MAX(U510-V510,0.000000001),6)</f>
        <v/>
      </c>
      <c r="X510" s="5">
        <f>SUMPRODUCT(('01_Data'!$B510:$AW510&lt;&gt;"")*(1/(1+EXP(-(W510-'03_Lap_b'!$B$35:$AW$35)))))</f>
        <v/>
      </c>
      <c r="Y510" s="5">
        <f>SUMPRODUCT(('01_Data'!$B510:$AW510&lt;&gt;"")*(1/(1+EXP(-(W510-'03_Lap_b'!$B$35:$AW$35))))^2)</f>
        <v/>
      </c>
      <c r="Z510" s="5">
        <f>MEDIAN(-6,W510+(C510-X510)/MAX(X510-Y510,0.000000001),6)</f>
        <v/>
      </c>
      <c r="AA510" s="5">
        <f>SUMPRODUCT(('01_Data'!$B510:$AW510&lt;&gt;"")*(1/(1+EXP(-(Z510-'03_Lap_b'!$B$40:$AW$40)))))</f>
        <v/>
      </c>
      <c r="AB510" s="5">
        <f>SUMPRODUCT(('01_Data'!$B510:$AW510&lt;&gt;"")*(1/(1+EXP(-(Z510-'03_Lap_b'!$B$40:$AW$40))))^2)</f>
        <v/>
      </c>
      <c r="AC510" s="5">
        <f>MEDIAN(-6,Z510+(C510-AA510)/MAX(AA510-AB510,0.000000001),6)</f>
        <v/>
      </c>
    </row>
    <row r="511">
      <c r="A511" t="n">
        <v>510</v>
      </c>
      <c r="B511">
        <f>'01_Data'!A511</f>
        <v/>
      </c>
      <c r="C511">
        <f>SUM('01_Data'!$B511:$AW511)</f>
        <v/>
      </c>
      <c r="D511">
        <f>COUNT('01_Data'!$B511:$AW511)</f>
        <v/>
      </c>
      <c r="E511" s="5">
        <f>MEDIAN(-6,LN((C511+0.3)/(D511-C511+0.3)),6)</f>
        <v/>
      </c>
      <c r="F511" s="5">
        <f>SUMPRODUCT(('01_Data'!$B511:$AW511&lt;&gt;"")*(1/(1+EXP(-(E511-'03_Lap_b'!$B$5:$AW$5)))))</f>
        <v/>
      </c>
      <c r="G511" s="5">
        <f>SUMPRODUCT(('01_Data'!$B511:$AW511&lt;&gt;"")*(1/(1+EXP(-(E511-'03_Lap_b'!$B$5:$AW$5))))^2)</f>
        <v/>
      </c>
      <c r="H511" s="5">
        <f>MEDIAN(-6,E511+(C511-F511)/MAX(F511-G511,0.000000001),6)</f>
        <v/>
      </c>
      <c r="I511" s="5">
        <f>SUMPRODUCT(('01_Data'!$B511:$AW511&lt;&gt;"")*(1/(1+EXP(-(H511-'03_Lap_b'!$B$10:$AW$10)))))</f>
        <v/>
      </c>
      <c r="J511" s="5">
        <f>SUMPRODUCT(('01_Data'!$B511:$AW511&lt;&gt;"")*(1/(1+EXP(-(H511-'03_Lap_b'!$B$10:$AW$10))))^2)</f>
        <v/>
      </c>
      <c r="K511" s="5">
        <f>MEDIAN(-6,H511+(C511-I511)/MAX(I511-J511,0.000000001),6)</f>
        <v/>
      </c>
      <c r="L511" s="5">
        <f>SUMPRODUCT(('01_Data'!$B511:$AW511&lt;&gt;"")*(1/(1+EXP(-(K511-'03_Lap_b'!$B$15:$AW$15)))))</f>
        <v/>
      </c>
      <c r="M511" s="5">
        <f>SUMPRODUCT(('01_Data'!$B511:$AW511&lt;&gt;"")*(1/(1+EXP(-(K511-'03_Lap_b'!$B$15:$AW$15))))^2)</f>
        <v/>
      </c>
      <c r="N511" s="5">
        <f>MEDIAN(-6,K511+(C511-L511)/MAX(L511-M511,0.000000001),6)</f>
        <v/>
      </c>
      <c r="O511" s="5">
        <f>SUMPRODUCT(('01_Data'!$B511:$AW511&lt;&gt;"")*(1/(1+EXP(-(N511-'03_Lap_b'!$B$20:$AW$20)))))</f>
        <v/>
      </c>
      <c r="P511" s="5">
        <f>SUMPRODUCT(('01_Data'!$B511:$AW511&lt;&gt;"")*(1/(1+EXP(-(N511-'03_Lap_b'!$B$20:$AW$20))))^2)</f>
        <v/>
      </c>
      <c r="Q511" s="5">
        <f>MEDIAN(-6,N511+(C511-O511)/MAX(O511-P511,0.000000001),6)</f>
        <v/>
      </c>
      <c r="R511" s="5">
        <f>SUMPRODUCT(('01_Data'!$B511:$AW511&lt;&gt;"")*(1/(1+EXP(-(Q511-'03_Lap_b'!$B$25:$AW$25)))))</f>
        <v/>
      </c>
      <c r="S511" s="5">
        <f>SUMPRODUCT(('01_Data'!$B511:$AW511&lt;&gt;"")*(1/(1+EXP(-(Q511-'03_Lap_b'!$B$25:$AW$25))))^2)</f>
        <v/>
      </c>
      <c r="T511" s="5">
        <f>MEDIAN(-6,Q511+(C511-R511)/MAX(R511-S511,0.000000001),6)</f>
        <v/>
      </c>
      <c r="U511" s="5">
        <f>SUMPRODUCT(('01_Data'!$B511:$AW511&lt;&gt;"")*(1/(1+EXP(-(T511-'03_Lap_b'!$B$30:$AW$30)))))</f>
        <v/>
      </c>
      <c r="V511" s="5">
        <f>SUMPRODUCT(('01_Data'!$B511:$AW511&lt;&gt;"")*(1/(1+EXP(-(T511-'03_Lap_b'!$B$30:$AW$30))))^2)</f>
        <v/>
      </c>
      <c r="W511" s="5">
        <f>MEDIAN(-6,T511+(C511-U511)/MAX(U511-V511,0.000000001),6)</f>
        <v/>
      </c>
      <c r="X511" s="5">
        <f>SUMPRODUCT(('01_Data'!$B511:$AW511&lt;&gt;"")*(1/(1+EXP(-(W511-'03_Lap_b'!$B$35:$AW$35)))))</f>
        <v/>
      </c>
      <c r="Y511" s="5">
        <f>SUMPRODUCT(('01_Data'!$B511:$AW511&lt;&gt;"")*(1/(1+EXP(-(W511-'03_Lap_b'!$B$35:$AW$35))))^2)</f>
        <v/>
      </c>
      <c r="Z511" s="5">
        <f>MEDIAN(-6,W511+(C511-X511)/MAX(X511-Y511,0.000000001),6)</f>
        <v/>
      </c>
      <c r="AA511" s="5">
        <f>SUMPRODUCT(('01_Data'!$B511:$AW511&lt;&gt;"")*(1/(1+EXP(-(Z511-'03_Lap_b'!$B$40:$AW$40)))))</f>
        <v/>
      </c>
      <c r="AB511" s="5">
        <f>SUMPRODUCT(('01_Data'!$B511:$AW511&lt;&gt;"")*(1/(1+EXP(-(Z511-'03_Lap_b'!$B$40:$AW$40))))^2)</f>
        <v/>
      </c>
      <c r="AC511" s="5">
        <f>MEDIAN(-6,Z511+(C511-AA511)/MAX(AA511-AB511,0.000000001),6)</f>
        <v/>
      </c>
    </row>
    <row r="512">
      <c r="A512" t="n">
        <v>511</v>
      </c>
      <c r="B512">
        <f>'01_Data'!A512</f>
        <v/>
      </c>
      <c r="C512">
        <f>SUM('01_Data'!$B512:$AW512)</f>
        <v/>
      </c>
      <c r="D512">
        <f>COUNT('01_Data'!$B512:$AW512)</f>
        <v/>
      </c>
      <c r="E512" s="5">
        <f>MEDIAN(-6,LN((C512+0.3)/(D512-C512+0.3)),6)</f>
        <v/>
      </c>
      <c r="F512" s="5">
        <f>SUMPRODUCT(('01_Data'!$B512:$AW512&lt;&gt;"")*(1/(1+EXP(-(E512-'03_Lap_b'!$B$5:$AW$5)))))</f>
        <v/>
      </c>
      <c r="G512" s="5">
        <f>SUMPRODUCT(('01_Data'!$B512:$AW512&lt;&gt;"")*(1/(1+EXP(-(E512-'03_Lap_b'!$B$5:$AW$5))))^2)</f>
        <v/>
      </c>
      <c r="H512" s="5">
        <f>MEDIAN(-6,E512+(C512-F512)/MAX(F512-G512,0.000000001),6)</f>
        <v/>
      </c>
      <c r="I512" s="5">
        <f>SUMPRODUCT(('01_Data'!$B512:$AW512&lt;&gt;"")*(1/(1+EXP(-(H512-'03_Lap_b'!$B$10:$AW$10)))))</f>
        <v/>
      </c>
      <c r="J512" s="5">
        <f>SUMPRODUCT(('01_Data'!$B512:$AW512&lt;&gt;"")*(1/(1+EXP(-(H512-'03_Lap_b'!$B$10:$AW$10))))^2)</f>
        <v/>
      </c>
      <c r="K512" s="5">
        <f>MEDIAN(-6,H512+(C512-I512)/MAX(I512-J512,0.000000001),6)</f>
        <v/>
      </c>
      <c r="L512" s="5">
        <f>SUMPRODUCT(('01_Data'!$B512:$AW512&lt;&gt;"")*(1/(1+EXP(-(K512-'03_Lap_b'!$B$15:$AW$15)))))</f>
        <v/>
      </c>
      <c r="M512" s="5">
        <f>SUMPRODUCT(('01_Data'!$B512:$AW512&lt;&gt;"")*(1/(1+EXP(-(K512-'03_Lap_b'!$B$15:$AW$15))))^2)</f>
        <v/>
      </c>
      <c r="N512" s="5">
        <f>MEDIAN(-6,K512+(C512-L512)/MAX(L512-M512,0.000000001),6)</f>
        <v/>
      </c>
      <c r="O512" s="5">
        <f>SUMPRODUCT(('01_Data'!$B512:$AW512&lt;&gt;"")*(1/(1+EXP(-(N512-'03_Lap_b'!$B$20:$AW$20)))))</f>
        <v/>
      </c>
      <c r="P512" s="5">
        <f>SUMPRODUCT(('01_Data'!$B512:$AW512&lt;&gt;"")*(1/(1+EXP(-(N512-'03_Lap_b'!$B$20:$AW$20))))^2)</f>
        <v/>
      </c>
      <c r="Q512" s="5">
        <f>MEDIAN(-6,N512+(C512-O512)/MAX(O512-P512,0.000000001),6)</f>
        <v/>
      </c>
      <c r="R512" s="5">
        <f>SUMPRODUCT(('01_Data'!$B512:$AW512&lt;&gt;"")*(1/(1+EXP(-(Q512-'03_Lap_b'!$B$25:$AW$25)))))</f>
        <v/>
      </c>
      <c r="S512" s="5">
        <f>SUMPRODUCT(('01_Data'!$B512:$AW512&lt;&gt;"")*(1/(1+EXP(-(Q512-'03_Lap_b'!$B$25:$AW$25))))^2)</f>
        <v/>
      </c>
      <c r="T512" s="5">
        <f>MEDIAN(-6,Q512+(C512-R512)/MAX(R512-S512,0.000000001),6)</f>
        <v/>
      </c>
      <c r="U512" s="5">
        <f>SUMPRODUCT(('01_Data'!$B512:$AW512&lt;&gt;"")*(1/(1+EXP(-(T512-'03_Lap_b'!$B$30:$AW$30)))))</f>
        <v/>
      </c>
      <c r="V512" s="5">
        <f>SUMPRODUCT(('01_Data'!$B512:$AW512&lt;&gt;"")*(1/(1+EXP(-(T512-'03_Lap_b'!$B$30:$AW$30))))^2)</f>
        <v/>
      </c>
      <c r="W512" s="5">
        <f>MEDIAN(-6,T512+(C512-U512)/MAX(U512-V512,0.000000001),6)</f>
        <v/>
      </c>
      <c r="X512" s="5">
        <f>SUMPRODUCT(('01_Data'!$B512:$AW512&lt;&gt;"")*(1/(1+EXP(-(W512-'03_Lap_b'!$B$35:$AW$35)))))</f>
        <v/>
      </c>
      <c r="Y512" s="5">
        <f>SUMPRODUCT(('01_Data'!$B512:$AW512&lt;&gt;"")*(1/(1+EXP(-(W512-'03_Lap_b'!$B$35:$AW$35))))^2)</f>
        <v/>
      </c>
      <c r="Z512" s="5">
        <f>MEDIAN(-6,W512+(C512-X512)/MAX(X512-Y512,0.000000001),6)</f>
        <v/>
      </c>
      <c r="AA512" s="5">
        <f>SUMPRODUCT(('01_Data'!$B512:$AW512&lt;&gt;"")*(1/(1+EXP(-(Z512-'03_Lap_b'!$B$40:$AW$40)))))</f>
        <v/>
      </c>
      <c r="AB512" s="5">
        <f>SUMPRODUCT(('01_Data'!$B512:$AW512&lt;&gt;"")*(1/(1+EXP(-(Z512-'03_Lap_b'!$B$40:$AW$40))))^2)</f>
        <v/>
      </c>
      <c r="AC512" s="5">
        <f>MEDIAN(-6,Z512+(C512-AA512)/MAX(AA512-AB512,0.000000001),6)</f>
        <v/>
      </c>
    </row>
    <row r="513">
      <c r="A513" t="n">
        <v>512</v>
      </c>
      <c r="B513">
        <f>'01_Data'!A513</f>
        <v/>
      </c>
      <c r="C513">
        <f>SUM('01_Data'!$B513:$AW513)</f>
        <v/>
      </c>
      <c r="D513">
        <f>COUNT('01_Data'!$B513:$AW513)</f>
        <v/>
      </c>
      <c r="E513" s="5">
        <f>MEDIAN(-6,LN((C513+0.3)/(D513-C513+0.3)),6)</f>
        <v/>
      </c>
      <c r="F513" s="5">
        <f>SUMPRODUCT(('01_Data'!$B513:$AW513&lt;&gt;"")*(1/(1+EXP(-(E513-'03_Lap_b'!$B$5:$AW$5)))))</f>
        <v/>
      </c>
      <c r="G513" s="5">
        <f>SUMPRODUCT(('01_Data'!$B513:$AW513&lt;&gt;"")*(1/(1+EXP(-(E513-'03_Lap_b'!$B$5:$AW$5))))^2)</f>
        <v/>
      </c>
      <c r="H513" s="5">
        <f>MEDIAN(-6,E513+(C513-F513)/MAX(F513-G513,0.000000001),6)</f>
        <v/>
      </c>
      <c r="I513" s="5">
        <f>SUMPRODUCT(('01_Data'!$B513:$AW513&lt;&gt;"")*(1/(1+EXP(-(H513-'03_Lap_b'!$B$10:$AW$10)))))</f>
        <v/>
      </c>
      <c r="J513" s="5">
        <f>SUMPRODUCT(('01_Data'!$B513:$AW513&lt;&gt;"")*(1/(1+EXP(-(H513-'03_Lap_b'!$B$10:$AW$10))))^2)</f>
        <v/>
      </c>
      <c r="K513" s="5">
        <f>MEDIAN(-6,H513+(C513-I513)/MAX(I513-J513,0.000000001),6)</f>
        <v/>
      </c>
      <c r="L513" s="5">
        <f>SUMPRODUCT(('01_Data'!$B513:$AW513&lt;&gt;"")*(1/(1+EXP(-(K513-'03_Lap_b'!$B$15:$AW$15)))))</f>
        <v/>
      </c>
      <c r="M513" s="5">
        <f>SUMPRODUCT(('01_Data'!$B513:$AW513&lt;&gt;"")*(1/(1+EXP(-(K513-'03_Lap_b'!$B$15:$AW$15))))^2)</f>
        <v/>
      </c>
      <c r="N513" s="5">
        <f>MEDIAN(-6,K513+(C513-L513)/MAX(L513-M513,0.000000001),6)</f>
        <v/>
      </c>
      <c r="O513" s="5">
        <f>SUMPRODUCT(('01_Data'!$B513:$AW513&lt;&gt;"")*(1/(1+EXP(-(N513-'03_Lap_b'!$B$20:$AW$20)))))</f>
        <v/>
      </c>
      <c r="P513" s="5">
        <f>SUMPRODUCT(('01_Data'!$B513:$AW513&lt;&gt;"")*(1/(1+EXP(-(N513-'03_Lap_b'!$B$20:$AW$20))))^2)</f>
        <v/>
      </c>
      <c r="Q513" s="5">
        <f>MEDIAN(-6,N513+(C513-O513)/MAX(O513-P513,0.000000001),6)</f>
        <v/>
      </c>
      <c r="R513" s="5">
        <f>SUMPRODUCT(('01_Data'!$B513:$AW513&lt;&gt;"")*(1/(1+EXP(-(Q513-'03_Lap_b'!$B$25:$AW$25)))))</f>
        <v/>
      </c>
      <c r="S513" s="5">
        <f>SUMPRODUCT(('01_Data'!$B513:$AW513&lt;&gt;"")*(1/(1+EXP(-(Q513-'03_Lap_b'!$B$25:$AW$25))))^2)</f>
        <v/>
      </c>
      <c r="T513" s="5">
        <f>MEDIAN(-6,Q513+(C513-R513)/MAX(R513-S513,0.000000001),6)</f>
        <v/>
      </c>
      <c r="U513" s="5">
        <f>SUMPRODUCT(('01_Data'!$B513:$AW513&lt;&gt;"")*(1/(1+EXP(-(T513-'03_Lap_b'!$B$30:$AW$30)))))</f>
        <v/>
      </c>
      <c r="V513" s="5">
        <f>SUMPRODUCT(('01_Data'!$B513:$AW513&lt;&gt;"")*(1/(1+EXP(-(T513-'03_Lap_b'!$B$30:$AW$30))))^2)</f>
        <v/>
      </c>
      <c r="W513" s="5">
        <f>MEDIAN(-6,T513+(C513-U513)/MAX(U513-V513,0.000000001),6)</f>
        <v/>
      </c>
      <c r="X513" s="5">
        <f>SUMPRODUCT(('01_Data'!$B513:$AW513&lt;&gt;"")*(1/(1+EXP(-(W513-'03_Lap_b'!$B$35:$AW$35)))))</f>
        <v/>
      </c>
      <c r="Y513" s="5">
        <f>SUMPRODUCT(('01_Data'!$B513:$AW513&lt;&gt;"")*(1/(1+EXP(-(W513-'03_Lap_b'!$B$35:$AW$35))))^2)</f>
        <v/>
      </c>
      <c r="Z513" s="5">
        <f>MEDIAN(-6,W513+(C513-X513)/MAX(X513-Y513,0.000000001),6)</f>
        <v/>
      </c>
      <c r="AA513" s="5">
        <f>SUMPRODUCT(('01_Data'!$B513:$AW513&lt;&gt;"")*(1/(1+EXP(-(Z513-'03_Lap_b'!$B$40:$AW$40)))))</f>
        <v/>
      </c>
      <c r="AB513" s="5">
        <f>SUMPRODUCT(('01_Data'!$B513:$AW513&lt;&gt;"")*(1/(1+EXP(-(Z513-'03_Lap_b'!$B$40:$AW$40))))^2)</f>
        <v/>
      </c>
      <c r="AC513" s="5">
        <f>MEDIAN(-6,Z513+(C513-AA513)/MAX(AA513-AB513,0.000000001),6)</f>
        <v/>
      </c>
    </row>
    <row r="514">
      <c r="A514" t="n">
        <v>513</v>
      </c>
      <c r="B514">
        <f>'01_Data'!A514</f>
        <v/>
      </c>
      <c r="C514">
        <f>SUM('01_Data'!$B514:$AW514)</f>
        <v/>
      </c>
      <c r="D514">
        <f>COUNT('01_Data'!$B514:$AW514)</f>
        <v/>
      </c>
      <c r="E514" s="5">
        <f>MEDIAN(-6,LN((C514+0.3)/(D514-C514+0.3)),6)</f>
        <v/>
      </c>
      <c r="F514" s="5">
        <f>SUMPRODUCT(('01_Data'!$B514:$AW514&lt;&gt;"")*(1/(1+EXP(-(E514-'03_Lap_b'!$B$5:$AW$5)))))</f>
        <v/>
      </c>
      <c r="G514" s="5">
        <f>SUMPRODUCT(('01_Data'!$B514:$AW514&lt;&gt;"")*(1/(1+EXP(-(E514-'03_Lap_b'!$B$5:$AW$5))))^2)</f>
        <v/>
      </c>
      <c r="H514" s="5">
        <f>MEDIAN(-6,E514+(C514-F514)/MAX(F514-G514,0.000000001),6)</f>
        <v/>
      </c>
      <c r="I514" s="5">
        <f>SUMPRODUCT(('01_Data'!$B514:$AW514&lt;&gt;"")*(1/(1+EXP(-(H514-'03_Lap_b'!$B$10:$AW$10)))))</f>
        <v/>
      </c>
      <c r="J514" s="5">
        <f>SUMPRODUCT(('01_Data'!$B514:$AW514&lt;&gt;"")*(1/(1+EXP(-(H514-'03_Lap_b'!$B$10:$AW$10))))^2)</f>
        <v/>
      </c>
      <c r="K514" s="5">
        <f>MEDIAN(-6,H514+(C514-I514)/MAX(I514-J514,0.000000001),6)</f>
        <v/>
      </c>
      <c r="L514" s="5">
        <f>SUMPRODUCT(('01_Data'!$B514:$AW514&lt;&gt;"")*(1/(1+EXP(-(K514-'03_Lap_b'!$B$15:$AW$15)))))</f>
        <v/>
      </c>
      <c r="M514" s="5">
        <f>SUMPRODUCT(('01_Data'!$B514:$AW514&lt;&gt;"")*(1/(1+EXP(-(K514-'03_Lap_b'!$B$15:$AW$15))))^2)</f>
        <v/>
      </c>
      <c r="N514" s="5">
        <f>MEDIAN(-6,K514+(C514-L514)/MAX(L514-M514,0.000000001),6)</f>
        <v/>
      </c>
      <c r="O514" s="5">
        <f>SUMPRODUCT(('01_Data'!$B514:$AW514&lt;&gt;"")*(1/(1+EXP(-(N514-'03_Lap_b'!$B$20:$AW$20)))))</f>
        <v/>
      </c>
      <c r="P514" s="5">
        <f>SUMPRODUCT(('01_Data'!$B514:$AW514&lt;&gt;"")*(1/(1+EXP(-(N514-'03_Lap_b'!$B$20:$AW$20))))^2)</f>
        <v/>
      </c>
      <c r="Q514" s="5">
        <f>MEDIAN(-6,N514+(C514-O514)/MAX(O514-P514,0.000000001),6)</f>
        <v/>
      </c>
      <c r="R514" s="5">
        <f>SUMPRODUCT(('01_Data'!$B514:$AW514&lt;&gt;"")*(1/(1+EXP(-(Q514-'03_Lap_b'!$B$25:$AW$25)))))</f>
        <v/>
      </c>
      <c r="S514" s="5">
        <f>SUMPRODUCT(('01_Data'!$B514:$AW514&lt;&gt;"")*(1/(1+EXP(-(Q514-'03_Lap_b'!$B$25:$AW$25))))^2)</f>
        <v/>
      </c>
      <c r="T514" s="5">
        <f>MEDIAN(-6,Q514+(C514-R514)/MAX(R514-S514,0.000000001),6)</f>
        <v/>
      </c>
      <c r="U514" s="5">
        <f>SUMPRODUCT(('01_Data'!$B514:$AW514&lt;&gt;"")*(1/(1+EXP(-(T514-'03_Lap_b'!$B$30:$AW$30)))))</f>
        <v/>
      </c>
      <c r="V514" s="5">
        <f>SUMPRODUCT(('01_Data'!$B514:$AW514&lt;&gt;"")*(1/(1+EXP(-(T514-'03_Lap_b'!$B$30:$AW$30))))^2)</f>
        <v/>
      </c>
      <c r="W514" s="5">
        <f>MEDIAN(-6,T514+(C514-U514)/MAX(U514-V514,0.000000001),6)</f>
        <v/>
      </c>
      <c r="X514" s="5">
        <f>SUMPRODUCT(('01_Data'!$B514:$AW514&lt;&gt;"")*(1/(1+EXP(-(W514-'03_Lap_b'!$B$35:$AW$35)))))</f>
        <v/>
      </c>
      <c r="Y514" s="5">
        <f>SUMPRODUCT(('01_Data'!$B514:$AW514&lt;&gt;"")*(1/(1+EXP(-(W514-'03_Lap_b'!$B$35:$AW$35))))^2)</f>
        <v/>
      </c>
      <c r="Z514" s="5">
        <f>MEDIAN(-6,W514+(C514-X514)/MAX(X514-Y514,0.000000001),6)</f>
        <v/>
      </c>
      <c r="AA514" s="5">
        <f>SUMPRODUCT(('01_Data'!$B514:$AW514&lt;&gt;"")*(1/(1+EXP(-(Z514-'03_Lap_b'!$B$40:$AW$40)))))</f>
        <v/>
      </c>
      <c r="AB514" s="5">
        <f>SUMPRODUCT(('01_Data'!$B514:$AW514&lt;&gt;"")*(1/(1+EXP(-(Z514-'03_Lap_b'!$B$40:$AW$40))))^2)</f>
        <v/>
      </c>
      <c r="AC514" s="5">
        <f>MEDIAN(-6,Z514+(C514-AA514)/MAX(AA514-AB514,0.000000001),6)</f>
        <v/>
      </c>
    </row>
    <row r="515">
      <c r="A515" t="n">
        <v>514</v>
      </c>
      <c r="B515">
        <f>'01_Data'!A515</f>
        <v/>
      </c>
      <c r="C515">
        <f>SUM('01_Data'!$B515:$AW515)</f>
        <v/>
      </c>
      <c r="D515">
        <f>COUNT('01_Data'!$B515:$AW515)</f>
        <v/>
      </c>
      <c r="E515" s="5">
        <f>MEDIAN(-6,LN((C515+0.3)/(D515-C515+0.3)),6)</f>
        <v/>
      </c>
      <c r="F515" s="5">
        <f>SUMPRODUCT(('01_Data'!$B515:$AW515&lt;&gt;"")*(1/(1+EXP(-(E515-'03_Lap_b'!$B$5:$AW$5)))))</f>
        <v/>
      </c>
      <c r="G515" s="5">
        <f>SUMPRODUCT(('01_Data'!$B515:$AW515&lt;&gt;"")*(1/(1+EXP(-(E515-'03_Lap_b'!$B$5:$AW$5))))^2)</f>
        <v/>
      </c>
      <c r="H515" s="5">
        <f>MEDIAN(-6,E515+(C515-F515)/MAX(F515-G515,0.000000001),6)</f>
        <v/>
      </c>
      <c r="I515" s="5">
        <f>SUMPRODUCT(('01_Data'!$B515:$AW515&lt;&gt;"")*(1/(1+EXP(-(H515-'03_Lap_b'!$B$10:$AW$10)))))</f>
        <v/>
      </c>
      <c r="J515" s="5">
        <f>SUMPRODUCT(('01_Data'!$B515:$AW515&lt;&gt;"")*(1/(1+EXP(-(H515-'03_Lap_b'!$B$10:$AW$10))))^2)</f>
        <v/>
      </c>
      <c r="K515" s="5">
        <f>MEDIAN(-6,H515+(C515-I515)/MAX(I515-J515,0.000000001),6)</f>
        <v/>
      </c>
      <c r="L515" s="5">
        <f>SUMPRODUCT(('01_Data'!$B515:$AW515&lt;&gt;"")*(1/(1+EXP(-(K515-'03_Lap_b'!$B$15:$AW$15)))))</f>
        <v/>
      </c>
      <c r="M515" s="5">
        <f>SUMPRODUCT(('01_Data'!$B515:$AW515&lt;&gt;"")*(1/(1+EXP(-(K515-'03_Lap_b'!$B$15:$AW$15))))^2)</f>
        <v/>
      </c>
      <c r="N515" s="5">
        <f>MEDIAN(-6,K515+(C515-L515)/MAX(L515-M515,0.000000001),6)</f>
        <v/>
      </c>
      <c r="O515" s="5">
        <f>SUMPRODUCT(('01_Data'!$B515:$AW515&lt;&gt;"")*(1/(1+EXP(-(N515-'03_Lap_b'!$B$20:$AW$20)))))</f>
        <v/>
      </c>
      <c r="P515" s="5">
        <f>SUMPRODUCT(('01_Data'!$B515:$AW515&lt;&gt;"")*(1/(1+EXP(-(N515-'03_Lap_b'!$B$20:$AW$20))))^2)</f>
        <v/>
      </c>
      <c r="Q515" s="5">
        <f>MEDIAN(-6,N515+(C515-O515)/MAX(O515-P515,0.000000001),6)</f>
        <v/>
      </c>
      <c r="R515" s="5">
        <f>SUMPRODUCT(('01_Data'!$B515:$AW515&lt;&gt;"")*(1/(1+EXP(-(Q515-'03_Lap_b'!$B$25:$AW$25)))))</f>
        <v/>
      </c>
      <c r="S515" s="5">
        <f>SUMPRODUCT(('01_Data'!$B515:$AW515&lt;&gt;"")*(1/(1+EXP(-(Q515-'03_Lap_b'!$B$25:$AW$25))))^2)</f>
        <v/>
      </c>
      <c r="T515" s="5">
        <f>MEDIAN(-6,Q515+(C515-R515)/MAX(R515-S515,0.000000001),6)</f>
        <v/>
      </c>
      <c r="U515" s="5">
        <f>SUMPRODUCT(('01_Data'!$B515:$AW515&lt;&gt;"")*(1/(1+EXP(-(T515-'03_Lap_b'!$B$30:$AW$30)))))</f>
        <v/>
      </c>
      <c r="V515" s="5">
        <f>SUMPRODUCT(('01_Data'!$B515:$AW515&lt;&gt;"")*(1/(1+EXP(-(T515-'03_Lap_b'!$B$30:$AW$30))))^2)</f>
        <v/>
      </c>
      <c r="W515" s="5">
        <f>MEDIAN(-6,T515+(C515-U515)/MAX(U515-V515,0.000000001),6)</f>
        <v/>
      </c>
      <c r="X515" s="5">
        <f>SUMPRODUCT(('01_Data'!$B515:$AW515&lt;&gt;"")*(1/(1+EXP(-(W515-'03_Lap_b'!$B$35:$AW$35)))))</f>
        <v/>
      </c>
      <c r="Y515" s="5">
        <f>SUMPRODUCT(('01_Data'!$B515:$AW515&lt;&gt;"")*(1/(1+EXP(-(W515-'03_Lap_b'!$B$35:$AW$35))))^2)</f>
        <v/>
      </c>
      <c r="Z515" s="5">
        <f>MEDIAN(-6,W515+(C515-X515)/MAX(X515-Y515,0.000000001),6)</f>
        <v/>
      </c>
      <c r="AA515" s="5">
        <f>SUMPRODUCT(('01_Data'!$B515:$AW515&lt;&gt;"")*(1/(1+EXP(-(Z515-'03_Lap_b'!$B$40:$AW$40)))))</f>
        <v/>
      </c>
      <c r="AB515" s="5">
        <f>SUMPRODUCT(('01_Data'!$B515:$AW515&lt;&gt;"")*(1/(1+EXP(-(Z515-'03_Lap_b'!$B$40:$AW$40))))^2)</f>
        <v/>
      </c>
      <c r="AC515" s="5">
        <f>MEDIAN(-6,Z515+(C515-AA515)/MAX(AA515-AB515,0.000000001),6)</f>
        <v/>
      </c>
    </row>
    <row r="516">
      <c r="A516" t="n">
        <v>515</v>
      </c>
      <c r="B516">
        <f>'01_Data'!A516</f>
        <v/>
      </c>
      <c r="C516">
        <f>SUM('01_Data'!$B516:$AW516)</f>
        <v/>
      </c>
      <c r="D516">
        <f>COUNT('01_Data'!$B516:$AW516)</f>
        <v/>
      </c>
      <c r="E516" s="5">
        <f>MEDIAN(-6,LN((C516+0.3)/(D516-C516+0.3)),6)</f>
        <v/>
      </c>
      <c r="F516" s="5">
        <f>SUMPRODUCT(('01_Data'!$B516:$AW516&lt;&gt;"")*(1/(1+EXP(-(E516-'03_Lap_b'!$B$5:$AW$5)))))</f>
        <v/>
      </c>
      <c r="G516" s="5">
        <f>SUMPRODUCT(('01_Data'!$B516:$AW516&lt;&gt;"")*(1/(1+EXP(-(E516-'03_Lap_b'!$B$5:$AW$5))))^2)</f>
        <v/>
      </c>
      <c r="H516" s="5">
        <f>MEDIAN(-6,E516+(C516-F516)/MAX(F516-G516,0.000000001),6)</f>
        <v/>
      </c>
      <c r="I516" s="5">
        <f>SUMPRODUCT(('01_Data'!$B516:$AW516&lt;&gt;"")*(1/(1+EXP(-(H516-'03_Lap_b'!$B$10:$AW$10)))))</f>
        <v/>
      </c>
      <c r="J516" s="5">
        <f>SUMPRODUCT(('01_Data'!$B516:$AW516&lt;&gt;"")*(1/(1+EXP(-(H516-'03_Lap_b'!$B$10:$AW$10))))^2)</f>
        <v/>
      </c>
      <c r="K516" s="5">
        <f>MEDIAN(-6,H516+(C516-I516)/MAX(I516-J516,0.000000001),6)</f>
        <v/>
      </c>
      <c r="L516" s="5">
        <f>SUMPRODUCT(('01_Data'!$B516:$AW516&lt;&gt;"")*(1/(1+EXP(-(K516-'03_Lap_b'!$B$15:$AW$15)))))</f>
        <v/>
      </c>
      <c r="M516" s="5">
        <f>SUMPRODUCT(('01_Data'!$B516:$AW516&lt;&gt;"")*(1/(1+EXP(-(K516-'03_Lap_b'!$B$15:$AW$15))))^2)</f>
        <v/>
      </c>
      <c r="N516" s="5">
        <f>MEDIAN(-6,K516+(C516-L516)/MAX(L516-M516,0.000000001),6)</f>
        <v/>
      </c>
      <c r="O516" s="5">
        <f>SUMPRODUCT(('01_Data'!$B516:$AW516&lt;&gt;"")*(1/(1+EXP(-(N516-'03_Lap_b'!$B$20:$AW$20)))))</f>
        <v/>
      </c>
      <c r="P516" s="5">
        <f>SUMPRODUCT(('01_Data'!$B516:$AW516&lt;&gt;"")*(1/(1+EXP(-(N516-'03_Lap_b'!$B$20:$AW$20))))^2)</f>
        <v/>
      </c>
      <c r="Q516" s="5">
        <f>MEDIAN(-6,N516+(C516-O516)/MAX(O516-P516,0.000000001),6)</f>
        <v/>
      </c>
      <c r="R516" s="5">
        <f>SUMPRODUCT(('01_Data'!$B516:$AW516&lt;&gt;"")*(1/(1+EXP(-(Q516-'03_Lap_b'!$B$25:$AW$25)))))</f>
        <v/>
      </c>
      <c r="S516" s="5">
        <f>SUMPRODUCT(('01_Data'!$B516:$AW516&lt;&gt;"")*(1/(1+EXP(-(Q516-'03_Lap_b'!$B$25:$AW$25))))^2)</f>
        <v/>
      </c>
      <c r="T516" s="5">
        <f>MEDIAN(-6,Q516+(C516-R516)/MAX(R516-S516,0.000000001),6)</f>
        <v/>
      </c>
      <c r="U516" s="5">
        <f>SUMPRODUCT(('01_Data'!$B516:$AW516&lt;&gt;"")*(1/(1+EXP(-(T516-'03_Lap_b'!$B$30:$AW$30)))))</f>
        <v/>
      </c>
      <c r="V516" s="5">
        <f>SUMPRODUCT(('01_Data'!$B516:$AW516&lt;&gt;"")*(1/(1+EXP(-(T516-'03_Lap_b'!$B$30:$AW$30))))^2)</f>
        <v/>
      </c>
      <c r="W516" s="5">
        <f>MEDIAN(-6,T516+(C516-U516)/MAX(U516-V516,0.000000001),6)</f>
        <v/>
      </c>
      <c r="X516" s="5">
        <f>SUMPRODUCT(('01_Data'!$B516:$AW516&lt;&gt;"")*(1/(1+EXP(-(W516-'03_Lap_b'!$B$35:$AW$35)))))</f>
        <v/>
      </c>
      <c r="Y516" s="5">
        <f>SUMPRODUCT(('01_Data'!$B516:$AW516&lt;&gt;"")*(1/(1+EXP(-(W516-'03_Lap_b'!$B$35:$AW$35))))^2)</f>
        <v/>
      </c>
      <c r="Z516" s="5">
        <f>MEDIAN(-6,W516+(C516-X516)/MAX(X516-Y516,0.000000001),6)</f>
        <v/>
      </c>
      <c r="AA516" s="5">
        <f>SUMPRODUCT(('01_Data'!$B516:$AW516&lt;&gt;"")*(1/(1+EXP(-(Z516-'03_Lap_b'!$B$40:$AW$40)))))</f>
        <v/>
      </c>
      <c r="AB516" s="5">
        <f>SUMPRODUCT(('01_Data'!$B516:$AW516&lt;&gt;"")*(1/(1+EXP(-(Z516-'03_Lap_b'!$B$40:$AW$40))))^2)</f>
        <v/>
      </c>
      <c r="AC516" s="5">
        <f>MEDIAN(-6,Z516+(C516-AA516)/MAX(AA516-AB516,0.000000001),6)</f>
        <v/>
      </c>
    </row>
    <row r="517">
      <c r="A517" t="n">
        <v>516</v>
      </c>
      <c r="B517">
        <f>'01_Data'!A517</f>
        <v/>
      </c>
      <c r="C517">
        <f>SUM('01_Data'!$B517:$AW517)</f>
        <v/>
      </c>
      <c r="D517">
        <f>COUNT('01_Data'!$B517:$AW517)</f>
        <v/>
      </c>
      <c r="E517" s="5">
        <f>MEDIAN(-6,LN((C517+0.3)/(D517-C517+0.3)),6)</f>
        <v/>
      </c>
      <c r="F517" s="5">
        <f>SUMPRODUCT(('01_Data'!$B517:$AW517&lt;&gt;"")*(1/(1+EXP(-(E517-'03_Lap_b'!$B$5:$AW$5)))))</f>
        <v/>
      </c>
      <c r="G517" s="5">
        <f>SUMPRODUCT(('01_Data'!$B517:$AW517&lt;&gt;"")*(1/(1+EXP(-(E517-'03_Lap_b'!$B$5:$AW$5))))^2)</f>
        <v/>
      </c>
      <c r="H517" s="5">
        <f>MEDIAN(-6,E517+(C517-F517)/MAX(F517-G517,0.000000001),6)</f>
        <v/>
      </c>
      <c r="I517" s="5">
        <f>SUMPRODUCT(('01_Data'!$B517:$AW517&lt;&gt;"")*(1/(1+EXP(-(H517-'03_Lap_b'!$B$10:$AW$10)))))</f>
        <v/>
      </c>
      <c r="J517" s="5">
        <f>SUMPRODUCT(('01_Data'!$B517:$AW517&lt;&gt;"")*(1/(1+EXP(-(H517-'03_Lap_b'!$B$10:$AW$10))))^2)</f>
        <v/>
      </c>
      <c r="K517" s="5">
        <f>MEDIAN(-6,H517+(C517-I517)/MAX(I517-J517,0.000000001),6)</f>
        <v/>
      </c>
      <c r="L517" s="5">
        <f>SUMPRODUCT(('01_Data'!$B517:$AW517&lt;&gt;"")*(1/(1+EXP(-(K517-'03_Lap_b'!$B$15:$AW$15)))))</f>
        <v/>
      </c>
      <c r="M517" s="5">
        <f>SUMPRODUCT(('01_Data'!$B517:$AW517&lt;&gt;"")*(1/(1+EXP(-(K517-'03_Lap_b'!$B$15:$AW$15))))^2)</f>
        <v/>
      </c>
      <c r="N517" s="5">
        <f>MEDIAN(-6,K517+(C517-L517)/MAX(L517-M517,0.000000001),6)</f>
        <v/>
      </c>
      <c r="O517" s="5">
        <f>SUMPRODUCT(('01_Data'!$B517:$AW517&lt;&gt;"")*(1/(1+EXP(-(N517-'03_Lap_b'!$B$20:$AW$20)))))</f>
        <v/>
      </c>
      <c r="P517" s="5">
        <f>SUMPRODUCT(('01_Data'!$B517:$AW517&lt;&gt;"")*(1/(1+EXP(-(N517-'03_Lap_b'!$B$20:$AW$20))))^2)</f>
        <v/>
      </c>
      <c r="Q517" s="5">
        <f>MEDIAN(-6,N517+(C517-O517)/MAX(O517-P517,0.000000001),6)</f>
        <v/>
      </c>
      <c r="R517" s="5">
        <f>SUMPRODUCT(('01_Data'!$B517:$AW517&lt;&gt;"")*(1/(1+EXP(-(Q517-'03_Lap_b'!$B$25:$AW$25)))))</f>
        <v/>
      </c>
      <c r="S517" s="5">
        <f>SUMPRODUCT(('01_Data'!$B517:$AW517&lt;&gt;"")*(1/(1+EXP(-(Q517-'03_Lap_b'!$B$25:$AW$25))))^2)</f>
        <v/>
      </c>
      <c r="T517" s="5">
        <f>MEDIAN(-6,Q517+(C517-R517)/MAX(R517-S517,0.000000001),6)</f>
        <v/>
      </c>
      <c r="U517" s="5">
        <f>SUMPRODUCT(('01_Data'!$B517:$AW517&lt;&gt;"")*(1/(1+EXP(-(T517-'03_Lap_b'!$B$30:$AW$30)))))</f>
        <v/>
      </c>
      <c r="V517" s="5">
        <f>SUMPRODUCT(('01_Data'!$B517:$AW517&lt;&gt;"")*(1/(1+EXP(-(T517-'03_Lap_b'!$B$30:$AW$30))))^2)</f>
        <v/>
      </c>
      <c r="W517" s="5">
        <f>MEDIAN(-6,T517+(C517-U517)/MAX(U517-V517,0.000000001),6)</f>
        <v/>
      </c>
      <c r="X517" s="5">
        <f>SUMPRODUCT(('01_Data'!$B517:$AW517&lt;&gt;"")*(1/(1+EXP(-(W517-'03_Lap_b'!$B$35:$AW$35)))))</f>
        <v/>
      </c>
      <c r="Y517" s="5">
        <f>SUMPRODUCT(('01_Data'!$B517:$AW517&lt;&gt;"")*(1/(1+EXP(-(W517-'03_Lap_b'!$B$35:$AW$35))))^2)</f>
        <v/>
      </c>
      <c r="Z517" s="5">
        <f>MEDIAN(-6,W517+(C517-X517)/MAX(X517-Y517,0.000000001),6)</f>
        <v/>
      </c>
      <c r="AA517" s="5">
        <f>SUMPRODUCT(('01_Data'!$B517:$AW517&lt;&gt;"")*(1/(1+EXP(-(Z517-'03_Lap_b'!$B$40:$AW$40)))))</f>
        <v/>
      </c>
      <c r="AB517" s="5">
        <f>SUMPRODUCT(('01_Data'!$B517:$AW517&lt;&gt;"")*(1/(1+EXP(-(Z517-'03_Lap_b'!$B$40:$AW$40))))^2)</f>
        <v/>
      </c>
      <c r="AC517" s="5">
        <f>MEDIAN(-6,Z517+(C517-AA517)/MAX(AA517-AB517,0.000000001),6)</f>
        <v/>
      </c>
    </row>
    <row r="518">
      <c r="A518" t="n">
        <v>517</v>
      </c>
      <c r="B518">
        <f>'01_Data'!A518</f>
        <v/>
      </c>
      <c r="C518">
        <f>SUM('01_Data'!$B518:$AW518)</f>
        <v/>
      </c>
      <c r="D518">
        <f>COUNT('01_Data'!$B518:$AW518)</f>
        <v/>
      </c>
      <c r="E518" s="5">
        <f>MEDIAN(-6,LN((C518+0.3)/(D518-C518+0.3)),6)</f>
        <v/>
      </c>
      <c r="F518" s="5">
        <f>SUMPRODUCT(('01_Data'!$B518:$AW518&lt;&gt;"")*(1/(1+EXP(-(E518-'03_Lap_b'!$B$5:$AW$5)))))</f>
        <v/>
      </c>
      <c r="G518" s="5">
        <f>SUMPRODUCT(('01_Data'!$B518:$AW518&lt;&gt;"")*(1/(1+EXP(-(E518-'03_Lap_b'!$B$5:$AW$5))))^2)</f>
        <v/>
      </c>
      <c r="H518" s="5">
        <f>MEDIAN(-6,E518+(C518-F518)/MAX(F518-G518,0.000000001),6)</f>
        <v/>
      </c>
      <c r="I518" s="5">
        <f>SUMPRODUCT(('01_Data'!$B518:$AW518&lt;&gt;"")*(1/(1+EXP(-(H518-'03_Lap_b'!$B$10:$AW$10)))))</f>
        <v/>
      </c>
      <c r="J518" s="5">
        <f>SUMPRODUCT(('01_Data'!$B518:$AW518&lt;&gt;"")*(1/(1+EXP(-(H518-'03_Lap_b'!$B$10:$AW$10))))^2)</f>
        <v/>
      </c>
      <c r="K518" s="5">
        <f>MEDIAN(-6,H518+(C518-I518)/MAX(I518-J518,0.000000001),6)</f>
        <v/>
      </c>
      <c r="L518" s="5">
        <f>SUMPRODUCT(('01_Data'!$B518:$AW518&lt;&gt;"")*(1/(1+EXP(-(K518-'03_Lap_b'!$B$15:$AW$15)))))</f>
        <v/>
      </c>
      <c r="M518" s="5">
        <f>SUMPRODUCT(('01_Data'!$B518:$AW518&lt;&gt;"")*(1/(1+EXP(-(K518-'03_Lap_b'!$B$15:$AW$15))))^2)</f>
        <v/>
      </c>
      <c r="N518" s="5">
        <f>MEDIAN(-6,K518+(C518-L518)/MAX(L518-M518,0.000000001),6)</f>
        <v/>
      </c>
      <c r="O518" s="5">
        <f>SUMPRODUCT(('01_Data'!$B518:$AW518&lt;&gt;"")*(1/(1+EXP(-(N518-'03_Lap_b'!$B$20:$AW$20)))))</f>
        <v/>
      </c>
      <c r="P518" s="5">
        <f>SUMPRODUCT(('01_Data'!$B518:$AW518&lt;&gt;"")*(1/(1+EXP(-(N518-'03_Lap_b'!$B$20:$AW$20))))^2)</f>
        <v/>
      </c>
      <c r="Q518" s="5">
        <f>MEDIAN(-6,N518+(C518-O518)/MAX(O518-P518,0.000000001),6)</f>
        <v/>
      </c>
      <c r="R518" s="5">
        <f>SUMPRODUCT(('01_Data'!$B518:$AW518&lt;&gt;"")*(1/(1+EXP(-(Q518-'03_Lap_b'!$B$25:$AW$25)))))</f>
        <v/>
      </c>
      <c r="S518" s="5">
        <f>SUMPRODUCT(('01_Data'!$B518:$AW518&lt;&gt;"")*(1/(1+EXP(-(Q518-'03_Lap_b'!$B$25:$AW$25))))^2)</f>
        <v/>
      </c>
      <c r="T518" s="5">
        <f>MEDIAN(-6,Q518+(C518-R518)/MAX(R518-S518,0.000000001),6)</f>
        <v/>
      </c>
      <c r="U518" s="5">
        <f>SUMPRODUCT(('01_Data'!$B518:$AW518&lt;&gt;"")*(1/(1+EXP(-(T518-'03_Lap_b'!$B$30:$AW$30)))))</f>
        <v/>
      </c>
      <c r="V518" s="5">
        <f>SUMPRODUCT(('01_Data'!$B518:$AW518&lt;&gt;"")*(1/(1+EXP(-(T518-'03_Lap_b'!$B$30:$AW$30))))^2)</f>
        <v/>
      </c>
      <c r="W518" s="5">
        <f>MEDIAN(-6,T518+(C518-U518)/MAX(U518-V518,0.000000001),6)</f>
        <v/>
      </c>
      <c r="X518" s="5">
        <f>SUMPRODUCT(('01_Data'!$B518:$AW518&lt;&gt;"")*(1/(1+EXP(-(W518-'03_Lap_b'!$B$35:$AW$35)))))</f>
        <v/>
      </c>
      <c r="Y518" s="5">
        <f>SUMPRODUCT(('01_Data'!$B518:$AW518&lt;&gt;"")*(1/(1+EXP(-(W518-'03_Lap_b'!$B$35:$AW$35))))^2)</f>
        <v/>
      </c>
      <c r="Z518" s="5">
        <f>MEDIAN(-6,W518+(C518-X518)/MAX(X518-Y518,0.000000001),6)</f>
        <v/>
      </c>
      <c r="AA518" s="5">
        <f>SUMPRODUCT(('01_Data'!$B518:$AW518&lt;&gt;"")*(1/(1+EXP(-(Z518-'03_Lap_b'!$B$40:$AW$40)))))</f>
        <v/>
      </c>
      <c r="AB518" s="5">
        <f>SUMPRODUCT(('01_Data'!$B518:$AW518&lt;&gt;"")*(1/(1+EXP(-(Z518-'03_Lap_b'!$B$40:$AW$40))))^2)</f>
        <v/>
      </c>
      <c r="AC518" s="5">
        <f>MEDIAN(-6,Z518+(C518-AA518)/MAX(AA518-AB518,0.000000001),6)</f>
        <v/>
      </c>
    </row>
    <row r="519">
      <c r="A519" t="n">
        <v>518</v>
      </c>
      <c r="B519">
        <f>'01_Data'!A519</f>
        <v/>
      </c>
      <c r="C519">
        <f>SUM('01_Data'!$B519:$AW519)</f>
        <v/>
      </c>
      <c r="D519">
        <f>COUNT('01_Data'!$B519:$AW519)</f>
        <v/>
      </c>
      <c r="E519" s="5">
        <f>MEDIAN(-6,LN((C519+0.3)/(D519-C519+0.3)),6)</f>
        <v/>
      </c>
      <c r="F519" s="5">
        <f>SUMPRODUCT(('01_Data'!$B519:$AW519&lt;&gt;"")*(1/(1+EXP(-(E519-'03_Lap_b'!$B$5:$AW$5)))))</f>
        <v/>
      </c>
      <c r="G519" s="5">
        <f>SUMPRODUCT(('01_Data'!$B519:$AW519&lt;&gt;"")*(1/(1+EXP(-(E519-'03_Lap_b'!$B$5:$AW$5))))^2)</f>
        <v/>
      </c>
      <c r="H519" s="5">
        <f>MEDIAN(-6,E519+(C519-F519)/MAX(F519-G519,0.000000001),6)</f>
        <v/>
      </c>
      <c r="I519" s="5">
        <f>SUMPRODUCT(('01_Data'!$B519:$AW519&lt;&gt;"")*(1/(1+EXP(-(H519-'03_Lap_b'!$B$10:$AW$10)))))</f>
        <v/>
      </c>
      <c r="J519" s="5">
        <f>SUMPRODUCT(('01_Data'!$B519:$AW519&lt;&gt;"")*(1/(1+EXP(-(H519-'03_Lap_b'!$B$10:$AW$10))))^2)</f>
        <v/>
      </c>
      <c r="K519" s="5">
        <f>MEDIAN(-6,H519+(C519-I519)/MAX(I519-J519,0.000000001),6)</f>
        <v/>
      </c>
      <c r="L519" s="5">
        <f>SUMPRODUCT(('01_Data'!$B519:$AW519&lt;&gt;"")*(1/(1+EXP(-(K519-'03_Lap_b'!$B$15:$AW$15)))))</f>
        <v/>
      </c>
      <c r="M519" s="5">
        <f>SUMPRODUCT(('01_Data'!$B519:$AW519&lt;&gt;"")*(1/(1+EXP(-(K519-'03_Lap_b'!$B$15:$AW$15))))^2)</f>
        <v/>
      </c>
      <c r="N519" s="5">
        <f>MEDIAN(-6,K519+(C519-L519)/MAX(L519-M519,0.000000001),6)</f>
        <v/>
      </c>
      <c r="O519" s="5">
        <f>SUMPRODUCT(('01_Data'!$B519:$AW519&lt;&gt;"")*(1/(1+EXP(-(N519-'03_Lap_b'!$B$20:$AW$20)))))</f>
        <v/>
      </c>
      <c r="P519" s="5">
        <f>SUMPRODUCT(('01_Data'!$B519:$AW519&lt;&gt;"")*(1/(1+EXP(-(N519-'03_Lap_b'!$B$20:$AW$20))))^2)</f>
        <v/>
      </c>
      <c r="Q519" s="5">
        <f>MEDIAN(-6,N519+(C519-O519)/MAX(O519-P519,0.000000001),6)</f>
        <v/>
      </c>
      <c r="R519" s="5">
        <f>SUMPRODUCT(('01_Data'!$B519:$AW519&lt;&gt;"")*(1/(1+EXP(-(Q519-'03_Lap_b'!$B$25:$AW$25)))))</f>
        <v/>
      </c>
      <c r="S519" s="5">
        <f>SUMPRODUCT(('01_Data'!$B519:$AW519&lt;&gt;"")*(1/(1+EXP(-(Q519-'03_Lap_b'!$B$25:$AW$25))))^2)</f>
        <v/>
      </c>
      <c r="T519" s="5">
        <f>MEDIAN(-6,Q519+(C519-R519)/MAX(R519-S519,0.000000001),6)</f>
        <v/>
      </c>
      <c r="U519" s="5">
        <f>SUMPRODUCT(('01_Data'!$B519:$AW519&lt;&gt;"")*(1/(1+EXP(-(T519-'03_Lap_b'!$B$30:$AW$30)))))</f>
        <v/>
      </c>
      <c r="V519" s="5">
        <f>SUMPRODUCT(('01_Data'!$B519:$AW519&lt;&gt;"")*(1/(1+EXP(-(T519-'03_Lap_b'!$B$30:$AW$30))))^2)</f>
        <v/>
      </c>
      <c r="W519" s="5">
        <f>MEDIAN(-6,T519+(C519-U519)/MAX(U519-V519,0.000000001),6)</f>
        <v/>
      </c>
      <c r="X519" s="5">
        <f>SUMPRODUCT(('01_Data'!$B519:$AW519&lt;&gt;"")*(1/(1+EXP(-(W519-'03_Lap_b'!$B$35:$AW$35)))))</f>
        <v/>
      </c>
      <c r="Y519" s="5">
        <f>SUMPRODUCT(('01_Data'!$B519:$AW519&lt;&gt;"")*(1/(1+EXP(-(W519-'03_Lap_b'!$B$35:$AW$35))))^2)</f>
        <v/>
      </c>
      <c r="Z519" s="5">
        <f>MEDIAN(-6,W519+(C519-X519)/MAX(X519-Y519,0.000000001),6)</f>
        <v/>
      </c>
      <c r="AA519" s="5">
        <f>SUMPRODUCT(('01_Data'!$B519:$AW519&lt;&gt;"")*(1/(1+EXP(-(Z519-'03_Lap_b'!$B$40:$AW$40)))))</f>
        <v/>
      </c>
      <c r="AB519" s="5">
        <f>SUMPRODUCT(('01_Data'!$B519:$AW519&lt;&gt;"")*(1/(1+EXP(-(Z519-'03_Lap_b'!$B$40:$AW$40))))^2)</f>
        <v/>
      </c>
      <c r="AC519" s="5">
        <f>MEDIAN(-6,Z519+(C519-AA519)/MAX(AA519-AB519,0.000000001),6)</f>
        <v/>
      </c>
    </row>
    <row r="520">
      <c r="A520" t="n">
        <v>519</v>
      </c>
      <c r="B520">
        <f>'01_Data'!A520</f>
        <v/>
      </c>
      <c r="C520">
        <f>SUM('01_Data'!$B520:$AW520)</f>
        <v/>
      </c>
      <c r="D520">
        <f>COUNT('01_Data'!$B520:$AW520)</f>
        <v/>
      </c>
      <c r="E520" s="5">
        <f>MEDIAN(-6,LN((C520+0.3)/(D520-C520+0.3)),6)</f>
        <v/>
      </c>
      <c r="F520" s="5">
        <f>SUMPRODUCT(('01_Data'!$B520:$AW520&lt;&gt;"")*(1/(1+EXP(-(E520-'03_Lap_b'!$B$5:$AW$5)))))</f>
        <v/>
      </c>
      <c r="G520" s="5">
        <f>SUMPRODUCT(('01_Data'!$B520:$AW520&lt;&gt;"")*(1/(1+EXP(-(E520-'03_Lap_b'!$B$5:$AW$5))))^2)</f>
        <v/>
      </c>
      <c r="H520" s="5">
        <f>MEDIAN(-6,E520+(C520-F520)/MAX(F520-G520,0.000000001),6)</f>
        <v/>
      </c>
      <c r="I520" s="5">
        <f>SUMPRODUCT(('01_Data'!$B520:$AW520&lt;&gt;"")*(1/(1+EXP(-(H520-'03_Lap_b'!$B$10:$AW$10)))))</f>
        <v/>
      </c>
      <c r="J520" s="5">
        <f>SUMPRODUCT(('01_Data'!$B520:$AW520&lt;&gt;"")*(1/(1+EXP(-(H520-'03_Lap_b'!$B$10:$AW$10))))^2)</f>
        <v/>
      </c>
      <c r="K520" s="5">
        <f>MEDIAN(-6,H520+(C520-I520)/MAX(I520-J520,0.000000001),6)</f>
        <v/>
      </c>
      <c r="L520" s="5">
        <f>SUMPRODUCT(('01_Data'!$B520:$AW520&lt;&gt;"")*(1/(1+EXP(-(K520-'03_Lap_b'!$B$15:$AW$15)))))</f>
        <v/>
      </c>
      <c r="M520" s="5">
        <f>SUMPRODUCT(('01_Data'!$B520:$AW520&lt;&gt;"")*(1/(1+EXP(-(K520-'03_Lap_b'!$B$15:$AW$15))))^2)</f>
        <v/>
      </c>
      <c r="N520" s="5">
        <f>MEDIAN(-6,K520+(C520-L520)/MAX(L520-M520,0.000000001),6)</f>
        <v/>
      </c>
      <c r="O520" s="5">
        <f>SUMPRODUCT(('01_Data'!$B520:$AW520&lt;&gt;"")*(1/(1+EXP(-(N520-'03_Lap_b'!$B$20:$AW$20)))))</f>
        <v/>
      </c>
      <c r="P520" s="5">
        <f>SUMPRODUCT(('01_Data'!$B520:$AW520&lt;&gt;"")*(1/(1+EXP(-(N520-'03_Lap_b'!$B$20:$AW$20))))^2)</f>
        <v/>
      </c>
      <c r="Q520" s="5">
        <f>MEDIAN(-6,N520+(C520-O520)/MAX(O520-P520,0.000000001),6)</f>
        <v/>
      </c>
      <c r="R520" s="5">
        <f>SUMPRODUCT(('01_Data'!$B520:$AW520&lt;&gt;"")*(1/(1+EXP(-(Q520-'03_Lap_b'!$B$25:$AW$25)))))</f>
        <v/>
      </c>
      <c r="S520" s="5">
        <f>SUMPRODUCT(('01_Data'!$B520:$AW520&lt;&gt;"")*(1/(1+EXP(-(Q520-'03_Lap_b'!$B$25:$AW$25))))^2)</f>
        <v/>
      </c>
      <c r="T520" s="5">
        <f>MEDIAN(-6,Q520+(C520-R520)/MAX(R520-S520,0.000000001),6)</f>
        <v/>
      </c>
      <c r="U520" s="5">
        <f>SUMPRODUCT(('01_Data'!$B520:$AW520&lt;&gt;"")*(1/(1+EXP(-(T520-'03_Lap_b'!$B$30:$AW$30)))))</f>
        <v/>
      </c>
      <c r="V520" s="5">
        <f>SUMPRODUCT(('01_Data'!$B520:$AW520&lt;&gt;"")*(1/(1+EXP(-(T520-'03_Lap_b'!$B$30:$AW$30))))^2)</f>
        <v/>
      </c>
      <c r="W520" s="5">
        <f>MEDIAN(-6,T520+(C520-U520)/MAX(U520-V520,0.000000001),6)</f>
        <v/>
      </c>
      <c r="X520" s="5">
        <f>SUMPRODUCT(('01_Data'!$B520:$AW520&lt;&gt;"")*(1/(1+EXP(-(W520-'03_Lap_b'!$B$35:$AW$35)))))</f>
        <v/>
      </c>
      <c r="Y520" s="5">
        <f>SUMPRODUCT(('01_Data'!$B520:$AW520&lt;&gt;"")*(1/(1+EXP(-(W520-'03_Lap_b'!$B$35:$AW$35))))^2)</f>
        <v/>
      </c>
      <c r="Z520" s="5">
        <f>MEDIAN(-6,W520+(C520-X520)/MAX(X520-Y520,0.000000001),6)</f>
        <v/>
      </c>
      <c r="AA520" s="5">
        <f>SUMPRODUCT(('01_Data'!$B520:$AW520&lt;&gt;"")*(1/(1+EXP(-(Z520-'03_Lap_b'!$B$40:$AW$40)))))</f>
        <v/>
      </c>
      <c r="AB520" s="5">
        <f>SUMPRODUCT(('01_Data'!$B520:$AW520&lt;&gt;"")*(1/(1+EXP(-(Z520-'03_Lap_b'!$B$40:$AW$40))))^2)</f>
        <v/>
      </c>
      <c r="AC520" s="5">
        <f>MEDIAN(-6,Z520+(C520-AA520)/MAX(AA520-AB520,0.000000001),6)</f>
        <v/>
      </c>
    </row>
    <row r="521">
      <c r="A521" t="n">
        <v>520</v>
      </c>
      <c r="B521">
        <f>'01_Data'!A521</f>
        <v/>
      </c>
      <c r="C521">
        <f>SUM('01_Data'!$B521:$AW521)</f>
        <v/>
      </c>
      <c r="D521">
        <f>COUNT('01_Data'!$B521:$AW521)</f>
        <v/>
      </c>
      <c r="E521" s="5">
        <f>MEDIAN(-6,LN((C521+0.3)/(D521-C521+0.3)),6)</f>
        <v/>
      </c>
      <c r="F521" s="5">
        <f>SUMPRODUCT(('01_Data'!$B521:$AW521&lt;&gt;"")*(1/(1+EXP(-(E521-'03_Lap_b'!$B$5:$AW$5)))))</f>
        <v/>
      </c>
      <c r="G521" s="5">
        <f>SUMPRODUCT(('01_Data'!$B521:$AW521&lt;&gt;"")*(1/(1+EXP(-(E521-'03_Lap_b'!$B$5:$AW$5))))^2)</f>
        <v/>
      </c>
      <c r="H521" s="5">
        <f>MEDIAN(-6,E521+(C521-F521)/MAX(F521-G521,0.000000001),6)</f>
        <v/>
      </c>
      <c r="I521" s="5">
        <f>SUMPRODUCT(('01_Data'!$B521:$AW521&lt;&gt;"")*(1/(1+EXP(-(H521-'03_Lap_b'!$B$10:$AW$10)))))</f>
        <v/>
      </c>
      <c r="J521" s="5">
        <f>SUMPRODUCT(('01_Data'!$B521:$AW521&lt;&gt;"")*(1/(1+EXP(-(H521-'03_Lap_b'!$B$10:$AW$10))))^2)</f>
        <v/>
      </c>
      <c r="K521" s="5">
        <f>MEDIAN(-6,H521+(C521-I521)/MAX(I521-J521,0.000000001),6)</f>
        <v/>
      </c>
      <c r="L521" s="5">
        <f>SUMPRODUCT(('01_Data'!$B521:$AW521&lt;&gt;"")*(1/(1+EXP(-(K521-'03_Lap_b'!$B$15:$AW$15)))))</f>
        <v/>
      </c>
      <c r="M521" s="5">
        <f>SUMPRODUCT(('01_Data'!$B521:$AW521&lt;&gt;"")*(1/(1+EXP(-(K521-'03_Lap_b'!$B$15:$AW$15))))^2)</f>
        <v/>
      </c>
      <c r="N521" s="5">
        <f>MEDIAN(-6,K521+(C521-L521)/MAX(L521-M521,0.000000001),6)</f>
        <v/>
      </c>
      <c r="O521" s="5">
        <f>SUMPRODUCT(('01_Data'!$B521:$AW521&lt;&gt;"")*(1/(1+EXP(-(N521-'03_Lap_b'!$B$20:$AW$20)))))</f>
        <v/>
      </c>
      <c r="P521" s="5">
        <f>SUMPRODUCT(('01_Data'!$B521:$AW521&lt;&gt;"")*(1/(1+EXP(-(N521-'03_Lap_b'!$B$20:$AW$20))))^2)</f>
        <v/>
      </c>
      <c r="Q521" s="5">
        <f>MEDIAN(-6,N521+(C521-O521)/MAX(O521-P521,0.000000001),6)</f>
        <v/>
      </c>
      <c r="R521" s="5">
        <f>SUMPRODUCT(('01_Data'!$B521:$AW521&lt;&gt;"")*(1/(1+EXP(-(Q521-'03_Lap_b'!$B$25:$AW$25)))))</f>
        <v/>
      </c>
      <c r="S521" s="5">
        <f>SUMPRODUCT(('01_Data'!$B521:$AW521&lt;&gt;"")*(1/(1+EXP(-(Q521-'03_Lap_b'!$B$25:$AW$25))))^2)</f>
        <v/>
      </c>
      <c r="T521" s="5">
        <f>MEDIAN(-6,Q521+(C521-R521)/MAX(R521-S521,0.000000001),6)</f>
        <v/>
      </c>
      <c r="U521" s="5">
        <f>SUMPRODUCT(('01_Data'!$B521:$AW521&lt;&gt;"")*(1/(1+EXP(-(T521-'03_Lap_b'!$B$30:$AW$30)))))</f>
        <v/>
      </c>
      <c r="V521" s="5">
        <f>SUMPRODUCT(('01_Data'!$B521:$AW521&lt;&gt;"")*(1/(1+EXP(-(T521-'03_Lap_b'!$B$30:$AW$30))))^2)</f>
        <v/>
      </c>
      <c r="W521" s="5">
        <f>MEDIAN(-6,T521+(C521-U521)/MAX(U521-V521,0.000000001),6)</f>
        <v/>
      </c>
      <c r="X521" s="5">
        <f>SUMPRODUCT(('01_Data'!$B521:$AW521&lt;&gt;"")*(1/(1+EXP(-(W521-'03_Lap_b'!$B$35:$AW$35)))))</f>
        <v/>
      </c>
      <c r="Y521" s="5">
        <f>SUMPRODUCT(('01_Data'!$B521:$AW521&lt;&gt;"")*(1/(1+EXP(-(W521-'03_Lap_b'!$B$35:$AW$35))))^2)</f>
        <v/>
      </c>
      <c r="Z521" s="5">
        <f>MEDIAN(-6,W521+(C521-X521)/MAX(X521-Y521,0.000000001),6)</f>
        <v/>
      </c>
      <c r="AA521" s="5">
        <f>SUMPRODUCT(('01_Data'!$B521:$AW521&lt;&gt;"")*(1/(1+EXP(-(Z521-'03_Lap_b'!$B$40:$AW$40)))))</f>
        <v/>
      </c>
      <c r="AB521" s="5">
        <f>SUMPRODUCT(('01_Data'!$B521:$AW521&lt;&gt;"")*(1/(1+EXP(-(Z521-'03_Lap_b'!$B$40:$AW$40))))^2)</f>
        <v/>
      </c>
      <c r="AC521" s="5">
        <f>MEDIAN(-6,Z521+(C521-AA521)/MAX(AA521-AB521,0.000000001),6)</f>
        <v/>
      </c>
    </row>
    <row r="522">
      <c r="A522" t="n">
        <v>521</v>
      </c>
      <c r="B522">
        <f>'01_Data'!A522</f>
        <v/>
      </c>
      <c r="C522">
        <f>SUM('01_Data'!$B522:$AW522)</f>
        <v/>
      </c>
      <c r="D522">
        <f>COUNT('01_Data'!$B522:$AW522)</f>
        <v/>
      </c>
      <c r="E522" s="5">
        <f>MEDIAN(-6,LN((C522+0.3)/(D522-C522+0.3)),6)</f>
        <v/>
      </c>
      <c r="F522" s="5">
        <f>SUMPRODUCT(('01_Data'!$B522:$AW522&lt;&gt;"")*(1/(1+EXP(-(E522-'03_Lap_b'!$B$5:$AW$5)))))</f>
        <v/>
      </c>
      <c r="G522" s="5">
        <f>SUMPRODUCT(('01_Data'!$B522:$AW522&lt;&gt;"")*(1/(1+EXP(-(E522-'03_Lap_b'!$B$5:$AW$5))))^2)</f>
        <v/>
      </c>
      <c r="H522" s="5">
        <f>MEDIAN(-6,E522+(C522-F522)/MAX(F522-G522,0.000000001),6)</f>
        <v/>
      </c>
      <c r="I522" s="5">
        <f>SUMPRODUCT(('01_Data'!$B522:$AW522&lt;&gt;"")*(1/(1+EXP(-(H522-'03_Lap_b'!$B$10:$AW$10)))))</f>
        <v/>
      </c>
      <c r="J522" s="5">
        <f>SUMPRODUCT(('01_Data'!$B522:$AW522&lt;&gt;"")*(1/(1+EXP(-(H522-'03_Lap_b'!$B$10:$AW$10))))^2)</f>
        <v/>
      </c>
      <c r="K522" s="5">
        <f>MEDIAN(-6,H522+(C522-I522)/MAX(I522-J522,0.000000001),6)</f>
        <v/>
      </c>
      <c r="L522" s="5">
        <f>SUMPRODUCT(('01_Data'!$B522:$AW522&lt;&gt;"")*(1/(1+EXP(-(K522-'03_Lap_b'!$B$15:$AW$15)))))</f>
        <v/>
      </c>
      <c r="M522" s="5">
        <f>SUMPRODUCT(('01_Data'!$B522:$AW522&lt;&gt;"")*(1/(1+EXP(-(K522-'03_Lap_b'!$B$15:$AW$15))))^2)</f>
        <v/>
      </c>
      <c r="N522" s="5">
        <f>MEDIAN(-6,K522+(C522-L522)/MAX(L522-M522,0.000000001),6)</f>
        <v/>
      </c>
      <c r="O522" s="5">
        <f>SUMPRODUCT(('01_Data'!$B522:$AW522&lt;&gt;"")*(1/(1+EXP(-(N522-'03_Lap_b'!$B$20:$AW$20)))))</f>
        <v/>
      </c>
      <c r="P522" s="5">
        <f>SUMPRODUCT(('01_Data'!$B522:$AW522&lt;&gt;"")*(1/(1+EXP(-(N522-'03_Lap_b'!$B$20:$AW$20))))^2)</f>
        <v/>
      </c>
      <c r="Q522" s="5">
        <f>MEDIAN(-6,N522+(C522-O522)/MAX(O522-P522,0.000000001),6)</f>
        <v/>
      </c>
      <c r="R522" s="5">
        <f>SUMPRODUCT(('01_Data'!$B522:$AW522&lt;&gt;"")*(1/(1+EXP(-(Q522-'03_Lap_b'!$B$25:$AW$25)))))</f>
        <v/>
      </c>
      <c r="S522" s="5">
        <f>SUMPRODUCT(('01_Data'!$B522:$AW522&lt;&gt;"")*(1/(1+EXP(-(Q522-'03_Lap_b'!$B$25:$AW$25))))^2)</f>
        <v/>
      </c>
      <c r="T522" s="5">
        <f>MEDIAN(-6,Q522+(C522-R522)/MAX(R522-S522,0.000000001),6)</f>
        <v/>
      </c>
      <c r="U522" s="5">
        <f>SUMPRODUCT(('01_Data'!$B522:$AW522&lt;&gt;"")*(1/(1+EXP(-(T522-'03_Lap_b'!$B$30:$AW$30)))))</f>
        <v/>
      </c>
      <c r="V522" s="5">
        <f>SUMPRODUCT(('01_Data'!$B522:$AW522&lt;&gt;"")*(1/(1+EXP(-(T522-'03_Lap_b'!$B$30:$AW$30))))^2)</f>
        <v/>
      </c>
      <c r="W522" s="5">
        <f>MEDIAN(-6,T522+(C522-U522)/MAX(U522-V522,0.000000001),6)</f>
        <v/>
      </c>
      <c r="X522" s="5">
        <f>SUMPRODUCT(('01_Data'!$B522:$AW522&lt;&gt;"")*(1/(1+EXP(-(W522-'03_Lap_b'!$B$35:$AW$35)))))</f>
        <v/>
      </c>
      <c r="Y522" s="5">
        <f>SUMPRODUCT(('01_Data'!$B522:$AW522&lt;&gt;"")*(1/(1+EXP(-(W522-'03_Lap_b'!$B$35:$AW$35))))^2)</f>
        <v/>
      </c>
      <c r="Z522" s="5">
        <f>MEDIAN(-6,W522+(C522-X522)/MAX(X522-Y522,0.000000001),6)</f>
        <v/>
      </c>
      <c r="AA522" s="5">
        <f>SUMPRODUCT(('01_Data'!$B522:$AW522&lt;&gt;"")*(1/(1+EXP(-(Z522-'03_Lap_b'!$B$40:$AW$40)))))</f>
        <v/>
      </c>
      <c r="AB522" s="5">
        <f>SUMPRODUCT(('01_Data'!$B522:$AW522&lt;&gt;"")*(1/(1+EXP(-(Z522-'03_Lap_b'!$B$40:$AW$40))))^2)</f>
        <v/>
      </c>
      <c r="AC522" s="5">
        <f>MEDIAN(-6,Z522+(C522-AA522)/MAX(AA522-AB522,0.000000001),6)</f>
        <v/>
      </c>
    </row>
    <row r="523">
      <c r="A523" t="n">
        <v>522</v>
      </c>
      <c r="B523">
        <f>'01_Data'!A523</f>
        <v/>
      </c>
      <c r="C523">
        <f>SUM('01_Data'!$B523:$AW523)</f>
        <v/>
      </c>
      <c r="D523">
        <f>COUNT('01_Data'!$B523:$AW523)</f>
        <v/>
      </c>
      <c r="E523" s="5">
        <f>MEDIAN(-6,LN((C523+0.3)/(D523-C523+0.3)),6)</f>
        <v/>
      </c>
      <c r="F523" s="5">
        <f>SUMPRODUCT(('01_Data'!$B523:$AW523&lt;&gt;"")*(1/(1+EXP(-(E523-'03_Lap_b'!$B$5:$AW$5)))))</f>
        <v/>
      </c>
      <c r="G523" s="5">
        <f>SUMPRODUCT(('01_Data'!$B523:$AW523&lt;&gt;"")*(1/(1+EXP(-(E523-'03_Lap_b'!$B$5:$AW$5))))^2)</f>
        <v/>
      </c>
      <c r="H523" s="5">
        <f>MEDIAN(-6,E523+(C523-F523)/MAX(F523-G523,0.000000001),6)</f>
        <v/>
      </c>
      <c r="I523" s="5">
        <f>SUMPRODUCT(('01_Data'!$B523:$AW523&lt;&gt;"")*(1/(1+EXP(-(H523-'03_Lap_b'!$B$10:$AW$10)))))</f>
        <v/>
      </c>
      <c r="J523" s="5">
        <f>SUMPRODUCT(('01_Data'!$B523:$AW523&lt;&gt;"")*(1/(1+EXP(-(H523-'03_Lap_b'!$B$10:$AW$10))))^2)</f>
        <v/>
      </c>
      <c r="K523" s="5">
        <f>MEDIAN(-6,H523+(C523-I523)/MAX(I523-J523,0.000000001),6)</f>
        <v/>
      </c>
      <c r="L523" s="5">
        <f>SUMPRODUCT(('01_Data'!$B523:$AW523&lt;&gt;"")*(1/(1+EXP(-(K523-'03_Lap_b'!$B$15:$AW$15)))))</f>
        <v/>
      </c>
      <c r="M523" s="5">
        <f>SUMPRODUCT(('01_Data'!$B523:$AW523&lt;&gt;"")*(1/(1+EXP(-(K523-'03_Lap_b'!$B$15:$AW$15))))^2)</f>
        <v/>
      </c>
      <c r="N523" s="5">
        <f>MEDIAN(-6,K523+(C523-L523)/MAX(L523-M523,0.000000001),6)</f>
        <v/>
      </c>
      <c r="O523" s="5">
        <f>SUMPRODUCT(('01_Data'!$B523:$AW523&lt;&gt;"")*(1/(1+EXP(-(N523-'03_Lap_b'!$B$20:$AW$20)))))</f>
        <v/>
      </c>
      <c r="P523" s="5">
        <f>SUMPRODUCT(('01_Data'!$B523:$AW523&lt;&gt;"")*(1/(1+EXP(-(N523-'03_Lap_b'!$B$20:$AW$20))))^2)</f>
        <v/>
      </c>
      <c r="Q523" s="5">
        <f>MEDIAN(-6,N523+(C523-O523)/MAX(O523-P523,0.000000001),6)</f>
        <v/>
      </c>
      <c r="R523" s="5">
        <f>SUMPRODUCT(('01_Data'!$B523:$AW523&lt;&gt;"")*(1/(1+EXP(-(Q523-'03_Lap_b'!$B$25:$AW$25)))))</f>
        <v/>
      </c>
      <c r="S523" s="5">
        <f>SUMPRODUCT(('01_Data'!$B523:$AW523&lt;&gt;"")*(1/(1+EXP(-(Q523-'03_Lap_b'!$B$25:$AW$25))))^2)</f>
        <v/>
      </c>
      <c r="T523" s="5">
        <f>MEDIAN(-6,Q523+(C523-R523)/MAX(R523-S523,0.000000001),6)</f>
        <v/>
      </c>
      <c r="U523" s="5">
        <f>SUMPRODUCT(('01_Data'!$B523:$AW523&lt;&gt;"")*(1/(1+EXP(-(T523-'03_Lap_b'!$B$30:$AW$30)))))</f>
        <v/>
      </c>
      <c r="V523" s="5">
        <f>SUMPRODUCT(('01_Data'!$B523:$AW523&lt;&gt;"")*(1/(1+EXP(-(T523-'03_Lap_b'!$B$30:$AW$30))))^2)</f>
        <v/>
      </c>
      <c r="W523" s="5">
        <f>MEDIAN(-6,T523+(C523-U523)/MAX(U523-V523,0.000000001),6)</f>
        <v/>
      </c>
      <c r="X523" s="5">
        <f>SUMPRODUCT(('01_Data'!$B523:$AW523&lt;&gt;"")*(1/(1+EXP(-(W523-'03_Lap_b'!$B$35:$AW$35)))))</f>
        <v/>
      </c>
      <c r="Y523" s="5">
        <f>SUMPRODUCT(('01_Data'!$B523:$AW523&lt;&gt;"")*(1/(1+EXP(-(W523-'03_Lap_b'!$B$35:$AW$35))))^2)</f>
        <v/>
      </c>
      <c r="Z523" s="5">
        <f>MEDIAN(-6,W523+(C523-X523)/MAX(X523-Y523,0.000000001),6)</f>
        <v/>
      </c>
      <c r="AA523" s="5">
        <f>SUMPRODUCT(('01_Data'!$B523:$AW523&lt;&gt;"")*(1/(1+EXP(-(Z523-'03_Lap_b'!$B$40:$AW$40)))))</f>
        <v/>
      </c>
      <c r="AB523" s="5">
        <f>SUMPRODUCT(('01_Data'!$B523:$AW523&lt;&gt;"")*(1/(1+EXP(-(Z523-'03_Lap_b'!$B$40:$AW$40))))^2)</f>
        <v/>
      </c>
      <c r="AC523" s="5">
        <f>MEDIAN(-6,Z523+(C523-AA523)/MAX(AA523-AB523,0.000000001),6)</f>
        <v/>
      </c>
    </row>
    <row r="524">
      <c r="A524" t="n">
        <v>523</v>
      </c>
      <c r="B524">
        <f>'01_Data'!A524</f>
        <v/>
      </c>
      <c r="C524">
        <f>SUM('01_Data'!$B524:$AW524)</f>
        <v/>
      </c>
      <c r="D524">
        <f>COUNT('01_Data'!$B524:$AW524)</f>
        <v/>
      </c>
      <c r="E524" s="5">
        <f>MEDIAN(-6,LN((C524+0.3)/(D524-C524+0.3)),6)</f>
        <v/>
      </c>
      <c r="F524" s="5">
        <f>SUMPRODUCT(('01_Data'!$B524:$AW524&lt;&gt;"")*(1/(1+EXP(-(E524-'03_Lap_b'!$B$5:$AW$5)))))</f>
        <v/>
      </c>
      <c r="G524" s="5">
        <f>SUMPRODUCT(('01_Data'!$B524:$AW524&lt;&gt;"")*(1/(1+EXP(-(E524-'03_Lap_b'!$B$5:$AW$5))))^2)</f>
        <v/>
      </c>
      <c r="H524" s="5">
        <f>MEDIAN(-6,E524+(C524-F524)/MAX(F524-G524,0.000000001),6)</f>
        <v/>
      </c>
      <c r="I524" s="5">
        <f>SUMPRODUCT(('01_Data'!$B524:$AW524&lt;&gt;"")*(1/(1+EXP(-(H524-'03_Lap_b'!$B$10:$AW$10)))))</f>
        <v/>
      </c>
      <c r="J524" s="5">
        <f>SUMPRODUCT(('01_Data'!$B524:$AW524&lt;&gt;"")*(1/(1+EXP(-(H524-'03_Lap_b'!$B$10:$AW$10))))^2)</f>
        <v/>
      </c>
      <c r="K524" s="5">
        <f>MEDIAN(-6,H524+(C524-I524)/MAX(I524-J524,0.000000001),6)</f>
        <v/>
      </c>
      <c r="L524" s="5">
        <f>SUMPRODUCT(('01_Data'!$B524:$AW524&lt;&gt;"")*(1/(1+EXP(-(K524-'03_Lap_b'!$B$15:$AW$15)))))</f>
        <v/>
      </c>
      <c r="M524" s="5">
        <f>SUMPRODUCT(('01_Data'!$B524:$AW524&lt;&gt;"")*(1/(1+EXP(-(K524-'03_Lap_b'!$B$15:$AW$15))))^2)</f>
        <v/>
      </c>
      <c r="N524" s="5">
        <f>MEDIAN(-6,K524+(C524-L524)/MAX(L524-M524,0.000000001),6)</f>
        <v/>
      </c>
      <c r="O524" s="5">
        <f>SUMPRODUCT(('01_Data'!$B524:$AW524&lt;&gt;"")*(1/(1+EXP(-(N524-'03_Lap_b'!$B$20:$AW$20)))))</f>
        <v/>
      </c>
      <c r="P524" s="5">
        <f>SUMPRODUCT(('01_Data'!$B524:$AW524&lt;&gt;"")*(1/(1+EXP(-(N524-'03_Lap_b'!$B$20:$AW$20))))^2)</f>
        <v/>
      </c>
      <c r="Q524" s="5">
        <f>MEDIAN(-6,N524+(C524-O524)/MAX(O524-P524,0.000000001),6)</f>
        <v/>
      </c>
      <c r="R524" s="5">
        <f>SUMPRODUCT(('01_Data'!$B524:$AW524&lt;&gt;"")*(1/(1+EXP(-(Q524-'03_Lap_b'!$B$25:$AW$25)))))</f>
        <v/>
      </c>
      <c r="S524" s="5">
        <f>SUMPRODUCT(('01_Data'!$B524:$AW524&lt;&gt;"")*(1/(1+EXP(-(Q524-'03_Lap_b'!$B$25:$AW$25))))^2)</f>
        <v/>
      </c>
      <c r="T524" s="5">
        <f>MEDIAN(-6,Q524+(C524-R524)/MAX(R524-S524,0.000000001),6)</f>
        <v/>
      </c>
      <c r="U524" s="5">
        <f>SUMPRODUCT(('01_Data'!$B524:$AW524&lt;&gt;"")*(1/(1+EXP(-(T524-'03_Lap_b'!$B$30:$AW$30)))))</f>
        <v/>
      </c>
      <c r="V524" s="5">
        <f>SUMPRODUCT(('01_Data'!$B524:$AW524&lt;&gt;"")*(1/(1+EXP(-(T524-'03_Lap_b'!$B$30:$AW$30))))^2)</f>
        <v/>
      </c>
      <c r="W524" s="5">
        <f>MEDIAN(-6,T524+(C524-U524)/MAX(U524-V524,0.000000001),6)</f>
        <v/>
      </c>
      <c r="X524" s="5">
        <f>SUMPRODUCT(('01_Data'!$B524:$AW524&lt;&gt;"")*(1/(1+EXP(-(W524-'03_Lap_b'!$B$35:$AW$35)))))</f>
        <v/>
      </c>
      <c r="Y524" s="5">
        <f>SUMPRODUCT(('01_Data'!$B524:$AW524&lt;&gt;"")*(1/(1+EXP(-(W524-'03_Lap_b'!$B$35:$AW$35))))^2)</f>
        <v/>
      </c>
      <c r="Z524" s="5">
        <f>MEDIAN(-6,W524+(C524-X524)/MAX(X524-Y524,0.000000001),6)</f>
        <v/>
      </c>
      <c r="AA524" s="5">
        <f>SUMPRODUCT(('01_Data'!$B524:$AW524&lt;&gt;"")*(1/(1+EXP(-(Z524-'03_Lap_b'!$B$40:$AW$40)))))</f>
        <v/>
      </c>
      <c r="AB524" s="5">
        <f>SUMPRODUCT(('01_Data'!$B524:$AW524&lt;&gt;"")*(1/(1+EXP(-(Z524-'03_Lap_b'!$B$40:$AW$40))))^2)</f>
        <v/>
      </c>
      <c r="AC524" s="5">
        <f>MEDIAN(-6,Z524+(C524-AA524)/MAX(AA524-AB524,0.000000001),6)</f>
        <v/>
      </c>
    </row>
    <row r="525">
      <c r="A525" t="n">
        <v>524</v>
      </c>
      <c r="B525">
        <f>'01_Data'!A525</f>
        <v/>
      </c>
      <c r="C525">
        <f>SUM('01_Data'!$B525:$AW525)</f>
        <v/>
      </c>
      <c r="D525">
        <f>COUNT('01_Data'!$B525:$AW525)</f>
        <v/>
      </c>
      <c r="E525" s="5">
        <f>MEDIAN(-6,LN((C525+0.3)/(D525-C525+0.3)),6)</f>
        <v/>
      </c>
      <c r="F525" s="5">
        <f>SUMPRODUCT(('01_Data'!$B525:$AW525&lt;&gt;"")*(1/(1+EXP(-(E525-'03_Lap_b'!$B$5:$AW$5)))))</f>
        <v/>
      </c>
      <c r="G525" s="5">
        <f>SUMPRODUCT(('01_Data'!$B525:$AW525&lt;&gt;"")*(1/(1+EXP(-(E525-'03_Lap_b'!$B$5:$AW$5))))^2)</f>
        <v/>
      </c>
      <c r="H525" s="5">
        <f>MEDIAN(-6,E525+(C525-F525)/MAX(F525-G525,0.000000001),6)</f>
        <v/>
      </c>
      <c r="I525" s="5">
        <f>SUMPRODUCT(('01_Data'!$B525:$AW525&lt;&gt;"")*(1/(1+EXP(-(H525-'03_Lap_b'!$B$10:$AW$10)))))</f>
        <v/>
      </c>
      <c r="J525" s="5">
        <f>SUMPRODUCT(('01_Data'!$B525:$AW525&lt;&gt;"")*(1/(1+EXP(-(H525-'03_Lap_b'!$B$10:$AW$10))))^2)</f>
        <v/>
      </c>
      <c r="K525" s="5">
        <f>MEDIAN(-6,H525+(C525-I525)/MAX(I525-J525,0.000000001),6)</f>
        <v/>
      </c>
      <c r="L525" s="5">
        <f>SUMPRODUCT(('01_Data'!$B525:$AW525&lt;&gt;"")*(1/(1+EXP(-(K525-'03_Lap_b'!$B$15:$AW$15)))))</f>
        <v/>
      </c>
      <c r="M525" s="5">
        <f>SUMPRODUCT(('01_Data'!$B525:$AW525&lt;&gt;"")*(1/(1+EXP(-(K525-'03_Lap_b'!$B$15:$AW$15))))^2)</f>
        <v/>
      </c>
      <c r="N525" s="5">
        <f>MEDIAN(-6,K525+(C525-L525)/MAX(L525-M525,0.000000001),6)</f>
        <v/>
      </c>
      <c r="O525" s="5">
        <f>SUMPRODUCT(('01_Data'!$B525:$AW525&lt;&gt;"")*(1/(1+EXP(-(N525-'03_Lap_b'!$B$20:$AW$20)))))</f>
        <v/>
      </c>
      <c r="P525" s="5">
        <f>SUMPRODUCT(('01_Data'!$B525:$AW525&lt;&gt;"")*(1/(1+EXP(-(N525-'03_Lap_b'!$B$20:$AW$20))))^2)</f>
        <v/>
      </c>
      <c r="Q525" s="5">
        <f>MEDIAN(-6,N525+(C525-O525)/MAX(O525-P525,0.000000001),6)</f>
        <v/>
      </c>
      <c r="R525" s="5">
        <f>SUMPRODUCT(('01_Data'!$B525:$AW525&lt;&gt;"")*(1/(1+EXP(-(Q525-'03_Lap_b'!$B$25:$AW$25)))))</f>
        <v/>
      </c>
      <c r="S525" s="5">
        <f>SUMPRODUCT(('01_Data'!$B525:$AW525&lt;&gt;"")*(1/(1+EXP(-(Q525-'03_Lap_b'!$B$25:$AW$25))))^2)</f>
        <v/>
      </c>
      <c r="T525" s="5">
        <f>MEDIAN(-6,Q525+(C525-R525)/MAX(R525-S525,0.000000001),6)</f>
        <v/>
      </c>
      <c r="U525" s="5">
        <f>SUMPRODUCT(('01_Data'!$B525:$AW525&lt;&gt;"")*(1/(1+EXP(-(T525-'03_Lap_b'!$B$30:$AW$30)))))</f>
        <v/>
      </c>
      <c r="V525" s="5">
        <f>SUMPRODUCT(('01_Data'!$B525:$AW525&lt;&gt;"")*(1/(1+EXP(-(T525-'03_Lap_b'!$B$30:$AW$30))))^2)</f>
        <v/>
      </c>
      <c r="W525" s="5">
        <f>MEDIAN(-6,T525+(C525-U525)/MAX(U525-V525,0.000000001),6)</f>
        <v/>
      </c>
      <c r="X525" s="5">
        <f>SUMPRODUCT(('01_Data'!$B525:$AW525&lt;&gt;"")*(1/(1+EXP(-(W525-'03_Lap_b'!$B$35:$AW$35)))))</f>
        <v/>
      </c>
      <c r="Y525" s="5">
        <f>SUMPRODUCT(('01_Data'!$B525:$AW525&lt;&gt;"")*(1/(1+EXP(-(W525-'03_Lap_b'!$B$35:$AW$35))))^2)</f>
        <v/>
      </c>
      <c r="Z525" s="5">
        <f>MEDIAN(-6,W525+(C525-X525)/MAX(X525-Y525,0.000000001),6)</f>
        <v/>
      </c>
      <c r="AA525" s="5">
        <f>SUMPRODUCT(('01_Data'!$B525:$AW525&lt;&gt;"")*(1/(1+EXP(-(Z525-'03_Lap_b'!$B$40:$AW$40)))))</f>
        <v/>
      </c>
      <c r="AB525" s="5">
        <f>SUMPRODUCT(('01_Data'!$B525:$AW525&lt;&gt;"")*(1/(1+EXP(-(Z525-'03_Lap_b'!$B$40:$AW$40))))^2)</f>
        <v/>
      </c>
      <c r="AC525" s="5">
        <f>MEDIAN(-6,Z525+(C525-AA525)/MAX(AA525-AB525,0.000000001),6)</f>
        <v/>
      </c>
    </row>
    <row r="526">
      <c r="A526" t="n">
        <v>525</v>
      </c>
      <c r="B526">
        <f>'01_Data'!A526</f>
        <v/>
      </c>
      <c r="C526">
        <f>SUM('01_Data'!$B526:$AW526)</f>
        <v/>
      </c>
      <c r="D526">
        <f>COUNT('01_Data'!$B526:$AW526)</f>
        <v/>
      </c>
      <c r="E526" s="5">
        <f>MEDIAN(-6,LN((C526+0.3)/(D526-C526+0.3)),6)</f>
        <v/>
      </c>
      <c r="F526" s="5">
        <f>SUMPRODUCT(('01_Data'!$B526:$AW526&lt;&gt;"")*(1/(1+EXP(-(E526-'03_Lap_b'!$B$5:$AW$5)))))</f>
        <v/>
      </c>
      <c r="G526" s="5">
        <f>SUMPRODUCT(('01_Data'!$B526:$AW526&lt;&gt;"")*(1/(1+EXP(-(E526-'03_Lap_b'!$B$5:$AW$5))))^2)</f>
        <v/>
      </c>
      <c r="H526" s="5">
        <f>MEDIAN(-6,E526+(C526-F526)/MAX(F526-G526,0.000000001),6)</f>
        <v/>
      </c>
      <c r="I526" s="5">
        <f>SUMPRODUCT(('01_Data'!$B526:$AW526&lt;&gt;"")*(1/(1+EXP(-(H526-'03_Lap_b'!$B$10:$AW$10)))))</f>
        <v/>
      </c>
      <c r="J526" s="5">
        <f>SUMPRODUCT(('01_Data'!$B526:$AW526&lt;&gt;"")*(1/(1+EXP(-(H526-'03_Lap_b'!$B$10:$AW$10))))^2)</f>
        <v/>
      </c>
      <c r="K526" s="5">
        <f>MEDIAN(-6,H526+(C526-I526)/MAX(I526-J526,0.000000001),6)</f>
        <v/>
      </c>
      <c r="L526" s="5">
        <f>SUMPRODUCT(('01_Data'!$B526:$AW526&lt;&gt;"")*(1/(1+EXP(-(K526-'03_Lap_b'!$B$15:$AW$15)))))</f>
        <v/>
      </c>
      <c r="M526" s="5">
        <f>SUMPRODUCT(('01_Data'!$B526:$AW526&lt;&gt;"")*(1/(1+EXP(-(K526-'03_Lap_b'!$B$15:$AW$15))))^2)</f>
        <v/>
      </c>
      <c r="N526" s="5">
        <f>MEDIAN(-6,K526+(C526-L526)/MAX(L526-M526,0.000000001),6)</f>
        <v/>
      </c>
      <c r="O526" s="5">
        <f>SUMPRODUCT(('01_Data'!$B526:$AW526&lt;&gt;"")*(1/(1+EXP(-(N526-'03_Lap_b'!$B$20:$AW$20)))))</f>
        <v/>
      </c>
      <c r="P526" s="5">
        <f>SUMPRODUCT(('01_Data'!$B526:$AW526&lt;&gt;"")*(1/(1+EXP(-(N526-'03_Lap_b'!$B$20:$AW$20))))^2)</f>
        <v/>
      </c>
      <c r="Q526" s="5">
        <f>MEDIAN(-6,N526+(C526-O526)/MAX(O526-P526,0.000000001),6)</f>
        <v/>
      </c>
      <c r="R526" s="5">
        <f>SUMPRODUCT(('01_Data'!$B526:$AW526&lt;&gt;"")*(1/(1+EXP(-(Q526-'03_Lap_b'!$B$25:$AW$25)))))</f>
        <v/>
      </c>
      <c r="S526" s="5">
        <f>SUMPRODUCT(('01_Data'!$B526:$AW526&lt;&gt;"")*(1/(1+EXP(-(Q526-'03_Lap_b'!$B$25:$AW$25))))^2)</f>
        <v/>
      </c>
      <c r="T526" s="5">
        <f>MEDIAN(-6,Q526+(C526-R526)/MAX(R526-S526,0.000000001),6)</f>
        <v/>
      </c>
      <c r="U526" s="5">
        <f>SUMPRODUCT(('01_Data'!$B526:$AW526&lt;&gt;"")*(1/(1+EXP(-(T526-'03_Lap_b'!$B$30:$AW$30)))))</f>
        <v/>
      </c>
      <c r="V526" s="5">
        <f>SUMPRODUCT(('01_Data'!$B526:$AW526&lt;&gt;"")*(1/(1+EXP(-(T526-'03_Lap_b'!$B$30:$AW$30))))^2)</f>
        <v/>
      </c>
      <c r="W526" s="5">
        <f>MEDIAN(-6,T526+(C526-U526)/MAX(U526-V526,0.000000001),6)</f>
        <v/>
      </c>
      <c r="X526" s="5">
        <f>SUMPRODUCT(('01_Data'!$B526:$AW526&lt;&gt;"")*(1/(1+EXP(-(W526-'03_Lap_b'!$B$35:$AW$35)))))</f>
        <v/>
      </c>
      <c r="Y526" s="5">
        <f>SUMPRODUCT(('01_Data'!$B526:$AW526&lt;&gt;"")*(1/(1+EXP(-(W526-'03_Lap_b'!$B$35:$AW$35))))^2)</f>
        <v/>
      </c>
      <c r="Z526" s="5">
        <f>MEDIAN(-6,W526+(C526-X526)/MAX(X526-Y526,0.000000001),6)</f>
        <v/>
      </c>
      <c r="AA526" s="5">
        <f>SUMPRODUCT(('01_Data'!$B526:$AW526&lt;&gt;"")*(1/(1+EXP(-(Z526-'03_Lap_b'!$B$40:$AW$40)))))</f>
        <v/>
      </c>
      <c r="AB526" s="5">
        <f>SUMPRODUCT(('01_Data'!$B526:$AW526&lt;&gt;"")*(1/(1+EXP(-(Z526-'03_Lap_b'!$B$40:$AW$40))))^2)</f>
        <v/>
      </c>
      <c r="AC526" s="5">
        <f>MEDIAN(-6,Z526+(C526-AA526)/MAX(AA526-AB526,0.000000001),6)</f>
        <v/>
      </c>
    </row>
    <row r="527">
      <c r="A527" t="n">
        <v>526</v>
      </c>
      <c r="B527">
        <f>'01_Data'!A527</f>
        <v/>
      </c>
      <c r="C527">
        <f>SUM('01_Data'!$B527:$AW527)</f>
        <v/>
      </c>
      <c r="D527">
        <f>COUNT('01_Data'!$B527:$AW527)</f>
        <v/>
      </c>
      <c r="E527" s="5">
        <f>MEDIAN(-6,LN((C527+0.3)/(D527-C527+0.3)),6)</f>
        <v/>
      </c>
      <c r="F527" s="5">
        <f>SUMPRODUCT(('01_Data'!$B527:$AW527&lt;&gt;"")*(1/(1+EXP(-(E527-'03_Lap_b'!$B$5:$AW$5)))))</f>
        <v/>
      </c>
      <c r="G527" s="5">
        <f>SUMPRODUCT(('01_Data'!$B527:$AW527&lt;&gt;"")*(1/(1+EXP(-(E527-'03_Lap_b'!$B$5:$AW$5))))^2)</f>
        <v/>
      </c>
      <c r="H527" s="5">
        <f>MEDIAN(-6,E527+(C527-F527)/MAX(F527-G527,0.000000001),6)</f>
        <v/>
      </c>
      <c r="I527" s="5">
        <f>SUMPRODUCT(('01_Data'!$B527:$AW527&lt;&gt;"")*(1/(1+EXP(-(H527-'03_Lap_b'!$B$10:$AW$10)))))</f>
        <v/>
      </c>
      <c r="J527" s="5">
        <f>SUMPRODUCT(('01_Data'!$B527:$AW527&lt;&gt;"")*(1/(1+EXP(-(H527-'03_Lap_b'!$B$10:$AW$10))))^2)</f>
        <v/>
      </c>
      <c r="K527" s="5">
        <f>MEDIAN(-6,H527+(C527-I527)/MAX(I527-J527,0.000000001),6)</f>
        <v/>
      </c>
      <c r="L527" s="5">
        <f>SUMPRODUCT(('01_Data'!$B527:$AW527&lt;&gt;"")*(1/(1+EXP(-(K527-'03_Lap_b'!$B$15:$AW$15)))))</f>
        <v/>
      </c>
      <c r="M527" s="5">
        <f>SUMPRODUCT(('01_Data'!$B527:$AW527&lt;&gt;"")*(1/(1+EXP(-(K527-'03_Lap_b'!$B$15:$AW$15))))^2)</f>
        <v/>
      </c>
      <c r="N527" s="5">
        <f>MEDIAN(-6,K527+(C527-L527)/MAX(L527-M527,0.000000001),6)</f>
        <v/>
      </c>
      <c r="O527" s="5">
        <f>SUMPRODUCT(('01_Data'!$B527:$AW527&lt;&gt;"")*(1/(1+EXP(-(N527-'03_Lap_b'!$B$20:$AW$20)))))</f>
        <v/>
      </c>
      <c r="P527" s="5">
        <f>SUMPRODUCT(('01_Data'!$B527:$AW527&lt;&gt;"")*(1/(1+EXP(-(N527-'03_Lap_b'!$B$20:$AW$20))))^2)</f>
        <v/>
      </c>
      <c r="Q527" s="5">
        <f>MEDIAN(-6,N527+(C527-O527)/MAX(O527-P527,0.000000001),6)</f>
        <v/>
      </c>
      <c r="R527" s="5">
        <f>SUMPRODUCT(('01_Data'!$B527:$AW527&lt;&gt;"")*(1/(1+EXP(-(Q527-'03_Lap_b'!$B$25:$AW$25)))))</f>
        <v/>
      </c>
      <c r="S527" s="5">
        <f>SUMPRODUCT(('01_Data'!$B527:$AW527&lt;&gt;"")*(1/(1+EXP(-(Q527-'03_Lap_b'!$B$25:$AW$25))))^2)</f>
        <v/>
      </c>
      <c r="T527" s="5">
        <f>MEDIAN(-6,Q527+(C527-R527)/MAX(R527-S527,0.000000001),6)</f>
        <v/>
      </c>
      <c r="U527" s="5">
        <f>SUMPRODUCT(('01_Data'!$B527:$AW527&lt;&gt;"")*(1/(1+EXP(-(T527-'03_Lap_b'!$B$30:$AW$30)))))</f>
        <v/>
      </c>
      <c r="V527" s="5">
        <f>SUMPRODUCT(('01_Data'!$B527:$AW527&lt;&gt;"")*(1/(1+EXP(-(T527-'03_Lap_b'!$B$30:$AW$30))))^2)</f>
        <v/>
      </c>
      <c r="W527" s="5">
        <f>MEDIAN(-6,T527+(C527-U527)/MAX(U527-V527,0.000000001),6)</f>
        <v/>
      </c>
      <c r="X527" s="5">
        <f>SUMPRODUCT(('01_Data'!$B527:$AW527&lt;&gt;"")*(1/(1+EXP(-(W527-'03_Lap_b'!$B$35:$AW$35)))))</f>
        <v/>
      </c>
      <c r="Y527" s="5">
        <f>SUMPRODUCT(('01_Data'!$B527:$AW527&lt;&gt;"")*(1/(1+EXP(-(W527-'03_Lap_b'!$B$35:$AW$35))))^2)</f>
        <v/>
      </c>
      <c r="Z527" s="5">
        <f>MEDIAN(-6,W527+(C527-X527)/MAX(X527-Y527,0.000000001),6)</f>
        <v/>
      </c>
      <c r="AA527" s="5">
        <f>SUMPRODUCT(('01_Data'!$B527:$AW527&lt;&gt;"")*(1/(1+EXP(-(Z527-'03_Lap_b'!$B$40:$AW$40)))))</f>
        <v/>
      </c>
      <c r="AB527" s="5">
        <f>SUMPRODUCT(('01_Data'!$B527:$AW527&lt;&gt;"")*(1/(1+EXP(-(Z527-'03_Lap_b'!$B$40:$AW$40))))^2)</f>
        <v/>
      </c>
      <c r="AC527" s="5">
        <f>MEDIAN(-6,Z527+(C527-AA527)/MAX(AA527-AB527,0.000000001),6)</f>
        <v/>
      </c>
    </row>
    <row r="528">
      <c r="A528" t="n">
        <v>527</v>
      </c>
      <c r="B528">
        <f>'01_Data'!A528</f>
        <v/>
      </c>
      <c r="C528">
        <f>SUM('01_Data'!$B528:$AW528)</f>
        <v/>
      </c>
      <c r="D528">
        <f>COUNT('01_Data'!$B528:$AW528)</f>
        <v/>
      </c>
      <c r="E528" s="5">
        <f>MEDIAN(-6,LN((C528+0.3)/(D528-C528+0.3)),6)</f>
        <v/>
      </c>
      <c r="F528" s="5">
        <f>SUMPRODUCT(('01_Data'!$B528:$AW528&lt;&gt;"")*(1/(1+EXP(-(E528-'03_Lap_b'!$B$5:$AW$5)))))</f>
        <v/>
      </c>
      <c r="G528" s="5">
        <f>SUMPRODUCT(('01_Data'!$B528:$AW528&lt;&gt;"")*(1/(1+EXP(-(E528-'03_Lap_b'!$B$5:$AW$5))))^2)</f>
        <v/>
      </c>
      <c r="H528" s="5">
        <f>MEDIAN(-6,E528+(C528-F528)/MAX(F528-G528,0.000000001),6)</f>
        <v/>
      </c>
      <c r="I528" s="5">
        <f>SUMPRODUCT(('01_Data'!$B528:$AW528&lt;&gt;"")*(1/(1+EXP(-(H528-'03_Lap_b'!$B$10:$AW$10)))))</f>
        <v/>
      </c>
      <c r="J528" s="5">
        <f>SUMPRODUCT(('01_Data'!$B528:$AW528&lt;&gt;"")*(1/(1+EXP(-(H528-'03_Lap_b'!$B$10:$AW$10))))^2)</f>
        <v/>
      </c>
      <c r="K528" s="5">
        <f>MEDIAN(-6,H528+(C528-I528)/MAX(I528-J528,0.000000001),6)</f>
        <v/>
      </c>
      <c r="L528" s="5">
        <f>SUMPRODUCT(('01_Data'!$B528:$AW528&lt;&gt;"")*(1/(1+EXP(-(K528-'03_Lap_b'!$B$15:$AW$15)))))</f>
        <v/>
      </c>
      <c r="M528" s="5">
        <f>SUMPRODUCT(('01_Data'!$B528:$AW528&lt;&gt;"")*(1/(1+EXP(-(K528-'03_Lap_b'!$B$15:$AW$15))))^2)</f>
        <v/>
      </c>
      <c r="N528" s="5">
        <f>MEDIAN(-6,K528+(C528-L528)/MAX(L528-M528,0.000000001),6)</f>
        <v/>
      </c>
      <c r="O528" s="5">
        <f>SUMPRODUCT(('01_Data'!$B528:$AW528&lt;&gt;"")*(1/(1+EXP(-(N528-'03_Lap_b'!$B$20:$AW$20)))))</f>
        <v/>
      </c>
      <c r="P528" s="5">
        <f>SUMPRODUCT(('01_Data'!$B528:$AW528&lt;&gt;"")*(1/(1+EXP(-(N528-'03_Lap_b'!$B$20:$AW$20))))^2)</f>
        <v/>
      </c>
      <c r="Q528" s="5">
        <f>MEDIAN(-6,N528+(C528-O528)/MAX(O528-P528,0.000000001),6)</f>
        <v/>
      </c>
      <c r="R528" s="5">
        <f>SUMPRODUCT(('01_Data'!$B528:$AW528&lt;&gt;"")*(1/(1+EXP(-(Q528-'03_Lap_b'!$B$25:$AW$25)))))</f>
        <v/>
      </c>
      <c r="S528" s="5">
        <f>SUMPRODUCT(('01_Data'!$B528:$AW528&lt;&gt;"")*(1/(1+EXP(-(Q528-'03_Lap_b'!$B$25:$AW$25))))^2)</f>
        <v/>
      </c>
      <c r="T528" s="5">
        <f>MEDIAN(-6,Q528+(C528-R528)/MAX(R528-S528,0.000000001),6)</f>
        <v/>
      </c>
      <c r="U528" s="5">
        <f>SUMPRODUCT(('01_Data'!$B528:$AW528&lt;&gt;"")*(1/(1+EXP(-(T528-'03_Lap_b'!$B$30:$AW$30)))))</f>
        <v/>
      </c>
      <c r="V528" s="5">
        <f>SUMPRODUCT(('01_Data'!$B528:$AW528&lt;&gt;"")*(1/(1+EXP(-(T528-'03_Lap_b'!$B$30:$AW$30))))^2)</f>
        <v/>
      </c>
      <c r="W528" s="5">
        <f>MEDIAN(-6,T528+(C528-U528)/MAX(U528-V528,0.000000001),6)</f>
        <v/>
      </c>
      <c r="X528" s="5">
        <f>SUMPRODUCT(('01_Data'!$B528:$AW528&lt;&gt;"")*(1/(1+EXP(-(W528-'03_Lap_b'!$B$35:$AW$35)))))</f>
        <v/>
      </c>
      <c r="Y528" s="5">
        <f>SUMPRODUCT(('01_Data'!$B528:$AW528&lt;&gt;"")*(1/(1+EXP(-(W528-'03_Lap_b'!$B$35:$AW$35))))^2)</f>
        <v/>
      </c>
      <c r="Z528" s="5">
        <f>MEDIAN(-6,W528+(C528-X528)/MAX(X528-Y528,0.000000001),6)</f>
        <v/>
      </c>
      <c r="AA528" s="5">
        <f>SUMPRODUCT(('01_Data'!$B528:$AW528&lt;&gt;"")*(1/(1+EXP(-(Z528-'03_Lap_b'!$B$40:$AW$40)))))</f>
        <v/>
      </c>
      <c r="AB528" s="5">
        <f>SUMPRODUCT(('01_Data'!$B528:$AW528&lt;&gt;"")*(1/(1+EXP(-(Z528-'03_Lap_b'!$B$40:$AW$40))))^2)</f>
        <v/>
      </c>
      <c r="AC528" s="5">
        <f>MEDIAN(-6,Z528+(C528-AA528)/MAX(AA528-AB528,0.000000001),6)</f>
        <v/>
      </c>
    </row>
    <row r="529">
      <c r="A529" t="n">
        <v>528</v>
      </c>
      <c r="B529">
        <f>'01_Data'!A529</f>
        <v/>
      </c>
      <c r="C529">
        <f>SUM('01_Data'!$B529:$AW529)</f>
        <v/>
      </c>
      <c r="D529">
        <f>COUNT('01_Data'!$B529:$AW529)</f>
        <v/>
      </c>
      <c r="E529" s="5">
        <f>MEDIAN(-6,LN((C529+0.3)/(D529-C529+0.3)),6)</f>
        <v/>
      </c>
      <c r="F529" s="5">
        <f>SUMPRODUCT(('01_Data'!$B529:$AW529&lt;&gt;"")*(1/(1+EXP(-(E529-'03_Lap_b'!$B$5:$AW$5)))))</f>
        <v/>
      </c>
      <c r="G529" s="5">
        <f>SUMPRODUCT(('01_Data'!$B529:$AW529&lt;&gt;"")*(1/(1+EXP(-(E529-'03_Lap_b'!$B$5:$AW$5))))^2)</f>
        <v/>
      </c>
      <c r="H529" s="5">
        <f>MEDIAN(-6,E529+(C529-F529)/MAX(F529-G529,0.000000001),6)</f>
        <v/>
      </c>
      <c r="I529" s="5">
        <f>SUMPRODUCT(('01_Data'!$B529:$AW529&lt;&gt;"")*(1/(1+EXP(-(H529-'03_Lap_b'!$B$10:$AW$10)))))</f>
        <v/>
      </c>
      <c r="J529" s="5">
        <f>SUMPRODUCT(('01_Data'!$B529:$AW529&lt;&gt;"")*(1/(1+EXP(-(H529-'03_Lap_b'!$B$10:$AW$10))))^2)</f>
        <v/>
      </c>
      <c r="K529" s="5">
        <f>MEDIAN(-6,H529+(C529-I529)/MAX(I529-J529,0.000000001),6)</f>
        <v/>
      </c>
      <c r="L529" s="5">
        <f>SUMPRODUCT(('01_Data'!$B529:$AW529&lt;&gt;"")*(1/(1+EXP(-(K529-'03_Lap_b'!$B$15:$AW$15)))))</f>
        <v/>
      </c>
      <c r="M529" s="5">
        <f>SUMPRODUCT(('01_Data'!$B529:$AW529&lt;&gt;"")*(1/(1+EXP(-(K529-'03_Lap_b'!$B$15:$AW$15))))^2)</f>
        <v/>
      </c>
      <c r="N529" s="5">
        <f>MEDIAN(-6,K529+(C529-L529)/MAX(L529-M529,0.000000001),6)</f>
        <v/>
      </c>
      <c r="O529" s="5">
        <f>SUMPRODUCT(('01_Data'!$B529:$AW529&lt;&gt;"")*(1/(1+EXP(-(N529-'03_Lap_b'!$B$20:$AW$20)))))</f>
        <v/>
      </c>
      <c r="P529" s="5">
        <f>SUMPRODUCT(('01_Data'!$B529:$AW529&lt;&gt;"")*(1/(1+EXP(-(N529-'03_Lap_b'!$B$20:$AW$20))))^2)</f>
        <v/>
      </c>
      <c r="Q529" s="5">
        <f>MEDIAN(-6,N529+(C529-O529)/MAX(O529-P529,0.000000001),6)</f>
        <v/>
      </c>
      <c r="R529" s="5">
        <f>SUMPRODUCT(('01_Data'!$B529:$AW529&lt;&gt;"")*(1/(1+EXP(-(Q529-'03_Lap_b'!$B$25:$AW$25)))))</f>
        <v/>
      </c>
      <c r="S529" s="5">
        <f>SUMPRODUCT(('01_Data'!$B529:$AW529&lt;&gt;"")*(1/(1+EXP(-(Q529-'03_Lap_b'!$B$25:$AW$25))))^2)</f>
        <v/>
      </c>
      <c r="T529" s="5">
        <f>MEDIAN(-6,Q529+(C529-R529)/MAX(R529-S529,0.000000001),6)</f>
        <v/>
      </c>
      <c r="U529" s="5">
        <f>SUMPRODUCT(('01_Data'!$B529:$AW529&lt;&gt;"")*(1/(1+EXP(-(T529-'03_Lap_b'!$B$30:$AW$30)))))</f>
        <v/>
      </c>
      <c r="V529" s="5">
        <f>SUMPRODUCT(('01_Data'!$B529:$AW529&lt;&gt;"")*(1/(1+EXP(-(T529-'03_Lap_b'!$B$30:$AW$30))))^2)</f>
        <v/>
      </c>
      <c r="W529" s="5">
        <f>MEDIAN(-6,T529+(C529-U529)/MAX(U529-V529,0.000000001),6)</f>
        <v/>
      </c>
      <c r="X529" s="5">
        <f>SUMPRODUCT(('01_Data'!$B529:$AW529&lt;&gt;"")*(1/(1+EXP(-(W529-'03_Lap_b'!$B$35:$AW$35)))))</f>
        <v/>
      </c>
      <c r="Y529" s="5">
        <f>SUMPRODUCT(('01_Data'!$B529:$AW529&lt;&gt;"")*(1/(1+EXP(-(W529-'03_Lap_b'!$B$35:$AW$35))))^2)</f>
        <v/>
      </c>
      <c r="Z529" s="5">
        <f>MEDIAN(-6,W529+(C529-X529)/MAX(X529-Y529,0.000000001),6)</f>
        <v/>
      </c>
      <c r="AA529" s="5">
        <f>SUMPRODUCT(('01_Data'!$B529:$AW529&lt;&gt;"")*(1/(1+EXP(-(Z529-'03_Lap_b'!$B$40:$AW$40)))))</f>
        <v/>
      </c>
      <c r="AB529" s="5">
        <f>SUMPRODUCT(('01_Data'!$B529:$AW529&lt;&gt;"")*(1/(1+EXP(-(Z529-'03_Lap_b'!$B$40:$AW$40))))^2)</f>
        <v/>
      </c>
      <c r="AC529" s="5">
        <f>MEDIAN(-6,Z529+(C529-AA529)/MAX(AA529-AB529,0.000000001),6)</f>
        <v/>
      </c>
    </row>
    <row r="530">
      <c r="A530" t="n">
        <v>529</v>
      </c>
      <c r="B530">
        <f>'01_Data'!A530</f>
        <v/>
      </c>
      <c r="C530">
        <f>SUM('01_Data'!$B530:$AW530)</f>
        <v/>
      </c>
      <c r="D530">
        <f>COUNT('01_Data'!$B530:$AW530)</f>
        <v/>
      </c>
      <c r="E530" s="5">
        <f>MEDIAN(-6,LN((C530+0.3)/(D530-C530+0.3)),6)</f>
        <v/>
      </c>
      <c r="F530" s="5">
        <f>SUMPRODUCT(('01_Data'!$B530:$AW530&lt;&gt;"")*(1/(1+EXP(-(E530-'03_Lap_b'!$B$5:$AW$5)))))</f>
        <v/>
      </c>
      <c r="G530" s="5">
        <f>SUMPRODUCT(('01_Data'!$B530:$AW530&lt;&gt;"")*(1/(1+EXP(-(E530-'03_Lap_b'!$B$5:$AW$5))))^2)</f>
        <v/>
      </c>
      <c r="H530" s="5">
        <f>MEDIAN(-6,E530+(C530-F530)/MAX(F530-G530,0.000000001),6)</f>
        <v/>
      </c>
      <c r="I530" s="5">
        <f>SUMPRODUCT(('01_Data'!$B530:$AW530&lt;&gt;"")*(1/(1+EXP(-(H530-'03_Lap_b'!$B$10:$AW$10)))))</f>
        <v/>
      </c>
      <c r="J530" s="5">
        <f>SUMPRODUCT(('01_Data'!$B530:$AW530&lt;&gt;"")*(1/(1+EXP(-(H530-'03_Lap_b'!$B$10:$AW$10))))^2)</f>
        <v/>
      </c>
      <c r="K530" s="5">
        <f>MEDIAN(-6,H530+(C530-I530)/MAX(I530-J530,0.000000001),6)</f>
        <v/>
      </c>
      <c r="L530" s="5">
        <f>SUMPRODUCT(('01_Data'!$B530:$AW530&lt;&gt;"")*(1/(1+EXP(-(K530-'03_Lap_b'!$B$15:$AW$15)))))</f>
        <v/>
      </c>
      <c r="M530" s="5">
        <f>SUMPRODUCT(('01_Data'!$B530:$AW530&lt;&gt;"")*(1/(1+EXP(-(K530-'03_Lap_b'!$B$15:$AW$15))))^2)</f>
        <v/>
      </c>
      <c r="N530" s="5">
        <f>MEDIAN(-6,K530+(C530-L530)/MAX(L530-M530,0.000000001),6)</f>
        <v/>
      </c>
      <c r="O530" s="5">
        <f>SUMPRODUCT(('01_Data'!$B530:$AW530&lt;&gt;"")*(1/(1+EXP(-(N530-'03_Lap_b'!$B$20:$AW$20)))))</f>
        <v/>
      </c>
      <c r="P530" s="5">
        <f>SUMPRODUCT(('01_Data'!$B530:$AW530&lt;&gt;"")*(1/(1+EXP(-(N530-'03_Lap_b'!$B$20:$AW$20))))^2)</f>
        <v/>
      </c>
      <c r="Q530" s="5">
        <f>MEDIAN(-6,N530+(C530-O530)/MAX(O530-P530,0.000000001),6)</f>
        <v/>
      </c>
      <c r="R530" s="5">
        <f>SUMPRODUCT(('01_Data'!$B530:$AW530&lt;&gt;"")*(1/(1+EXP(-(Q530-'03_Lap_b'!$B$25:$AW$25)))))</f>
        <v/>
      </c>
      <c r="S530" s="5">
        <f>SUMPRODUCT(('01_Data'!$B530:$AW530&lt;&gt;"")*(1/(1+EXP(-(Q530-'03_Lap_b'!$B$25:$AW$25))))^2)</f>
        <v/>
      </c>
      <c r="T530" s="5">
        <f>MEDIAN(-6,Q530+(C530-R530)/MAX(R530-S530,0.000000001),6)</f>
        <v/>
      </c>
      <c r="U530" s="5">
        <f>SUMPRODUCT(('01_Data'!$B530:$AW530&lt;&gt;"")*(1/(1+EXP(-(T530-'03_Lap_b'!$B$30:$AW$30)))))</f>
        <v/>
      </c>
      <c r="V530" s="5">
        <f>SUMPRODUCT(('01_Data'!$B530:$AW530&lt;&gt;"")*(1/(1+EXP(-(T530-'03_Lap_b'!$B$30:$AW$30))))^2)</f>
        <v/>
      </c>
      <c r="W530" s="5">
        <f>MEDIAN(-6,T530+(C530-U530)/MAX(U530-V530,0.000000001),6)</f>
        <v/>
      </c>
      <c r="X530" s="5">
        <f>SUMPRODUCT(('01_Data'!$B530:$AW530&lt;&gt;"")*(1/(1+EXP(-(W530-'03_Lap_b'!$B$35:$AW$35)))))</f>
        <v/>
      </c>
      <c r="Y530" s="5">
        <f>SUMPRODUCT(('01_Data'!$B530:$AW530&lt;&gt;"")*(1/(1+EXP(-(W530-'03_Lap_b'!$B$35:$AW$35))))^2)</f>
        <v/>
      </c>
      <c r="Z530" s="5">
        <f>MEDIAN(-6,W530+(C530-X530)/MAX(X530-Y530,0.000000001),6)</f>
        <v/>
      </c>
      <c r="AA530" s="5">
        <f>SUMPRODUCT(('01_Data'!$B530:$AW530&lt;&gt;"")*(1/(1+EXP(-(Z530-'03_Lap_b'!$B$40:$AW$40)))))</f>
        <v/>
      </c>
      <c r="AB530" s="5">
        <f>SUMPRODUCT(('01_Data'!$B530:$AW530&lt;&gt;"")*(1/(1+EXP(-(Z530-'03_Lap_b'!$B$40:$AW$40))))^2)</f>
        <v/>
      </c>
      <c r="AC530" s="5">
        <f>MEDIAN(-6,Z530+(C530-AA530)/MAX(AA530-AB530,0.000000001),6)</f>
        <v/>
      </c>
    </row>
    <row r="531">
      <c r="A531" t="n">
        <v>530</v>
      </c>
      <c r="B531">
        <f>'01_Data'!A531</f>
        <v/>
      </c>
      <c r="C531">
        <f>SUM('01_Data'!$B531:$AW531)</f>
        <v/>
      </c>
      <c r="D531">
        <f>COUNT('01_Data'!$B531:$AW531)</f>
        <v/>
      </c>
      <c r="E531" s="5">
        <f>MEDIAN(-6,LN((C531+0.3)/(D531-C531+0.3)),6)</f>
        <v/>
      </c>
      <c r="F531" s="5">
        <f>SUMPRODUCT(('01_Data'!$B531:$AW531&lt;&gt;"")*(1/(1+EXP(-(E531-'03_Lap_b'!$B$5:$AW$5)))))</f>
        <v/>
      </c>
      <c r="G531" s="5">
        <f>SUMPRODUCT(('01_Data'!$B531:$AW531&lt;&gt;"")*(1/(1+EXP(-(E531-'03_Lap_b'!$B$5:$AW$5))))^2)</f>
        <v/>
      </c>
      <c r="H531" s="5">
        <f>MEDIAN(-6,E531+(C531-F531)/MAX(F531-G531,0.000000001),6)</f>
        <v/>
      </c>
      <c r="I531" s="5">
        <f>SUMPRODUCT(('01_Data'!$B531:$AW531&lt;&gt;"")*(1/(1+EXP(-(H531-'03_Lap_b'!$B$10:$AW$10)))))</f>
        <v/>
      </c>
      <c r="J531" s="5">
        <f>SUMPRODUCT(('01_Data'!$B531:$AW531&lt;&gt;"")*(1/(1+EXP(-(H531-'03_Lap_b'!$B$10:$AW$10))))^2)</f>
        <v/>
      </c>
      <c r="K531" s="5">
        <f>MEDIAN(-6,H531+(C531-I531)/MAX(I531-J531,0.000000001),6)</f>
        <v/>
      </c>
      <c r="L531" s="5">
        <f>SUMPRODUCT(('01_Data'!$B531:$AW531&lt;&gt;"")*(1/(1+EXP(-(K531-'03_Lap_b'!$B$15:$AW$15)))))</f>
        <v/>
      </c>
      <c r="M531" s="5">
        <f>SUMPRODUCT(('01_Data'!$B531:$AW531&lt;&gt;"")*(1/(1+EXP(-(K531-'03_Lap_b'!$B$15:$AW$15))))^2)</f>
        <v/>
      </c>
      <c r="N531" s="5">
        <f>MEDIAN(-6,K531+(C531-L531)/MAX(L531-M531,0.000000001),6)</f>
        <v/>
      </c>
      <c r="O531" s="5">
        <f>SUMPRODUCT(('01_Data'!$B531:$AW531&lt;&gt;"")*(1/(1+EXP(-(N531-'03_Lap_b'!$B$20:$AW$20)))))</f>
        <v/>
      </c>
      <c r="P531" s="5">
        <f>SUMPRODUCT(('01_Data'!$B531:$AW531&lt;&gt;"")*(1/(1+EXP(-(N531-'03_Lap_b'!$B$20:$AW$20))))^2)</f>
        <v/>
      </c>
      <c r="Q531" s="5">
        <f>MEDIAN(-6,N531+(C531-O531)/MAX(O531-P531,0.000000001),6)</f>
        <v/>
      </c>
      <c r="R531" s="5">
        <f>SUMPRODUCT(('01_Data'!$B531:$AW531&lt;&gt;"")*(1/(1+EXP(-(Q531-'03_Lap_b'!$B$25:$AW$25)))))</f>
        <v/>
      </c>
      <c r="S531" s="5">
        <f>SUMPRODUCT(('01_Data'!$B531:$AW531&lt;&gt;"")*(1/(1+EXP(-(Q531-'03_Lap_b'!$B$25:$AW$25))))^2)</f>
        <v/>
      </c>
      <c r="T531" s="5">
        <f>MEDIAN(-6,Q531+(C531-R531)/MAX(R531-S531,0.000000001),6)</f>
        <v/>
      </c>
      <c r="U531" s="5">
        <f>SUMPRODUCT(('01_Data'!$B531:$AW531&lt;&gt;"")*(1/(1+EXP(-(T531-'03_Lap_b'!$B$30:$AW$30)))))</f>
        <v/>
      </c>
      <c r="V531" s="5">
        <f>SUMPRODUCT(('01_Data'!$B531:$AW531&lt;&gt;"")*(1/(1+EXP(-(T531-'03_Lap_b'!$B$30:$AW$30))))^2)</f>
        <v/>
      </c>
      <c r="W531" s="5">
        <f>MEDIAN(-6,T531+(C531-U531)/MAX(U531-V531,0.000000001),6)</f>
        <v/>
      </c>
      <c r="X531" s="5">
        <f>SUMPRODUCT(('01_Data'!$B531:$AW531&lt;&gt;"")*(1/(1+EXP(-(W531-'03_Lap_b'!$B$35:$AW$35)))))</f>
        <v/>
      </c>
      <c r="Y531" s="5">
        <f>SUMPRODUCT(('01_Data'!$B531:$AW531&lt;&gt;"")*(1/(1+EXP(-(W531-'03_Lap_b'!$B$35:$AW$35))))^2)</f>
        <v/>
      </c>
      <c r="Z531" s="5">
        <f>MEDIAN(-6,W531+(C531-X531)/MAX(X531-Y531,0.000000001),6)</f>
        <v/>
      </c>
      <c r="AA531" s="5">
        <f>SUMPRODUCT(('01_Data'!$B531:$AW531&lt;&gt;"")*(1/(1+EXP(-(Z531-'03_Lap_b'!$B$40:$AW$40)))))</f>
        <v/>
      </c>
      <c r="AB531" s="5">
        <f>SUMPRODUCT(('01_Data'!$B531:$AW531&lt;&gt;"")*(1/(1+EXP(-(Z531-'03_Lap_b'!$B$40:$AW$40))))^2)</f>
        <v/>
      </c>
      <c r="AC531" s="5">
        <f>MEDIAN(-6,Z531+(C531-AA531)/MAX(AA531-AB531,0.000000001),6)</f>
        <v/>
      </c>
    </row>
    <row r="532">
      <c r="A532" t="n">
        <v>531</v>
      </c>
      <c r="B532">
        <f>'01_Data'!A532</f>
        <v/>
      </c>
      <c r="C532">
        <f>SUM('01_Data'!$B532:$AW532)</f>
        <v/>
      </c>
      <c r="D532">
        <f>COUNT('01_Data'!$B532:$AW532)</f>
        <v/>
      </c>
      <c r="E532" s="5">
        <f>MEDIAN(-6,LN((C532+0.3)/(D532-C532+0.3)),6)</f>
        <v/>
      </c>
      <c r="F532" s="5">
        <f>SUMPRODUCT(('01_Data'!$B532:$AW532&lt;&gt;"")*(1/(1+EXP(-(E532-'03_Lap_b'!$B$5:$AW$5)))))</f>
        <v/>
      </c>
      <c r="G532" s="5">
        <f>SUMPRODUCT(('01_Data'!$B532:$AW532&lt;&gt;"")*(1/(1+EXP(-(E532-'03_Lap_b'!$B$5:$AW$5))))^2)</f>
        <v/>
      </c>
      <c r="H532" s="5">
        <f>MEDIAN(-6,E532+(C532-F532)/MAX(F532-G532,0.000000001),6)</f>
        <v/>
      </c>
      <c r="I532" s="5">
        <f>SUMPRODUCT(('01_Data'!$B532:$AW532&lt;&gt;"")*(1/(1+EXP(-(H532-'03_Lap_b'!$B$10:$AW$10)))))</f>
        <v/>
      </c>
      <c r="J532" s="5">
        <f>SUMPRODUCT(('01_Data'!$B532:$AW532&lt;&gt;"")*(1/(1+EXP(-(H532-'03_Lap_b'!$B$10:$AW$10))))^2)</f>
        <v/>
      </c>
      <c r="K532" s="5">
        <f>MEDIAN(-6,H532+(C532-I532)/MAX(I532-J532,0.000000001),6)</f>
        <v/>
      </c>
      <c r="L532" s="5">
        <f>SUMPRODUCT(('01_Data'!$B532:$AW532&lt;&gt;"")*(1/(1+EXP(-(K532-'03_Lap_b'!$B$15:$AW$15)))))</f>
        <v/>
      </c>
      <c r="M532" s="5">
        <f>SUMPRODUCT(('01_Data'!$B532:$AW532&lt;&gt;"")*(1/(1+EXP(-(K532-'03_Lap_b'!$B$15:$AW$15))))^2)</f>
        <v/>
      </c>
      <c r="N532" s="5">
        <f>MEDIAN(-6,K532+(C532-L532)/MAX(L532-M532,0.000000001),6)</f>
        <v/>
      </c>
      <c r="O532" s="5">
        <f>SUMPRODUCT(('01_Data'!$B532:$AW532&lt;&gt;"")*(1/(1+EXP(-(N532-'03_Lap_b'!$B$20:$AW$20)))))</f>
        <v/>
      </c>
      <c r="P532" s="5">
        <f>SUMPRODUCT(('01_Data'!$B532:$AW532&lt;&gt;"")*(1/(1+EXP(-(N532-'03_Lap_b'!$B$20:$AW$20))))^2)</f>
        <v/>
      </c>
      <c r="Q532" s="5">
        <f>MEDIAN(-6,N532+(C532-O532)/MAX(O532-P532,0.000000001),6)</f>
        <v/>
      </c>
      <c r="R532" s="5">
        <f>SUMPRODUCT(('01_Data'!$B532:$AW532&lt;&gt;"")*(1/(1+EXP(-(Q532-'03_Lap_b'!$B$25:$AW$25)))))</f>
        <v/>
      </c>
      <c r="S532" s="5">
        <f>SUMPRODUCT(('01_Data'!$B532:$AW532&lt;&gt;"")*(1/(1+EXP(-(Q532-'03_Lap_b'!$B$25:$AW$25))))^2)</f>
        <v/>
      </c>
      <c r="T532" s="5">
        <f>MEDIAN(-6,Q532+(C532-R532)/MAX(R532-S532,0.000000001),6)</f>
        <v/>
      </c>
      <c r="U532" s="5">
        <f>SUMPRODUCT(('01_Data'!$B532:$AW532&lt;&gt;"")*(1/(1+EXP(-(T532-'03_Lap_b'!$B$30:$AW$30)))))</f>
        <v/>
      </c>
      <c r="V532" s="5">
        <f>SUMPRODUCT(('01_Data'!$B532:$AW532&lt;&gt;"")*(1/(1+EXP(-(T532-'03_Lap_b'!$B$30:$AW$30))))^2)</f>
        <v/>
      </c>
      <c r="W532" s="5">
        <f>MEDIAN(-6,T532+(C532-U532)/MAX(U532-V532,0.000000001),6)</f>
        <v/>
      </c>
      <c r="X532" s="5">
        <f>SUMPRODUCT(('01_Data'!$B532:$AW532&lt;&gt;"")*(1/(1+EXP(-(W532-'03_Lap_b'!$B$35:$AW$35)))))</f>
        <v/>
      </c>
      <c r="Y532" s="5">
        <f>SUMPRODUCT(('01_Data'!$B532:$AW532&lt;&gt;"")*(1/(1+EXP(-(W532-'03_Lap_b'!$B$35:$AW$35))))^2)</f>
        <v/>
      </c>
      <c r="Z532" s="5">
        <f>MEDIAN(-6,W532+(C532-X532)/MAX(X532-Y532,0.000000001),6)</f>
        <v/>
      </c>
      <c r="AA532" s="5">
        <f>SUMPRODUCT(('01_Data'!$B532:$AW532&lt;&gt;"")*(1/(1+EXP(-(Z532-'03_Lap_b'!$B$40:$AW$40)))))</f>
        <v/>
      </c>
      <c r="AB532" s="5">
        <f>SUMPRODUCT(('01_Data'!$B532:$AW532&lt;&gt;"")*(1/(1+EXP(-(Z532-'03_Lap_b'!$B$40:$AW$40))))^2)</f>
        <v/>
      </c>
      <c r="AC532" s="5">
        <f>MEDIAN(-6,Z532+(C532-AA532)/MAX(AA532-AB532,0.000000001),6)</f>
        <v/>
      </c>
    </row>
    <row r="533">
      <c r="A533" t="n">
        <v>532</v>
      </c>
      <c r="B533">
        <f>'01_Data'!A533</f>
        <v/>
      </c>
      <c r="C533">
        <f>SUM('01_Data'!$B533:$AW533)</f>
        <v/>
      </c>
      <c r="D533">
        <f>COUNT('01_Data'!$B533:$AW533)</f>
        <v/>
      </c>
      <c r="E533" s="5">
        <f>MEDIAN(-6,LN((C533+0.3)/(D533-C533+0.3)),6)</f>
        <v/>
      </c>
      <c r="F533" s="5">
        <f>SUMPRODUCT(('01_Data'!$B533:$AW533&lt;&gt;"")*(1/(1+EXP(-(E533-'03_Lap_b'!$B$5:$AW$5)))))</f>
        <v/>
      </c>
      <c r="G533" s="5">
        <f>SUMPRODUCT(('01_Data'!$B533:$AW533&lt;&gt;"")*(1/(1+EXP(-(E533-'03_Lap_b'!$B$5:$AW$5))))^2)</f>
        <v/>
      </c>
      <c r="H533" s="5">
        <f>MEDIAN(-6,E533+(C533-F533)/MAX(F533-G533,0.000000001),6)</f>
        <v/>
      </c>
      <c r="I533" s="5">
        <f>SUMPRODUCT(('01_Data'!$B533:$AW533&lt;&gt;"")*(1/(1+EXP(-(H533-'03_Lap_b'!$B$10:$AW$10)))))</f>
        <v/>
      </c>
      <c r="J533" s="5">
        <f>SUMPRODUCT(('01_Data'!$B533:$AW533&lt;&gt;"")*(1/(1+EXP(-(H533-'03_Lap_b'!$B$10:$AW$10))))^2)</f>
        <v/>
      </c>
      <c r="K533" s="5">
        <f>MEDIAN(-6,H533+(C533-I533)/MAX(I533-J533,0.000000001),6)</f>
        <v/>
      </c>
      <c r="L533" s="5">
        <f>SUMPRODUCT(('01_Data'!$B533:$AW533&lt;&gt;"")*(1/(1+EXP(-(K533-'03_Lap_b'!$B$15:$AW$15)))))</f>
        <v/>
      </c>
      <c r="M533" s="5">
        <f>SUMPRODUCT(('01_Data'!$B533:$AW533&lt;&gt;"")*(1/(1+EXP(-(K533-'03_Lap_b'!$B$15:$AW$15))))^2)</f>
        <v/>
      </c>
      <c r="N533" s="5">
        <f>MEDIAN(-6,K533+(C533-L533)/MAX(L533-M533,0.000000001),6)</f>
        <v/>
      </c>
      <c r="O533" s="5">
        <f>SUMPRODUCT(('01_Data'!$B533:$AW533&lt;&gt;"")*(1/(1+EXP(-(N533-'03_Lap_b'!$B$20:$AW$20)))))</f>
        <v/>
      </c>
      <c r="P533" s="5">
        <f>SUMPRODUCT(('01_Data'!$B533:$AW533&lt;&gt;"")*(1/(1+EXP(-(N533-'03_Lap_b'!$B$20:$AW$20))))^2)</f>
        <v/>
      </c>
      <c r="Q533" s="5">
        <f>MEDIAN(-6,N533+(C533-O533)/MAX(O533-P533,0.000000001),6)</f>
        <v/>
      </c>
      <c r="R533" s="5">
        <f>SUMPRODUCT(('01_Data'!$B533:$AW533&lt;&gt;"")*(1/(1+EXP(-(Q533-'03_Lap_b'!$B$25:$AW$25)))))</f>
        <v/>
      </c>
      <c r="S533" s="5">
        <f>SUMPRODUCT(('01_Data'!$B533:$AW533&lt;&gt;"")*(1/(1+EXP(-(Q533-'03_Lap_b'!$B$25:$AW$25))))^2)</f>
        <v/>
      </c>
      <c r="T533" s="5">
        <f>MEDIAN(-6,Q533+(C533-R533)/MAX(R533-S533,0.000000001),6)</f>
        <v/>
      </c>
      <c r="U533" s="5">
        <f>SUMPRODUCT(('01_Data'!$B533:$AW533&lt;&gt;"")*(1/(1+EXP(-(T533-'03_Lap_b'!$B$30:$AW$30)))))</f>
        <v/>
      </c>
      <c r="V533" s="5">
        <f>SUMPRODUCT(('01_Data'!$B533:$AW533&lt;&gt;"")*(1/(1+EXP(-(T533-'03_Lap_b'!$B$30:$AW$30))))^2)</f>
        <v/>
      </c>
      <c r="W533" s="5">
        <f>MEDIAN(-6,T533+(C533-U533)/MAX(U533-V533,0.000000001),6)</f>
        <v/>
      </c>
      <c r="X533" s="5">
        <f>SUMPRODUCT(('01_Data'!$B533:$AW533&lt;&gt;"")*(1/(1+EXP(-(W533-'03_Lap_b'!$B$35:$AW$35)))))</f>
        <v/>
      </c>
      <c r="Y533" s="5">
        <f>SUMPRODUCT(('01_Data'!$B533:$AW533&lt;&gt;"")*(1/(1+EXP(-(W533-'03_Lap_b'!$B$35:$AW$35))))^2)</f>
        <v/>
      </c>
      <c r="Z533" s="5">
        <f>MEDIAN(-6,W533+(C533-X533)/MAX(X533-Y533,0.000000001),6)</f>
        <v/>
      </c>
      <c r="AA533" s="5">
        <f>SUMPRODUCT(('01_Data'!$B533:$AW533&lt;&gt;"")*(1/(1+EXP(-(Z533-'03_Lap_b'!$B$40:$AW$40)))))</f>
        <v/>
      </c>
      <c r="AB533" s="5">
        <f>SUMPRODUCT(('01_Data'!$B533:$AW533&lt;&gt;"")*(1/(1+EXP(-(Z533-'03_Lap_b'!$B$40:$AW$40))))^2)</f>
        <v/>
      </c>
      <c r="AC533" s="5">
        <f>MEDIAN(-6,Z533+(C533-AA533)/MAX(AA533-AB533,0.000000001),6)</f>
        <v/>
      </c>
    </row>
    <row r="534">
      <c r="A534" t="n">
        <v>533</v>
      </c>
      <c r="B534">
        <f>'01_Data'!A534</f>
        <v/>
      </c>
      <c r="C534">
        <f>SUM('01_Data'!$B534:$AW534)</f>
        <v/>
      </c>
      <c r="D534">
        <f>COUNT('01_Data'!$B534:$AW534)</f>
        <v/>
      </c>
      <c r="E534" s="5">
        <f>MEDIAN(-6,LN((C534+0.3)/(D534-C534+0.3)),6)</f>
        <v/>
      </c>
      <c r="F534" s="5">
        <f>SUMPRODUCT(('01_Data'!$B534:$AW534&lt;&gt;"")*(1/(1+EXP(-(E534-'03_Lap_b'!$B$5:$AW$5)))))</f>
        <v/>
      </c>
      <c r="G534" s="5">
        <f>SUMPRODUCT(('01_Data'!$B534:$AW534&lt;&gt;"")*(1/(1+EXP(-(E534-'03_Lap_b'!$B$5:$AW$5))))^2)</f>
        <v/>
      </c>
      <c r="H534" s="5">
        <f>MEDIAN(-6,E534+(C534-F534)/MAX(F534-G534,0.000000001),6)</f>
        <v/>
      </c>
      <c r="I534" s="5">
        <f>SUMPRODUCT(('01_Data'!$B534:$AW534&lt;&gt;"")*(1/(1+EXP(-(H534-'03_Lap_b'!$B$10:$AW$10)))))</f>
        <v/>
      </c>
      <c r="J534" s="5">
        <f>SUMPRODUCT(('01_Data'!$B534:$AW534&lt;&gt;"")*(1/(1+EXP(-(H534-'03_Lap_b'!$B$10:$AW$10))))^2)</f>
        <v/>
      </c>
      <c r="K534" s="5">
        <f>MEDIAN(-6,H534+(C534-I534)/MAX(I534-J534,0.000000001),6)</f>
        <v/>
      </c>
      <c r="L534" s="5">
        <f>SUMPRODUCT(('01_Data'!$B534:$AW534&lt;&gt;"")*(1/(1+EXP(-(K534-'03_Lap_b'!$B$15:$AW$15)))))</f>
        <v/>
      </c>
      <c r="M534" s="5">
        <f>SUMPRODUCT(('01_Data'!$B534:$AW534&lt;&gt;"")*(1/(1+EXP(-(K534-'03_Lap_b'!$B$15:$AW$15))))^2)</f>
        <v/>
      </c>
      <c r="N534" s="5">
        <f>MEDIAN(-6,K534+(C534-L534)/MAX(L534-M534,0.000000001),6)</f>
        <v/>
      </c>
      <c r="O534" s="5">
        <f>SUMPRODUCT(('01_Data'!$B534:$AW534&lt;&gt;"")*(1/(1+EXP(-(N534-'03_Lap_b'!$B$20:$AW$20)))))</f>
        <v/>
      </c>
      <c r="P534" s="5">
        <f>SUMPRODUCT(('01_Data'!$B534:$AW534&lt;&gt;"")*(1/(1+EXP(-(N534-'03_Lap_b'!$B$20:$AW$20))))^2)</f>
        <v/>
      </c>
      <c r="Q534" s="5">
        <f>MEDIAN(-6,N534+(C534-O534)/MAX(O534-P534,0.000000001),6)</f>
        <v/>
      </c>
      <c r="R534" s="5">
        <f>SUMPRODUCT(('01_Data'!$B534:$AW534&lt;&gt;"")*(1/(1+EXP(-(Q534-'03_Lap_b'!$B$25:$AW$25)))))</f>
        <v/>
      </c>
      <c r="S534" s="5">
        <f>SUMPRODUCT(('01_Data'!$B534:$AW534&lt;&gt;"")*(1/(1+EXP(-(Q534-'03_Lap_b'!$B$25:$AW$25))))^2)</f>
        <v/>
      </c>
      <c r="T534" s="5">
        <f>MEDIAN(-6,Q534+(C534-R534)/MAX(R534-S534,0.000000001),6)</f>
        <v/>
      </c>
      <c r="U534" s="5">
        <f>SUMPRODUCT(('01_Data'!$B534:$AW534&lt;&gt;"")*(1/(1+EXP(-(T534-'03_Lap_b'!$B$30:$AW$30)))))</f>
        <v/>
      </c>
      <c r="V534" s="5">
        <f>SUMPRODUCT(('01_Data'!$B534:$AW534&lt;&gt;"")*(1/(1+EXP(-(T534-'03_Lap_b'!$B$30:$AW$30))))^2)</f>
        <v/>
      </c>
      <c r="W534" s="5">
        <f>MEDIAN(-6,T534+(C534-U534)/MAX(U534-V534,0.000000001),6)</f>
        <v/>
      </c>
      <c r="X534" s="5">
        <f>SUMPRODUCT(('01_Data'!$B534:$AW534&lt;&gt;"")*(1/(1+EXP(-(W534-'03_Lap_b'!$B$35:$AW$35)))))</f>
        <v/>
      </c>
      <c r="Y534" s="5">
        <f>SUMPRODUCT(('01_Data'!$B534:$AW534&lt;&gt;"")*(1/(1+EXP(-(W534-'03_Lap_b'!$B$35:$AW$35))))^2)</f>
        <v/>
      </c>
      <c r="Z534" s="5">
        <f>MEDIAN(-6,W534+(C534-X534)/MAX(X534-Y534,0.000000001),6)</f>
        <v/>
      </c>
      <c r="AA534" s="5">
        <f>SUMPRODUCT(('01_Data'!$B534:$AW534&lt;&gt;"")*(1/(1+EXP(-(Z534-'03_Lap_b'!$B$40:$AW$40)))))</f>
        <v/>
      </c>
      <c r="AB534" s="5">
        <f>SUMPRODUCT(('01_Data'!$B534:$AW534&lt;&gt;"")*(1/(1+EXP(-(Z534-'03_Lap_b'!$B$40:$AW$40))))^2)</f>
        <v/>
      </c>
      <c r="AC534" s="5">
        <f>MEDIAN(-6,Z534+(C534-AA534)/MAX(AA534-AB534,0.000000001),6)</f>
        <v/>
      </c>
    </row>
    <row r="535">
      <c r="A535" t="n">
        <v>534</v>
      </c>
      <c r="B535">
        <f>'01_Data'!A535</f>
        <v/>
      </c>
      <c r="C535">
        <f>SUM('01_Data'!$B535:$AW535)</f>
        <v/>
      </c>
      <c r="D535">
        <f>COUNT('01_Data'!$B535:$AW535)</f>
        <v/>
      </c>
      <c r="E535" s="5">
        <f>MEDIAN(-6,LN((C535+0.3)/(D535-C535+0.3)),6)</f>
        <v/>
      </c>
      <c r="F535" s="5">
        <f>SUMPRODUCT(('01_Data'!$B535:$AW535&lt;&gt;"")*(1/(1+EXP(-(E535-'03_Lap_b'!$B$5:$AW$5)))))</f>
        <v/>
      </c>
      <c r="G535" s="5">
        <f>SUMPRODUCT(('01_Data'!$B535:$AW535&lt;&gt;"")*(1/(1+EXP(-(E535-'03_Lap_b'!$B$5:$AW$5))))^2)</f>
        <v/>
      </c>
      <c r="H535" s="5">
        <f>MEDIAN(-6,E535+(C535-F535)/MAX(F535-G535,0.000000001),6)</f>
        <v/>
      </c>
      <c r="I535" s="5">
        <f>SUMPRODUCT(('01_Data'!$B535:$AW535&lt;&gt;"")*(1/(1+EXP(-(H535-'03_Lap_b'!$B$10:$AW$10)))))</f>
        <v/>
      </c>
      <c r="J535" s="5">
        <f>SUMPRODUCT(('01_Data'!$B535:$AW535&lt;&gt;"")*(1/(1+EXP(-(H535-'03_Lap_b'!$B$10:$AW$10))))^2)</f>
        <v/>
      </c>
      <c r="K535" s="5">
        <f>MEDIAN(-6,H535+(C535-I535)/MAX(I535-J535,0.000000001),6)</f>
        <v/>
      </c>
      <c r="L535" s="5">
        <f>SUMPRODUCT(('01_Data'!$B535:$AW535&lt;&gt;"")*(1/(1+EXP(-(K535-'03_Lap_b'!$B$15:$AW$15)))))</f>
        <v/>
      </c>
      <c r="M535" s="5">
        <f>SUMPRODUCT(('01_Data'!$B535:$AW535&lt;&gt;"")*(1/(1+EXP(-(K535-'03_Lap_b'!$B$15:$AW$15))))^2)</f>
        <v/>
      </c>
      <c r="N535" s="5">
        <f>MEDIAN(-6,K535+(C535-L535)/MAX(L535-M535,0.000000001),6)</f>
        <v/>
      </c>
      <c r="O535" s="5">
        <f>SUMPRODUCT(('01_Data'!$B535:$AW535&lt;&gt;"")*(1/(1+EXP(-(N535-'03_Lap_b'!$B$20:$AW$20)))))</f>
        <v/>
      </c>
      <c r="P535" s="5">
        <f>SUMPRODUCT(('01_Data'!$B535:$AW535&lt;&gt;"")*(1/(1+EXP(-(N535-'03_Lap_b'!$B$20:$AW$20))))^2)</f>
        <v/>
      </c>
      <c r="Q535" s="5">
        <f>MEDIAN(-6,N535+(C535-O535)/MAX(O535-P535,0.000000001),6)</f>
        <v/>
      </c>
      <c r="R535" s="5">
        <f>SUMPRODUCT(('01_Data'!$B535:$AW535&lt;&gt;"")*(1/(1+EXP(-(Q535-'03_Lap_b'!$B$25:$AW$25)))))</f>
        <v/>
      </c>
      <c r="S535" s="5">
        <f>SUMPRODUCT(('01_Data'!$B535:$AW535&lt;&gt;"")*(1/(1+EXP(-(Q535-'03_Lap_b'!$B$25:$AW$25))))^2)</f>
        <v/>
      </c>
      <c r="T535" s="5">
        <f>MEDIAN(-6,Q535+(C535-R535)/MAX(R535-S535,0.000000001),6)</f>
        <v/>
      </c>
      <c r="U535" s="5">
        <f>SUMPRODUCT(('01_Data'!$B535:$AW535&lt;&gt;"")*(1/(1+EXP(-(T535-'03_Lap_b'!$B$30:$AW$30)))))</f>
        <v/>
      </c>
      <c r="V535" s="5">
        <f>SUMPRODUCT(('01_Data'!$B535:$AW535&lt;&gt;"")*(1/(1+EXP(-(T535-'03_Lap_b'!$B$30:$AW$30))))^2)</f>
        <v/>
      </c>
      <c r="W535" s="5">
        <f>MEDIAN(-6,T535+(C535-U535)/MAX(U535-V535,0.000000001),6)</f>
        <v/>
      </c>
      <c r="X535" s="5">
        <f>SUMPRODUCT(('01_Data'!$B535:$AW535&lt;&gt;"")*(1/(1+EXP(-(W535-'03_Lap_b'!$B$35:$AW$35)))))</f>
        <v/>
      </c>
      <c r="Y535" s="5">
        <f>SUMPRODUCT(('01_Data'!$B535:$AW535&lt;&gt;"")*(1/(1+EXP(-(W535-'03_Lap_b'!$B$35:$AW$35))))^2)</f>
        <v/>
      </c>
      <c r="Z535" s="5">
        <f>MEDIAN(-6,W535+(C535-X535)/MAX(X535-Y535,0.000000001),6)</f>
        <v/>
      </c>
      <c r="AA535" s="5">
        <f>SUMPRODUCT(('01_Data'!$B535:$AW535&lt;&gt;"")*(1/(1+EXP(-(Z535-'03_Lap_b'!$B$40:$AW$40)))))</f>
        <v/>
      </c>
      <c r="AB535" s="5">
        <f>SUMPRODUCT(('01_Data'!$B535:$AW535&lt;&gt;"")*(1/(1+EXP(-(Z535-'03_Lap_b'!$B$40:$AW$40))))^2)</f>
        <v/>
      </c>
      <c r="AC535" s="5">
        <f>MEDIAN(-6,Z535+(C535-AA535)/MAX(AA535-AB535,0.000000001),6)</f>
        <v/>
      </c>
    </row>
    <row r="536">
      <c r="A536" t="n">
        <v>535</v>
      </c>
      <c r="B536">
        <f>'01_Data'!A536</f>
        <v/>
      </c>
      <c r="C536">
        <f>SUM('01_Data'!$B536:$AW536)</f>
        <v/>
      </c>
      <c r="D536">
        <f>COUNT('01_Data'!$B536:$AW536)</f>
        <v/>
      </c>
      <c r="E536" s="5">
        <f>MEDIAN(-6,LN((C536+0.3)/(D536-C536+0.3)),6)</f>
        <v/>
      </c>
      <c r="F536" s="5">
        <f>SUMPRODUCT(('01_Data'!$B536:$AW536&lt;&gt;"")*(1/(1+EXP(-(E536-'03_Lap_b'!$B$5:$AW$5)))))</f>
        <v/>
      </c>
      <c r="G536" s="5">
        <f>SUMPRODUCT(('01_Data'!$B536:$AW536&lt;&gt;"")*(1/(1+EXP(-(E536-'03_Lap_b'!$B$5:$AW$5))))^2)</f>
        <v/>
      </c>
      <c r="H536" s="5">
        <f>MEDIAN(-6,E536+(C536-F536)/MAX(F536-G536,0.000000001),6)</f>
        <v/>
      </c>
      <c r="I536" s="5">
        <f>SUMPRODUCT(('01_Data'!$B536:$AW536&lt;&gt;"")*(1/(1+EXP(-(H536-'03_Lap_b'!$B$10:$AW$10)))))</f>
        <v/>
      </c>
      <c r="J536" s="5">
        <f>SUMPRODUCT(('01_Data'!$B536:$AW536&lt;&gt;"")*(1/(1+EXP(-(H536-'03_Lap_b'!$B$10:$AW$10))))^2)</f>
        <v/>
      </c>
      <c r="K536" s="5">
        <f>MEDIAN(-6,H536+(C536-I536)/MAX(I536-J536,0.000000001),6)</f>
        <v/>
      </c>
      <c r="L536" s="5">
        <f>SUMPRODUCT(('01_Data'!$B536:$AW536&lt;&gt;"")*(1/(1+EXP(-(K536-'03_Lap_b'!$B$15:$AW$15)))))</f>
        <v/>
      </c>
      <c r="M536" s="5">
        <f>SUMPRODUCT(('01_Data'!$B536:$AW536&lt;&gt;"")*(1/(1+EXP(-(K536-'03_Lap_b'!$B$15:$AW$15))))^2)</f>
        <v/>
      </c>
      <c r="N536" s="5">
        <f>MEDIAN(-6,K536+(C536-L536)/MAX(L536-M536,0.000000001),6)</f>
        <v/>
      </c>
      <c r="O536" s="5">
        <f>SUMPRODUCT(('01_Data'!$B536:$AW536&lt;&gt;"")*(1/(1+EXP(-(N536-'03_Lap_b'!$B$20:$AW$20)))))</f>
        <v/>
      </c>
      <c r="P536" s="5">
        <f>SUMPRODUCT(('01_Data'!$B536:$AW536&lt;&gt;"")*(1/(1+EXP(-(N536-'03_Lap_b'!$B$20:$AW$20))))^2)</f>
        <v/>
      </c>
      <c r="Q536" s="5">
        <f>MEDIAN(-6,N536+(C536-O536)/MAX(O536-P536,0.000000001),6)</f>
        <v/>
      </c>
      <c r="R536" s="5">
        <f>SUMPRODUCT(('01_Data'!$B536:$AW536&lt;&gt;"")*(1/(1+EXP(-(Q536-'03_Lap_b'!$B$25:$AW$25)))))</f>
        <v/>
      </c>
      <c r="S536" s="5">
        <f>SUMPRODUCT(('01_Data'!$B536:$AW536&lt;&gt;"")*(1/(1+EXP(-(Q536-'03_Lap_b'!$B$25:$AW$25))))^2)</f>
        <v/>
      </c>
      <c r="T536" s="5">
        <f>MEDIAN(-6,Q536+(C536-R536)/MAX(R536-S536,0.000000001),6)</f>
        <v/>
      </c>
      <c r="U536" s="5">
        <f>SUMPRODUCT(('01_Data'!$B536:$AW536&lt;&gt;"")*(1/(1+EXP(-(T536-'03_Lap_b'!$B$30:$AW$30)))))</f>
        <v/>
      </c>
      <c r="V536" s="5">
        <f>SUMPRODUCT(('01_Data'!$B536:$AW536&lt;&gt;"")*(1/(1+EXP(-(T536-'03_Lap_b'!$B$30:$AW$30))))^2)</f>
        <v/>
      </c>
      <c r="W536" s="5">
        <f>MEDIAN(-6,T536+(C536-U536)/MAX(U536-V536,0.000000001),6)</f>
        <v/>
      </c>
      <c r="X536" s="5">
        <f>SUMPRODUCT(('01_Data'!$B536:$AW536&lt;&gt;"")*(1/(1+EXP(-(W536-'03_Lap_b'!$B$35:$AW$35)))))</f>
        <v/>
      </c>
      <c r="Y536" s="5">
        <f>SUMPRODUCT(('01_Data'!$B536:$AW536&lt;&gt;"")*(1/(1+EXP(-(W536-'03_Lap_b'!$B$35:$AW$35))))^2)</f>
        <v/>
      </c>
      <c r="Z536" s="5">
        <f>MEDIAN(-6,W536+(C536-X536)/MAX(X536-Y536,0.000000001),6)</f>
        <v/>
      </c>
      <c r="AA536" s="5">
        <f>SUMPRODUCT(('01_Data'!$B536:$AW536&lt;&gt;"")*(1/(1+EXP(-(Z536-'03_Lap_b'!$B$40:$AW$40)))))</f>
        <v/>
      </c>
      <c r="AB536" s="5">
        <f>SUMPRODUCT(('01_Data'!$B536:$AW536&lt;&gt;"")*(1/(1+EXP(-(Z536-'03_Lap_b'!$B$40:$AW$40))))^2)</f>
        <v/>
      </c>
      <c r="AC536" s="5">
        <f>MEDIAN(-6,Z536+(C536-AA536)/MAX(AA536-AB536,0.000000001),6)</f>
        <v/>
      </c>
    </row>
    <row r="537">
      <c r="A537" t="n">
        <v>536</v>
      </c>
      <c r="B537">
        <f>'01_Data'!A537</f>
        <v/>
      </c>
      <c r="C537">
        <f>SUM('01_Data'!$B537:$AW537)</f>
        <v/>
      </c>
      <c r="D537">
        <f>COUNT('01_Data'!$B537:$AW537)</f>
        <v/>
      </c>
      <c r="E537" s="5">
        <f>MEDIAN(-6,LN((C537+0.3)/(D537-C537+0.3)),6)</f>
        <v/>
      </c>
      <c r="F537" s="5">
        <f>SUMPRODUCT(('01_Data'!$B537:$AW537&lt;&gt;"")*(1/(1+EXP(-(E537-'03_Lap_b'!$B$5:$AW$5)))))</f>
        <v/>
      </c>
      <c r="G537" s="5">
        <f>SUMPRODUCT(('01_Data'!$B537:$AW537&lt;&gt;"")*(1/(1+EXP(-(E537-'03_Lap_b'!$B$5:$AW$5))))^2)</f>
        <v/>
      </c>
      <c r="H537" s="5">
        <f>MEDIAN(-6,E537+(C537-F537)/MAX(F537-G537,0.000000001),6)</f>
        <v/>
      </c>
      <c r="I537" s="5">
        <f>SUMPRODUCT(('01_Data'!$B537:$AW537&lt;&gt;"")*(1/(1+EXP(-(H537-'03_Lap_b'!$B$10:$AW$10)))))</f>
        <v/>
      </c>
      <c r="J537" s="5">
        <f>SUMPRODUCT(('01_Data'!$B537:$AW537&lt;&gt;"")*(1/(1+EXP(-(H537-'03_Lap_b'!$B$10:$AW$10))))^2)</f>
        <v/>
      </c>
      <c r="K537" s="5">
        <f>MEDIAN(-6,H537+(C537-I537)/MAX(I537-J537,0.000000001),6)</f>
        <v/>
      </c>
      <c r="L537" s="5">
        <f>SUMPRODUCT(('01_Data'!$B537:$AW537&lt;&gt;"")*(1/(1+EXP(-(K537-'03_Lap_b'!$B$15:$AW$15)))))</f>
        <v/>
      </c>
      <c r="M537" s="5">
        <f>SUMPRODUCT(('01_Data'!$B537:$AW537&lt;&gt;"")*(1/(1+EXP(-(K537-'03_Lap_b'!$B$15:$AW$15))))^2)</f>
        <v/>
      </c>
      <c r="N537" s="5">
        <f>MEDIAN(-6,K537+(C537-L537)/MAX(L537-M537,0.000000001),6)</f>
        <v/>
      </c>
      <c r="O537" s="5">
        <f>SUMPRODUCT(('01_Data'!$B537:$AW537&lt;&gt;"")*(1/(1+EXP(-(N537-'03_Lap_b'!$B$20:$AW$20)))))</f>
        <v/>
      </c>
      <c r="P537" s="5">
        <f>SUMPRODUCT(('01_Data'!$B537:$AW537&lt;&gt;"")*(1/(1+EXP(-(N537-'03_Lap_b'!$B$20:$AW$20))))^2)</f>
        <v/>
      </c>
      <c r="Q537" s="5">
        <f>MEDIAN(-6,N537+(C537-O537)/MAX(O537-P537,0.000000001),6)</f>
        <v/>
      </c>
      <c r="R537" s="5">
        <f>SUMPRODUCT(('01_Data'!$B537:$AW537&lt;&gt;"")*(1/(1+EXP(-(Q537-'03_Lap_b'!$B$25:$AW$25)))))</f>
        <v/>
      </c>
      <c r="S537" s="5">
        <f>SUMPRODUCT(('01_Data'!$B537:$AW537&lt;&gt;"")*(1/(1+EXP(-(Q537-'03_Lap_b'!$B$25:$AW$25))))^2)</f>
        <v/>
      </c>
      <c r="T537" s="5">
        <f>MEDIAN(-6,Q537+(C537-R537)/MAX(R537-S537,0.000000001),6)</f>
        <v/>
      </c>
      <c r="U537" s="5">
        <f>SUMPRODUCT(('01_Data'!$B537:$AW537&lt;&gt;"")*(1/(1+EXP(-(T537-'03_Lap_b'!$B$30:$AW$30)))))</f>
        <v/>
      </c>
      <c r="V537" s="5">
        <f>SUMPRODUCT(('01_Data'!$B537:$AW537&lt;&gt;"")*(1/(1+EXP(-(T537-'03_Lap_b'!$B$30:$AW$30))))^2)</f>
        <v/>
      </c>
      <c r="W537" s="5">
        <f>MEDIAN(-6,T537+(C537-U537)/MAX(U537-V537,0.000000001),6)</f>
        <v/>
      </c>
      <c r="X537" s="5">
        <f>SUMPRODUCT(('01_Data'!$B537:$AW537&lt;&gt;"")*(1/(1+EXP(-(W537-'03_Lap_b'!$B$35:$AW$35)))))</f>
        <v/>
      </c>
      <c r="Y537" s="5">
        <f>SUMPRODUCT(('01_Data'!$B537:$AW537&lt;&gt;"")*(1/(1+EXP(-(W537-'03_Lap_b'!$B$35:$AW$35))))^2)</f>
        <v/>
      </c>
      <c r="Z537" s="5">
        <f>MEDIAN(-6,W537+(C537-X537)/MAX(X537-Y537,0.000000001),6)</f>
        <v/>
      </c>
      <c r="AA537" s="5">
        <f>SUMPRODUCT(('01_Data'!$B537:$AW537&lt;&gt;"")*(1/(1+EXP(-(Z537-'03_Lap_b'!$B$40:$AW$40)))))</f>
        <v/>
      </c>
      <c r="AB537" s="5">
        <f>SUMPRODUCT(('01_Data'!$B537:$AW537&lt;&gt;"")*(1/(1+EXP(-(Z537-'03_Lap_b'!$B$40:$AW$40))))^2)</f>
        <v/>
      </c>
      <c r="AC537" s="5">
        <f>MEDIAN(-6,Z537+(C537-AA537)/MAX(AA537-AB537,0.000000001),6)</f>
        <v/>
      </c>
    </row>
    <row r="538">
      <c r="A538" t="n">
        <v>537</v>
      </c>
      <c r="B538">
        <f>'01_Data'!A538</f>
        <v/>
      </c>
      <c r="C538">
        <f>SUM('01_Data'!$B538:$AW538)</f>
        <v/>
      </c>
      <c r="D538">
        <f>COUNT('01_Data'!$B538:$AW538)</f>
        <v/>
      </c>
      <c r="E538" s="5">
        <f>MEDIAN(-6,LN((C538+0.3)/(D538-C538+0.3)),6)</f>
        <v/>
      </c>
      <c r="F538" s="5">
        <f>SUMPRODUCT(('01_Data'!$B538:$AW538&lt;&gt;"")*(1/(1+EXP(-(E538-'03_Lap_b'!$B$5:$AW$5)))))</f>
        <v/>
      </c>
      <c r="G538" s="5">
        <f>SUMPRODUCT(('01_Data'!$B538:$AW538&lt;&gt;"")*(1/(1+EXP(-(E538-'03_Lap_b'!$B$5:$AW$5))))^2)</f>
        <v/>
      </c>
      <c r="H538" s="5">
        <f>MEDIAN(-6,E538+(C538-F538)/MAX(F538-G538,0.000000001),6)</f>
        <v/>
      </c>
      <c r="I538" s="5">
        <f>SUMPRODUCT(('01_Data'!$B538:$AW538&lt;&gt;"")*(1/(1+EXP(-(H538-'03_Lap_b'!$B$10:$AW$10)))))</f>
        <v/>
      </c>
      <c r="J538" s="5">
        <f>SUMPRODUCT(('01_Data'!$B538:$AW538&lt;&gt;"")*(1/(1+EXP(-(H538-'03_Lap_b'!$B$10:$AW$10))))^2)</f>
        <v/>
      </c>
      <c r="K538" s="5">
        <f>MEDIAN(-6,H538+(C538-I538)/MAX(I538-J538,0.000000001),6)</f>
        <v/>
      </c>
      <c r="L538" s="5">
        <f>SUMPRODUCT(('01_Data'!$B538:$AW538&lt;&gt;"")*(1/(1+EXP(-(K538-'03_Lap_b'!$B$15:$AW$15)))))</f>
        <v/>
      </c>
      <c r="M538" s="5">
        <f>SUMPRODUCT(('01_Data'!$B538:$AW538&lt;&gt;"")*(1/(1+EXP(-(K538-'03_Lap_b'!$B$15:$AW$15))))^2)</f>
        <v/>
      </c>
      <c r="N538" s="5">
        <f>MEDIAN(-6,K538+(C538-L538)/MAX(L538-M538,0.000000001),6)</f>
        <v/>
      </c>
      <c r="O538" s="5">
        <f>SUMPRODUCT(('01_Data'!$B538:$AW538&lt;&gt;"")*(1/(1+EXP(-(N538-'03_Lap_b'!$B$20:$AW$20)))))</f>
        <v/>
      </c>
      <c r="P538" s="5">
        <f>SUMPRODUCT(('01_Data'!$B538:$AW538&lt;&gt;"")*(1/(1+EXP(-(N538-'03_Lap_b'!$B$20:$AW$20))))^2)</f>
        <v/>
      </c>
      <c r="Q538" s="5">
        <f>MEDIAN(-6,N538+(C538-O538)/MAX(O538-P538,0.000000001),6)</f>
        <v/>
      </c>
      <c r="R538" s="5">
        <f>SUMPRODUCT(('01_Data'!$B538:$AW538&lt;&gt;"")*(1/(1+EXP(-(Q538-'03_Lap_b'!$B$25:$AW$25)))))</f>
        <v/>
      </c>
      <c r="S538" s="5">
        <f>SUMPRODUCT(('01_Data'!$B538:$AW538&lt;&gt;"")*(1/(1+EXP(-(Q538-'03_Lap_b'!$B$25:$AW$25))))^2)</f>
        <v/>
      </c>
      <c r="T538" s="5">
        <f>MEDIAN(-6,Q538+(C538-R538)/MAX(R538-S538,0.000000001),6)</f>
        <v/>
      </c>
      <c r="U538" s="5">
        <f>SUMPRODUCT(('01_Data'!$B538:$AW538&lt;&gt;"")*(1/(1+EXP(-(T538-'03_Lap_b'!$B$30:$AW$30)))))</f>
        <v/>
      </c>
      <c r="V538" s="5">
        <f>SUMPRODUCT(('01_Data'!$B538:$AW538&lt;&gt;"")*(1/(1+EXP(-(T538-'03_Lap_b'!$B$30:$AW$30))))^2)</f>
        <v/>
      </c>
      <c r="W538" s="5">
        <f>MEDIAN(-6,T538+(C538-U538)/MAX(U538-V538,0.000000001),6)</f>
        <v/>
      </c>
      <c r="X538" s="5">
        <f>SUMPRODUCT(('01_Data'!$B538:$AW538&lt;&gt;"")*(1/(1+EXP(-(W538-'03_Lap_b'!$B$35:$AW$35)))))</f>
        <v/>
      </c>
      <c r="Y538" s="5">
        <f>SUMPRODUCT(('01_Data'!$B538:$AW538&lt;&gt;"")*(1/(1+EXP(-(W538-'03_Lap_b'!$B$35:$AW$35))))^2)</f>
        <v/>
      </c>
      <c r="Z538" s="5">
        <f>MEDIAN(-6,W538+(C538-X538)/MAX(X538-Y538,0.000000001),6)</f>
        <v/>
      </c>
      <c r="AA538" s="5">
        <f>SUMPRODUCT(('01_Data'!$B538:$AW538&lt;&gt;"")*(1/(1+EXP(-(Z538-'03_Lap_b'!$B$40:$AW$40)))))</f>
        <v/>
      </c>
      <c r="AB538" s="5">
        <f>SUMPRODUCT(('01_Data'!$B538:$AW538&lt;&gt;"")*(1/(1+EXP(-(Z538-'03_Lap_b'!$B$40:$AW$40))))^2)</f>
        <v/>
      </c>
      <c r="AC538" s="5">
        <f>MEDIAN(-6,Z538+(C538-AA538)/MAX(AA538-AB538,0.000000001),6)</f>
        <v/>
      </c>
    </row>
    <row r="539">
      <c r="A539" t="n">
        <v>538</v>
      </c>
      <c r="B539">
        <f>'01_Data'!A539</f>
        <v/>
      </c>
      <c r="C539">
        <f>SUM('01_Data'!$B539:$AW539)</f>
        <v/>
      </c>
      <c r="D539">
        <f>COUNT('01_Data'!$B539:$AW539)</f>
        <v/>
      </c>
      <c r="E539" s="5">
        <f>MEDIAN(-6,LN((C539+0.3)/(D539-C539+0.3)),6)</f>
        <v/>
      </c>
      <c r="F539" s="5">
        <f>SUMPRODUCT(('01_Data'!$B539:$AW539&lt;&gt;"")*(1/(1+EXP(-(E539-'03_Lap_b'!$B$5:$AW$5)))))</f>
        <v/>
      </c>
      <c r="G539" s="5">
        <f>SUMPRODUCT(('01_Data'!$B539:$AW539&lt;&gt;"")*(1/(1+EXP(-(E539-'03_Lap_b'!$B$5:$AW$5))))^2)</f>
        <v/>
      </c>
      <c r="H539" s="5">
        <f>MEDIAN(-6,E539+(C539-F539)/MAX(F539-G539,0.000000001),6)</f>
        <v/>
      </c>
      <c r="I539" s="5">
        <f>SUMPRODUCT(('01_Data'!$B539:$AW539&lt;&gt;"")*(1/(1+EXP(-(H539-'03_Lap_b'!$B$10:$AW$10)))))</f>
        <v/>
      </c>
      <c r="J539" s="5">
        <f>SUMPRODUCT(('01_Data'!$B539:$AW539&lt;&gt;"")*(1/(1+EXP(-(H539-'03_Lap_b'!$B$10:$AW$10))))^2)</f>
        <v/>
      </c>
      <c r="K539" s="5">
        <f>MEDIAN(-6,H539+(C539-I539)/MAX(I539-J539,0.000000001),6)</f>
        <v/>
      </c>
      <c r="L539" s="5">
        <f>SUMPRODUCT(('01_Data'!$B539:$AW539&lt;&gt;"")*(1/(1+EXP(-(K539-'03_Lap_b'!$B$15:$AW$15)))))</f>
        <v/>
      </c>
      <c r="M539" s="5">
        <f>SUMPRODUCT(('01_Data'!$B539:$AW539&lt;&gt;"")*(1/(1+EXP(-(K539-'03_Lap_b'!$B$15:$AW$15))))^2)</f>
        <v/>
      </c>
      <c r="N539" s="5">
        <f>MEDIAN(-6,K539+(C539-L539)/MAX(L539-M539,0.000000001),6)</f>
        <v/>
      </c>
      <c r="O539" s="5">
        <f>SUMPRODUCT(('01_Data'!$B539:$AW539&lt;&gt;"")*(1/(1+EXP(-(N539-'03_Lap_b'!$B$20:$AW$20)))))</f>
        <v/>
      </c>
      <c r="P539" s="5">
        <f>SUMPRODUCT(('01_Data'!$B539:$AW539&lt;&gt;"")*(1/(1+EXP(-(N539-'03_Lap_b'!$B$20:$AW$20))))^2)</f>
        <v/>
      </c>
      <c r="Q539" s="5">
        <f>MEDIAN(-6,N539+(C539-O539)/MAX(O539-P539,0.000000001),6)</f>
        <v/>
      </c>
      <c r="R539" s="5">
        <f>SUMPRODUCT(('01_Data'!$B539:$AW539&lt;&gt;"")*(1/(1+EXP(-(Q539-'03_Lap_b'!$B$25:$AW$25)))))</f>
        <v/>
      </c>
      <c r="S539" s="5">
        <f>SUMPRODUCT(('01_Data'!$B539:$AW539&lt;&gt;"")*(1/(1+EXP(-(Q539-'03_Lap_b'!$B$25:$AW$25))))^2)</f>
        <v/>
      </c>
      <c r="T539" s="5">
        <f>MEDIAN(-6,Q539+(C539-R539)/MAX(R539-S539,0.000000001),6)</f>
        <v/>
      </c>
      <c r="U539" s="5">
        <f>SUMPRODUCT(('01_Data'!$B539:$AW539&lt;&gt;"")*(1/(1+EXP(-(T539-'03_Lap_b'!$B$30:$AW$30)))))</f>
        <v/>
      </c>
      <c r="V539" s="5">
        <f>SUMPRODUCT(('01_Data'!$B539:$AW539&lt;&gt;"")*(1/(1+EXP(-(T539-'03_Lap_b'!$B$30:$AW$30))))^2)</f>
        <v/>
      </c>
      <c r="W539" s="5">
        <f>MEDIAN(-6,T539+(C539-U539)/MAX(U539-V539,0.000000001),6)</f>
        <v/>
      </c>
      <c r="X539" s="5">
        <f>SUMPRODUCT(('01_Data'!$B539:$AW539&lt;&gt;"")*(1/(1+EXP(-(W539-'03_Lap_b'!$B$35:$AW$35)))))</f>
        <v/>
      </c>
      <c r="Y539" s="5">
        <f>SUMPRODUCT(('01_Data'!$B539:$AW539&lt;&gt;"")*(1/(1+EXP(-(W539-'03_Lap_b'!$B$35:$AW$35))))^2)</f>
        <v/>
      </c>
      <c r="Z539" s="5">
        <f>MEDIAN(-6,W539+(C539-X539)/MAX(X539-Y539,0.000000001),6)</f>
        <v/>
      </c>
      <c r="AA539" s="5">
        <f>SUMPRODUCT(('01_Data'!$B539:$AW539&lt;&gt;"")*(1/(1+EXP(-(Z539-'03_Lap_b'!$B$40:$AW$40)))))</f>
        <v/>
      </c>
      <c r="AB539" s="5">
        <f>SUMPRODUCT(('01_Data'!$B539:$AW539&lt;&gt;"")*(1/(1+EXP(-(Z539-'03_Lap_b'!$B$40:$AW$40))))^2)</f>
        <v/>
      </c>
      <c r="AC539" s="5">
        <f>MEDIAN(-6,Z539+(C539-AA539)/MAX(AA539-AB539,0.000000001),6)</f>
        <v/>
      </c>
    </row>
    <row r="540">
      <c r="A540" t="n">
        <v>539</v>
      </c>
      <c r="B540">
        <f>'01_Data'!A540</f>
        <v/>
      </c>
      <c r="C540">
        <f>SUM('01_Data'!$B540:$AW540)</f>
        <v/>
      </c>
      <c r="D540">
        <f>COUNT('01_Data'!$B540:$AW540)</f>
        <v/>
      </c>
      <c r="E540" s="5">
        <f>MEDIAN(-6,LN((C540+0.3)/(D540-C540+0.3)),6)</f>
        <v/>
      </c>
      <c r="F540" s="5">
        <f>SUMPRODUCT(('01_Data'!$B540:$AW540&lt;&gt;"")*(1/(1+EXP(-(E540-'03_Lap_b'!$B$5:$AW$5)))))</f>
        <v/>
      </c>
      <c r="G540" s="5">
        <f>SUMPRODUCT(('01_Data'!$B540:$AW540&lt;&gt;"")*(1/(1+EXP(-(E540-'03_Lap_b'!$B$5:$AW$5))))^2)</f>
        <v/>
      </c>
      <c r="H540" s="5">
        <f>MEDIAN(-6,E540+(C540-F540)/MAX(F540-G540,0.000000001),6)</f>
        <v/>
      </c>
      <c r="I540" s="5">
        <f>SUMPRODUCT(('01_Data'!$B540:$AW540&lt;&gt;"")*(1/(1+EXP(-(H540-'03_Lap_b'!$B$10:$AW$10)))))</f>
        <v/>
      </c>
      <c r="J540" s="5">
        <f>SUMPRODUCT(('01_Data'!$B540:$AW540&lt;&gt;"")*(1/(1+EXP(-(H540-'03_Lap_b'!$B$10:$AW$10))))^2)</f>
        <v/>
      </c>
      <c r="K540" s="5">
        <f>MEDIAN(-6,H540+(C540-I540)/MAX(I540-J540,0.000000001),6)</f>
        <v/>
      </c>
      <c r="L540" s="5">
        <f>SUMPRODUCT(('01_Data'!$B540:$AW540&lt;&gt;"")*(1/(1+EXP(-(K540-'03_Lap_b'!$B$15:$AW$15)))))</f>
        <v/>
      </c>
      <c r="M540" s="5">
        <f>SUMPRODUCT(('01_Data'!$B540:$AW540&lt;&gt;"")*(1/(1+EXP(-(K540-'03_Lap_b'!$B$15:$AW$15))))^2)</f>
        <v/>
      </c>
      <c r="N540" s="5">
        <f>MEDIAN(-6,K540+(C540-L540)/MAX(L540-M540,0.000000001),6)</f>
        <v/>
      </c>
      <c r="O540" s="5">
        <f>SUMPRODUCT(('01_Data'!$B540:$AW540&lt;&gt;"")*(1/(1+EXP(-(N540-'03_Lap_b'!$B$20:$AW$20)))))</f>
        <v/>
      </c>
      <c r="P540" s="5">
        <f>SUMPRODUCT(('01_Data'!$B540:$AW540&lt;&gt;"")*(1/(1+EXP(-(N540-'03_Lap_b'!$B$20:$AW$20))))^2)</f>
        <v/>
      </c>
      <c r="Q540" s="5">
        <f>MEDIAN(-6,N540+(C540-O540)/MAX(O540-P540,0.000000001),6)</f>
        <v/>
      </c>
      <c r="R540" s="5">
        <f>SUMPRODUCT(('01_Data'!$B540:$AW540&lt;&gt;"")*(1/(1+EXP(-(Q540-'03_Lap_b'!$B$25:$AW$25)))))</f>
        <v/>
      </c>
      <c r="S540" s="5">
        <f>SUMPRODUCT(('01_Data'!$B540:$AW540&lt;&gt;"")*(1/(1+EXP(-(Q540-'03_Lap_b'!$B$25:$AW$25))))^2)</f>
        <v/>
      </c>
      <c r="T540" s="5">
        <f>MEDIAN(-6,Q540+(C540-R540)/MAX(R540-S540,0.000000001),6)</f>
        <v/>
      </c>
      <c r="U540" s="5">
        <f>SUMPRODUCT(('01_Data'!$B540:$AW540&lt;&gt;"")*(1/(1+EXP(-(T540-'03_Lap_b'!$B$30:$AW$30)))))</f>
        <v/>
      </c>
      <c r="V540" s="5">
        <f>SUMPRODUCT(('01_Data'!$B540:$AW540&lt;&gt;"")*(1/(1+EXP(-(T540-'03_Lap_b'!$B$30:$AW$30))))^2)</f>
        <v/>
      </c>
      <c r="W540" s="5">
        <f>MEDIAN(-6,T540+(C540-U540)/MAX(U540-V540,0.000000001),6)</f>
        <v/>
      </c>
      <c r="X540" s="5">
        <f>SUMPRODUCT(('01_Data'!$B540:$AW540&lt;&gt;"")*(1/(1+EXP(-(W540-'03_Lap_b'!$B$35:$AW$35)))))</f>
        <v/>
      </c>
      <c r="Y540" s="5">
        <f>SUMPRODUCT(('01_Data'!$B540:$AW540&lt;&gt;"")*(1/(1+EXP(-(W540-'03_Lap_b'!$B$35:$AW$35))))^2)</f>
        <v/>
      </c>
      <c r="Z540" s="5">
        <f>MEDIAN(-6,W540+(C540-X540)/MAX(X540-Y540,0.000000001),6)</f>
        <v/>
      </c>
      <c r="AA540" s="5">
        <f>SUMPRODUCT(('01_Data'!$B540:$AW540&lt;&gt;"")*(1/(1+EXP(-(Z540-'03_Lap_b'!$B$40:$AW$40)))))</f>
        <v/>
      </c>
      <c r="AB540" s="5">
        <f>SUMPRODUCT(('01_Data'!$B540:$AW540&lt;&gt;"")*(1/(1+EXP(-(Z540-'03_Lap_b'!$B$40:$AW$40))))^2)</f>
        <v/>
      </c>
      <c r="AC540" s="5">
        <f>MEDIAN(-6,Z540+(C540-AA540)/MAX(AA540-AB540,0.000000001),6)</f>
        <v/>
      </c>
    </row>
    <row r="541">
      <c r="A541" t="n">
        <v>540</v>
      </c>
      <c r="B541">
        <f>'01_Data'!A541</f>
        <v/>
      </c>
      <c r="C541">
        <f>SUM('01_Data'!$B541:$AW541)</f>
        <v/>
      </c>
      <c r="D541">
        <f>COUNT('01_Data'!$B541:$AW541)</f>
        <v/>
      </c>
      <c r="E541" s="5">
        <f>MEDIAN(-6,LN((C541+0.3)/(D541-C541+0.3)),6)</f>
        <v/>
      </c>
      <c r="F541" s="5">
        <f>SUMPRODUCT(('01_Data'!$B541:$AW541&lt;&gt;"")*(1/(1+EXP(-(E541-'03_Lap_b'!$B$5:$AW$5)))))</f>
        <v/>
      </c>
      <c r="G541" s="5">
        <f>SUMPRODUCT(('01_Data'!$B541:$AW541&lt;&gt;"")*(1/(1+EXP(-(E541-'03_Lap_b'!$B$5:$AW$5))))^2)</f>
        <v/>
      </c>
      <c r="H541" s="5">
        <f>MEDIAN(-6,E541+(C541-F541)/MAX(F541-G541,0.000000001),6)</f>
        <v/>
      </c>
      <c r="I541" s="5">
        <f>SUMPRODUCT(('01_Data'!$B541:$AW541&lt;&gt;"")*(1/(1+EXP(-(H541-'03_Lap_b'!$B$10:$AW$10)))))</f>
        <v/>
      </c>
      <c r="J541" s="5">
        <f>SUMPRODUCT(('01_Data'!$B541:$AW541&lt;&gt;"")*(1/(1+EXP(-(H541-'03_Lap_b'!$B$10:$AW$10))))^2)</f>
        <v/>
      </c>
      <c r="K541" s="5">
        <f>MEDIAN(-6,H541+(C541-I541)/MAX(I541-J541,0.000000001),6)</f>
        <v/>
      </c>
      <c r="L541" s="5">
        <f>SUMPRODUCT(('01_Data'!$B541:$AW541&lt;&gt;"")*(1/(1+EXP(-(K541-'03_Lap_b'!$B$15:$AW$15)))))</f>
        <v/>
      </c>
      <c r="M541" s="5">
        <f>SUMPRODUCT(('01_Data'!$B541:$AW541&lt;&gt;"")*(1/(1+EXP(-(K541-'03_Lap_b'!$B$15:$AW$15))))^2)</f>
        <v/>
      </c>
      <c r="N541" s="5">
        <f>MEDIAN(-6,K541+(C541-L541)/MAX(L541-M541,0.000000001),6)</f>
        <v/>
      </c>
      <c r="O541" s="5">
        <f>SUMPRODUCT(('01_Data'!$B541:$AW541&lt;&gt;"")*(1/(1+EXP(-(N541-'03_Lap_b'!$B$20:$AW$20)))))</f>
        <v/>
      </c>
      <c r="P541" s="5">
        <f>SUMPRODUCT(('01_Data'!$B541:$AW541&lt;&gt;"")*(1/(1+EXP(-(N541-'03_Lap_b'!$B$20:$AW$20))))^2)</f>
        <v/>
      </c>
      <c r="Q541" s="5">
        <f>MEDIAN(-6,N541+(C541-O541)/MAX(O541-P541,0.000000001),6)</f>
        <v/>
      </c>
      <c r="R541" s="5">
        <f>SUMPRODUCT(('01_Data'!$B541:$AW541&lt;&gt;"")*(1/(1+EXP(-(Q541-'03_Lap_b'!$B$25:$AW$25)))))</f>
        <v/>
      </c>
      <c r="S541" s="5">
        <f>SUMPRODUCT(('01_Data'!$B541:$AW541&lt;&gt;"")*(1/(1+EXP(-(Q541-'03_Lap_b'!$B$25:$AW$25))))^2)</f>
        <v/>
      </c>
      <c r="T541" s="5">
        <f>MEDIAN(-6,Q541+(C541-R541)/MAX(R541-S541,0.000000001),6)</f>
        <v/>
      </c>
      <c r="U541" s="5">
        <f>SUMPRODUCT(('01_Data'!$B541:$AW541&lt;&gt;"")*(1/(1+EXP(-(T541-'03_Lap_b'!$B$30:$AW$30)))))</f>
        <v/>
      </c>
      <c r="V541" s="5">
        <f>SUMPRODUCT(('01_Data'!$B541:$AW541&lt;&gt;"")*(1/(1+EXP(-(T541-'03_Lap_b'!$B$30:$AW$30))))^2)</f>
        <v/>
      </c>
      <c r="W541" s="5">
        <f>MEDIAN(-6,T541+(C541-U541)/MAX(U541-V541,0.000000001),6)</f>
        <v/>
      </c>
      <c r="X541" s="5">
        <f>SUMPRODUCT(('01_Data'!$B541:$AW541&lt;&gt;"")*(1/(1+EXP(-(W541-'03_Lap_b'!$B$35:$AW$35)))))</f>
        <v/>
      </c>
      <c r="Y541" s="5">
        <f>SUMPRODUCT(('01_Data'!$B541:$AW541&lt;&gt;"")*(1/(1+EXP(-(W541-'03_Lap_b'!$B$35:$AW$35))))^2)</f>
        <v/>
      </c>
      <c r="Z541" s="5">
        <f>MEDIAN(-6,W541+(C541-X541)/MAX(X541-Y541,0.000000001),6)</f>
        <v/>
      </c>
      <c r="AA541" s="5">
        <f>SUMPRODUCT(('01_Data'!$B541:$AW541&lt;&gt;"")*(1/(1+EXP(-(Z541-'03_Lap_b'!$B$40:$AW$40)))))</f>
        <v/>
      </c>
      <c r="AB541" s="5">
        <f>SUMPRODUCT(('01_Data'!$B541:$AW541&lt;&gt;"")*(1/(1+EXP(-(Z541-'03_Lap_b'!$B$40:$AW$40))))^2)</f>
        <v/>
      </c>
      <c r="AC541" s="5">
        <f>MEDIAN(-6,Z541+(C541-AA541)/MAX(AA541-AB541,0.000000001),6)</f>
        <v/>
      </c>
    </row>
    <row r="542">
      <c r="A542" t="n">
        <v>541</v>
      </c>
      <c r="B542">
        <f>'01_Data'!A542</f>
        <v/>
      </c>
      <c r="C542">
        <f>SUM('01_Data'!$B542:$AW542)</f>
        <v/>
      </c>
      <c r="D542">
        <f>COUNT('01_Data'!$B542:$AW542)</f>
        <v/>
      </c>
      <c r="E542" s="5">
        <f>MEDIAN(-6,LN((C542+0.3)/(D542-C542+0.3)),6)</f>
        <v/>
      </c>
      <c r="F542" s="5">
        <f>SUMPRODUCT(('01_Data'!$B542:$AW542&lt;&gt;"")*(1/(1+EXP(-(E542-'03_Lap_b'!$B$5:$AW$5)))))</f>
        <v/>
      </c>
      <c r="G542" s="5">
        <f>SUMPRODUCT(('01_Data'!$B542:$AW542&lt;&gt;"")*(1/(1+EXP(-(E542-'03_Lap_b'!$B$5:$AW$5))))^2)</f>
        <v/>
      </c>
      <c r="H542" s="5">
        <f>MEDIAN(-6,E542+(C542-F542)/MAX(F542-G542,0.000000001),6)</f>
        <v/>
      </c>
      <c r="I542" s="5">
        <f>SUMPRODUCT(('01_Data'!$B542:$AW542&lt;&gt;"")*(1/(1+EXP(-(H542-'03_Lap_b'!$B$10:$AW$10)))))</f>
        <v/>
      </c>
      <c r="J542" s="5">
        <f>SUMPRODUCT(('01_Data'!$B542:$AW542&lt;&gt;"")*(1/(1+EXP(-(H542-'03_Lap_b'!$B$10:$AW$10))))^2)</f>
        <v/>
      </c>
      <c r="K542" s="5">
        <f>MEDIAN(-6,H542+(C542-I542)/MAX(I542-J542,0.000000001),6)</f>
        <v/>
      </c>
      <c r="L542" s="5">
        <f>SUMPRODUCT(('01_Data'!$B542:$AW542&lt;&gt;"")*(1/(1+EXP(-(K542-'03_Lap_b'!$B$15:$AW$15)))))</f>
        <v/>
      </c>
      <c r="M542" s="5">
        <f>SUMPRODUCT(('01_Data'!$B542:$AW542&lt;&gt;"")*(1/(1+EXP(-(K542-'03_Lap_b'!$B$15:$AW$15))))^2)</f>
        <v/>
      </c>
      <c r="N542" s="5">
        <f>MEDIAN(-6,K542+(C542-L542)/MAX(L542-M542,0.000000001),6)</f>
        <v/>
      </c>
      <c r="O542" s="5">
        <f>SUMPRODUCT(('01_Data'!$B542:$AW542&lt;&gt;"")*(1/(1+EXP(-(N542-'03_Lap_b'!$B$20:$AW$20)))))</f>
        <v/>
      </c>
      <c r="P542" s="5">
        <f>SUMPRODUCT(('01_Data'!$B542:$AW542&lt;&gt;"")*(1/(1+EXP(-(N542-'03_Lap_b'!$B$20:$AW$20))))^2)</f>
        <v/>
      </c>
      <c r="Q542" s="5">
        <f>MEDIAN(-6,N542+(C542-O542)/MAX(O542-P542,0.000000001),6)</f>
        <v/>
      </c>
      <c r="R542" s="5">
        <f>SUMPRODUCT(('01_Data'!$B542:$AW542&lt;&gt;"")*(1/(1+EXP(-(Q542-'03_Lap_b'!$B$25:$AW$25)))))</f>
        <v/>
      </c>
      <c r="S542" s="5">
        <f>SUMPRODUCT(('01_Data'!$B542:$AW542&lt;&gt;"")*(1/(1+EXP(-(Q542-'03_Lap_b'!$B$25:$AW$25))))^2)</f>
        <v/>
      </c>
      <c r="T542" s="5">
        <f>MEDIAN(-6,Q542+(C542-R542)/MAX(R542-S542,0.000000001),6)</f>
        <v/>
      </c>
      <c r="U542" s="5">
        <f>SUMPRODUCT(('01_Data'!$B542:$AW542&lt;&gt;"")*(1/(1+EXP(-(T542-'03_Lap_b'!$B$30:$AW$30)))))</f>
        <v/>
      </c>
      <c r="V542" s="5">
        <f>SUMPRODUCT(('01_Data'!$B542:$AW542&lt;&gt;"")*(1/(1+EXP(-(T542-'03_Lap_b'!$B$30:$AW$30))))^2)</f>
        <v/>
      </c>
      <c r="W542" s="5">
        <f>MEDIAN(-6,T542+(C542-U542)/MAX(U542-V542,0.000000001),6)</f>
        <v/>
      </c>
      <c r="X542" s="5">
        <f>SUMPRODUCT(('01_Data'!$B542:$AW542&lt;&gt;"")*(1/(1+EXP(-(W542-'03_Lap_b'!$B$35:$AW$35)))))</f>
        <v/>
      </c>
      <c r="Y542" s="5">
        <f>SUMPRODUCT(('01_Data'!$B542:$AW542&lt;&gt;"")*(1/(1+EXP(-(W542-'03_Lap_b'!$B$35:$AW$35))))^2)</f>
        <v/>
      </c>
      <c r="Z542" s="5">
        <f>MEDIAN(-6,W542+(C542-X542)/MAX(X542-Y542,0.000000001),6)</f>
        <v/>
      </c>
      <c r="AA542" s="5">
        <f>SUMPRODUCT(('01_Data'!$B542:$AW542&lt;&gt;"")*(1/(1+EXP(-(Z542-'03_Lap_b'!$B$40:$AW$40)))))</f>
        <v/>
      </c>
      <c r="AB542" s="5">
        <f>SUMPRODUCT(('01_Data'!$B542:$AW542&lt;&gt;"")*(1/(1+EXP(-(Z542-'03_Lap_b'!$B$40:$AW$40))))^2)</f>
        <v/>
      </c>
      <c r="AC542" s="5">
        <f>MEDIAN(-6,Z542+(C542-AA542)/MAX(AA542-AB542,0.000000001),6)</f>
        <v/>
      </c>
    </row>
    <row r="543">
      <c r="A543" t="n">
        <v>542</v>
      </c>
      <c r="B543">
        <f>'01_Data'!A543</f>
        <v/>
      </c>
      <c r="C543">
        <f>SUM('01_Data'!$B543:$AW543)</f>
        <v/>
      </c>
      <c r="D543">
        <f>COUNT('01_Data'!$B543:$AW543)</f>
        <v/>
      </c>
      <c r="E543" s="5">
        <f>MEDIAN(-6,LN((C543+0.3)/(D543-C543+0.3)),6)</f>
        <v/>
      </c>
      <c r="F543" s="5">
        <f>SUMPRODUCT(('01_Data'!$B543:$AW543&lt;&gt;"")*(1/(1+EXP(-(E543-'03_Lap_b'!$B$5:$AW$5)))))</f>
        <v/>
      </c>
      <c r="G543" s="5">
        <f>SUMPRODUCT(('01_Data'!$B543:$AW543&lt;&gt;"")*(1/(1+EXP(-(E543-'03_Lap_b'!$B$5:$AW$5))))^2)</f>
        <v/>
      </c>
      <c r="H543" s="5">
        <f>MEDIAN(-6,E543+(C543-F543)/MAX(F543-G543,0.000000001),6)</f>
        <v/>
      </c>
      <c r="I543" s="5">
        <f>SUMPRODUCT(('01_Data'!$B543:$AW543&lt;&gt;"")*(1/(1+EXP(-(H543-'03_Lap_b'!$B$10:$AW$10)))))</f>
        <v/>
      </c>
      <c r="J543" s="5">
        <f>SUMPRODUCT(('01_Data'!$B543:$AW543&lt;&gt;"")*(1/(1+EXP(-(H543-'03_Lap_b'!$B$10:$AW$10))))^2)</f>
        <v/>
      </c>
      <c r="K543" s="5">
        <f>MEDIAN(-6,H543+(C543-I543)/MAX(I543-J543,0.000000001),6)</f>
        <v/>
      </c>
      <c r="L543" s="5">
        <f>SUMPRODUCT(('01_Data'!$B543:$AW543&lt;&gt;"")*(1/(1+EXP(-(K543-'03_Lap_b'!$B$15:$AW$15)))))</f>
        <v/>
      </c>
      <c r="M543" s="5">
        <f>SUMPRODUCT(('01_Data'!$B543:$AW543&lt;&gt;"")*(1/(1+EXP(-(K543-'03_Lap_b'!$B$15:$AW$15))))^2)</f>
        <v/>
      </c>
      <c r="N543" s="5">
        <f>MEDIAN(-6,K543+(C543-L543)/MAX(L543-M543,0.000000001),6)</f>
        <v/>
      </c>
      <c r="O543" s="5">
        <f>SUMPRODUCT(('01_Data'!$B543:$AW543&lt;&gt;"")*(1/(1+EXP(-(N543-'03_Lap_b'!$B$20:$AW$20)))))</f>
        <v/>
      </c>
      <c r="P543" s="5">
        <f>SUMPRODUCT(('01_Data'!$B543:$AW543&lt;&gt;"")*(1/(1+EXP(-(N543-'03_Lap_b'!$B$20:$AW$20))))^2)</f>
        <v/>
      </c>
      <c r="Q543" s="5">
        <f>MEDIAN(-6,N543+(C543-O543)/MAX(O543-P543,0.000000001),6)</f>
        <v/>
      </c>
      <c r="R543" s="5">
        <f>SUMPRODUCT(('01_Data'!$B543:$AW543&lt;&gt;"")*(1/(1+EXP(-(Q543-'03_Lap_b'!$B$25:$AW$25)))))</f>
        <v/>
      </c>
      <c r="S543" s="5">
        <f>SUMPRODUCT(('01_Data'!$B543:$AW543&lt;&gt;"")*(1/(1+EXP(-(Q543-'03_Lap_b'!$B$25:$AW$25))))^2)</f>
        <v/>
      </c>
      <c r="T543" s="5">
        <f>MEDIAN(-6,Q543+(C543-R543)/MAX(R543-S543,0.000000001),6)</f>
        <v/>
      </c>
      <c r="U543" s="5">
        <f>SUMPRODUCT(('01_Data'!$B543:$AW543&lt;&gt;"")*(1/(1+EXP(-(T543-'03_Lap_b'!$B$30:$AW$30)))))</f>
        <v/>
      </c>
      <c r="V543" s="5">
        <f>SUMPRODUCT(('01_Data'!$B543:$AW543&lt;&gt;"")*(1/(1+EXP(-(T543-'03_Lap_b'!$B$30:$AW$30))))^2)</f>
        <v/>
      </c>
      <c r="W543" s="5">
        <f>MEDIAN(-6,T543+(C543-U543)/MAX(U543-V543,0.000000001),6)</f>
        <v/>
      </c>
      <c r="X543" s="5">
        <f>SUMPRODUCT(('01_Data'!$B543:$AW543&lt;&gt;"")*(1/(1+EXP(-(W543-'03_Lap_b'!$B$35:$AW$35)))))</f>
        <v/>
      </c>
      <c r="Y543" s="5">
        <f>SUMPRODUCT(('01_Data'!$B543:$AW543&lt;&gt;"")*(1/(1+EXP(-(W543-'03_Lap_b'!$B$35:$AW$35))))^2)</f>
        <v/>
      </c>
      <c r="Z543" s="5">
        <f>MEDIAN(-6,W543+(C543-X543)/MAX(X543-Y543,0.000000001),6)</f>
        <v/>
      </c>
      <c r="AA543" s="5">
        <f>SUMPRODUCT(('01_Data'!$B543:$AW543&lt;&gt;"")*(1/(1+EXP(-(Z543-'03_Lap_b'!$B$40:$AW$40)))))</f>
        <v/>
      </c>
      <c r="AB543" s="5">
        <f>SUMPRODUCT(('01_Data'!$B543:$AW543&lt;&gt;"")*(1/(1+EXP(-(Z543-'03_Lap_b'!$B$40:$AW$40))))^2)</f>
        <v/>
      </c>
      <c r="AC543" s="5">
        <f>MEDIAN(-6,Z543+(C543-AA543)/MAX(AA543-AB543,0.000000001),6)</f>
        <v/>
      </c>
    </row>
    <row r="544">
      <c r="A544" t="n">
        <v>543</v>
      </c>
      <c r="B544">
        <f>'01_Data'!A544</f>
        <v/>
      </c>
      <c r="C544">
        <f>SUM('01_Data'!$B544:$AW544)</f>
        <v/>
      </c>
      <c r="D544">
        <f>COUNT('01_Data'!$B544:$AW544)</f>
        <v/>
      </c>
      <c r="E544" s="5">
        <f>MEDIAN(-6,LN((C544+0.3)/(D544-C544+0.3)),6)</f>
        <v/>
      </c>
      <c r="F544" s="5">
        <f>SUMPRODUCT(('01_Data'!$B544:$AW544&lt;&gt;"")*(1/(1+EXP(-(E544-'03_Lap_b'!$B$5:$AW$5)))))</f>
        <v/>
      </c>
      <c r="G544" s="5">
        <f>SUMPRODUCT(('01_Data'!$B544:$AW544&lt;&gt;"")*(1/(1+EXP(-(E544-'03_Lap_b'!$B$5:$AW$5))))^2)</f>
        <v/>
      </c>
      <c r="H544" s="5">
        <f>MEDIAN(-6,E544+(C544-F544)/MAX(F544-G544,0.000000001),6)</f>
        <v/>
      </c>
      <c r="I544" s="5">
        <f>SUMPRODUCT(('01_Data'!$B544:$AW544&lt;&gt;"")*(1/(1+EXP(-(H544-'03_Lap_b'!$B$10:$AW$10)))))</f>
        <v/>
      </c>
      <c r="J544" s="5">
        <f>SUMPRODUCT(('01_Data'!$B544:$AW544&lt;&gt;"")*(1/(1+EXP(-(H544-'03_Lap_b'!$B$10:$AW$10))))^2)</f>
        <v/>
      </c>
      <c r="K544" s="5">
        <f>MEDIAN(-6,H544+(C544-I544)/MAX(I544-J544,0.000000001),6)</f>
        <v/>
      </c>
      <c r="L544" s="5">
        <f>SUMPRODUCT(('01_Data'!$B544:$AW544&lt;&gt;"")*(1/(1+EXP(-(K544-'03_Lap_b'!$B$15:$AW$15)))))</f>
        <v/>
      </c>
      <c r="M544" s="5">
        <f>SUMPRODUCT(('01_Data'!$B544:$AW544&lt;&gt;"")*(1/(1+EXP(-(K544-'03_Lap_b'!$B$15:$AW$15))))^2)</f>
        <v/>
      </c>
      <c r="N544" s="5">
        <f>MEDIAN(-6,K544+(C544-L544)/MAX(L544-M544,0.000000001),6)</f>
        <v/>
      </c>
      <c r="O544" s="5">
        <f>SUMPRODUCT(('01_Data'!$B544:$AW544&lt;&gt;"")*(1/(1+EXP(-(N544-'03_Lap_b'!$B$20:$AW$20)))))</f>
        <v/>
      </c>
      <c r="P544" s="5">
        <f>SUMPRODUCT(('01_Data'!$B544:$AW544&lt;&gt;"")*(1/(1+EXP(-(N544-'03_Lap_b'!$B$20:$AW$20))))^2)</f>
        <v/>
      </c>
      <c r="Q544" s="5">
        <f>MEDIAN(-6,N544+(C544-O544)/MAX(O544-P544,0.000000001),6)</f>
        <v/>
      </c>
      <c r="R544" s="5">
        <f>SUMPRODUCT(('01_Data'!$B544:$AW544&lt;&gt;"")*(1/(1+EXP(-(Q544-'03_Lap_b'!$B$25:$AW$25)))))</f>
        <v/>
      </c>
      <c r="S544" s="5">
        <f>SUMPRODUCT(('01_Data'!$B544:$AW544&lt;&gt;"")*(1/(1+EXP(-(Q544-'03_Lap_b'!$B$25:$AW$25))))^2)</f>
        <v/>
      </c>
      <c r="T544" s="5">
        <f>MEDIAN(-6,Q544+(C544-R544)/MAX(R544-S544,0.000000001),6)</f>
        <v/>
      </c>
      <c r="U544" s="5">
        <f>SUMPRODUCT(('01_Data'!$B544:$AW544&lt;&gt;"")*(1/(1+EXP(-(T544-'03_Lap_b'!$B$30:$AW$30)))))</f>
        <v/>
      </c>
      <c r="V544" s="5">
        <f>SUMPRODUCT(('01_Data'!$B544:$AW544&lt;&gt;"")*(1/(1+EXP(-(T544-'03_Lap_b'!$B$30:$AW$30))))^2)</f>
        <v/>
      </c>
      <c r="W544" s="5">
        <f>MEDIAN(-6,T544+(C544-U544)/MAX(U544-V544,0.000000001),6)</f>
        <v/>
      </c>
      <c r="X544" s="5">
        <f>SUMPRODUCT(('01_Data'!$B544:$AW544&lt;&gt;"")*(1/(1+EXP(-(W544-'03_Lap_b'!$B$35:$AW$35)))))</f>
        <v/>
      </c>
      <c r="Y544" s="5">
        <f>SUMPRODUCT(('01_Data'!$B544:$AW544&lt;&gt;"")*(1/(1+EXP(-(W544-'03_Lap_b'!$B$35:$AW$35))))^2)</f>
        <v/>
      </c>
      <c r="Z544" s="5">
        <f>MEDIAN(-6,W544+(C544-X544)/MAX(X544-Y544,0.000000001),6)</f>
        <v/>
      </c>
      <c r="AA544" s="5">
        <f>SUMPRODUCT(('01_Data'!$B544:$AW544&lt;&gt;"")*(1/(1+EXP(-(Z544-'03_Lap_b'!$B$40:$AW$40)))))</f>
        <v/>
      </c>
      <c r="AB544" s="5">
        <f>SUMPRODUCT(('01_Data'!$B544:$AW544&lt;&gt;"")*(1/(1+EXP(-(Z544-'03_Lap_b'!$B$40:$AW$40))))^2)</f>
        <v/>
      </c>
      <c r="AC544" s="5">
        <f>MEDIAN(-6,Z544+(C544-AA544)/MAX(AA544-AB544,0.000000001),6)</f>
        <v/>
      </c>
    </row>
    <row r="545">
      <c r="A545" t="n">
        <v>544</v>
      </c>
      <c r="B545">
        <f>'01_Data'!A545</f>
        <v/>
      </c>
      <c r="C545">
        <f>SUM('01_Data'!$B545:$AW545)</f>
        <v/>
      </c>
      <c r="D545">
        <f>COUNT('01_Data'!$B545:$AW545)</f>
        <v/>
      </c>
      <c r="E545" s="5">
        <f>MEDIAN(-6,LN((C545+0.3)/(D545-C545+0.3)),6)</f>
        <v/>
      </c>
      <c r="F545" s="5">
        <f>SUMPRODUCT(('01_Data'!$B545:$AW545&lt;&gt;"")*(1/(1+EXP(-(E545-'03_Lap_b'!$B$5:$AW$5)))))</f>
        <v/>
      </c>
      <c r="G545" s="5">
        <f>SUMPRODUCT(('01_Data'!$B545:$AW545&lt;&gt;"")*(1/(1+EXP(-(E545-'03_Lap_b'!$B$5:$AW$5))))^2)</f>
        <v/>
      </c>
      <c r="H545" s="5">
        <f>MEDIAN(-6,E545+(C545-F545)/MAX(F545-G545,0.000000001),6)</f>
        <v/>
      </c>
      <c r="I545" s="5">
        <f>SUMPRODUCT(('01_Data'!$B545:$AW545&lt;&gt;"")*(1/(1+EXP(-(H545-'03_Lap_b'!$B$10:$AW$10)))))</f>
        <v/>
      </c>
      <c r="J545" s="5">
        <f>SUMPRODUCT(('01_Data'!$B545:$AW545&lt;&gt;"")*(1/(1+EXP(-(H545-'03_Lap_b'!$B$10:$AW$10))))^2)</f>
        <v/>
      </c>
      <c r="K545" s="5">
        <f>MEDIAN(-6,H545+(C545-I545)/MAX(I545-J545,0.000000001),6)</f>
        <v/>
      </c>
      <c r="L545" s="5">
        <f>SUMPRODUCT(('01_Data'!$B545:$AW545&lt;&gt;"")*(1/(1+EXP(-(K545-'03_Lap_b'!$B$15:$AW$15)))))</f>
        <v/>
      </c>
      <c r="M545" s="5">
        <f>SUMPRODUCT(('01_Data'!$B545:$AW545&lt;&gt;"")*(1/(1+EXP(-(K545-'03_Lap_b'!$B$15:$AW$15))))^2)</f>
        <v/>
      </c>
      <c r="N545" s="5">
        <f>MEDIAN(-6,K545+(C545-L545)/MAX(L545-M545,0.000000001),6)</f>
        <v/>
      </c>
      <c r="O545" s="5">
        <f>SUMPRODUCT(('01_Data'!$B545:$AW545&lt;&gt;"")*(1/(1+EXP(-(N545-'03_Lap_b'!$B$20:$AW$20)))))</f>
        <v/>
      </c>
      <c r="P545" s="5">
        <f>SUMPRODUCT(('01_Data'!$B545:$AW545&lt;&gt;"")*(1/(1+EXP(-(N545-'03_Lap_b'!$B$20:$AW$20))))^2)</f>
        <v/>
      </c>
      <c r="Q545" s="5">
        <f>MEDIAN(-6,N545+(C545-O545)/MAX(O545-P545,0.000000001),6)</f>
        <v/>
      </c>
      <c r="R545" s="5">
        <f>SUMPRODUCT(('01_Data'!$B545:$AW545&lt;&gt;"")*(1/(1+EXP(-(Q545-'03_Lap_b'!$B$25:$AW$25)))))</f>
        <v/>
      </c>
      <c r="S545" s="5">
        <f>SUMPRODUCT(('01_Data'!$B545:$AW545&lt;&gt;"")*(1/(1+EXP(-(Q545-'03_Lap_b'!$B$25:$AW$25))))^2)</f>
        <v/>
      </c>
      <c r="T545" s="5">
        <f>MEDIAN(-6,Q545+(C545-R545)/MAX(R545-S545,0.000000001),6)</f>
        <v/>
      </c>
      <c r="U545" s="5">
        <f>SUMPRODUCT(('01_Data'!$B545:$AW545&lt;&gt;"")*(1/(1+EXP(-(T545-'03_Lap_b'!$B$30:$AW$30)))))</f>
        <v/>
      </c>
      <c r="V545" s="5">
        <f>SUMPRODUCT(('01_Data'!$B545:$AW545&lt;&gt;"")*(1/(1+EXP(-(T545-'03_Lap_b'!$B$30:$AW$30))))^2)</f>
        <v/>
      </c>
      <c r="W545" s="5">
        <f>MEDIAN(-6,T545+(C545-U545)/MAX(U545-V545,0.000000001),6)</f>
        <v/>
      </c>
      <c r="X545" s="5">
        <f>SUMPRODUCT(('01_Data'!$B545:$AW545&lt;&gt;"")*(1/(1+EXP(-(W545-'03_Lap_b'!$B$35:$AW$35)))))</f>
        <v/>
      </c>
      <c r="Y545" s="5">
        <f>SUMPRODUCT(('01_Data'!$B545:$AW545&lt;&gt;"")*(1/(1+EXP(-(W545-'03_Lap_b'!$B$35:$AW$35))))^2)</f>
        <v/>
      </c>
      <c r="Z545" s="5">
        <f>MEDIAN(-6,W545+(C545-X545)/MAX(X545-Y545,0.000000001),6)</f>
        <v/>
      </c>
      <c r="AA545" s="5">
        <f>SUMPRODUCT(('01_Data'!$B545:$AW545&lt;&gt;"")*(1/(1+EXP(-(Z545-'03_Lap_b'!$B$40:$AW$40)))))</f>
        <v/>
      </c>
      <c r="AB545" s="5">
        <f>SUMPRODUCT(('01_Data'!$B545:$AW545&lt;&gt;"")*(1/(1+EXP(-(Z545-'03_Lap_b'!$B$40:$AW$40))))^2)</f>
        <v/>
      </c>
      <c r="AC545" s="5">
        <f>MEDIAN(-6,Z545+(C545-AA545)/MAX(AA545-AB545,0.000000001),6)</f>
        <v/>
      </c>
    </row>
    <row r="546">
      <c r="A546" t="n">
        <v>545</v>
      </c>
      <c r="B546">
        <f>'01_Data'!A546</f>
        <v/>
      </c>
      <c r="C546">
        <f>SUM('01_Data'!$B546:$AW546)</f>
        <v/>
      </c>
      <c r="D546">
        <f>COUNT('01_Data'!$B546:$AW546)</f>
        <v/>
      </c>
      <c r="E546" s="5">
        <f>MEDIAN(-6,LN((C546+0.3)/(D546-C546+0.3)),6)</f>
        <v/>
      </c>
      <c r="F546" s="5">
        <f>SUMPRODUCT(('01_Data'!$B546:$AW546&lt;&gt;"")*(1/(1+EXP(-(E546-'03_Lap_b'!$B$5:$AW$5)))))</f>
        <v/>
      </c>
      <c r="G546" s="5">
        <f>SUMPRODUCT(('01_Data'!$B546:$AW546&lt;&gt;"")*(1/(1+EXP(-(E546-'03_Lap_b'!$B$5:$AW$5))))^2)</f>
        <v/>
      </c>
      <c r="H546" s="5">
        <f>MEDIAN(-6,E546+(C546-F546)/MAX(F546-G546,0.000000001),6)</f>
        <v/>
      </c>
      <c r="I546" s="5">
        <f>SUMPRODUCT(('01_Data'!$B546:$AW546&lt;&gt;"")*(1/(1+EXP(-(H546-'03_Lap_b'!$B$10:$AW$10)))))</f>
        <v/>
      </c>
      <c r="J546" s="5">
        <f>SUMPRODUCT(('01_Data'!$B546:$AW546&lt;&gt;"")*(1/(1+EXP(-(H546-'03_Lap_b'!$B$10:$AW$10))))^2)</f>
        <v/>
      </c>
      <c r="K546" s="5">
        <f>MEDIAN(-6,H546+(C546-I546)/MAX(I546-J546,0.000000001),6)</f>
        <v/>
      </c>
      <c r="L546" s="5">
        <f>SUMPRODUCT(('01_Data'!$B546:$AW546&lt;&gt;"")*(1/(1+EXP(-(K546-'03_Lap_b'!$B$15:$AW$15)))))</f>
        <v/>
      </c>
      <c r="M546" s="5">
        <f>SUMPRODUCT(('01_Data'!$B546:$AW546&lt;&gt;"")*(1/(1+EXP(-(K546-'03_Lap_b'!$B$15:$AW$15))))^2)</f>
        <v/>
      </c>
      <c r="N546" s="5">
        <f>MEDIAN(-6,K546+(C546-L546)/MAX(L546-M546,0.000000001),6)</f>
        <v/>
      </c>
      <c r="O546" s="5">
        <f>SUMPRODUCT(('01_Data'!$B546:$AW546&lt;&gt;"")*(1/(1+EXP(-(N546-'03_Lap_b'!$B$20:$AW$20)))))</f>
        <v/>
      </c>
      <c r="P546" s="5">
        <f>SUMPRODUCT(('01_Data'!$B546:$AW546&lt;&gt;"")*(1/(1+EXP(-(N546-'03_Lap_b'!$B$20:$AW$20))))^2)</f>
        <v/>
      </c>
      <c r="Q546" s="5">
        <f>MEDIAN(-6,N546+(C546-O546)/MAX(O546-P546,0.000000001),6)</f>
        <v/>
      </c>
      <c r="R546" s="5">
        <f>SUMPRODUCT(('01_Data'!$B546:$AW546&lt;&gt;"")*(1/(1+EXP(-(Q546-'03_Lap_b'!$B$25:$AW$25)))))</f>
        <v/>
      </c>
      <c r="S546" s="5">
        <f>SUMPRODUCT(('01_Data'!$B546:$AW546&lt;&gt;"")*(1/(1+EXP(-(Q546-'03_Lap_b'!$B$25:$AW$25))))^2)</f>
        <v/>
      </c>
      <c r="T546" s="5">
        <f>MEDIAN(-6,Q546+(C546-R546)/MAX(R546-S546,0.000000001),6)</f>
        <v/>
      </c>
      <c r="U546" s="5">
        <f>SUMPRODUCT(('01_Data'!$B546:$AW546&lt;&gt;"")*(1/(1+EXP(-(T546-'03_Lap_b'!$B$30:$AW$30)))))</f>
        <v/>
      </c>
      <c r="V546" s="5">
        <f>SUMPRODUCT(('01_Data'!$B546:$AW546&lt;&gt;"")*(1/(1+EXP(-(T546-'03_Lap_b'!$B$30:$AW$30))))^2)</f>
        <v/>
      </c>
      <c r="W546" s="5">
        <f>MEDIAN(-6,T546+(C546-U546)/MAX(U546-V546,0.000000001),6)</f>
        <v/>
      </c>
      <c r="X546" s="5">
        <f>SUMPRODUCT(('01_Data'!$B546:$AW546&lt;&gt;"")*(1/(1+EXP(-(W546-'03_Lap_b'!$B$35:$AW$35)))))</f>
        <v/>
      </c>
      <c r="Y546" s="5">
        <f>SUMPRODUCT(('01_Data'!$B546:$AW546&lt;&gt;"")*(1/(1+EXP(-(W546-'03_Lap_b'!$B$35:$AW$35))))^2)</f>
        <v/>
      </c>
      <c r="Z546" s="5">
        <f>MEDIAN(-6,W546+(C546-X546)/MAX(X546-Y546,0.000000001),6)</f>
        <v/>
      </c>
      <c r="AA546" s="5">
        <f>SUMPRODUCT(('01_Data'!$B546:$AW546&lt;&gt;"")*(1/(1+EXP(-(Z546-'03_Lap_b'!$B$40:$AW$40)))))</f>
        <v/>
      </c>
      <c r="AB546" s="5">
        <f>SUMPRODUCT(('01_Data'!$B546:$AW546&lt;&gt;"")*(1/(1+EXP(-(Z546-'03_Lap_b'!$B$40:$AW$40))))^2)</f>
        <v/>
      </c>
      <c r="AC546" s="5">
        <f>MEDIAN(-6,Z546+(C546-AA546)/MAX(AA546-AB546,0.000000001),6)</f>
        <v/>
      </c>
    </row>
    <row r="547">
      <c r="A547" t="n">
        <v>546</v>
      </c>
      <c r="B547">
        <f>'01_Data'!A547</f>
        <v/>
      </c>
      <c r="C547">
        <f>SUM('01_Data'!$B547:$AW547)</f>
        <v/>
      </c>
      <c r="D547">
        <f>COUNT('01_Data'!$B547:$AW547)</f>
        <v/>
      </c>
      <c r="E547" s="5">
        <f>MEDIAN(-6,LN((C547+0.3)/(D547-C547+0.3)),6)</f>
        <v/>
      </c>
      <c r="F547" s="5">
        <f>SUMPRODUCT(('01_Data'!$B547:$AW547&lt;&gt;"")*(1/(1+EXP(-(E547-'03_Lap_b'!$B$5:$AW$5)))))</f>
        <v/>
      </c>
      <c r="G547" s="5">
        <f>SUMPRODUCT(('01_Data'!$B547:$AW547&lt;&gt;"")*(1/(1+EXP(-(E547-'03_Lap_b'!$B$5:$AW$5))))^2)</f>
        <v/>
      </c>
      <c r="H547" s="5">
        <f>MEDIAN(-6,E547+(C547-F547)/MAX(F547-G547,0.000000001),6)</f>
        <v/>
      </c>
      <c r="I547" s="5">
        <f>SUMPRODUCT(('01_Data'!$B547:$AW547&lt;&gt;"")*(1/(1+EXP(-(H547-'03_Lap_b'!$B$10:$AW$10)))))</f>
        <v/>
      </c>
      <c r="J547" s="5">
        <f>SUMPRODUCT(('01_Data'!$B547:$AW547&lt;&gt;"")*(1/(1+EXP(-(H547-'03_Lap_b'!$B$10:$AW$10))))^2)</f>
        <v/>
      </c>
      <c r="K547" s="5">
        <f>MEDIAN(-6,H547+(C547-I547)/MAX(I547-J547,0.000000001),6)</f>
        <v/>
      </c>
      <c r="L547" s="5">
        <f>SUMPRODUCT(('01_Data'!$B547:$AW547&lt;&gt;"")*(1/(1+EXP(-(K547-'03_Lap_b'!$B$15:$AW$15)))))</f>
        <v/>
      </c>
      <c r="M547" s="5">
        <f>SUMPRODUCT(('01_Data'!$B547:$AW547&lt;&gt;"")*(1/(1+EXP(-(K547-'03_Lap_b'!$B$15:$AW$15))))^2)</f>
        <v/>
      </c>
      <c r="N547" s="5">
        <f>MEDIAN(-6,K547+(C547-L547)/MAX(L547-M547,0.000000001),6)</f>
        <v/>
      </c>
      <c r="O547" s="5">
        <f>SUMPRODUCT(('01_Data'!$B547:$AW547&lt;&gt;"")*(1/(1+EXP(-(N547-'03_Lap_b'!$B$20:$AW$20)))))</f>
        <v/>
      </c>
      <c r="P547" s="5">
        <f>SUMPRODUCT(('01_Data'!$B547:$AW547&lt;&gt;"")*(1/(1+EXP(-(N547-'03_Lap_b'!$B$20:$AW$20))))^2)</f>
        <v/>
      </c>
      <c r="Q547" s="5">
        <f>MEDIAN(-6,N547+(C547-O547)/MAX(O547-P547,0.000000001),6)</f>
        <v/>
      </c>
      <c r="R547" s="5">
        <f>SUMPRODUCT(('01_Data'!$B547:$AW547&lt;&gt;"")*(1/(1+EXP(-(Q547-'03_Lap_b'!$B$25:$AW$25)))))</f>
        <v/>
      </c>
      <c r="S547" s="5">
        <f>SUMPRODUCT(('01_Data'!$B547:$AW547&lt;&gt;"")*(1/(1+EXP(-(Q547-'03_Lap_b'!$B$25:$AW$25))))^2)</f>
        <v/>
      </c>
      <c r="T547" s="5">
        <f>MEDIAN(-6,Q547+(C547-R547)/MAX(R547-S547,0.000000001),6)</f>
        <v/>
      </c>
      <c r="U547" s="5">
        <f>SUMPRODUCT(('01_Data'!$B547:$AW547&lt;&gt;"")*(1/(1+EXP(-(T547-'03_Lap_b'!$B$30:$AW$30)))))</f>
        <v/>
      </c>
      <c r="V547" s="5">
        <f>SUMPRODUCT(('01_Data'!$B547:$AW547&lt;&gt;"")*(1/(1+EXP(-(T547-'03_Lap_b'!$B$30:$AW$30))))^2)</f>
        <v/>
      </c>
      <c r="W547" s="5">
        <f>MEDIAN(-6,T547+(C547-U547)/MAX(U547-V547,0.000000001),6)</f>
        <v/>
      </c>
      <c r="X547" s="5">
        <f>SUMPRODUCT(('01_Data'!$B547:$AW547&lt;&gt;"")*(1/(1+EXP(-(W547-'03_Lap_b'!$B$35:$AW$35)))))</f>
        <v/>
      </c>
      <c r="Y547" s="5">
        <f>SUMPRODUCT(('01_Data'!$B547:$AW547&lt;&gt;"")*(1/(1+EXP(-(W547-'03_Lap_b'!$B$35:$AW$35))))^2)</f>
        <v/>
      </c>
      <c r="Z547" s="5">
        <f>MEDIAN(-6,W547+(C547-X547)/MAX(X547-Y547,0.000000001),6)</f>
        <v/>
      </c>
      <c r="AA547" s="5">
        <f>SUMPRODUCT(('01_Data'!$B547:$AW547&lt;&gt;"")*(1/(1+EXP(-(Z547-'03_Lap_b'!$B$40:$AW$40)))))</f>
        <v/>
      </c>
      <c r="AB547" s="5">
        <f>SUMPRODUCT(('01_Data'!$B547:$AW547&lt;&gt;"")*(1/(1+EXP(-(Z547-'03_Lap_b'!$B$40:$AW$40))))^2)</f>
        <v/>
      </c>
      <c r="AC547" s="5">
        <f>MEDIAN(-6,Z547+(C547-AA547)/MAX(AA547-AB547,0.000000001),6)</f>
        <v/>
      </c>
    </row>
    <row r="548">
      <c r="A548" t="n">
        <v>547</v>
      </c>
      <c r="B548">
        <f>'01_Data'!A548</f>
        <v/>
      </c>
      <c r="C548">
        <f>SUM('01_Data'!$B548:$AW548)</f>
        <v/>
      </c>
      <c r="D548">
        <f>COUNT('01_Data'!$B548:$AW548)</f>
        <v/>
      </c>
      <c r="E548" s="5">
        <f>MEDIAN(-6,LN((C548+0.3)/(D548-C548+0.3)),6)</f>
        <v/>
      </c>
      <c r="F548" s="5">
        <f>SUMPRODUCT(('01_Data'!$B548:$AW548&lt;&gt;"")*(1/(1+EXP(-(E548-'03_Lap_b'!$B$5:$AW$5)))))</f>
        <v/>
      </c>
      <c r="G548" s="5">
        <f>SUMPRODUCT(('01_Data'!$B548:$AW548&lt;&gt;"")*(1/(1+EXP(-(E548-'03_Lap_b'!$B$5:$AW$5))))^2)</f>
        <v/>
      </c>
      <c r="H548" s="5">
        <f>MEDIAN(-6,E548+(C548-F548)/MAX(F548-G548,0.000000001),6)</f>
        <v/>
      </c>
      <c r="I548" s="5">
        <f>SUMPRODUCT(('01_Data'!$B548:$AW548&lt;&gt;"")*(1/(1+EXP(-(H548-'03_Lap_b'!$B$10:$AW$10)))))</f>
        <v/>
      </c>
      <c r="J548" s="5">
        <f>SUMPRODUCT(('01_Data'!$B548:$AW548&lt;&gt;"")*(1/(1+EXP(-(H548-'03_Lap_b'!$B$10:$AW$10))))^2)</f>
        <v/>
      </c>
      <c r="K548" s="5">
        <f>MEDIAN(-6,H548+(C548-I548)/MAX(I548-J548,0.000000001),6)</f>
        <v/>
      </c>
      <c r="L548" s="5">
        <f>SUMPRODUCT(('01_Data'!$B548:$AW548&lt;&gt;"")*(1/(1+EXP(-(K548-'03_Lap_b'!$B$15:$AW$15)))))</f>
        <v/>
      </c>
      <c r="M548" s="5">
        <f>SUMPRODUCT(('01_Data'!$B548:$AW548&lt;&gt;"")*(1/(1+EXP(-(K548-'03_Lap_b'!$B$15:$AW$15))))^2)</f>
        <v/>
      </c>
      <c r="N548" s="5">
        <f>MEDIAN(-6,K548+(C548-L548)/MAX(L548-M548,0.000000001),6)</f>
        <v/>
      </c>
      <c r="O548" s="5">
        <f>SUMPRODUCT(('01_Data'!$B548:$AW548&lt;&gt;"")*(1/(1+EXP(-(N548-'03_Lap_b'!$B$20:$AW$20)))))</f>
        <v/>
      </c>
      <c r="P548" s="5">
        <f>SUMPRODUCT(('01_Data'!$B548:$AW548&lt;&gt;"")*(1/(1+EXP(-(N548-'03_Lap_b'!$B$20:$AW$20))))^2)</f>
        <v/>
      </c>
      <c r="Q548" s="5">
        <f>MEDIAN(-6,N548+(C548-O548)/MAX(O548-P548,0.000000001),6)</f>
        <v/>
      </c>
      <c r="R548" s="5">
        <f>SUMPRODUCT(('01_Data'!$B548:$AW548&lt;&gt;"")*(1/(1+EXP(-(Q548-'03_Lap_b'!$B$25:$AW$25)))))</f>
        <v/>
      </c>
      <c r="S548" s="5">
        <f>SUMPRODUCT(('01_Data'!$B548:$AW548&lt;&gt;"")*(1/(1+EXP(-(Q548-'03_Lap_b'!$B$25:$AW$25))))^2)</f>
        <v/>
      </c>
      <c r="T548" s="5">
        <f>MEDIAN(-6,Q548+(C548-R548)/MAX(R548-S548,0.000000001),6)</f>
        <v/>
      </c>
      <c r="U548" s="5">
        <f>SUMPRODUCT(('01_Data'!$B548:$AW548&lt;&gt;"")*(1/(1+EXP(-(T548-'03_Lap_b'!$B$30:$AW$30)))))</f>
        <v/>
      </c>
      <c r="V548" s="5">
        <f>SUMPRODUCT(('01_Data'!$B548:$AW548&lt;&gt;"")*(1/(1+EXP(-(T548-'03_Lap_b'!$B$30:$AW$30))))^2)</f>
        <v/>
      </c>
      <c r="W548" s="5">
        <f>MEDIAN(-6,T548+(C548-U548)/MAX(U548-V548,0.000000001),6)</f>
        <v/>
      </c>
      <c r="X548" s="5">
        <f>SUMPRODUCT(('01_Data'!$B548:$AW548&lt;&gt;"")*(1/(1+EXP(-(W548-'03_Lap_b'!$B$35:$AW$35)))))</f>
        <v/>
      </c>
      <c r="Y548" s="5">
        <f>SUMPRODUCT(('01_Data'!$B548:$AW548&lt;&gt;"")*(1/(1+EXP(-(W548-'03_Lap_b'!$B$35:$AW$35))))^2)</f>
        <v/>
      </c>
      <c r="Z548" s="5">
        <f>MEDIAN(-6,W548+(C548-X548)/MAX(X548-Y548,0.000000001),6)</f>
        <v/>
      </c>
      <c r="AA548" s="5">
        <f>SUMPRODUCT(('01_Data'!$B548:$AW548&lt;&gt;"")*(1/(1+EXP(-(Z548-'03_Lap_b'!$B$40:$AW$40)))))</f>
        <v/>
      </c>
      <c r="AB548" s="5">
        <f>SUMPRODUCT(('01_Data'!$B548:$AW548&lt;&gt;"")*(1/(1+EXP(-(Z548-'03_Lap_b'!$B$40:$AW$40))))^2)</f>
        <v/>
      </c>
      <c r="AC548" s="5">
        <f>MEDIAN(-6,Z548+(C548-AA548)/MAX(AA548-AB548,0.000000001),6)</f>
        <v/>
      </c>
    </row>
    <row r="549">
      <c r="A549" t="n">
        <v>548</v>
      </c>
      <c r="B549">
        <f>'01_Data'!A549</f>
        <v/>
      </c>
      <c r="C549">
        <f>SUM('01_Data'!$B549:$AW549)</f>
        <v/>
      </c>
      <c r="D549">
        <f>COUNT('01_Data'!$B549:$AW549)</f>
        <v/>
      </c>
      <c r="E549" s="5">
        <f>MEDIAN(-6,LN((C549+0.3)/(D549-C549+0.3)),6)</f>
        <v/>
      </c>
      <c r="F549" s="5">
        <f>SUMPRODUCT(('01_Data'!$B549:$AW549&lt;&gt;"")*(1/(1+EXP(-(E549-'03_Lap_b'!$B$5:$AW$5)))))</f>
        <v/>
      </c>
      <c r="G549" s="5">
        <f>SUMPRODUCT(('01_Data'!$B549:$AW549&lt;&gt;"")*(1/(1+EXP(-(E549-'03_Lap_b'!$B$5:$AW$5))))^2)</f>
        <v/>
      </c>
      <c r="H549" s="5">
        <f>MEDIAN(-6,E549+(C549-F549)/MAX(F549-G549,0.000000001),6)</f>
        <v/>
      </c>
      <c r="I549" s="5">
        <f>SUMPRODUCT(('01_Data'!$B549:$AW549&lt;&gt;"")*(1/(1+EXP(-(H549-'03_Lap_b'!$B$10:$AW$10)))))</f>
        <v/>
      </c>
      <c r="J549" s="5">
        <f>SUMPRODUCT(('01_Data'!$B549:$AW549&lt;&gt;"")*(1/(1+EXP(-(H549-'03_Lap_b'!$B$10:$AW$10))))^2)</f>
        <v/>
      </c>
      <c r="K549" s="5">
        <f>MEDIAN(-6,H549+(C549-I549)/MAX(I549-J549,0.000000001),6)</f>
        <v/>
      </c>
      <c r="L549" s="5">
        <f>SUMPRODUCT(('01_Data'!$B549:$AW549&lt;&gt;"")*(1/(1+EXP(-(K549-'03_Lap_b'!$B$15:$AW$15)))))</f>
        <v/>
      </c>
      <c r="M549" s="5">
        <f>SUMPRODUCT(('01_Data'!$B549:$AW549&lt;&gt;"")*(1/(1+EXP(-(K549-'03_Lap_b'!$B$15:$AW$15))))^2)</f>
        <v/>
      </c>
      <c r="N549" s="5">
        <f>MEDIAN(-6,K549+(C549-L549)/MAX(L549-M549,0.000000001),6)</f>
        <v/>
      </c>
      <c r="O549" s="5">
        <f>SUMPRODUCT(('01_Data'!$B549:$AW549&lt;&gt;"")*(1/(1+EXP(-(N549-'03_Lap_b'!$B$20:$AW$20)))))</f>
        <v/>
      </c>
      <c r="P549" s="5">
        <f>SUMPRODUCT(('01_Data'!$B549:$AW549&lt;&gt;"")*(1/(1+EXP(-(N549-'03_Lap_b'!$B$20:$AW$20))))^2)</f>
        <v/>
      </c>
      <c r="Q549" s="5">
        <f>MEDIAN(-6,N549+(C549-O549)/MAX(O549-P549,0.000000001),6)</f>
        <v/>
      </c>
      <c r="R549" s="5">
        <f>SUMPRODUCT(('01_Data'!$B549:$AW549&lt;&gt;"")*(1/(1+EXP(-(Q549-'03_Lap_b'!$B$25:$AW$25)))))</f>
        <v/>
      </c>
      <c r="S549" s="5">
        <f>SUMPRODUCT(('01_Data'!$B549:$AW549&lt;&gt;"")*(1/(1+EXP(-(Q549-'03_Lap_b'!$B$25:$AW$25))))^2)</f>
        <v/>
      </c>
      <c r="T549" s="5">
        <f>MEDIAN(-6,Q549+(C549-R549)/MAX(R549-S549,0.000000001),6)</f>
        <v/>
      </c>
      <c r="U549" s="5">
        <f>SUMPRODUCT(('01_Data'!$B549:$AW549&lt;&gt;"")*(1/(1+EXP(-(T549-'03_Lap_b'!$B$30:$AW$30)))))</f>
        <v/>
      </c>
      <c r="V549" s="5">
        <f>SUMPRODUCT(('01_Data'!$B549:$AW549&lt;&gt;"")*(1/(1+EXP(-(T549-'03_Lap_b'!$B$30:$AW$30))))^2)</f>
        <v/>
      </c>
      <c r="W549" s="5">
        <f>MEDIAN(-6,T549+(C549-U549)/MAX(U549-V549,0.000000001),6)</f>
        <v/>
      </c>
      <c r="X549" s="5">
        <f>SUMPRODUCT(('01_Data'!$B549:$AW549&lt;&gt;"")*(1/(1+EXP(-(W549-'03_Lap_b'!$B$35:$AW$35)))))</f>
        <v/>
      </c>
      <c r="Y549" s="5">
        <f>SUMPRODUCT(('01_Data'!$B549:$AW549&lt;&gt;"")*(1/(1+EXP(-(W549-'03_Lap_b'!$B$35:$AW$35))))^2)</f>
        <v/>
      </c>
      <c r="Z549" s="5">
        <f>MEDIAN(-6,W549+(C549-X549)/MAX(X549-Y549,0.000000001),6)</f>
        <v/>
      </c>
      <c r="AA549" s="5">
        <f>SUMPRODUCT(('01_Data'!$B549:$AW549&lt;&gt;"")*(1/(1+EXP(-(Z549-'03_Lap_b'!$B$40:$AW$40)))))</f>
        <v/>
      </c>
      <c r="AB549" s="5">
        <f>SUMPRODUCT(('01_Data'!$B549:$AW549&lt;&gt;"")*(1/(1+EXP(-(Z549-'03_Lap_b'!$B$40:$AW$40))))^2)</f>
        <v/>
      </c>
      <c r="AC549" s="5">
        <f>MEDIAN(-6,Z549+(C549-AA549)/MAX(AA549-AB549,0.000000001),6)</f>
        <v/>
      </c>
    </row>
    <row r="550">
      <c r="A550" t="n">
        <v>549</v>
      </c>
      <c r="B550">
        <f>'01_Data'!A550</f>
        <v/>
      </c>
      <c r="C550">
        <f>SUM('01_Data'!$B550:$AW550)</f>
        <v/>
      </c>
      <c r="D550">
        <f>COUNT('01_Data'!$B550:$AW550)</f>
        <v/>
      </c>
      <c r="E550" s="5">
        <f>MEDIAN(-6,LN((C550+0.3)/(D550-C550+0.3)),6)</f>
        <v/>
      </c>
      <c r="F550" s="5">
        <f>SUMPRODUCT(('01_Data'!$B550:$AW550&lt;&gt;"")*(1/(1+EXP(-(E550-'03_Lap_b'!$B$5:$AW$5)))))</f>
        <v/>
      </c>
      <c r="G550" s="5">
        <f>SUMPRODUCT(('01_Data'!$B550:$AW550&lt;&gt;"")*(1/(1+EXP(-(E550-'03_Lap_b'!$B$5:$AW$5))))^2)</f>
        <v/>
      </c>
      <c r="H550" s="5">
        <f>MEDIAN(-6,E550+(C550-F550)/MAX(F550-G550,0.000000001),6)</f>
        <v/>
      </c>
      <c r="I550" s="5">
        <f>SUMPRODUCT(('01_Data'!$B550:$AW550&lt;&gt;"")*(1/(1+EXP(-(H550-'03_Lap_b'!$B$10:$AW$10)))))</f>
        <v/>
      </c>
      <c r="J550" s="5">
        <f>SUMPRODUCT(('01_Data'!$B550:$AW550&lt;&gt;"")*(1/(1+EXP(-(H550-'03_Lap_b'!$B$10:$AW$10))))^2)</f>
        <v/>
      </c>
      <c r="K550" s="5">
        <f>MEDIAN(-6,H550+(C550-I550)/MAX(I550-J550,0.000000001),6)</f>
        <v/>
      </c>
      <c r="L550" s="5">
        <f>SUMPRODUCT(('01_Data'!$B550:$AW550&lt;&gt;"")*(1/(1+EXP(-(K550-'03_Lap_b'!$B$15:$AW$15)))))</f>
        <v/>
      </c>
      <c r="M550" s="5">
        <f>SUMPRODUCT(('01_Data'!$B550:$AW550&lt;&gt;"")*(1/(1+EXP(-(K550-'03_Lap_b'!$B$15:$AW$15))))^2)</f>
        <v/>
      </c>
      <c r="N550" s="5">
        <f>MEDIAN(-6,K550+(C550-L550)/MAX(L550-M550,0.000000001),6)</f>
        <v/>
      </c>
      <c r="O550" s="5">
        <f>SUMPRODUCT(('01_Data'!$B550:$AW550&lt;&gt;"")*(1/(1+EXP(-(N550-'03_Lap_b'!$B$20:$AW$20)))))</f>
        <v/>
      </c>
      <c r="P550" s="5">
        <f>SUMPRODUCT(('01_Data'!$B550:$AW550&lt;&gt;"")*(1/(1+EXP(-(N550-'03_Lap_b'!$B$20:$AW$20))))^2)</f>
        <v/>
      </c>
      <c r="Q550" s="5">
        <f>MEDIAN(-6,N550+(C550-O550)/MAX(O550-P550,0.000000001),6)</f>
        <v/>
      </c>
      <c r="R550" s="5">
        <f>SUMPRODUCT(('01_Data'!$B550:$AW550&lt;&gt;"")*(1/(1+EXP(-(Q550-'03_Lap_b'!$B$25:$AW$25)))))</f>
        <v/>
      </c>
      <c r="S550" s="5">
        <f>SUMPRODUCT(('01_Data'!$B550:$AW550&lt;&gt;"")*(1/(1+EXP(-(Q550-'03_Lap_b'!$B$25:$AW$25))))^2)</f>
        <v/>
      </c>
      <c r="T550" s="5">
        <f>MEDIAN(-6,Q550+(C550-R550)/MAX(R550-S550,0.000000001),6)</f>
        <v/>
      </c>
      <c r="U550" s="5">
        <f>SUMPRODUCT(('01_Data'!$B550:$AW550&lt;&gt;"")*(1/(1+EXP(-(T550-'03_Lap_b'!$B$30:$AW$30)))))</f>
        <v/>
      </c>
      <c r="V550" s="5">
        <f>SUMPRODUCT(('01_Data'!$B550:$AW550&lt;&gt;"")*(1/(1+EXP(-(T550-'03_Lap_b'!$B$30:$AW$30))))^2)</f>
        <v/>
      </c>
      <c r="W550" s="5">
        <f>MEDIAN(-6,T550+(C550-U550)/MAX(U550-V550,0.000000001),6)</f>
        <v/>
      </c>
      <c r="X550" s="5">
        <f>SUMPRODUCT(('01_Data'!$B550:$AW550&lt;&gt;"")*(1/(1+EXP(-(W550-'03_Lap_b'!$B$35:$AW$35)))))</f>
        <v/>
      </c>
      <c r="Y550" s="5">
        <f>SUMPRODUCT(('01_Data'!$B550:$AW550&lt;&gt;"")*(1/(1+EXP(-(W550-'03_Lap_b'!$B$35:$AW$35))))^2)</f>
        <v/>
      </c>
      <c r="Z550" s="5">
        <f>MEDIAN(-6,W550+(C550-X550)/MAX(X550-Y550,0.000000001),6)</f>
        <v/>
      </c>
      <c r="AA550" s="5">
        <f>SUMPRODUCT(('01_Data'!$B550:$AW550&lt;&gt;"")*(1/(1+EXP(-(Z550-'03_Lap_b'!$B$40:$AW$40)))))</f>
        <v/>
      </c>
      <c r="AB550" s="5">
        <f>SUMPRODUCT(('01_Data'!$B550:$AW550&lt;&gt;"")*(1/(1+EXP(-(Z550-'03_Lap_b'!$B$40:$AW$40))))^2)</f>
        <v/>
      </c>
      <c r="AC550" s="5">
        <f>MEDIAN(-6,Z550+(C550-AA550)/MAX(AA550-AB550,0.000000001),6)</f>
        <v/>
      </c>
    </row>
    <row r="551">
      <c r="A551" t="n">
        <v>550</v>
      </c>
      <c r="B551">
        <f>'01_Data'!A551</f>
        <v/>
      </c>
      <c r="C551">
        <f>SUM('01_Data'!$B551:$AW551)</f>
        <v/>
      </c>
      <c r="D551">
        <f>COUNT('01_Data'!$B551:$AW551)</f>
        <v/>
      </c>
      <c r="E551" s="5">
        <f>MEDIAN(-6,LN((C551+0.3)/(D551-C551+0.3)),6)</f>
        <v/>
      </c>
      <c r="F551" s="5">
        <f>SUMPRODUCT(('01_Data'!$B551:$AW551&lt;&gt;"")*(1/(1+EXP(-(E551-'03_Lap_b'!$B$5:$AW$5)))))</f>
        <v/>
      </c>
      <c r="G551" s="5">
        <f>SUMPRODUCT(('01_Data'!$B551:$AW551&lt;&gt;"")*(1/(1+EXP(-(E551-'03_Lap_b'!$B$5:$AW$5))))^2)</f>
        <v/>
      </c>
      <c r="H551" s="5">
        <f>MEDIAN(-6,E551+(C551-F551)/MAX(F551-G551,0.000000001),6)</f>
        <v/>
      </c>
      <c r="I551" s="5">
        <f>SUMPRODUCT(('01_Data'!$B551:$AW551&lt;&gt;"")*(1/(1+EXP(-(H551-'03_Lap_b'!$B$10:$AW$10)))))</f>
        <v/>
      </c>
      <c r="J551" s="5">
        <f>SUMPRODUCT(('01_Data'!$B551:$AW551&lt;&gt;"")*(1/(1+EXP(-(H551-'03_Lap_b'!$B$10:$AW$10))))^2)</f>
        <v/>
      </c>
      <c r="K551" s="5">
        <f>MEDIAN(-6,H551+(C551-I551)/MAX(I551-J551,0.000000001),6)</f>
        <v/>
      </c>
      <c r="L551" s="5">
        <f>SUMPRODUCT(('01_Data'!$B551:$AW551&lt;&gt;"")*(1/(1+EXP(-(K551-'03_Lap_b'!$B$15:$AW$15)))))</f>
        <v/>
      </c>
      <c r="M551" s="5">
        <f>SUMPRODUCT(('01_Data'!$B551:$AW551&lt;&gt;"")*(1/(1+EXP(-(K551-'03_Lap_b'!$B$15:$AW$15))))^2)</f>
        <v/>
      </c>
      <c r="N551" s="5">
        <f>MEDIAN(-6,K551+(C551-L551)/MAX(L551-M551,0.000000001),6)</f>
        <v/>
      </c>
      <c r="O551" s="5">
        <f>SUMPRODUCT(('01_Data'!$B551:$AW551&lt;&gt;"")*(1/(1+EXP(-(N551-'03_Lap_b'!$B$20:$AW$20)))))</f>
        <v/>
      </c>
      <c r="P551" s="5">
        <f>SUMPRODUCT(('01_Data'!$B551:$AW551&lt;&gt;"")*(1/(1+EXP(-(N551-'03_Lap_b'!$B$20:$AW$20))))^2)</f>
        <v/>
      </c>
      <c r="Q551" s="5">
        <f>MEDIAN(-6,N551+(C551-O551)/MAX(O551-P551,0.000000001),6)</f>
        <v/>
      </c>
      <c r="R551" s="5">
        <f>SUMPRODUCT(('01_Data'!$B551:$AW551&lt;&gt;"")*(1/(1+EXP(-(Q551-'03_Lap_b'!$B$25:$AW$25)))))</f>
        <v/>
      </c>
      <c r="S551" s="5">
        <f>SUMPRODUCT(('01_Data'!$B551:$AW551&lt;&gt;"")*(1/(1+EXP(-(Q551-'03_Lap_b'!$B$25:$AW$25))))^2)</f>
        <v/>
      </c>
      <c r="T551" s="5">
        <f>MEDIAN(-6,Q551+(C551-R551)/MAX(R551-S551,0.000000001),6)</f>
        <v/>
      </c>
      <c r="U551" s="5">
        <f>SUMPRODUCT(('01_Data'!$B551:$AW551&lt;&gt;"")*(1/(1+EXP(-(T551-'03_Lap_b'!$B$30:$AW$30)))))</f>
        <v/>
      </c>
      <c r="V551" s="5">
        <f>SUMPRODUCT(('01_Data'!$B551:$AW551&lt;&gt;"")*(1/(1+EXP(-(T551-'03_Lap_b'!$B$30:$AW$30))))^2)</f>
        <v/>
      </c>
      <c r="W551" s="5">
        <f>MEDIAN(-6,T551+(C551-U551)/MAX(U551-V551,0.000000001),6)</f>
        <v/>
      </c>
      <c r="X551" s="5">
        <f>SUMPRODUCT(('01_Data'!$B551:$AW551&lt;&gt;"")*(1/(1+EXP(-(W551-'03_Lap_b'!$B$35:$AW$35)))))</f>
        <v/>
      </c>
      <c r="Y551" s="5">
        <f>SUMPRODUCT(('01_Data'!$B551:$AW551&lt;&gt;"")*(1/(1+EXP(-(W551-'03_Lap_b'!$B$35:$AW$35))))^2)</f>
        <v/>
      </c>
      <c r="Z551" s="5">
        <f>MEDIAN(-6,W551+(C551-X551)/MAX(X551-Y551,0.000000001),6)</f>
        <v/>
      </c>
      <c r="AA551" s="5">
        <f>SUMPRODUCT(('01_Data'!$B551:$AW551&lt;&gt;"")*(1/(1+EXP(-(Z551-'03_Lap_b'!$B$40:$AW$40)))))</f>
        <v/>
      </c>
      <c r="AB551" s="5">
        <f>SUMPRODUCT(('01_Data'!$B551:$AW551&lt;&gt;"")*(1/(1+EXP(-(Z551-'03_Lap_b'!$B$40:$AW$40))))^2)</f>
        <v/>
      </c>
      <c r="AC551" s="5">
        <f>MEDIAN(-6,Z551+(C551-AA551)/MAX(AA551-AB551,0.000000001),6)</f>
        <v/>
      </c>
    </row>
    <row r="552">
      <c r="A552" t="n">
        <v>551</v>
      </c>
      <c r="B552">
        <f>'01_Data'!A552</f>
        <v/>
      </c>
      <c r="C552">
        <f>SUM('01_Data'!$B552:$AW552)</f>
        <v/>
      </c>
      <c r="D552">
        <f>COUNT('01_Data'!$B552:$AW552)</f>
        <v/>
      </c>
      <c r="E552" s="5">
        <f>MEDIAN(-6,LN((C552+0.3)/(D552-C552+0.3)),6)</f>
        <v/>
      </c>
      <c r="F552" s="5">
        <f>SUMPRODUCT(('01_Data'!$B552:$AW552&lt;&gt;"")*(1/(1+EXP(-(E552-'03_Lap_b'!$B$5:$AW$5)))))</f>
        <v/>
      </c>
      <c r="G552" s="5">
        <f>SUMPRODUCT(('01_Data'!$B552:$AW552&lt;&gt;"")*(1/(1+EXP(-(E552-'03_Lap_b'!$B$5:$AW$5))))^2)</f>
        <v/>
      </c>
      <c r="H552" s="5">
        <f>MEDIAN(-6,E552+(C552-F552)/MAX(F552-G552,0.000000001),6)</f>
        <v/>
      </c>
      <c r="I552" s="5">
        <f>SUMPRODUCT(('01_Data'!$B552:$AW552&lt;&gt;"")*(1/(1+EXP(-(H552-'03_Lap_b'!$B$10:$AW$10)))))</f>
        <v/>
      </c>
      <c r="J552" s="5">
        <f>SUMPRODUCT(('01_Data'!$B552:$AW552&lt;&gt;"")*(1/(1+EXP(-(H552-'03_Lap_b'!$B$10:$AW$10))))^2)</f>
        <v/>
      </c>
      <c r="K552" s="5">
        <f>MEDIAN(-6,H552+(C552-I552)/MAX(I552-J552,0.000000001),6)</f>
        <v/>
      </c>
      <c r="L552" s="5">
        <f>SUMPRODUCT(('01_Data'!$B552:$AW552&lt;&gt;"")*(1/(1+EXP(-(K552-'03_Lap_b'!$B$15:$AW$15)))))</f>
        <v/>
      </c>
      <c r="M552" s="5">
        <f>SUMPRODUCT(('01_Data'!$B552:$AW552&lt;&gt;"")*(1/(1+EXP(-(K552-'03_Lap_b'!$B$15:$AW$15))))^2)</f>
        <v/>
      </c>
      <c r="N552" s="5">
        <f>MEDIAN(-6,K552+(C552-L552)/MAX(L552-M552,0.000000001),6)</f>
        <v/>
      </c>
      <c r="O552" s="5">
        <f>SUMPRODUCT(('01_Data'!$B552:$AW552&lt;&gt;"")*(1/(1+EXP(-(N552-'03_Lap_b'!$B$20:$AW$20)))))</f>
        <v/>
      </c>
      <c r="P552" s="5">
        <f>SUMPRODUCT(('01_Data'!$B552:$AW552&lt;&gt;"")*(1/(1+EXP(-(N552-'03_Lap_b'!$B$20:$AW$20))))^2)</f>
        <v/>
      </c>
      <c r="Q552" s="5">
        <f>MEDIAN(-6,N552+(C552-O552)/MAX(O552-P552,0.000000001),6)</f>
        <v/>
      </c>
      <c r="R552" s="5">
        <f>SUMPRODUCT(('01_Data'!$B552:$AW552&lt;&gt;"")*(1/(1+EXP(-(Q552-'03_Lap_b'!$B$25:$AW$25)))))</f>
        <v/>
      </c>
      <c r="S552" s="5">
        <f>SUMPRODUCT(('01_Data'!$B552:$AW552&lt;&gt;"")*(1/(1+EXP(-(Q552-'03_Lap_b'!$B$25:$AW$25))))^2)</f>
        <v/>
      </c>
      <c r="T552" s="5">
        <f>MEDIAN(-6,Q552+(C552-R552)/MAX(R552-S552,0.000000001),6)</f>
        <v/>
      </c>
      <c r="U552" s="5">
        <f>SUMPRODUCT(('01_Data'!$B552:$AW552&lt;&gt;"")*(1/(1+EXP(-(T552-'03_Lap_b'!$B$30:$AW$30)))))</f>
        <v/>
      </c>
      <c r="V552" s="5">
        <f>SUMPRODUCT(('01_Data'!$B552:$AW552&lt;&gt;"")*(1/(1+EXP(-(T552-'03_Lap_b'!$B$30:$AW$30))))^2)</f>
        <v/>
      </c>
      <c r="W552" s="5">
        <f>MEDIAN(-6,T552+(C552-U552)/MAX(U552-V552,0.000000001),6)</f>
        <v/>
      </c>
      <c r="X552" s="5">
        <f>SUMPRODUCT(('01_Data'!$B552:$AW552&lt;&gt;"")*(1/(1+EXP(-(W552-'03_Lap_b'!$B$35:$AW$35)))))</f>
        <v/>
      </c>
      <c r="Y552" s="5">
        <f>SUMPRODUCT(('01_Data'!$B552:$AW552&lt;&gt;"")*(1/(1+EXP(-(W552-'03_Lap_b'!$B$35:$AW$35))))^2)</f>
        <v/>
      </c>
      <c r="Z552" s="5">
        <f>MEDIAN(-6,W552+(C552-X552)/MAX(X552-Y552,0.000000001),6)</f>
        <v/>
      </c>
      <c r="AA552" s="5">
        <f>SUMPRODUCT(('01_Data'!$B552:$AW552&lt;&gt;"")*(1/(1+EXP(-(Z552-'03_Lap_b'!$B$40:$AW$40)))))</f>
        <v/>
      </c>
      <c r="AB552" s="5">
        <f>SUMPRODUCT(('01_Data'!$B552:$AW552&lt;&gt;"")*(1/(1+EXP(-(Z552-'03_Lap_b'!$B$40:$AW$40))))^2)</f>
        <v/>
      </c>
      <c r="AC552" s="5">
        <f>MEDIAN(-6,Z552+(C552-AA552)/MAX(AA552-AB552,0.000000001),6)</f>
        <v/>
      </c>
    </row>
    <row r="553">
      <c r="A553" t="n">
        <v>552</v>
      </c>
      <c r="B553">
        <f>'01_Data'!A553</f>
        <v/>
      </c>
      <c r="C553">
        <f>SUM('01_Data'!$B553:$AW553)</f>
        <v/>
      </c>
      <c r="D553">
        <f>COUNT('01_Data'!$B553:$AW553)</f>
        <v/>
      </c>
      <c r="E553" s="5">
        <f>MEDIAN(-6,LN((C553+0.3)/(D553-C553+0.3)),6)</f>
        <v/>
      </c>
      <c r="F553" s="5">
        <f>SUMPRODUCT(('01_Data'!$B553:$AW553&lt;&gt;"")*(1/(1+EXP(-(E553-'03_Lap_b'!$B$5:$AW$5)))))</f>
        <v/>
      </c>
      <c r="G553" s="5">
        <f>SUMPRODUCT(('01_Data'!$B553:$AW553&lt;&gt;"")*(1/(1+EXP(-(E553-'03_Lap_b'!$B$5:$AW$5))))^2)</f>
        <v/>
      </c>
      <c r="H553" s="5">
        <f>MEDIAN(-6,E553+(C553-F553)/MAX(F553-G553,0.000000001),6)</f>
        <v/>
      </c>
      <c r="I553" s="5">
        <f>SUMPRODUCT(('01_Data'!$B553:$AW553&lt;&gt;"")*(1/(1+EXP(-(H553-'03_Lap_b'!$B$10:$AW$10)))))</f>
        <v/>
      </c>
      <c r="J553" s="5">
        <f>SUMPRODUCT(('01_Data'!$B553:$AW553&lt;&gt;"")*(1/(1+EXP(-(H553-'03_Lap_b'!$B$10:$AW$10))))^2)</f>
        <v/>
      </c>
      <c r="K553" s="5">
        <f>MEDIAN(-6,H553+(C553-I553)/MAX(I553-J553,0.000000001),6)</f>
        <v/>
      </c>
      <c r="L553" s="5">
        <f>SUMPRODUCT(('01_Data'!$B553:$AW553&lt;&gt;"")*(1/(1+EXP(-(K553-'03_Lap_b'!$B$15:$AW$15)))))</f>
        <v/>
      </c>
      <c r="M553" s="5">
        <f>SUMPRODUCT(('01_Data'!$B553:$AW553&lt;&gt;"")*(1/(1+EXP(-(K553-'03_Lap_b'!$B$15:$AW$15))))^2)</f>
        <v/>
      </c>
      <c r="N553" s="5">
        <f>MEDIAN(-6,K553+(C553-L553)/MAX(L553-M553,0.000000001),6)</f>
        <v/>
      </c>
      <c r="O553" s="5">
        <f>SUMPRODUCT(('01_Data'!$B553:$AW553&lt;&gt;"")*(1/(1+EXP(-(N553-'03_Lap_b'!$B$20:$AW$20)))))</f>
        <v/>
      </c>
      <c r="P553" s="5">
        <f>SUMPRODUCT(('01_Data'!$B553:$AW553&lt;&gt;"")*(1/(1+EXP(-(N553-'03_Lap_b'!$B$20:$AW$20))))^2)</f>
        <v/>
      </c>
      <c r="Q553" s="5">
        <f>MEDIAN(-6,N553+(C553-O553)/MAX(O553-P553,0.000000001),6)</f>
        <v/>
      </c>
      <c r="R553" s="5">
        <f>SUMPRODUCT(('01_Data'!$B553:$AW553&lt;&gt;"")*(1/(1+EXP(-(Q553-'03_Lap_b'!$B$25:$AW$25)))))</f>
        <v/>
      </c>
      <c r="S553" s="5">
        <f>SUMPRODUCT(('01_Data'!$B553:$AW553&lt;&gt;"")*(1/(1+EXP(-(Q553-'03_Lap_b'!$B$25:$AW$25))))^2)</f>
        <v/>
      </c>
      <c r="T553" s="5">
        <f>MEDIAN(-6,Q553+(C553-R553)/MAX(R553-S553,0.000000001),6)</f>
        <v/>
      </c>
      <c r="U553" s="5">
        <f>SUMPRODUCT(('01_Data'!$B553:$AW553&lt;&gt;"")*(1/(1+EXP(-(T553-'03_Lap_b'!$B$30:$AW$30)))))</f>
        <v/>
      </c>
      <c r="V553" s="5">
        <f>SUMPRODUCT(('01_Data'!$B553:$AW553&lt;&gt;"")*(1/(1+EXP(-(T553-'03_Lap_b'!$B$30:$AW$30))))^2)</f>
        <v/>
      </c>
      <c r="W553" s="5">
        <f>MEDIAN(-6,T553+(C553-U553)/MAX(U553-V553,0.000000001),6)</f>
        <v/>
      </c>
      <c r="X553" s="5">
        <f>SUMPRODUCT(('01_Data'!$B553:$AW553&lt;&gt;"")*(1/(1+EXP(-(W553-'03_Lap_b'!$B$35:$AW$35)))))</f>
        <v/>
      </c>
      <c r="Y553" s="5">
        <f>SUMPRODUCT(('01_Data'!$B553:$AW553&lt;&gt;"")*(1/(1+EXP(-(W553-'03_Lap_b'!$B$35:$AW$35))))^2)</f>
        <v/>
      </c>
      <c r="Z553" s="5">
        <f>MEDIAN(-6,W553+(C553-X553)/MAX(X553-Y553,0.000000001),6)</f>
        <v/>
      </c>
      <c r="AA553" s="5">
        <f>SUMPRODUCT(('01_Data'!$B553:$AW553&lt;&gt;"")*(1/(1+EXP(-(Z553-'03_Lap_b'!$B$40:$AW$40)))))</f>
        <v/>
      </c>
      <c r="AB553" s="5">
        <f>SUMPRODUCT(('01_Data'!$B553:$AW553&lt;&gt;"")*(1/(1+EXP(-(Z553-'03_Lap_b'!$B$40:$AW$40))))^2)</f>
        <v/>
      </c>
      <c r="AC553" s="5">
        <f>MEDIAN(-6,Z553+(C553-AA553)/MAX(AA553-AB553,0.000000001),6)</f>
        <v/>
      </c>
    </row>
    <row r="554">
      <c r="A554" t="n">
        <v>553</v>
      </c>
      <c r="B554">
        <f>'01_Data'!A554</f>
        <v/>
      </c>
      <c r="C554">
        <f>SUM('01_Data'!$B554:$AW554)</f>
        <v/>
      </c>
      <c r="D554">
        <f>COUNT('01_Data'!$B554:$AW554)</f>
        <v/>
      </c>
      <c r="E554" s="5">
        <f>MEDIAN(-6,LN((C554+0.3)/(D554-C554+0.3)),6)</f>
        <v/>
      </c>
      <c r="F554" s="5">
        <f>SUMPRODUCT(('01_Data'!$B554:$AW554&lt;&gt;"")*(1/(1+EXP(-(E554-'03_Lap_b'!$B$5:$AW$5)))))</f>
        <v/>
      </c>
      <c r="G554" s="5">
        <f>SUMPRODUCT(('01_Data'!$B554:$AW554&lt;&gt;"")*(1/(1+EXP(-(E554-'03_Lap_b'!$B$5:$AW$5))))^2)</f>
        <v/>
      </c>
      <c r="H554" s="5">
        <f>MEDIAN(-6,E554+(C554-F554)/MAX(F554-G554,0.000000001),6)</f>
        <v/>
      </c>
      <c r="I554" s="5">
        <f>SUMPRODUCT(('01_Data'!$B554:$AW554&lt;&gt;"")*(1/(1+EXP(-(H554-'03_Lap_b'!$B$10:$AW$10)))))</f>
        <v/>
      </c>
      <c r="J554" s="5">
        <f>SUMPRODUCT(('01_Data'!$B554:$AW554&lt;&gt;"")*(1/(1+EXP(-(H554-'03_Lap_b'!$B$10:$AW$10))))^2)</f>
        <v/>
      </c>
      <c r="K554" s="5">
        <f>MEDIAN(-6,H554+(C554-I554)/MAX(I554-J554,0.000000001),6)</f>
        <v/>
      </c>
      <c r="L554" s="5">
        <f>SUMPRODUCT(('01_Data'!$B554:$AW554&lt;&gt;"")*(1/(1+EXP(-(K554-'03_Lap_b'!$B$15:$AW$15)))))</f>
        <v/>
      </c>
      <c r="M554" s="5">
        <f>SUMPRODUCT(('01_Data'!$B554:$AW554&lt;&gt;"")*(1/(1+EXP(-(K554-'03_Lap_b'!$B$15:$AW$15))))^2)</f>
        <v/>
      </c>
      <c r="N554" s="5">
        <f>MEDIAN(-6,K554+(C554-L554)/MAX(L554-M554,0.000000001),6)</f>
        <v/>
      </c>
      <c r="O554" s="5">
        <f>SUMPRODUCT(('01_Data'!$B554:$AW554&lt;&gt;"")*(1/(1+EXP(-(N554-'03_Lap_b'!$B$20:$AW$20)))))</f>
        <v/>
      </c>
      <c r="P554" s="5">
        <f>SUMPRODUCT(('01_Data'!$B554:$AW554&lt;&gt;"")*(1/(1+EXP(-(N554-'03_Lap_b'!$B$20:$AW$20))))^2)</f>
        <v/>
      </c>
      <c r="Q554" s="5">
        <f>MEDIAN(-6,N554+(C554-O554)/MAX(O554-P554,0.000000001),6)</f>
        <v/>
      </c>
      <c r="R554" s="5">
        <f>SUMPRODUCT(('01_Data'!$B554:$AW554&lt;&gt;"")*(1/(1+EXP(-(Q554-'03_Lap_b'!$B$25:$AW$25)))))</f>
        <v/>
      </c>
      <c r="S554" s="5">
        <f>SUMPRODUCT(('01_Data'!$B554:$AW554&lt;&gt;"")*(1/(1+EXP(-(Q554-'03_Lap_b'!$B$25:$AW$25))))^2)</f>
        <v/>
      </c>
      <c r="T554" s="5">
        <f>MEDIAN(-6,Q554+(C554-R554)/MAX(R554-S554,0.000000001),6)</f>
        <v/>
      </c>
      <c r="U554" s="5">
        <f>SUMPRODUCT(('01_Data'!$B554:$AW554&lt;&gt;"")*(1/(1+EXP(-(T554-'03_Lap_b'!$B$30:$AW$30)))))</f>
        <v/>
      </c>
      <c r="V554" s="5">
        <f>SUMPRODUCT(('01_Data'!$B554:$AW554&lt;&gt;"")*(1/(1+EXP(-(T554-'03_Lap_b'!$B$30:$AW$30))))^2)</f>
        <v/>
      </c>
      <c r="W554" s="5">
        <f>MEDIAN(-6,T554+(C554-U554)/MAX(U554-V554,0.000000001),6)</f>
        <v/>
      </c>
      <c r="X554" s="5">
        <f>SUMPRODUCT(('01_Data'!$B554:$AW554&lt;&gt;"")*(1/(1+EXP(-(W554-'03_Lap_b'!$B$35:$AW$35)))))</f>
        <v/>
      </c>
      <c r="Y554" s="5">
        <f>SUMPRODUCT(('01_Data'!$B554:$AW554&lt;&gt;"")*(1/(1+EXP(-(W554-'03_Lap_b'!$B$35:$AW$35))))^2)</f>
        <v/>
      </c>
      <c r="Z554" s="5">
        <f>MEDIAN(-6,W554+(C554-X554)/MAX(X554-Y554,0.000000001),6)</f>
        <v/>
      </c>
      <c r="AA554" s="5">
        <f>SUMPRODUCT(('01_Data'!$B554:$AW554&lt;&gt;"")*(1/(1+EXP(-(Z554-'03_Lap_b'!$B$40:$AW$40)))))</f>
        <v/>
      </c>
      <c r="AB554" s="5">
        <f>SUMPRODUCT(('01_Data'!$B554:$AW554&lt;&gt;"")*(1/(1+EXP(-(Z554-'03_Lap_b'!$B$40:$AW$40))))^2)</f>
        <v/>
      </c>
      <c r="AC554" s="5">
        <f>MEDIAN(-6,Z554+(C554-AA554)/MAX(AA554-AB554,0.000000001),6)</f>
        <v/>
      </c>
    </row>
    <row r="555">
      <c r="A555" t="n">
        <v>554</v>
      </c>
      <c r="B555">
        <f>'01_Data'!A555</f>
        <v/>
      </c>
      <c r="C555">
        <f>SUM('01_Data'!$B555:$AW555)</f>
        <v/>
      </c>
      <c r="D555">
        <f>COUNT('01_Data'!$B555:$AW555)</f>
        <v/>
      </c>
      <c r="E555" s="5">
        <f>MEDIAN(-6,LN((C555+0.3)/(D555-C555+0.3)),6)</f>
        <v/>
      </c>
      <c r="F555" s="5">
        <f>SUMPRODUCT(('01_Data'!$B555:$AW555&lt;&gt;"")*(1/(1+EXP(-(E555-'03_Lap_b'!$B$5:$AW$5)))))</f>
        <v/>
      </c>
      <c r="G555" s="5">
        <f>SUMPRODUCT(('01_Data'!$B555:$AW555&lt;&gt;"")*(1/(1+EXP(-(E555-'03_Lap_b'!$B$5:$AW$5))))^2)</f>
        <v/>
      </c>
      <c r="H555" s="5">
        <f>MEDIAN(-6,E555+(C555-F555)/MAX(F555-G555,0.000000001),6)</f>
        <v/>
      </c>
      <c r="I555" s="5">
        <f>SUMPRODUCT(('01_Data'!$B555:$AW555&lt;&gt;"")*(1/(1+EXP(-(H555-'03_Lap_b'!$B$10:$AW$10)))))</f>
        <v/>
      </c>
      <c r="J555" s="5">
        <f>SUMPRODUCT(('01_Data'!$B555:$AW555&lt;&gt;"")*(1/(1+EXP(-(H555-'03_Lap_b'!$B$10:$AW$10))))^2)</f>
        <v/>
      </c>
      <c r="K555" s="5">
        <f>MEDIAN(-6,H555+(C555-I555)/MAX(I555-J555,0.000000001),6)</f>
        <v/>
      </c>
      <c r="L555" s="5">
        <f>SUMPRODUCT(('01_Data'!$B555:$AW555&lt;&gt;"")*(1/(1+EXP(-(K555-'03_Lap_b'!$B$15:$AW$15)))))</f>
        <v/>
      </c>
      <c r="M555" s="5">
        <f>SUMPRODUCT(('01_Data'!$B555:$AW555&lt;&gt;"")*(1/(1+EXP(-(K555-'03_Lap_b'!$B$15:$AW$15))))^2)</f>
        <v/>
      </c>
      <c r="N555" s="5">
        <f>MEDIAN(-6,K555+(C555-L555)/MAX(L555-M555,0.000000001),6)</f>
        <v/>
      </c>
      <c r="O555" s="5">
        <f>SUMPRODUCT(('01_Data'!$B555:$AW555&lt;&gt;"")*(1/(1+EXP(-(N555-'03_Lap_b'!$B$20:$AW$20)))))</f>
        <v/>
      </c>
      <c r="P555" s="5">
        <f>SUMPRODUCT(('01_Data'!$B555:$AW555&lt;&gt;"")*(1/(1+EXP(-(N555-'03_Lap_b'!$B$20:$AW$20))))^2)</f>
        <v/>
      </c>
      <c r="Q555" s="5">
        <f>MEDIAN(-6,N555+(C555-O555)/MAX(O555-P555,0.000000001),6)</f>
        <v/>
      </c>
      <c r="R555" s="5">
        <f>SUMPRODUCT(('01_Data'!$B555:$AW555&lt;&gt;"")*(1/(1+EXP(-(Q555-'03_Lap_b'!$B$25:$AW$25)))))</f>
        <v/>
      </c>
      <c r="S555" s="5">
        <f>SUMPRODUCT(('01_Data'!$B555:$AW555&lt;&gt;"")*(1/(1+EXP(-(Q555-'03_Lap_b'!$B$25:$AW$25))))^2)</f>
        <v/>
      </c>
      <c r="T555" s="5">
        <f>MEDIAN(-6,Q555+(C555-R555)/MAX(R555-S555,0.000000001),6)</f>
        <v/>
      </c>
      <c r="U555" s="5">
        <f>SUMPRODUCT(('01_Data'!$B555:$AW555&lt;&gt;"")*(1/(1+EXP(-(T555-'03_Lap_b'!$B$30:$AW$30)))))</f>
        <v/>
      </c>
      <c r="V555" s="5">
        <f>SUMPRODUCT(('01_Data'!$B555:$AW555&lt;&gt;"")*(1/(1+EXP(-(T555-'03_Lap_b'!$B$30:$AW$30))))^2)</f>
        <v/>
      </c>
      <c r="W555" s="5">
        <f>MEDIAN(-6,T555+(C555-U555)/MAX(U555-V555,0.000000001),6)</f>
        <v/>
      </c>
      <c r="X555" s="5">
        <f>SUMPRODUCT(('01_Data'!$B555:$AW555&lt;&gt;"")*(1/(1+EXP(-(W555-'03_Lap_b'!$B$35:$AW$35)))))</f>
        <v/>
      </c>
      <c r="Y555" s="5">
        <f>SUMPRODUCT(('01_Data'!$B555:$AW555&lt;&gt;"")*(1/(1+EXP(-(W555-'03_Lap_b'!$B$35:$AW$35))))^2)</f>
        <v/>
      </c>
      <c r="Z555" s="5">
        <f>MEDIAN(-6,W555+(C555-X555)/MAX(X555-Y555,0.000000001),6)</f>
        <v/>
      </c>
      <c r="AA555" s="5">
        <f>SUMPRODUCT(('01_Data'!$B555:$AW555&lt;&gt;"")*(1/(1+EXP(-(Z555-'03_Lap_b'!$B$40:$AW$40)))))</f>
        <v/>
      </c>
      <c r="AB555" s="5">
        <f>SUMPRODUCT(('01_Data'!$B555:$AW555&lt;&gt;"")*(1/(1+EXP(-(Z555-'03_Lap_b'!$B$40:$AW$40))))^2)</f>
        <v/>
      </c>
      <c r="AC555" s="5">
        <f>MEDIAN(-6,Z555+(C555-AA555)/MAX(AA555-AB555,0.000000001),6)</f>
        <v/>
      </c>
    </row>
    <row r="556">
      <c r="A556" t="n">
        <v>555</v>
      </c>
      <c r="B556">
        <f>'01_Data'!A556</f>
        <v/>
      </c>
      <c r="C556">
        <f>SUM('01_Data'!$B556:$AW556)</f>
        <v/>
      </c>
      <c r="D556">
        <f>COUNT('01_Data'!$B556:$AW556)</f>
        <v/>
      </c>
      <c r="E556" s="5">
        <f>MEDIAN(-6,LN((C556+0.3)/(D556-C556+0.3)),6)</f>
        <v/>
      </c>
      <c r="F556" s="5">
        <f>SUMPRODUCT(('01_Data'!$B556:$AW556&lt;&gt;"")*(1/(1+EXP(-(E556-'03_Lap_b'!$B$5:$AW$5)))))</f>
        <v/>
      </c>
      <c r="G556" s="5">
        <f>SUMPRODUCT(('01_Data'!$B556:$AW556&lt;&gt;"")*(1/(1+EXP(-(E556-'03_Lap_b'!$B$5:$AW$5))))^2)</f>
        <v/>
      </c>
      <c r="H556" s="5">
        <f>MEDIAN(-6,E556+(C556-F556)/MAX(F556-G556,0.000000001),6)</f>
        <v/>
      </c>
      <c r="I556" s="5">
        <f>SUMPRODUCT(('01_Data'!$B556:$AW556&lt;&gt;"")*(1/(1+EXP(-(H556-'03_Lap_b'!$B$10:$AW$10)))))</f>
        <v/>
      </c>
      <c r="J556" s="5">
        <f>SUMPRODUCT(('01_Data'!$B556:$AW556&lt;&gt;"")*(1/(1+EXP(-(H556-'03_Lap_b'!$B$10:$AW$10))))^2)</f>
        <v/>
      </c>
      <c r="K556" s="5">
        <f>MEDIAN(-6,H556+(C556-I556)/MAX(I556-J556,0.000000001),6)</f>
        <v/>
      </c>
      <c r="L556" s="5">
        <f>SUMPRODUCT(('01_Data'!$B556:$AW556&lt;&gt;"")*(1/(1+EXP(-(K556-'03_Lap_b'!$B$15:$AW$15)))))</f>
        <v/>
      </c>
      <c r="M556" s="5">
        <f>SUMPRODUCT(('01_Data'!$B556:$AW556&lt;&gt;"")*(1/(1+EXP(-(K556-'03_Lap_b'!$B$15:$AW$15))))^2)</f>
        <v/>
      </c>
      <c r="N556" s="5">
        <f>MEDIAN(-6,K556+(C556-L556)/MAX(L556-M556,0.000000001),6)</f>
        <v/>
      </c>
      <c r="O556" s="5">
        <f>SUMPRODUCT(('01_Data'!$B556:$AW556&lt;&gt;"")*(1/(1+EXP(-(N556-'03_Lap_b'!$B$20:$AW$20)))))</f>
        <v/>
      </c>
      <c r="P556" s="5">
        <f>SUMPRODUCT(('01_Data'!$B556:$AW556&lt;&gt;"")*(1/(1+EXP(-(N556-'03_Lap_b'!$B$20:$AW$20))))^2)</f>
        <v/>
      </c>
      <c r="Q556" s="5">
        <f>MEDIAN(-6,N556+(C556-O556)/MAX(O556-P556,0.000000001),6)</f>
        <v/>
      </c>
      <c r="R556" s="5">
        <f>SUMPRODUCT(('01_Data'!$B556:$AW556&lt;&gt;"")*(1/(1+EXP(-(Q556-'03_Lap_b'!$B$25:$AW$25)))))</f>
        <v/>
      </c>
      <c r="S556" s="5">
        <f>SUMPRODUCT(('01_Data'!$B556:$AW556&lt;&gt;"")*(1/(1+EXP(-(Q556-'03_Lap_b'!$B$25:$AW$25))))^2)</f>
        <v/>
      </c>
      <c r="T556" s="5">
        <f>MEDIAN(-6,Q556+(C556-R556)/MAX(R556-S556,0.000000001),6)</f>
        <v/>
      </c>
      <c r="U556" s="5">
        <f>SUMPRODUCT(('01_Data'!$B556:$AW556&lt;&gt;"")*(1/(1+EXP(-(T556-'03_Lap_b'!$B$30:$AW$30)))))</f>
        <v/>
      </c>
      <c r="V556" s="5">
        <f>SUMPRODUCT(('01_Data'!$B556:$AW556&lt;&gt;"")*(1/(1+EXP(-(T556-'03_Lap_b'!$B$30:$AW$30))))^2)</f>
        <v/>
      </c>
      <c r="W556" s="5">
        <f>MEDIAN(-6,T556+(C556-U556)/MAX(U556-V556,0.000000001),6)</f>
        <v/>
      </c>
      <c r="X556" s="5">
        <f>SUMPRODUCT(('01_Data'!$B556:$AW556&lt;&gt;"")*(1/(1+EXP(-(W556-'03_Lap_b'!$B$35:$AW$35)))))</f>
        <v/>
      </c>
      <c r="Y556" s="5">
        <f>SUMPRODUCT(('01_Data'!$B556:$AW556&lt;&gt;"")*(1/(1+EXP(-(W556-'03_Lap_b'!$B$35:$AW$35))))^2)</f>
        <v/>
      </c>
      <c r="Z556" s="5">
        <f>MEDIAN(-6,W556+(C556-X556)/MAX(X556-Y556,0.000000001),6)</f>
        <v/>
      </c>
      <c r="AA556" s="5">
        <f>SUMPRODUCT(('01_Data'!$B556:$AW556&lt;&gt;"")*(1/(1+EXP(-(Z556-'03_Lap_b'!$B$40:$AW$40)))))</f>
        <v/>
      </c>
      <c r="AB556" s="5">
        <f>SUMPRODUCT(('01_Data'!$B556:$AW556&lt;&gt;"")*(1/(1+EXP(-(Z556-'03_Lap_b'!$B$40:$AW$40))))^2)</f>
        <v/>
      </c>
      <c r="AC556" s="5">
        <f>MEDIAN(-6,Z556+(C556-AA556)/MAX(AA556-AB556,0.000000001),6)</f>
        <v/>
      </c>
    </row>
    <row r="557">
      <c r="A557" t="n">
        <v>556</v>
      </c>
      <c r="B557">
        <f>'01_Data'!A557</f>
        <v/>
      </c>
      <c r="C557">
        <f>SUM('01_Data'!$B557:$AW557)</f>
        <v/>
      </c>
      <c r="D557">
        <f>COUNT('01_Data'!$B557:$AW557)</f>
        <v/>
      </c>
      <c r="E557" s="5">
        <f>MEDIAN(-6,LN((C557+0.3)/(D557-C557+0.3)),6)</f>
        <v/>
      </c>
      <c r="F557" s="5">
        <f>SUMPRODUCT(('01_Data'!$B557:$AW557&lt;&gt;"")*(1/(1+EXP(-(E557-'03_Lap_b'!$B$5:$AW$5)))))</f>
        <v/>
      </c>
      <c r="G557" s="5">
        <f>SUMPRODUCT(('01_Data'!$B557:$AW557&lt;&gt;"")*(1/(1+EXP(-(E557-'03_Lap_b'!$B$5:$AW$5))))^2)</f>
        <v/>
      </c>
      <c r="H557" s="5">
        <f>MEDIAN(-6,E557+(C557-F557)/MAX(F557-G557,0.000000001),6)</f>
        <v/>
      </c>
      <c r="I557" s="5">
        <f>SUMPRODUCT(('01_Data'!$B557:$AW557&lt;&gt;"")*(1/(1+EXP(-(H557-'03_Lap_b'!$B$10:$AW$10)))))</f>
        <v/>
      </c>
      <c r="J557" s="5">
        <f>SUMPRODUCT(('01_Data'!$B557:$AW557&lt;&gt;"")*(1/(1+EXP(-(H557-'03_Lap_b'!$B$10:$AW$10))))^2)</f>
        <v/>
      </c>
      <c r="K557" s="5">
        <f>MEDIAN(-6,H557+(C557-I557)/MAX(I557-J557,0.000000001),6)</f>
        <v/>
      </c>
      <c r="L557" s="5">
        <f>SUMPRODUCT(('01_Data'!$B557:$AW557&lt;&gt;"")*(1/(1+EXP(-(K557-'03_Lap_b'!$B$15:$AW$15)))))</f>
        <v/>
      </c>
      <c r="M557" s="5">
        <f>SUMPRODUCT(('01_Data'!$B557:$AW557&lt;&gt;"")*(1/(1+EXP(-(K557-'03_Lap_b'!$B$15:$AW$15))))^2)</f>
        <v/>
      </c>
      <c r="N557" s="5">
        <f>MEDIAN(-6,K557+(C557-L557)/MAX(L557-M557,0.000000001),6)</f>
        <v/>
      </c>
      <c r="O557" s="5">
        <f>SUMPRODUCT(('01_Data'!$B557:$AW557&lt;&gt;"")*(1/(1+EXP(-(N557-'03_Lap_b'!$B$20:$AW$20)))))</f>
        <v/>
      </c>
      <c r="P557" s="5">
        <f>SUMPRODUCT(('01_Data'!$B557:$AW557&lt;&gt;"")*(1/(1+EXP(-(N557-'03_Lap_b'!$B$20:$AW$20))))^2)</f>
        <v/>
      </c>
      <c r="Q557" s="5">
        <f>MEDIAN(-6,N557+(C557-O557)/MAX(O557-P557,0.000000001),6)</f>
        <v/>
      </c>
      <c r="R557" s="5">
        <f>SUMPRODUCT(('01_Data'!$B557:$AW557&lt;&gt;"")*(1/(1+EXP(-(Q557-'03_Lap_b'!$B$25:$AW$25)))))</f>
        <v/>
      </c>
      <c r="S557" s="5">
        <f>SUMPRODUCT(('01_Data'!$B557:$AW557&lt;&gt;"")*(1/(1+EXP(-(Q557-'03_Lap_b'!$B$25:$AW$25))))^2)</f>
        <v/>
      </c>
      <c r="T557" s="5">
        <f>MEDIAN(-6,Q557+(C557-R557)/MAX(R557-S557,0.000000001),6)</f>
        <v/>
      </c>
      <c r="U557" s="5">
        <f>SUMPRODUCT(('01_Data'!$B557:$AW557&lt;&gt;"")*(1/(1+EXP(-(T557-'03_Lap_b'!$B$30:$AW$30)))))</f>
        <v/>
      </c>
      <c r="V557" s="5">
        <f>SUMPRODUCT(('01_Data'!$B557:$AW557&lt;&gt;"")*(1/(1+EXP(-(T557-'03_Lap_b'!$B$30:$AW$30))))^2)</f>
        <v/>
      </c>
      <c r="W557" s="5">
        <f>MEDIAN(-6,T557+(C557-U557)/MAX(U557-V557,0.000000001),6)</f>
        <v/>
      </c>
      <c r="X557" s="5">
        <f>SUMPRODUCT(('01_Data'!$B557:$AW557&lt;&gt;"")*(1/(1+EXP(-(W557-'03_Lap_b'!$B$35:$AW$35)))))</f>
        <v/>
      </c>
      <c r="Y557" s="5">
        <f>SUMPRODUCT(('01_Data'!$B557:$AW557&lt;&gt;"")*(1/(1+EXP(-(W557-'03_Lap_b'!$B$35:$AW$35))))^2)</f>
        <v/>
      </c>
      <c r="Z557" s="5">
        <f>MEDIAN(-6,W557+(C557-X557)/MAX(X557-Y557,0.000000001),6)</f>
        <v/>
      </c>
      <c r="AA557" s="5">
        <f>SUMPRODUCT(('01_Data'!$B557:$AW557&lt;&gt;"")*(1/(1+EXP(-(Z557-'03_Lap_b'!$B$40:$AW$40)))))</f>
        <v/>
      </c>
      <c r="AB557" s="5">
        <f>SUMPRODUCT(('01_Data'!$B557:$AW557&lt;&gt;"")*(1/(1+EXP(-(Z557-'03_Lap_b'!$B$40:$AW$40))))^2)</f>
        <v/>
      </c>
      <c r="AC557" s="5">
        <f>MEDIAN(-6,Z557+(C557-AA557)/MAX(AA557-AB557,0.000000001),6)</f>
        <v/>
      </c>
    </row>
    <row r="558">
      <c r="A558" t="n">
        <v>557</v>
      </c>
      <c r="B558">
        <f>'01_Data'!A558</f>
        <v/>
      </c>
      <c r="C558">
        <f>SUM('01_Data'!$B558:$AW558)</f>
        <v/>
      </c>
      <c r="D558">
        <f>COUNT('01_Data'!$B558:$AW558)</f>
        <v/>
      </c>
      <c r="E558" s="5">
        <f>MEDIAN(-6,LN((C558+0.3)/(D558-C558+0.3)),6)</f>
        <v/>
      </c>
      <c r="F558" s="5">
        <f>SUMPRODUCT(('01_Data'!$B558:$AW558&lt;&gt;"")*(1/(1+EXP(-(E558-'03_Lap_b'!$B$5:$AW$5)))))</f>
        <v/>
      </c>
      <c r="G558" s="5">
        <f>SUMPRODUCT(('01_Data'!$B558:$AW558&lt;&gt;"")*(1/(1+EXP(-(E558-'03_Lap_b'!$B$5:$AW$5))))^2)</f>
        <v/>
      </c>
      <c r="H558" s="5">
        <f>MEDIAN(-6,E558+(C558-F558)/MAX(F558-G558,0.000000001),6)</f>
        <v/>
      </c>
      <c r="I558" s="5">
        <f>SUMPRODUCT(('01_Data'!$B558:$AW558&lt;&gt;"")*(1/(1+EXP(-(H558-'03_Lap_b'!$B$10:$AW$10)))))</f>
        <v/>
      </c>
      <c r="J558" s="5">
        <f>SUMPRODUCT(('01_Data'!$B558:$AW558&lt;&gt;"")*(1/(1+EXP(-(H558-'03_Lap_b'!$B$10:$AW$10))))^2)</f>
        <v/>
      </c>
      <c r="K558" s="5">
        <f>MEDIAN(-6,H558+(C558-I558)/MAX(I558-J558,0.000000001),6)</f>
        <v/>
      </c>
      <c r="L558" s="5">
        <f>SUMPRODUCT(('01_Data'!$B558:$AW558&lt;&gt;"")*(1/(1+EXP(-(K558-'03_Lap_b'!$B$15:$AW$15)))))</f>
        <v/>
      </c>
      <c r="M558" s="5">
        <f>SUMPRODUCT(('01_Data'!$B558:$AW558&lt;&gt;"")*(1/(1+EXP(-(K558-'03_Lap_b'!$B$15:$AW$15))))^2)</f>
        <v/>
      </c>
      <c r="N558" s="5">
        <f>MEDIAN(-6,K558+(C558-L558)/MAX(L558-M558,0.000000001),6)</f>
        <v/>
      </c>
      <c r="O558" s="5">
        <f>SUMPRODUCT(('01_Data'!$B558:$AW558&lt;&gt;"")*(1/(1+EXP(-(N558-'03_Lap_b'!$B$20:$AW$20)))))</f>
        <v/>
      </c>
      <c r="P558" s="5">
        <f>SUMPRODUCT(('01_Data'!$B558:$AW558&lt;&gt;"")*(1/(1+EXP(-(N558-'03_Lap_b'!$B$20:$AW$20))))^2)</f>
        <v/>
      </c>
      <c r="Q558" s="5">
        <f>MEDIAN(-6,N558+(C558-O558)/MAX(O558-P558,0.000000001),6)</f>
        <v/>
      </c>
      <c r="R558" s="5">
        <f>SUMPRODUCT(('01_Data'!$B558:$AW558&lt;&gt;"")*(1/(1+EXP(-(Q558-'03_Lap_b'!$B$25:$AW$25)))))</f>
        <v/>
      </c>
      <c r="S558" s="5">
        <f>SUMPRODUCT(('01_Data'!$B558:$AW558&lt;&gt;"")*(1/(1+EXP(-(Q558-'03_Lap_b'!$B$25:$AW$25))))^2)</f>
        <v/>
      </c>
      <c r="T558" s="5">
        <f>MEDIAN(-6,Q558+(C558-R558)/MAX(R558-S558,0.000000001),6)</f>
        <v/>
      </c>
      <c r="U558" s="5">
        <f>SUMPRODUCT(('01_Data'!$B558:$AW558&lt;&gt;"")*(1/(1+EXP(-(T558-'03_Lap_b'!$B$30:$AW$30)))))</f>
        <v/>
      </c>
      <c r="V558" s="5">
        <f>SUMPRODUCT(('01_Data'!$B558:$AW558&lt;&gt;"")*(1/(1+EXP(-(T558-'03_Lap_b'!$B$30:$AW$30))))^2)</f>
        <v/>
      </c>
      <c r="W558" s="5">
        <f>MEDIAN(-6,T558+(C558-U558)/MAX(U558-V558,0.000000001),6)</f>
        <v/>
      </c>
      <c r="X558" s="5">
        <f>SUMPRODUCT(('01_Data'!$B558:$AW558&lt;&gt;"")*(1/(1+EXP(-(W558-'03_Lap_b'!$B$35:$AW$35)))))</f>
        <v/>
      </c>
      <c r="Y558" s="5">
        <f>SUMPRODUCT(('01_Data'!$B558:$AW558&lt;&gt;"")*(1/(1+EXP(-(W558-'03_Lap_b'!$B$35:$AW$35))))^2)</f>
        <v/>
      </c>
      <c r="Z558" s="5">
        <f>MEDIAN(-6,W558+(C558-X558)/MAX(X558-Y558,0.000000001),6)</f>
        <v/>
      </c>
      <c r="AA558" s="5">
        <f>SUMPRODUCT(('01_Data'!$B558:$AW558&lt;&gt;"")*(1/(1+EXP(-(Z558-'03_Lap_b'!$B$40:$AW$40)))))</f>
        <v/>
      </c>
      <c r="AB558" s="5">
        <f>SUMPRODUCT(('01_Data'!$B558:$AW558&lt;&gt;"")*(1/(1+EXP(-(Z558-'03_Lap_b'!$B$40:$AW$40))))^2)</f>
        <v/>
      </c>
      <c r="AC558" s="5">
        <f>MEDIAN(-6,Z558+(C558-AA558)/MAX(AA558-AB558,0.000000001),6)</f>
        <v/>
      </c>
    </row>
    <row r="559">
      <c r="A559" t="n">
        <v>558</v>
      </c>
      <c r="B559">
        <f>'01_Data'!A559</f>
        <v/>
      </c>
      <c r="C559">
        <f>SUM('01_Data'!$B559:$AW559)</f>
        <v/>
      </c>
      <c r="D559">
        <f>COUNT('01_Data'!$B559:$AW559)</f>
        <v/>
      </c>
      <c r="E559" s="5">
        <f>MEDIAN(-6,LN((C559+0.3)/(D559-C559+0.3)),6)</f>
        <v/>
      </c>
      <c r="F559" s="5">
        <f>SUMPRODUCT(('01_Data'!$B559:$AW559&lt;&gt;"")*(1/(1+EXP(-(E559-'03_Lap_b'!$B$5:$AW$5)))))</f>
        <v/>
      </c>
      <c r="G559" s="5">
        <f>SUMPRODUCT(('01_Data'!$B559:$AW559&lt;&gt;"")*(1/(1+EXP(-(E559-'03_Lap_b'!$B$5:$AW$5))))^2)</f>
        <v/>
      </c>
      <c r="H559" s="5">
        <f>MEDIAN(-6,E559+(C559-F559)/MAX(F559-G559,0.000000001),6)</f>
        <v/>
      </c>
      <c r="I559" s="5">
        <f>SUMPRODUCT(('01_Data'!$B559:$AW559&lt;&gt;"")*(1/(1+EXP(-(H559-'03_Lap_b'!$B$10:$AW$10)))))</f>
        <v/>
      </c>
      <c r="J559" s="5">
        <f>SUMPRODUCT(('01_Data'!$B559:$AW559&lt;&gt;"")*(1/(1+EXP(-(H559-'03_Lap_b'!$B$10:$AW$10))))^2)</f>
        <v/>
      </c>
      <c r="K559" s="5">
        <f>MEDIAN(-6,H559+(C559-I559)/MAX(I559-J559,0.000000001),6)</f>
        <v/>
      </c>
      <c r="L559" s="5">
        <f>SUMPRODUCT(('01_Data'!$B559:$AW559&lt;&gt;"")*(1/(1+EXP(-(K559-'03_Lap_b'!$B$15:$AW$15)))))</f>
        <v/>
      </c>
      <c r="M559" s="5">
        <f>SUMPRODUCT(('01_Data'!$B559:$AW559&lt;&gt;"")*(1/(1+EXP(-(K559-'03_Lap_b'!$B$15:$AW$15))))^2)</f>
        <v/>
      </c>
      <c r="N559" s="5">
        <f>MEDIAN(-6,K559+(C559-L559)/MAX(L559-M559,0.000000001),6)</f>
        <v/>
      </c>
      <c r="O559" s="5">
        <f>SUMPRODUCT(('01_Data'!$B559:$AW559&lt;&gt;"")*(1/(1+EXP(-(N559-'03_Lap_b'!$B$20:$AW$20)))))</f>
        <v/>
      </c>
      <c r="P559" s="5">
        <f>SUMPRODUCT(('01_Data'!$B559:$AW559&lt;&gt;"")*(1/(1+EXP(-(N559-'03_Lap_b'!$B$20:$AW$20))))^2)</f>
        <v/>
      </c>
      <c r="Q559" s="5">
        <f>MEDIAN(-6,N559+(C559-O559)/MAX(O559-P559,0.000000001),6)</f>
        <v/>
      </c>
      <c r="R559" s="5">
        <f>SUMPRODUCT(('01_Data'!$B559:$AW559&lt;&gt;"")*(1/(1+EXP(-(Q559-'03_Lap_b'!$B$25:$AW$25)))))</f>
        <v/>
      </c>
      <c r="S559" s="5">
        <f>SUMPRODUCT(('01_Data'!$B559:$AW559&lt;&gt;"")*(1/(1+EXP(-(Q559-'03_Lap_b'!$B$25:$AW$25))))^2)</f>
        <v/>
      </c>
      <c r="T559" s="5">
        <f>MEDIAN(-6,Q559+(C559-R559)/MAX(R559-S559,0.000000001),6)</f>
        <v/>
      </c>
      <c r="U559" s="5">
        <f>SUMPRODUCT(('01_Data'!$B559:$AW559&lt;&gt;"")*(1/(1+EXP(-(T559-'03_Lap_b'!$B$30:$AW$30)))))</f>
        <v/>
      </c>
      <c r="V559" s="5">
        <f>SUMPRODUCT(('01_Data'!$B559:$AW559&lt;&gt;"")*(1/(1+EXP(-(T559-'03_Lap_b'!$B$30:$AW$30))))^2)</f>
        <v/>
      </c>
      <c r="W559" s="5">
        <f>MEDIAN(-6,T559+(C559-U559)/MAX(U559-V559,0.000000001),6)</f>
        <v/>
      </c>
      <c r="X559" s="5">
        <f>SUMPRODUCT(('01_Data'!$B559:$AW559&lt;&gt;"")*(1/(1+EXP(-(W559-'03_Lap_b'!$B$35:$AW$35)))))</f>
        <v/>
      </c>
      <c r="Y559" s="5">
        <f>SUMPRODUCT(('01_Data'!$B559:$AW559&lt;&gt;"")*(1/(1+EXP(-(W559-'03_Lap_b'!$B$35:$AW$35))))^2)</f>
        <v/>
      </c>
      <c r="Z559" s="5">
        <f>MEDIAN(-6,W559+(C559-X559)/MAX(X559-Y559,0.000000001),6)</f>
        <v/>
      </c>
      <c r="AA559" s="5">
        <f>SUMPRODUCT(('01_Data'!$B559:$AW559&lt;&gt;"")*(1/(1+EXP(-(Z559-'03_Lap_b'!$B$40:$AW$40)))))</f>
        <v/>
      </c>
      <c r="AB559" s="5">
        <f>SUMPRODUCT(('01_Data'!$B559:$AW559&lt;&gt;"")*(1/(1+EXP(-(Z559-'03_Lap_b'!$B$40:$AW$40))))^2)</f>
        <v/>
      </c>
      <c r="AC559" s="5">
        <f>MEDIAN(-6,Z559+(C559-AA559)/MAX(AA559-AB559,0.000000001),6)</f>
        <v/>
      </c>
    </row>
    <row r="560">
      <c r="A560" t="n">
        <v>559</v>
      </c>
      <c r="B560">
        <f>'01_Data'!A560</f>
        <v/>
      </c>
      <c r="C560">
        <f>SUM('01_Data'!$B560:$AW560)</f>
        <v/>
      </c>
      <c r="D560">
        <f>COUNT('01_Data'!$B560:$AW560)</f>
        <v/>
      </c>
      <c r="E560" s="5">
        <f>MEDIAN(-6,LN((C560+0.3)/(D560-C560+0.3)),6)</f>
        <v/>
      </c>
      <c r="F560" s="5">
        <f>SUMPRODUCT(('01_Data'!$B560:$AW560&lt;&gt;"")*(1/(1+EXP(-(E560-'03_Lap_b'!$B$5:$AW$5)))))</f>
        <v/>
      </c>
      <c r="G560" s="5">
        <f>SUMPRODUCT(('01_Data'!$B560:$AW560&lt;&gt;"")*(1/(1+EXP(-(E560-'03_Lap_b'!$B$5:$AW$5))))^2)</f>
        <v/>
      </c>
      <c r="H560" s="5">
        <f>MEDIAN(-6,E560+(C560-F560)/MAX(F560-G560,0.000000001),6)</f>
        <v/>
      </c>
      <c r="I560" s="5">
        <f>SUMPRODUCT(('01_Data'!$B560:$AW560&lt;&gt;"")*(1/(1+EXP(-(H560-'03_Lap_b'!$B$10:$AW$10)))))</f>
        <v/>
      </c>
      <c r="J560" s="5">
        <f>SUMPRODUCT(('01_Data'!$B560:$AW560&lt;&gt;"")*(1/(1+EXP(-(H560-'03_Lap_b'!$B$10:$AW$10))))^2)</f>
        <v/>
      </c>
      <c r="K560" s="5">
        <f>MEDIAN(-6,H560+(C560-I560)/MAX(I560-J560,0.000000001),6)</f>
        <v/>
      </c>
      <c r="L560" s="5">
        <f>SUMPRODUCT(('01_Data'!$B560:$AW560&lt;&gt;"")*(1/(1+EXP(-(K560-'03_Lap_b'!$B$15:$AW$15)))))</f>
        <v/>
      </c>
      <c r="M560" s="5">
        <f>SUMPRODUCT(('01_Data'!$B560:$AW560&lt;&gt;"")*(1/(1+EXP(-(K560-'03_Lap_b'!$B$15:$AW$15))))^2)</f>
        <v/>
      </c>
      <c r="N560" s="5">
        <f>MEDIAN(-6,K560+(C560-L560)/MAX(L560-M560,0.000000001),6)</f>
        <v/>
      </c>
      <c r="O560" s="5">
        <f>SUMPRODUCT(('01_Data'!$B560:$AW560&lt;&gt;"")*(1/(1+EXP(-(N560-'03_Lap_b'!$B$20:$AW$20)))))</f>
        <v/>
      </c>
      <c r="P560" s="5">
        <f>SUMPRODUCT(('01_Data'!$B560:$AW560&lt;&gt;"")*(1/(1+EXP(-(N560-'03_Lap_b'!$B$20:$AW$20))))^2)</f>
        <v/>
      </c>
      <c r="Q560" s="5">
        <f>MEDIAN(-6,N560+(C560-O560)/MAX(O560-P560,0.000000001),6)</f>
        <v/>
      </c>
      <c r="R560" s="5">
        <f>SUMPRODUCT(('01_Data'!$B560:$AW560&lt;&gt;"")*(1/(1+EXP(-(Q560-'03_Lap_b'!$B$25:$AW$25)))))</f>
        <v/>
      </c>
      <c r="S560" s="5">
        <f>SUMPRODUCT(('01_Data'!$B560:$AW560&lt;&gt;"")*(1/(1+EXP(-(Q560-'03_Lap_b'!$B$25:$AW$25))))^2)</f>
        <v/>
      </c>
      <c r="T560" s="5">
        <f>MEDIAN(-6,Q560+(C560-R560)/MAX(R560-S560,0.000000001),6)</f>
        <v/>
      </c>
      <c r="U560" s="5">
        <f>SUMPRODUCT(('01_Data'!$B560:$AW560&lt;&gt;"")*(1/(1+EXP(-(T560-'03_Lap_b'!$B$30:$AW$30)))))</f>
        <v/>
      </c>
      <c r="V560" s="5">
        <f>SUMPRODUCT(('01_Data'!$B560:$AW560&lt;&gt;"")*(1/(1+EXP(-(T560-'03_Lap_b'!$B$30:$AW$30))))^2)</f>
        <v/>
      </c>
      <c r="W560" s="5">
        <f>MEDIAN(-6,T560+(C560-U560)/MAX(U560-V560,0.000000001),6)</f>
        <v/>
      </c>
      <c r="X560" s="5">
        <f>SUMPRODUCT(('01_Data'!$B560:$AW560&lt;&gt;"")*(1/(1+EXP(-(W560-'03_Lap_b'!$B$35:$AW$35)))))</f>
        <v/>
      </c>
      <c r="Y560" s="5">
        <f>SUMPRODUCT(('01_Data'!$B560:$AW560&lt;&gt;"")*(1/(1+EXP(-(W560-'03_Lap_b'!$B$35:$AW$35))))^2)</f>
        <v/>
      </c>
      <c r="Z560" s="5">
        <f>MEDIAN(-6,W560+(C560-X560)/MAX(X560-Y560,0.000000001),6)</f>
        <v/>
      </c>
      <c r="AA560" s="5">
        <f>SUMPRODUCT(('01_Data'!$B560:$AW560&lt;&gt;"")*(1/(1+EXP(-(Z560-'03_Lap_b'!$B$40:$AW$40)))))</f>
        <v/>
      </c>
      <c r="AB560" s="5">
        <f>SUMPRODUCT(('01_Data'!$B560:$AW560&lt;&gt;"")*(1/(1+EXP(-(Z560-'03_Lap_b'!$B$40:$AW$40))))^2)</f>
        <v/>
      </c>
      <c r="AC560" s="5">
        <f>MEDIAN(-6,Z560+(C560-AA560)/MAX(AA560-AB560,0.000000001),6)</f>
        <v/>
      </c>
    </row>
    <row r="561">
      <c r="A561" t="n">
        <v>560</v>
      </c>
      <c r="B561">
        <f>'01_Data'!A561</f>
        <v/>
      </c>
      <c r="C561">
        <f>SUM('01_Data'!$B561:$AW561)</f>
        <v/>
      </c>
      <c r="D561">
        <f>COUNT('01_Data'!$B561:$AW561)</f>
        <v/>
      </c>
      <c r="E561" s="5">
        <f>MEDIAN(-6,LN((C561+0.3)/(D561-C561+0.3)),6)</f>
        <v/>
      </c>
      <c r="F561" s="5">
        <f>SUMPRODUCT(('01_Data'!$B561:$AW561&lt;&gt;"")*(1/(1+EXP(-(E561-'03_Lap_b'!$B$5:$AW$5)))))</f>
        <v/>
      </c>
      <c r="G561" s="5">
        <f>SUMPRODUCT(('01_Data'!$B561:$AW561&lt;&gt;"")*(1/(1+EXP(-(E561-'03_Lap_b'!$B$5:$AW$5))))^2)</f>
        <v/>
      </c>
      <c r="H561" s="5">
        <f>MEDIAN(-6,E561+(C561-F561)/MAX(F561-G561,0.000000001),6)</f>
        <v/>
      </c>
      <c r="I561" s="5">
        <f>SUMPRODUCT(('01_Data'!$B561:$AW561&lt;&gt;"")*(1/(1+EXP(-(H561-'03_Lap_b'!$B$10:$AW$10)))))</f>
        <v/>
      </c>
      <c r="J561" s="5">
        <f>SUMPRODUCT(('01_Data'!$B561:$AW561&lt;&gt;"")*(1/(1+EXP(-(H561-'03_Lap_b'!$B$10:$AW$10))))^2)</f>
        <v/>
      </c>
      <c r="K561" s="5">
        <f>MEDIAN(-6,H561+(C561-I561)/MAX(I561-J561,0.000000001),6)</f>
        <v/>
      </c>
      <c r="L561" s="5">
        <f>SUMPRODUCT(('01_Data'!$B561:$AW561&lt;&gt;"")*(1/(1+EXP(-(K561-'03_Lap_b'!$B$15:$AW$15)))))</f>
        <v/>
      </c>
      <c r="M561" s="5">
        <f>SUMPRODUCT(('01_Data'!$B561:$AW561&lt;&gt;"")*(1/(1+EXP(-(K561-'03_Lap_b'!$B$15:$AW$15))))^2)</f>
        <v/>
      </c>
      <c r="N561" s="5">
        <f>MEDIAN(-6,K561+(C561-L561)/MAX(L561-M561,0.000000001),6)</f>
        <v/>
      </c>
      <c r="O561" s="5">
        <f>SUMPRODUCT(('01_Data'!$B561:$AW561&lt;&gt;"")*(1/(1+EXP(-(N561-'03_Lap_b'!$B$20:$AW$20)))))</f>
        <v/>
      </c>
      <c r="P561" s="5">
        <f>SUMPRODUCT(('01_Data'!$B561:$AW561&lt;&gt;"")*(1/(1+EXP(-(N561-'03_Lap_b'!$B$20:$AW$20))))^2)</f>
        <v/>
      </c>
      <c r="Q561" s="5">
        <f>MEDIAN(-6,N561+(C561-O561)/MAX(O561-P561,0.000000001),6)</f>
        <v/>
      </c>
      <c r="R561" s="5">
        <f>SUMPRODUCT(('01_Data'!$B561:$AW561&lt;&gt;"")*(1/(1+EXP(-(Q561-'03_Lap_b'!$B$25:$AW$25)))))</f>
        <v/>
      </c>
      <c r="S561" s="5">
        <f>SUMPRODUCT(('01_Data'!$B561:$AW561&lt;&gt;"")*(1/(1+EXP(-(Q561-'03_Lap_b'!$B$25:$AW$25))))^2)</f>
        <v/>
      </c>
      <c r="T561" s="5">
        <f>MEDIAN(-6,Q561+(C561-R561)/MAX(R561-S561,0.000000001),6)</f>
        <v/>
      </c>
      <c r="U561" s="5">
        <f>SUMPRODUCT(('01_Data'!$B561:$AW561&lt;&gt;"")*(1/(1+EXP(-(T561-'03_Lap_b'!$B$30:$AW$30)))))</f>
        <v/>
      </c>
      <c r="V561" s="5">
        <f>SUMPRODUCT(('01_Data'!$B561:$AW561&lt;&gt;"")*(1/(1+EXP(-(T561-'03_Lap_b'!$B$30:$AW$30))))^2)</f>
        <v/>
      </c>
      <c r="W561" s="5">
        <f>MEDIAN(-6,T561+(C561-U561)/MAX(U561-V561,0.000000001),6)</f>
        <v/>
      </c>
      <c r="X561" s="5">
        <f>SUMPRODUCT(('01_Data'!$B561:$AW561&lt;&gt;"")*(1/(1+EXP(-(W561-'03_Lap_b'!$B$35:$AW$35)))))</f>
        <v/>
      </c>
      <c r="Y561" s="5">
        <f>SUMPRODUCT(('01_Data'!$B561:$AW561&lt;&gt;"")*(1/(1+EXP(-(W561-'03_Lap_b'!$B$35:$AW$35))))^2)</f>
        <v/>
      </c>
      <c r="Z561" s="5">
        <f>MEDIAN(-6,W561+(C561-X561)/MAX(X561-Y561,0.000000001),6)</f>
        <v/>
      </c>
      <c r="AA561" s="5">
        <f>SUMPRODUCT(('01_Data'!$B561:$AW561&lt;&gt;"")*(1/(1+EXP(-(Z561-'03_Lap_b'!$B$40:$AW$40)))))</f>
        <v/>
      </c>
      <c r="AB561" s="5">
        <f>SUMPRODUCT(('01_Data'!$B561:$AW561&lt;&gt;"")*(1/(1+EXP(-(Z561-'03_Lap_b'!$B$40:$AW$40))))^2)</f>
        <v/>
      </c>
      <c r="AC561" s="5">
        <f>MEDIAN(-6,Z561+(C561-AA561)/MAX(AA561-AB561,0.000000001),6)</f>
        <v/>
      </c>
    </row>
    <row r="562">
      <c r="A562" t="n">
        <v>561</v>
      </c>
      <c r="B562">
        <f>'01_Data'!A562</f>
        <v/>
      </c>
      <c r="C562">
        <f>SUM('01_Data'!$B562:$AW562)</f>
        <v/>
      </c>
      <c r="D562">
        <f>COUNT('01_Data'!$B562:$AW562)</f>
        <v/>
      </c>
      <c r="E562" s="5">
        <f>MEDIAN(-6,LN((C562+0.3)/(D562-C562+0.3)),6)</f>
        <v/>
      </c>
      <c r="F562" s="5">
        <f>SUMPRODUCT(('01_Data'!$B562:$AW562&lt;&gt;"")*(1/(1+EXP(-(E562-'03_Lap_b'!$B$5:$AW$5)))))</f>
        <v/>
      </c>
      <c r="G562" s="5">
        <f>SUMPRODUCT(('01_Data'!$B562:$AW562&lt;&gt;"")*(1/(1+EXP(-(E562-'03_Lap_b'!$B$5:$AW$5))))^2)</f>
        <v/>
      </c>
      <c r="H562" s="5">
        <f>MEDIAN(-6,E562+(C562-F562)/MAX(F562-G562,0.000000001),6)</f>
        <v/>
      </c>
      <c r="I562" s="5">
        <f>SUMPRODUCT(('01_Data'!$B562:$AW562&lt;&gt;"")*(1/(1+EXP(-(H562-'03_Lap_b'!$B$10:$AW$10)))))</f>
        <v/>
      </c>
      <c r="J562" s="5">
        <f>SUMPRODUCT(('01_Data'!$B562:$AW562&lt;&gt;"")*(1/(1+EXP(-(H562-'03_Lap_b'!$B$10:$AW$10))))^2)</f>
        <v/>
      </c>
      <c r="K562" s="5">
        <f>MEDIAN(-6,H562+(C562-I562)/MAX(I562-J562,0.000000001),6)</f>
        <v/>
      </c>
      <c r="L562" s="5">
        <f>SUMPRODUCT(('01_Data'!$B562:$AW562&lt;&gt;"")*(1/(1+EXP(-(K562-'03_Lap_b'!$B$15:$AW$15)))))</f>
        <v/>
      </c>
      <c r="M562" s="5">
        <f>SUMPRODUCT(('01_Data'!$B562:$AW562&lt;&gt;"")*(1/(1+EXP(-(K562-'03_Lap_b'!$B$15:$AW$15))))^2)</f>
        <v/>
      </c>
      <c r="N562" s="5">
        <f>MEDIAN(-6,K562+(C562-L562)/MAX(L562-M562,0.000000001),6)</f>
        <v/>
      </c>
      <c r="O562" s="5">
        <f>SUMPRODUCT(('01_Data'!$B562:$AW562&lt;&gt;"")*(1/(1+EXP(-(N562-'03_Lap_b'!$B$20:$AW$20)))))</f>
        <v/>
      </c>
      <c r="P562" s="5">
        <f>SUMPRODUCT(('01_Data'!$B562:$AW562&lt;&gt;"")*(1/(1+EXP(-(N562-'03_Lap_b'!$B$20:$AW$20))))^2)</f>
        <v/>
      </c>
      <c r="Q562" s="5">
        <f>MEDIAN(-6,N562+(C562-O562)/MAX(O562-P562,0.000000001),6)</f>
        <v/>
      </c>
      <c r="R562" s="5">
        <f>SUMPRODUCT(('01_Data'!$B562:$AW562&lt;&gt;"")*(1/(1+EXP(-(Q562-'03_Lap_b'!$B$25:$AW$25)))))</f>
        <v/>
      </c>
      <c r="S562" s="5">
        <f>SUMPRODUCT(('01_Data'!$B562:$AW562&lt;&gt;"")*(1/(1+EXP(-(Q562-'03_Lap_b'!$B$25:$AW$25))))^2)</f>
        <v/>
      </c>
      <c r="T562" s="5">
        <f>MEDIAN(-6,Q562+(C562-R562)/MAX(R562-S562,0.000000001),6)</f>
        <v/>
      </c>
      <c r="U562" s="5">
        <f>SUMPRODUCT(('01_Data'!$B562:$AW562&lt;&gt;"")*(1/(1+EXP(-(T562-'03_Lap_b'!$B$30:$AW$30)))))</f>
        <v/>
      </c>
      <c r="V562" s="5">
        <f>SUMPRODUCT(('01_Data'!$B562:$AW562&lt;&gt;"")*(1/(1+EXP(-(T562-'03_Lap_b'!$B$30:$AW$30))))^2)</f>
        <v/>
      </c>
      <c r="W562" s="5">
        <f>MEDIAN(-6,T562+(C562-U562)/MAX(U562-V562,0.000000001),6)</f>
        <v/>
      </c>
      <c r="X562" s="5">
        <f>SUMPRODUCT(('01_Data'!$B562:$AW562&lt;&gt;"")*(1/(1+EXP(-(W562-'03_Lap_b'!$B$35:$AW$35)))))</f>
        <v/>
      </c>
      <c r="Y562" s="5">
        <f>SUMPRODUCT(('01_Data'!$B562:$AW562&lt;&gt;"")*(1/(1+EXP(-(W562-'03_Lap_b'!$B$35:$AW$35))))^2)</f>
        <v/>
      </c>
      <c r="Z562" s="5">
        <f>MEDIAN(-6,W562+(C562-X562)/MAX(X562-Y562,0.000000001),6)</f>
        <v/>
      </c>
      <c r="AA562" s="5">
        <f>SUMPRODUCT(('01_Data'!$B562:$AW562&lt;&gt;"")*(1/(1+EXP(-(Z562-'03_Lap_b'!$B$40:$AW$40)))))</f>
        <v/>
      </c>
      <c r="AB562" s="5">
        <f>SUMPRODUCT(('01_Data'!$B562:$AW562&lt;&gt;"")*(1/(1+EXP(-(Z562-'03_Lap_b'!$B$40:$AW$40))))^2)</f>
        <v/>
      </c>
      <c r="AC562" s="5">
        <f>MEDIAN(-6,Z562+(C562-AA562)/MAX(AA562-AB562,0.000000001),6)</f>
        <v/>
      </c>
    </row>
    <row r="563">
      <c r="A563" t="n">
        <v>562</v>
      </c>
      <c r="B563">
        <f>'01_Data'!A563</f>
        <v/>
      </c>
      <c r="C563">
        <f>SUM('01_Data'!$B563:$AW563)</f>
        <v/>
      </c>
      <c r="D563">
        <f>COUNT('01_Data'!$B563:$AW563)</f>
        <v/>
      </c>
      <c r="E563" s="5">
        <f>MEDIAN(-6,LN((C563+0.3)/(D563-C563+0.3)),6)</f>
        <v/>
      </c>
      <c r="F563" s="5">
        <f>SUMPRODUCT(('01_Data'!$B563:$AW563&lt;&gt;"")*(1/(1+EXP(-(E563-'03_Lap_b'!$B$5:$AW$5)))))</f>
        <v/>
      </c>
      <c r="G563" s="5">
        <f>SUMPRODUCT(('01_Data'!$B563:$AW563&lt;&gt;"")*(1/(1+EXP(-(E563-'03_Lap_b'!$B$5:$AW$5))))^2)</f>
        <v/>
      </c>
      <c r="H563" s="5">
        <f>MEDIAN(-6,E563+(C563-F563)/MAX(F563-G563,0.000000001),6)</f>
        <v/>
      </c>
      <c r="I563" s="5">
        <f>SUMPRODUCT(('01_Data'!$B563:$AW563&lt;&gt;"")*(1/(1+EXP(-(H563-'03_Lap_b'!$B$10:$AW$10)))))</f>
        <v/>
      </c>
      <c r="J563" s="5">
        <f>SUMPRODUCT(('01_Data'!$B563:$AW563&lt;&gt;"")*(1/(1+EXP(-(H563-'03_Lap_b'!$B$10:$AW$10))))^2)</f>
        <v/>
      </c>
      <c r="K563" s="5">
        <f>MEDIAN(-6,H563+(C563-I563)/MAX(I563-J563,0.000000001),6)</f>
        <v/>
      </c>
      <c r="L563" s="5">
        <f>SUMPRODUCT(('01_Data'!$B563:$AW563&lt;&gt;"")*(1/(1+EXP(-(K563-'03_Lap_b'!$B$15:$AW$15)))))</f>
        <v/>
      </c>
      <c r="M563" s="5">
        <f>SUMPRODUCT(('01_Data'!$B563:$AW563&lt;&gt;"")*(1/(1+EXP(-(K563-'03_Lap_b'!$B$15:$AW$15))))^2)</f>
        <v/>
      </c>
      <c r="N563" s="5">
        <f>MEDIAN(-6,K563+(C563-L563)/MAX(L563-M563,0.000000001),6)</f>
        <v/>
      </c>
      <c r="O563" s="5">
        <f>SUMPRODUCT(('01_Data'!$B563:$AW563&lt;&gt;"")*(1/(1+EXP(-(N563-'03_Lap_b'!$B$20:$AW$20)))))</f>
        <v/>
      </c>
      <c r="P563" s="5">
        <f>SUMPRODUCT(('01_Data'!$B563:$AW563&lt;&gt;"")*(1/(1+EXP(-(N563-'03_Lap_b'!$B$20:$AW$20))))^2)</f>
        <v/>
      </c>
      <c r="Q563" s="5">
        <f>MEDIAN(-6,N563+(C563-O563)/MAX(O563-P563,0.000000001),6)</f>
        <v/>
      </c>
      <c r="R563" s="5">
        <f>SUMPRODUCT(('01_Data'!$B563:$AW563&lt;&gt;"")*(1/(1+EXP(-(Q563-'03_Lap_b'!$B$25:$AW$25)))))</f>
        <v/>
      </c>
      <c r="S563" s="5">
        <f>SUMPRODUCT(('01_Data'!$B563:$AW563&lt;&gt;"")*(1/(1+EXP(-(Q563-'03_Lap_b'!$B$25:$AW$25))))^2)</f>
        <v/>
      </c>
      <c r="T563" s="5">
        <f>MEDIAN(-6,Q563+(C563-R563)/MAX(R563-S563,0.000000001),6)</f>
        <v/>
      </c>
      <c r="U563" s="5">
        <f>SUMPRODUCT(('01_Data'!$B563:$AW563&lt;&gt;"")*(1/(1+EXP(-(T563-'03_Lap_b'!$B$30:$AW$30)))))</f>
        <v/>
      </c>
      <c r="V563" s="5">
        <f>SUMPRODUCT(('01_Data'!$B563:$AW563&lt;&gt;"")*(1/(1+EXP(-(T563-'03_Lap_b'!$B$30:$AW$30))))^2)</f>
        <v/>
      </c>
      <c r="W563" s="5">
        <f>MEDIAN(-6,T563+(C563-U563)/MAX(U563-V563,0.000000001),6)</f>
        <v/>
      </c>
      <c r="X563" s="5">
        <f>SUMPRODUCT(('01_Data'!$B563:$AW563&lt;&gt;"")*(1/(1+EXP(-(W563-'03_Lap_b'!$B$35:$AW$35)))))</f>
        <v/>
      </c>
      <c r="Y563" s="5">
        <f>SUMPRODUCT(('01_Data'!$B563:$AW563&lt;&gt;"")*(1/(1+EXP(-(W563-'03_Lap_b'!$B$35:$AW$35))))^2)</f>
        <v/>
      </c>
      <c r="Z563" s="5">
        <f>MEDIAN(-6,W563+(C563-X563)/MAX(X563-Y563,0.000000001),6)</f>
        <v/>
      </c>
      <c r="AA563" s="5">
        <f>SUMPRODUCT(('01_Data'!$B563:$AW563&lt;&gt;"")*(1/(1+EXP(-(Z563-'03_Lap_b'!$B$40:$AW$40)))))</f>
        <v/>
      </c>
      <c r="AB563" s="5">
        <f>SUMPRODUCT(('01_Data'!$B563:$AW563&lt;&gt;"")*(1/(1+EXP(-(Z563-'03_Lap_b'!$B$40:$AW$40))))^2)</f>
        <v/>
      </c>
      <c r="AC563" s="5">
        <f>MEDIAN(-6,Z563+(C563-AA563)/MAX(AA563-AB563,0.000000001),6)</f>
        <v/>
      </c>
    </row>
    <row r="564">
      <c r="A564" t="n">
        <v>563</v>
      </c>
      <c r="B564">
        <f>'01_Data'!A564</f>
        <v/>
      </c>
      <c r="C564">
        <f>SUM('01_Data'!$B564:$AW564)</f>
        <v/>
      </c>
      <c r="D564">
        <f>COUNT('01_Data'!$B564:$AW564)</f>
        <v/>
      </c>
      <c r="E564" s="5">
        <f>MEDIAN(-6,LN((C564+0.3)/(D564-C564+0.3)),6)</f>
        <v/>
      </c>
      <c r="F564" s="5">
        <f>SUMPRODUCT(('01_Data'!$B564:$AW564&lt;&gt;"")*(1/(1+EXP(-(E564-'03_Lap_b'!$B$5:$AW$5)))))</f>
        <v/>
      </c>
      <c r="G564" s="5">
        <f>SUMPRODUCT(('01_Data'!$B564:$AW564&lt;&gt;"")*(1/(1+EXP(-(E564-'03_Lap_b'!$B$5:$AW$5))))^2)</f>
        <v/>
      </c>
      <c r="H564" s="5">
        <f>MEDIAN(-6,E564+(C564-F564)/MAX(F564-G564,0.000000001),6)</f>
        <v/>
      </c>
      <c r="I564" s="5">
        <f>SUMPRODUCT(('01_Data'!$B564:$AW564&lt;&gt;"")*(1/(1+EXP(-(H564-'03_Lap_b'!$B$10:$AW$10)))))</f>
        <v/>
      </c>
      <c r="J564" s="5">
        <f>SUMPRODUCT(('01_Data'!$B564:$AW564&lt;&gt;"")*(1/(1+EXP(-(H564-'03_Lap_b'!$B$10:$AW$10))))^2)</f>
        <v/>
      </c>
      <c r="K564" s="5">
        <f>MEDIAN(-6,H564+(C564-I564)/MAX(I564-J564,0.000000001),6)</f>
        <v/>
      </c>
      <c r="L564" s="5">
        <f>SUMPRODUCT(('01_Data'!$B564:$AW564&lt;&gt;"")*(1/(1+EXP(-(K564-'03_Lap_b'!$B$15:$AW$15)))))</f>
        <v/>
      </c>
      <c r="M564" s="5">
        <f>SUMPRODUCT(('01_Data'!$B564:$AW564&lt;&gt;"")*(1/(1+EXP(-(K564-'03_Lap_b'!$B$15:$AW$15))))^2)</f>
        <v/>
      </c>
      <c r="N564" s="5">
        <f>MEDIAN(-6,K564+(C564-L564)/MAX(L564-M564,0.000000001),6)</f>
        <v/>
      </c>
      <c r="O564" s="5">
        <f>SUMPRODUCT(('01_Data'!$B564:$AW564&lt;&gt;"")*(1/(1+EXP(-(N564-'03_Lap_b'!$B$20:$AW$20)))))</f>
        <v/>
      </c>
      <c r="P564" s="5">
        <f>SUMPRODUCT(('01_Data'!$B564:$AW564&lt;&gt;"")*(1/(1+EXP(-(N564-'03_Lap_b'!$B$20:$AW$20))))^2)</f>
        <v/>
      </c>
      <c r="Q564" s="5">
        <f>MEDIAN(-6,N564+(C564-O564)/MAX(O564-P564,0.000000001),6)</f>
        <v/>
      </c>
      <c r="R564" s="5">
        <f>SUMPRODUCT(('01_Data'!$B564:$AW564&lt;&gt;"")*(1/(1+EXP(-(Q564-'03_Lap_b'!$B$25:$AW$25)))))</f>
        <v/>
      </c>
      <c r="S564" s="5">
        <f>SUMPRODUCT(('01_Data'!$B564:$AW564&lt;&gt;"")*(1/(1+EXP(-(Q564-'03_Lap_b'!$B$25:$AW$25))))^2)</f>
        <v/>
      </c>
      <c r="T564" s="5">
        <f>MEDIAN(-6,Q564+(C564-R564)/MAX(R564-S564,0.000000001),6)</f>
        <v/>
      </c>
      <c r="U564" s="5">
        <f>SUMPRODUCT(('01_Data'!$B564:$AW564&lt;&gt;"")*(1/(1+EXP(-(T564-'03_Lap_b'!$B$30:$AW$30)))))</f>
        <v/>
      </c>
      <c r="V564" s="5">
        <f>SUMPRODUCT(('01_Data'!$B564:$AW564&lt;&gt;"")*(1/(1+EXP(-(T564-'03_Lap_b'!$B$30:$AW$30))))^2)</f>
        <v/>
      </c>
      <c r="W564" s="5">
        <f>MEDIAN(-6,T564+(C564-U564)/MAX(U564-V564,0.000000001),6)</f>
        <v/>
      </c>
      <c r="X564" s="5">
        <f>SUMPRODUCT(('01_Data'!$B564:$AW564&lt;&gt;"")*(1/(1+EXP(-(W564-'03_Lap_b'!$B$35:$AW$35)))))</f>
        <v/>
      </c>
      <c r="Y564" s="5">
        <f>SUMPRODUCT(('01_Data'!$B564:$AW564&lt;&gt;"")*(1/(1+EXP(-(W564-'03_Lap_b'!$B$35:$AW$35))))^2)</f>
        <v/>
      </c>
      <c r="Z564" s="5">
        <f>MEDIAN(-6,W564+(C564-X564)/MAX(X564-Y564,0.000000001),6)</f>
        <v/>
      </c>
      <c r="AA564" s="5">
        <f>SUMPRODUCT(('01_Data'!$B564:$AW564&lt;&gt;"")*(1/(1+EXP(-(Z564-'03_Lap_b'!$B$40:$AW$40)))))</f>
        <v/>
      </c>
      <c r="AB564" s="5">
        <f>SUMPRODUCT(('01_Data'!$B564:$AW564&lt;&gt;"")*(1/(1+EXP(-(Z564-'03_Lap_b'!$B$40:$AW$40))))^2)</f>
        <v/>
      </c>
      <c r="AC564" s="5">
        <f>MEDIAN(-6,Z564+(C564-AA564)/MAX(AA564-AB564,0.000000001),6)</f>
        <v/>
      </c>
    </row>
    <row r="565">
      <c r="A565" t="n">
        <v>564</v>
      </c>
      <c r="B565">
        <f>'01_Data'!A565</f>
        <v/>
      </c>
      <c r="C565">
        <f>SUM('01_Data'!$B565:$AW565)</f>
        <v/>
      </c>
      <c r="D565">
        <f>COUNT('01_Data'!$B565:$AW565)</f>
        <v/>
      </c>
      <c r="E565" s="5">
        <f>MEDIAN(-6,LN((C565+0.3)/(D565-C565+0.3)),6)</f>
        <v/>
      </c>
      <c r="F565" s="5">
        <f>SUMPRODUCT(('01_Data'!$B565:$AW565&lt;&gt;"")*(1/(1+EXP(-(E565-'03_Lap_b'!$B$5:$AW$5)))))</f>
        <v/>
      </c>
      <c r="G565" s="5">
        <f>SUMPRODUCT(('01_Data'!$B565:$AW565&lt;&gt;"")*(1/(1+EXP(-(E565-'03_Lap_b'!$B$5:$AW$5))))^2)</f>
        <v/>
      </c>
      <c r="H565" s="5">
        <f>MEDIAN(-6,E565+(C565-F565)/MAX(F565-G565,0.000000001),6)</f>
        <v/>
      </c>
      <c r="I565" s="5">
        <f>SUMPRODUCT(('01_Data'!$B565:$AW565&lt;&gt;"")*(1/(1+EXP(-(H565-'03_Lap_b'!$B$10:$AW$10)))))</f>
        <v/>
      </c>
      <c r="J565" s="5">
        <f>SUMPRODUCT(('01_Data'!$B565:$AW565&lt;&gt;"")*(1/(1+EXP(-(H565-'03_Lap_b'!$B$10:$AW$10))))^2)</f>
        <v/>
      </c>
      <c r="K565" s="5">
        <f>MEDIAN(-6,H565+(C565-I565)/MAX(I565-J565,0.000000001),6)</f>
        <v/>
      </c>
      <c r="L565" s="5">
        <f>SUMPRODUCT(('01_Data'!$B565:$AW565&lt;&gt;"")*(1/(1+EXP(-(K565-'03_Lap_b'!$B$15:$AW$15)))))</f>
        <v/>
      </c>
      <c r="M565" s="5">
        <f>SUMPRODUCT(('01_Data'!$B565:$AW565&lt;&gt;"")*(1/(1+EXP(-(K565-'03_Lap_b'!$B$15:$AW$15))))^2)</f>
        <v/>
      </c>
      <c r="N565" s="5">
        <f>MEDIAN(-6,K565+(C565-L565)/MAX(L565-M565,0.000000001),6)</f>
        <v/>
      </c>
      <c r="O565" s="5">
        <f>SUMPRODUCT(('01_Data'!$B565:$AW565&lt;&gt;"")*(1/(1+EXP(-(N565-'03_Lap_b'!$B$20:$AW$20)))))</f>
        <v/>
      </c>
      <c r="P565" s="5">
        <f>SUMPRODUCT(('01_Data'!$B565:$AW565&lt;&gt;"")*(1/(1+EXP(-(N565-'03_Lap_b'!$B$20:$AW$20))))^2)</f>
        <v/>
      </c>
      <c r="Q565" s="5">
        <f>MEDIAN(-6,N565+(C565-O565)/MAX(O565-P565,0.000000001),6)</f>
        <v/>
      </c>
      <c r="R565" s="5">
        <f>SUMPRODUCT(('01_Data'!$B565:$AW565&lt;&gt;"")*(1/(1+EXP(-(Q565-'03_Lap_b'!$B$25:$AW$25)))))</f>
        <v/>
      </c>
      <c r="S565" s="5">
        <f>SUMPRODUCT(('01_Data'!$B565:$AW565&lt;&gt;"")*(1/(1+EXP(-(Q565-'03_Lap_b'!$B$25:$AW$25))))^2)</f>
        <v/>
      </c>
      <c r="T565" s="5">
        <f>MEDIAN(-6,Q565+(C565-R565)/MAX(R565-S565,0.000000001),6)</f>
        <v/>
      </c>
      <c r="U565" s="5">
        <f>SUMPRODUCT(('01_Data'!$B565:$AW565&lt;&gt;"")*(1/(1+EXP(-(T565-'03_Lap_b'!$B$30:$AW$30)))))</f>
        <v/>
      </c>
      <c r="V565" s="5">
        <f>SUMPRODUCT(('01_Data'!$B565:$AW565&lt;&gt;"")*(1/(1+EXP(-(T565-'03_Lap_b'!$B$30:$AW$30))))^2)</f>
        <v/>
      </c>
      <c r="W565" s="5">
        <f>MEDIAN(-6,T565+(C565-U565)/MAX(U565-V565,0.000000001),6)</f>
        <v/>
      </c>
      <c r="X565" s="5">
        <f>SUMPRODUCT(('01_Data'!$B565:$AW565&lt;&gt;"")*(1/(1+EXP(-(W565-'03_Lap_b'!$B$35:$AW$35)))))</f>
        <v/>
      </c>
      <c r="Y565" s="5">
        <f>SUMPRODUCT(('01_Data'!$B565:$AW565&lt;&gt;"")*(1/(1+EXP(-(W565-'03_Lap_b'!$B$35:$AW$35))))^2)</f>
        <v/>
      </c>
      <c r="Z565" s="5">
        <f>MEDIAN(-6,W565+(C565-X565)/MAX(X565-Y565,0.000000001),6)</f>
        <v/>
      </c>
      <c r="AA565" s="5">
        <f>SUMPRODUCT(('01_Data'!$B565:$AW565&lt;&gt;"")*(1/(1+EXP(-(Z565-'03_Lap_b'!$B$40:$AW$40)))))</f>
        <v/>
      </c>
      <c r="AB565" s="5">
        <f>SUMPRODUCT(('01_Data'!$B565:$AW565&lt;&gt;"")*(1/(1+EXP(-(Z565-'03_Lap_b'!$B$40:$AW$40))))^2)</f>
        <v/>
      </c>
      <c r="AC565" s="5">
        <f>MEDIAN(-6,Z565+(C565-AA565)/MAX(AA565-AB565,0.000000001),6)</f>
        <v/>
      </c>
    </row>
    <row r="566">
      <c r="A566" t="n">
        <v>565</v>
      </c>
      <c r="B566">
        <f>'01_Data'!A566</f>
        <v/>
      </c>
      <c r="C566">
        <f>SUM('01_Data'!$B566:$AW566)</f>
        <v/>
      </c>
      <c r="D566">
        <f>COUNT('01_Data'!$B566:$AW566)</f>
        <v/>
      </c>
      <c r="E566" s="5">
        <f>MEDIAN(-6,LN((C566+0.3)/(D566-C566+0.3)),6)</f>
        <v/>
      </c>
      <c r="F566" s="5">
        <f>SUMPRODUCT(('01_Data'!$B566:$AW566&lt;&gt;"")*(1/(1+EXP(-(E566-'03_Lap_b'!$B$5:$AW$5)))))</f>
        <v/>
      </c>
      <c r="G566" s="5">
        <f>SUMPRODUCT(('01_Data'!$B566:$AW566&lt;&gt;"")*(1/(1+EXP(-(E566-'03_Lap_b'!$B$5:$AW$5))))^2)</f>
        <v/>
      </c>
      <c r="H566" s="5">
        <f>MEDIAN(-6,E566+(C566-F566)/MAX(F566-G566,0.000000001),6)</f>
        <v/>
      </c>
      <c r="I566" s="5">
        <f>SUMPRODUCT(('01_Data'!$B566:$AW566&lt;&gt;"")*(1/(1+EXP(-(H566-'03_Lap_b'!$B$10:$AW$10)))))</f>
        <v/>
      </c>
      <c r="J566" s="5">
        <f>SUMPRODUCT(('01_Data'!$B566:$AW566&lt;&gt;"")*(1/(1+EXP(-(H566-'03_Lap_b'!$B$10:$AW$10))))^2)</f>
        <v/>
      </c>
      <c r="K566" s="5">
        <f>MEDIAN(-6,H566+(C566-I566)/MAX(I566-J566,0.000000001),6)</f>
        <v/>
      </c>
      <c r="L566" s="5">
        <f>SUMPRODUCT(('01_Data'!$B566:$AW566&lt;&gt;"")*(1/(1+EXP(-(K566-'03_Lap_b'!$B$15:$AW$15)))))</f>
        <v/>
      </c>
      <c r="M566" s="5">
        <f>SUMPRODUCT(('01_Data'!$B566:$AW566&lt;&gt;"")*(1/(1+EXP(-(K566-'03_Lap_b'!$B$15:$AW$15))))^2)</f>
        <v/>
      </c>
      <c r="N566" s="5">
        <f>MEDIAN(-6,K566+(C566-L566)/MAX(L566-M566,0.000000001),6)</f>
        <v/>
      </c>
      <c r="O566" s="5">
        <f>SUMPRODUCT(('01_Data'!$B566:$AW566&lt;&gt;"")*(1/(1+EXP(-(N566-'03_Lap_b'!$B$20:$AW$20)))))</f>
        <v/>
      </c>
      <c r="P566" s="5">
        <f>SUMPRODUCT(('01_Data'!$B566:$AW566&lt;&gt;"")*(1/(1+EXP(-(N566-'03_Lap_b'!$B$20:$AW$20))))^2)</f>
        <v/>
      </c>
      <c r="Q566" s="5">
        <f>MEDIAN(-6,N566+(C566-O566)/MAX(O566-P566,0.000000001),6)</f>
        <v/>
      </c>
      <c r="R566" s="5">
        <f>SUMPRODUCT(('01_Data'!$B566:$AW566&lt;&gt;"")*(1/(1+EXP(-(Q566-'03_Lap_b'!$B$25:$AW$25)))))</f>
        <v/>
      </c>
      <c r="S566" s="5">
        <f>SUMPRODUCT(('01_Data'!$B566:$AW566&lt;&gt;"")*(1/(1+EXP(-(Q566-'03_Lap_b'!$B$25:$AW$25))))^2)</f>
        <v/>
      </c>
      <c r="T566" s="5">
        <f>MEDIAN(-6,Q566+(C566-R566)/MAX(R566-S566,0.000000001),6)</f>
        <v/>
      </c>
      <c r="U566" s="5">
        <f>SUMPRODUCT(('01_Data'!$B566:$AW566&lt;&gt;"")*(1/(1+EXP(-(T566-'03_Lap_b'!$B$30:$AW$30)))))</f>
        <v/>
      </c>
      <c r="V566" s="5">
        <f>SUMPRODUCT(('01_Data'!$B566:$AW566&lt;&gt;"")*(1/(1+EXP(-(T566-'03_Lap_b'!$B$30:$AW$30))))^2)</f>
        <v/>
      </c>
      <c r="W566" s="5">
        <f>MEDIAN(-6,T566+(C566-U566)/MAX(U566-V566,0.000000001),6)</f>
        <v/>
      </c>
      <c r="X566" s="5">
        <f>SUMPRODUCT(('01_Data'!$B566:$AW566&lt;&gt;"")*(1/(1+EXP(-(W566-'03_Lap_b'!$B$35:$AW$35)))))</f>
        <v/>
      </c>
      <c r="Y566" s="5">
        <f>SUMPRODUCT(('01_Data'!$B566:$AW566&lt;&gt;"")*(1/(1+EXP(-(W566-'03_Lap_b'!$B$35:$AW$35))))^2)</f>
        <v/>
      </c>
      <c r="Z566" s="5">
        <f>MEDIAN(-6,W566+(C566-X566)/MAX(X566-Y566,0.000000001),6)</f>
        <v/>
      </c>
      <c r="AA566" s="5">
        <f>SUMPRODUCT(('01_Data'!$B566:$AW566&lt;&gt;"")*(1/(1+EXP(-(Z566-'03_Lap_b'!$B$40:$AW$40)))))</f>
        <v/>
      </c>
      <c r="AB566" s="5">
        <f>SUMPRODUCT(('01_Data'!$B566:$AW566&lt;&gt;"")*(1/(1+EXP(-(Z566-'03_Lap_b'!$B$40:$AW$40))))^2)</f>
        <v/>
      </c>
      <c r="AC566" s="5">
        <f>MEDIAN(-6,Z566+(C566-AA566)/MAX(AA566-AB566,0.000000001),6)</f>
        <v/>
      </c>
    </row>
    <row r="567">
      <c r="A567" t="n">
        <v>566</v>
      </c>
      <c r="B567">
        <f>'01_Data'!A567</f>
        <v/>
      </c>
      <c r="C567">
        <f>SUM('01_Data'!$B567:$AW567)</f>
        <v/>
      </c>
      <c r="D567">
        <f>COUNT('01_Data'!$B567:$AW567)</f>
        <v/>
      </c>
      <c r="E567" s="5">
        <f>MEDIAN(-6,LN((C567+0.3)/(D567-C567+0.3)),6)</f>
        <v/>
      </c>
      <c r="F567" s="5">
        <f>SUMPRODUCT(('01_Data'!$B567:$AW567&lt;&gt;"")*(1/(1+EXP(-(E567-'03_Lap_b'!$B$5:$AW$5)))))</f>
        <v/>
      </c>
      <c r="G567" s="5">
        <f>SUMPRODUCT(('01_Data'!$B567:$AW567&lt;&gt;"")*(1/(1+EXP(-(E567-'03_Lap_b'!$B$5:$AW$5))))^2)</f>
        <v/>
      </c>
      <c r="H567" s="5">
        <f>MEDIAN(-6,E567+(C567-F567)/MAX(F567-G567,0.000000001),6)</f>
        <v/>
      </c>
      <c r="I567" s="5">
        <f>SUMPRODUCT(('01_Data'!$B567:$AW567&lt;&gt;"")*(1/(1+EXP(-(H567-'03_Lap_b'!$B$10:$AW$10)))))</f>
        <v/>
      </c>
      <c r="J567" s="5">
        <f>SUMPRODUCT(('01_Data'!$B567:$AW567&lt;&gt;"")*(1/(1+EXP(-(H567-'03_Lap_b'!$B$10:$AW$10))))^2)</f>
        <v/>
      </c>
      <c r="K567" s="5">
        <f>MEDIAN(-6,H567+(C567-I567)/MAX(I567-J567,0.000000001),6)</f>
        <v/>
      </c>
      <c r="L567" s="5">
        <f>SUMPRODUCT(('01_Data'!$B567:$AW567&lt;&gt;"")*(1/(1+EXP(-(K567-'03_Lap_b'!$B$15:$AW$15)))))</f>
        <v/>
      </c>
      <c r="M567" s="5">
        <f>SUMPRODUCT(('01_Data'!$B567:$AW567&lt;&gt;"")*(1/(1+EXP(-(K567-'03_Lap_b'!$B$15:$AW$15))))^2)</f>
        <v/>
      </c>
      <c r="N567" s="5">
        <f>MEDIAN(-6,K567+(C567-L567)/MAX(L567-M567,0.000000001),6)</f>
        <v/>
      </c>
      <c r="O567" s="5">
        <f>SUMPRODUCT(('01_Data'!$B567:$AW567&lt;&gt;"")*(1/(1+EXP(-(N567-'03_Lap_b'!$B$20:$AW$20)))))</f>
        <v/>
      </c>
      <c r="P567" s="5">
        <f>SUMPRODUCT(('01_Data'!$B567:$AW567&lt;&gt;"")*(1/(1+EXP(-(N567-'03_Lap_b'!$B$20:$AW$20))))^2)</f>
        <v/>
      </c>
      <c r="Q567" s="5">
        <f>MEDIAN(-6,N567+(C567-O567)/MAX(O567-P567,0.000000001),6)</f>
        <v/>
      </c>
      <c r="R567" s="5">
        <f>SUMPRODUCT(('01_Data'!$B567:$AW567&lt;&gt;"")*(1/(1+EXP(-(Q567-'03_Lap_b'!$B$25:$AW$25)))))</f>
        <v/>
      </c>
      <c r="S567" s="5">
        <f>SUMPRODUCT(('01_Data'!$B567:$AW567&lt;&gt;"")*(1/(1+EXP(-(Q567-'03_Lap_b'!$B$25:$AW$25))))^2)</f>
        <v/>
      </c>
      <c r="T567" s="5">
        <f>MEDIAN(-6,Q567+(C567-R567)/MAX(R567-S567,0.000000001),6)</f>
        <v/>
      </c>
      <c r="U567" s="5">
        <f>SUMPRODUCT(('01_Data'!$B567:$AW567&lt;&gt;"")*(1/(1+EXP(-(T567-'03_Lap_b'!$B$30:$AW$30)))))</f>
        <v/>
      </c>
      <c r="V567" s="5">
        <f>SUMPRODUCT(('01_Data'!$B567:$AW567&lt;&gt;"")*(1/(1+EXP(-(T567-'03_Lap_b'!$B$30:$AW$30))))^2)</f>
        <v/>
      </c>
      <c r="W567" s="5">
        <f>MEDIAN(-6,T567+(C567-U567)/MAX(U567-V567,0.000000001),6)</f>
        <v/>
      </c>
      <c r="X567" s="5">
        <f>SUMPRODUCT(('01_Data'!$B567:$AW567&lt;&gt;"")*(1/(1+EXP(-(W567-'03_Lap_b'!$B$35:$AW$35)))))</f>
        <v/>
      </c>
      <c r="Y567" s="5">
        <f>SUMPRODUCT(('01_Data'!$B567:$AW567&lt;&gt;"")*(1/(1+EXP(-(W567-'03_Lap_b'!$B$35:$AW$35))))^2)</f>
        <v/>
      </c>
      <c r="Z567" s="5">
        <f>MEDIAN(-6,W567+(C567-X567)/MAX(X567-Y567,0.000000001),6)</f>
        <v/>
      </c>
      <c r="AA567" s="5">
        <f>SUMPRODUCT(('01_Data'!$B567:$AW567&lt;&gt;"")*(1/(1+EXP(-(Z567-'03_Lap_b'!$B$40:$AW$40)))))</f>
        <v/>
      </c>
      <c r="AB567" s="5">
        <f>SUMPRODUCT(('01_Data'!$B567:$AW567&lt;&gt;"")*(1/(1+EXP(-(Z567-'03_Lap_b'!$B$40:$AW$40))))^2)</f>
        <v/>
      </c>
      <c r="AC567" s="5">
        <f>MEDIAN(-6,Z567+(C567-AA567)/MAX(AA567-AB567,0.000000001),6)</f>
        <v/>
      </c>
    </row>
    <row r="568">
      <c r="A568" t="n">
        <v>567</v>
      </c>
      <c r="B568">
        <f>'01_Data'!A568</f>
        <v/>
      </c>
      <c r="C568">
        <f>SUM('01_Data'!$B568:$AW568)</f>
        <v/>
      </c>
      <c r="D568">
        <f>COUNT('01_Data'!$B568:$AW568)</f>
        <v/>
      </c>
      <c r="E568" s="5">
        <f>MEDIAN(-6,LN((C568+0.3)/(D568-C568+0.3)),6)</f>
        <v/>
      </c>
      <c r="F568" s="5">
        <f>SUMPRODUCT(('01_Data'!$B568:$AW568&lt;&gt;"")*(1/(1+EXP(-(E568-'03_Lap_b'!$B$5:$AW$5)))))</f>
        <v/>
      </c>
      <c r="G568" s="5">
        <f>SUMPRODUCT(('01_Data'!$B568:$AW568&lt;&gt;"")*(1/(1+EXP(-(E568-'03_Lap_b'!$B$5:$AW$5))))^2)</f>
        <v/>
      </c>
      <c r="H568" s="5">
        <f>MEDIAN(-6,E568+(C568-F568)/MAX(F568-G568,0.000000001),6)</f>
        <v/>
      </c>
      <c r="I568" s="5">
        <f>SUMPRODUCT(('01_Data'!$B568:$AW568&lt;&gt;"")*(1/(1+EXP(-(H568-'03_Lap_b'!$B$10:$AW$10)))))</f>
        <v/>
      </c>
      <c r="J568" s="5">
        <f>SUMPRODUCT(('01_Data'!$B568:$AW568&lt;&gt;"")*(1/(1+EXP(-(H568-'03_Lap_b'!$B$10:$AW$10))))^2)</f>
        <v/>
      </c>
      <c r="K568" s="5">
        <f>MEDIAN(-6,H568+(C568-I568)/MAX(I568-J568,0.000000001),6)</f>
        <v/>
      </c>
      <c r="L568" s="5">
        <f>SUMPRODUCT(('01_Data'!$B568:$AW568&lt;&gt;"")*(1/(1+EXP(-(K568-'03_Lap_b'!$B$15:$AW$15)))))</f>
        <v/>
      </c>
      <c r="M568" s="5">
        <f>SUMPRODUCT(('01_Data'!$B568:$AW568&lt;&gt;"")*(1/(1+EXP(-(K568-'03_Lap_b'!$B$15:$AW$15))))^2)</f>
        <v/>
      </c>
      <c r="N568" s="5">
        <f>MEDIAN(-6,K568+(C568-L568)/MAX(L568-M568,0.000000001),6)</f>
        <v/>
      </c>
      <c r="O568" s="5">
        <f>SUMPRODUCT(('01_Data'!$B568:$AW568&lt;&gt;"")*(1/(1+EXP(-(N568-'03_Lap_b'!$B$20:$AW$20)))))</f>
        <v/>
      </c>
      <c r="P568" s="5">
        <f>SUMPRODUCT(('01_Data'!$B568:$AW568&lt;&gt;"")*(1/(1+EXP(-(N568-'03_Lap_b'!$B$20:$AW$20))))^2)</f>
        <v/>
      </c>
      <c r="Q568" s="5">
        <f>MEDIAN(-6,N568+(C568-O568)/MAX(O568-P568,0.000000001),6)</f>
        <v/>
      </c>
      <c r="R568" s="5">
        <f>SUMPRODUCT(('01_Data'!$B568:$AW568&lt;&gt;"")*(1/(1+EXP(-(Q568-'03_Lap_b'!$B$25:$AW$25)))))</f>
        <v/>
      </c>
      <c r="S568" s="5">
        <f>SUMPRODUCT(('01_Data'!$B568:$AW568&lt;&gt;"")*(1/(1+EXP(-(Q568-'03_Lap_b'!$B$25:$AW$25))))^2)</f>
        <v/>
      </c>
      <c r="T568" s="5">
        <f>MEDIAN(-6,Q568+(C568-R568)/MAX(R568-S568,0.000000001),6)</f>
        <v/>
      </c>
      <c r="U568" s="5">
        <f>SUMPRODUCT(('01_Data'!$B568:$AW568&lt;&gt;"")*(1/(1+EXP(-(T568-'03_Lap_b'!$B$30:$AW$30)))))</f>
        <v/>
      </c>
      <c r="V568" s="5">
        <f>SUMPRODUCT(('01_Data'!$B568:$AW568&lt;&gt;"")*(1/(1+EXP(-(T568-'03_Lap_b'!$B$30:$AW$30))))^2)</f>
        <v/>
      </c>
      <c r="W568" s="5">
        <f>MEDIAN(-6,T568+(C568-U568)/MAX(U568-V568,0.000000001),6)</f>
        <v/>
      </c>
      <c r="X568" s="5">
        <f>SUMPRODUCT(('01_Data'!$B568:$AW568&lt;&gt;"")*(1/(1+EXP(-(W568-'03_Lap_b'!$B$35:$AW$35)))))</f>
        <v/>
      </c>
      <c r="Y568" s="5">
        <f>SUMPRODUCT(('01_Data'!$B568:$AW568&lt;&gt;"")*(1/(1+EXP(-(W568-'03_Lap_b'!$B$35:$AW$35))))^2)</f>
        <v/>
      </c>
      <c r="Z568" s="5">
        <f>MEDIAN(-6,W568+(C568-X568)/MAX(X568-Y568,0.000000001),6)</f>
        <v/>
      </c>
      <c r="AA568" s="5">
        <f>SUMPRODUCT(('01_Data'!$B568:$AW568&lt;&gt;"")*(1/(1+EXP(-(Z568-'03_Lap_b'!$B$40:$AW$40)))))</f>
        <v/>
      </c>
      <c r="AB568" s="5">
        <f>SUMPRODUCT(('01_Data'!$B568:$AW568&lt;&gt;"")*(1/(1+EXP(-(Z568-'03_Lap_b'!$B$40:$AW$40))))^2)</f>
        <v/>
      </c>
      <c r="AC568" s="5">
        <f>MEDIAN(-6,Z568+(C568-AA568)/MAX(AA568-AB568,0.000000001),6)</f>
        <v/>
      </c>
    </row>
    <row r="569">
      <c r="A569" t="n">
        <v>568</v>
      </c>
      <c r="B569">
        <f>'01_Data'!A569</f>
        <v/>
      </c>
      <c r="C569">
        <f>SUM('01_Data'!$B569:$AW569)</f>
        <v/>
      </c>
      <c r="D569">
        <f>COUNT('01_Data'!$B569:$AW569)</f>
        <v/>
      </c>
      <c r="E569" s="5">
        <f>MEDIAN(-6,LN((C569+0.3)/(D569-C569+0.3)),6)</f>
        <v/>
      </c>
      <c r="F569" s="5">
        <f>SUMPRODUCT(('01_Data'!$B569:$AW569&lt;&gt;"")*(1/(1+EXP(-(E569-'03_Lap_b'!$B$5:$AW$5)))))</f>
        <v/>
      </c>
      <c r="G569" s="5">
        <f>SUMPRODUCT(('01_Data'!$B569:$AW569&lt;&gt;"")*(1/(1+EXP(-(E569-'03_Lap_b'!$B$5:$AW$5))))^2)</f>
        <v/>
      </c>
      <c r="H569" s="5">
        <f>MEDIAN(-6,E569+(C569-F569)/MAX(F569-G569,0.000000001),6)</f>
        <v/>
      </c>
      <c r="I569" s="5">
        <f>SUMPRODUCT(('01_Data'!$B569:$AW569&lt;&gt;"")*(1/(1+EXP(-(H569-'03_Lap_b'!$B$10:$AW$10)))))</f>
        <v/>
      </c>
      <c r="J569" s="5">
        <f>SUMPRODUCT(('01_Data'!$B569:$AW569&lt;&gt;"")*(1/(1+EXP(-(H569-'03_Lap_b'!$B$10:$AW$10))))^2)</f>
        <v/>
      </c>
      <c r="K569" s="5">
        <f>MEDIAN(-6,H569+(C569-I569)/MAX(I569-J569,0.000000001),6)</f>
        <v/>
      </c>
      <c r="L569" s="5">
        <f>SUMPRODUCT(('01_Data'!$B569:$AW569&lt;&gt;"")*(1/(1+EXP(-(K569-'03_Lap_b'!$B$15:$AW$15)))))</f>
        <v/>
      </c>
      <c r="M569" s="5">
        <f>SUMPRODUCT(('01_Data'!$B569:$AW569&lt;&gt;"")*(1/(1+EXP(-(K569-'03_Lap_b'!$B$15:$AW$15))))^2)</f>
        <v/>
      </c>
      <c r="N569" s="5">
        <f>MEDIAN(-6,K569+(C569-L569)/MAX(L569-M569,0.000000001),6)</f>
        <v/>
      </c>
      <c r="O569" s="5">
        <f>SUMPRODUCT(('01_Data'!$B569:$AW569&lt;&gt;"")*(1/(1+EXP(-(N569-'03_Lap_b'!$B$20:$AW$20)))))</f>
        <v/>
      </c>
      <c r="P569" s="5">
        <f>SUMPRODUCT(('01_Data'!$B569:$AW569&lt;&gt;"")*(1/(1+EXP(-(N569-'03_Lap_b'!$B$20:$AW$20))))^2)</f>
        <v/>
      </c>
      <c r="Q569" s="5">
        <f>MEDIAN(-6,N569+(C569-O569)/MAX(O569-P569,0.000000001),6)</f>
        <v/>
      </c>
      <c r="R569" s="5">
        <f>SUMPRODUCT(('01_Data'!$B569:$AW569&lt;&gt;"")*(1/(1+EXP(-(Q569-'03_Lap_b'!$B$25:$AW$25)))))</f>
        <v/>
      </c>
      <c r="S569" s="5">
        <f>SUMPRODUCT(('01_Data'!$B569:$AW569&lt;&gt;"")*(1/(1+EXP(-(Q569-'03_Lap_b'!$B$25:$AW$25))))^2)</f>
        <v/>
      </c>
      <c r="T569" s="5">
        <f>MEDIAN(-6,Q569+(C569-R569)/MAX(R569-S569,0.000000001),6)</f>
        <v/>
      </c>
      <c r="U569" s="5">
        <f>SUMPRODUCT(('01_Data'!$B569:$AW569&lt;&gt;"")*(1/(1+EXP(-(T569-'03_Lap_b'!$B$30:$AW$30)))))</f>
        <v/>
      </c>
      <c r="V569" s="5">
        <f>SUMPRODUCT(('01_Data'!$B569:$AW569&lt;&gt;"")*(1/(1+EXP(-(T569-'03_Lap_b'!$B$30:$AW$30))))^2)</f>
        <v/>
      </c>
      <c r="W569" s="5">
        <f>MEDIAN(-6,T569+(C569-U569)/MAX(U569-V569,0.000000001),6)</f>
        <v/>
      </c>
      <c r="X569" s="5">
        <f>SUMPRODUCT(('01_Data'!$B569:$AW569&lt;&gt;"")*(1/(1+EXP(-(W569-'03_Lap_b'!$B$35:$AW$35)))))</f>
        <v/>
      </c>
      <c r="Y569" s="5">
        <f>SUMPRODUCT(('01_Data'!$B569:$AW569&lt;&gt;"")*(1/(1+EXP(-(W569-'03_Lap_b'!$B$35:$AW$35))))^2)</f>
        <v/>
      </c>
      <c r="Z569" s="5">
        <f>MEDIAN(-6,W569+(C569-X569)/MAX(X569-Y569,0.000000001),6)</f>
        <v/>
      </c>
      <c r="AA569" s="5">
        <f>SUMPRODUCT(('01_Data'!$B569:$AW569&lt;&gt;"")*(1/(1+EXP(-(Z569-'03_Lap_b'!$B$40:$AW$40)))))</f>
        <v/>
      </c>
      <c r="AB569" s="5">
        <f>SUMPRODUCT(('01_Data'!$B569:$AW569&lt;&gt;"")*(1/(1+EXP(-(Z569-'03_Lap_b'!$B$40:$AW$40))))^2)</f>
        <v/>
      </c>
      <c r="AC569" s="5">
        <f>MEDIAN(-6,Z569+(C569-AA569)/MAX(AA569-AB569,0.000000001),6)</f>
        <v/>
      </c>
    </row>
    <row r="570">
      <c r="A570" t="n">
        <v>569</v>
      </c>
      <c r="B570">
        <f>'01_Data'!A570</f>
        <v/>
      </c>
      <c r="C570">
        <f>SUM('01_Data'!$B570:$AW570)</f>
        <v/>
      </c>
      <c r="D570">
        <f>COUNT('01_Data'!$B570:$AW570)</f>
        <v/>
      </c>
      <c r="E570" s="5">
        <f>MEDIAN(-6,LN((C570+0.3)/(D570-C570+0.3)),6)</f>
        <v/>
      </c>
      <c r="F570" s="5">
        <f>SUMPRODUCT(('01_Data'!$B570:$AW570&lt;&gt;"")*(1/(1+EXP(-(E570-'03_Lap_b'!$B$5:$AW$5)))))</f>
        <v/>
      </c>
      <c r="G570" s="5">
        <f>SUMPRODUCT(('01_Data'!$B570:$AW570&lt;&gt;"")*(1/(1+EXP(-(E570-'03_Lap_b'!$B$5:$AW$5))))^2)</f>
        <v/>
      </c>
      <c r="H570" s="5">
        <f>MEDIAN(-6,E570+(C570-F570)/MAX(F570-G570,0.000000001),6)</f>
        <v/>
      </c>
      <c r="I570" s="5">
        <f>SUMPRODUCT(('01_Data'!$B570:$AW570&lt;&gt;"")*(1/(1+EXP(-(H570-'03_Lap_b'!$B$10:$AW$10)))))</f>
        <v/>
      </c>
      <c r="J570" s="5">
        <f>SUMPRODUCT(('01_Data'!$B570:$AW570&lt;&gt;"")*(1/(1+EXP(-(H570-'03_Lap_b'!$B$10:$AW$10))))^2)</f>
        <v/>
      </c>
      <c r="K570" s="5">
        <f>MEDIAN(-6,H570+(C570-I570)/MAX(I570-J570,0.000000001),6)</f>
        <v/>
      </c>
      <c r="L570" s="5">
        <f>SUMPRODUCT(('01_Data'!$B570:$AW570&lt;&gt;"")*(1/(1+EXP(-(K570-'03_Lap_b'!$B$15:$AW$15)))))</f>
        <v/>
      </c>
      <c r="M570" s="5">
        <f>SUMPRODUCT(('01_Data'!$B570:$AW570&lt;&gt;"")*(1/(1+EXP(-(K570-'03_Lap_b'!$B$15:$AW$15))))^2)</f>
        <v/>
      </c>
      <c r="N570" s="5">
        <f>MEDIAN(-6,K570+(C570-L570)/MAX(L570-M570,0.000000001),6)</f>
        <v/>
      </c>
      <c r="O570" s="5">
        <f>SUMPRODUCT(('01_Data'!$B570:$AW570&lt;&gt;"")*(1/(1+EXP(-(N570-'03_Lap_b'!$B$20:$AW$20)))))</f>
        <v/>
      </c>
      <c r="P570" s="5">
        <f>SUMPRODUCT(('01_Data'!$B570:$AW570&lt;&gt;"")*(1/(1+EXP(-(N570-'03_Lap_b'!$B$20:$AW$20))))^2)</f>
        <v/>
      </c>
      <c r="Q570" s="5">
        <f>MEDIAN(-6,N570+(C570-O570)/MAX(O570-P570,0.000000001),6)</f>
        <v/>
      </c>
      <c r="R570" s="5">
        <f>SUMPRODUCT(('01_Data'!$B570:$AW570&lt;&gt;"")*(1/(1+EXP(-(Q570-'03_Lap_b'!$B$25:$AW$25)))))</f>
        <v/>
      </c>
      <c r="S570" s="5">
        <f>SUMPRODUCT(('01_Data'!$B570:$AW570&lt;&gt;"")*(1/(1+EXP(-(Q570-'03_Lap_b'!$B$25:$AW$25))))^2)</f>
        <v/>
      </c>
      <c r="T570" s="5">
        <f>MEDIAN(-6,Q570+(C570-R570)/MAX(R570-S570,0.000000001),6)</f>
        <v/>
      </c>
      <c r="U570" s="5">
        <f>SUMPRODUCT(('01_Data'!$B570:$AW570&lt;&gt;"")*(1/(1+EXP(-(T570-'03_Lap_b'!$B$30:$AW$30)))))</f>
        <v/>
      </c>
      <c r="V570" s="5">
        <f>SUMPRODUCT(('01_Data'!$B570:$AW570&lt;&gt;"")*(1/(1+EXP(-(T570-'03_Lap_b'!$B$30:$AW$30))))^2)</f>
        <v/>
      </c>
      <c r="W570" s="5">
        <f>MEDIAN(-6,T570+(C570-U570)/MAX(U570-V570,0.000000001),6)</f>
        <v/>
      </c>
      <c r="X570" s="5">
        <f>SUMPRODUCT(('01_Data'!$B570:$AW570&lt;&gt;"")*(1/(1+EXP(-(W570-'03_Lap_b'!$B$35:$AW$35)))))</f>
        <v/>
      </c>
      <c r="Y570" s="5">
        <f>SUMPRODUCT(('01_Data'!$B570:$AW570&lt;&gt;"")*(1/(1+EXP(-(W570-'03_Lap_b'!$B$35:$AW$35))))^2)</f>
        <v/>
      </c>
      <c r="Z570" s="5">
        <f>MEDIAN(-6,W570+(C570-X570)/MAX(X570-Y570,0.000000001),6)</f>
        <v/>
      </c>
      <c r="AA570" s="5">
        <f>SUMPRODUCT(('01_Data'!$B570:$AW570&lt;&gt;"")*(1/(1+EXP(-(Z570-'03_Lap_b'!$B$40:$AW$40)))))</f>
        <v/>
      </c>
      <c r="AB570" s="5">
        <f>SUMPRODUCT(('01_Data'!$B570:$AW570&lt;&gt;"")*(1/(1+EXP(-(Z570-'03_Lap_b'!$B$40:$AW$40))))^2)</f>
        <v/>
      </c>
      <c r="AC570" s="5">
        <f>MEDIAN(-6,Z570+(C570-AA570)/MAX(AA570-AB570,0.000000001),6)</f>
        <v/>
      </c>
    </row>
    <row r="571">
      <c r="A571" t="n">
        <v>570</v>
      </c>
      <c r="B571">
        <f>'01_Data'!A571</f>
        <v/>
      </c>
      <c r="C571">
        <f>SUM('01_Data'!$B571:$AW571)</f>
        <v/>
      </c>
      <c r="D571">
        <f>COUNT('01_Data'!$B571:$AW571)</f>
        <v/>
      </c>
      <c r="E571" s="5">
        <f>MEDIAN(-6,LN((C571+0.3)/(D571-C571+0.3)),6)</f>
        <v/>
      </c>
      <c r="F571" s="5">
        <f>SUMPRODUCT(('01_Data'!$B571:$AW571&lt;&gt;"")*(1/(1+EXP(-(E571-'03_Lap_b'!$B$5:$AW$5)))))</f>
        <v/>
      </c>
      <c r="G571" s="5">
        <f>SUMPRODUCT(('01_Data'!$B571:$AW571&lt;&gt;"")*(1/(1+EXP(-(E571-'03_Lap_b'!$B$5:$AW$5))))^2)</f>
        <v/>
      </c>
      <c r="H571" s="5">
        <f>MEDIAN(-6,E571+(C571-F571)/MAX(F571-G571,0.000000001),6)</f>
        <v/>
      </c>
      <c r="I571" s="5">
        <f>SUMPRODUCT(('01_Data'!$B571:$AW571&lt;&gt;"")*(1/(1+EXP(-(H571-'03_Lap_b'!$B$10:$AW$10)))))</f>
        <v/>
      </c>
      <c r="J571" s="5">
        <f>SUMPRODUCT(('01_Data'!$B571:$AW571&lt;&gt;"")*(1/(1+EXP(-(H571-'03_Lap_b'!$B$10:$AW$10))))^2)</f>
        <v/>
      </c>
      <c r="K571" s="5">
        <f>MEDIAN(-6,H571+(C571-I571)/MAX(I571-J571,0.000000001),6)</f>
        <v/>
      </c>
      <c r="L571" s="5">
        <f>SUMPRODUCT(('01_Data'!$B571:$AW571&lt;&gt;"")*(1/(1+EXP(-(K571-'03_Lap_b'!$B$15:$AW$15)))))</f>
        <v/>
      </c>
      <c r="M571" s="5">
        <f>SUMPRODUCT(('01_Data'!$B571:$AW571&lt;&gt;"")*(1/(1+EXP(-(K571-'03_Lap_b'!$B$15:$AW$15))))^2)</f>
        <v/>
      </c>
      <c r="N571" s="5">
        <f>MEDIAN(-6,K571+(C571-L571)/MAX(L571-M571,0.000000001),6)</f>
        <v/>
      </c>
      <c r="O571" s="5">
        <f>SUMPRODUCT(('01_Data'!$B571:$AW571&lt;&gt;"")*(1/(1+EXP(-(N571-'03_Lap_b'!$B$20:$AW$20)))))</f>
        <v/>
      </c>
      <c r="P571" s="5">
        <f>SUMPRODUCT(('01_Data'!$B571:$AW571&lt;&gt;"")*(1/(1+EXP(-(N571-'03_Lap_b'!$B$20:$AW$20))))^2)</f>
        <v/>
      </c>
      <c r="Q571" s="5">
        <f>MEDIAN(-6,N571+(C571-O571)/MAX(O571-P571,0.000000001),6)</f>
        <v/>
      </c>
      <c r="R571" s="5">
        <f>SUMPRODUCT(('01_Data'!$B571:$AW571&lt;&gt;"")*(1/(1+EXP(-(Q571-'03_Lap_b'!$B$25:$AW$25)))))</f>
        <v/>
      </c>
      <c r="S571" s="5">
        <f>SUMPRODUCT(('01_Data'!$B571:$AW571&lt;&gt;"")*(1/(1+EXP(-(Q571-'03_Lap_b'!$B$25:$AW$25))))^2)</f>
        <v/>
      </c>
      <c r="T571" s="5">
        <f>MEDIAN(-6,Q571+(C571-R571)/MAX(R571-S571,0.000000001),6)</f>
        <v/>
      </c>
      <c r="U571" s="5">
        <f>SUMPRODUCT(('01_Data'!$B571:$AW571&lt;&gt;"")*(1/(1+EXP(-(T571-'03_Lap_b'!$B$30:$AW$30)))))</f>
        <v/>
      </c>
      <c r="V571" s="5">
        <f>SUMPRODUCT(('01_Data'!$B571:$AW571&lt;&gt;"")*(1/(1+EXP(-(T571-'03_Lap_b'!$B$30:$AW$30))))^2)</f>
        <v/>
      </c>
      <c r="W571" s="5">
        <f>MEDIAN(-6,T571+(C571-U571)/MAX(U571-V571,0.000000001),6)</f>
        <v/>
      </c>
      <c r="X571" s="5">
        <f>SUMPRODUCT(('01_Data'!$B571:$AW571&lt;&gt;"")*(1/(1+EXP(-(W571-'03_Lap_b'!$B$35:$AW$35)))))</f>
        <v/>
      </c>
      <c r="Y571" s="5">
        <f>SUMPRODUCT(('01_Data'!$B571:$AW571&lt;&gt;"")*(1/(1+EXP(-(W571-'03_Lap_b'!$B$35:$AW$35))))^2)</f>
        <v/>
      </c>
      <c r="Z571" s="5">
        <f>MEDIAN(-6,W571+(C571-X571)/MAX(X571-Y571,0.000000001),6)</f>
        <v/>
      </c>
      <c r="AA571" s="5">
        <f>SUMPRODUCT(('01_Data'!$B571:$AW571&lt;&gt;"")*(1/(1+EXP(-(Z571-'03_Lap_b'!$B$40:$AW$40)))))</f>
        <v/>
      </c>
      <c r="AB571" s="5">
        <f>SUMPRODUCT(('01_Data'!$B571:$AW571&lt;&gt;"")*(1/(1+EXP(-(Z571-'03_Lap_b'!$B$40:$AW$40))))^2)</f>
        <v/>
      </c>
      <c r="AC571" s="5">
        <f>MEDIAN(-6,Z571+(C571-AA571)/MAX(AA571-AB571,0.000000001),6)</f>
        <v/>
      </c>
    </row>
    <row r="572">
      <c r="A572" t="n">
        <v>571</v>
      </c>
      <c r="B572">
        <f>'01_Data'!A572</f>
        <v/>
      </c>
      <c r="C572">
        <f>SUM('01_Data'!$B572:$AW572)</f>
        <v/>
      </c>
      <c r="D572">
        <f>COUNT('01_Data'!$B572:$AW572)</f>
        <v/>
      </c>
      <c r="E572" s="5">
        <f>MEDIAN(-6,LN((C572+0.3)/(D572-C572+0.3)),6)</f>
        <v/>
      </c>
      <c r="F572" s="5">
        <f>SUMPRODUCT(('01_Data'!$B572:$AW572&lt;&gt;"")*(1/(1+EXP(-(E572-'03_Lap_b'!$B$5:$AW$5)))))</f>
        <v/>
      </c>
      <c r="G572" s="5">
        <f>SUMPRODUCT(('01_Data'!$B572:$AW572&lt;&gt;"")*(1/(1+EXP(-(E572-'03_Lap_b'!$B$5:$AW$5))))^2)</f>
        <v/>
      </c>
      <c r="H572" s="5">
        <f>MEDIAN(-6,E572+(C572-F572)/MAX(F572-G572,0.000000001),6)</f>
        <v/>
      </c>
      <c r="I572" s="5">
        <f>SUMPRODUCT(('01_Data'!$B572:$AW572&lt;&gt;"")*(1/(1+EXP(-(H572-'03_Lap_b'!$B$10:$AW$10)))))</f>
        <v/>
      </c>
      <c r="J572" s="5">
        <f>SUMPRODUCT(('01_Data'!$B572:$AW572&lt;&gt;"")*(1/(1+EXP(-(H572-'03_Lap_b'!$B$10:$AW$10))))^2)</f>
        <v/>
      </c>
      <c r="K572" s="5">
        <f>MEDIAN(-6,H572+(C572-I572)/MAX(I572-J572,0.000000001),6)</f>
        <v/>
      </c>
      <c r="L572" s="5">
        <f>SUMPRODUCT(('01_Data'!$B572:$AW572&lt;&gt;"")*(1/(1+EXP(-(K572-'03_Lap_b'!$B$15:$AW$15)))))</f>
        <v/>
      </c>
      <c r="M572" s="5">
        <f>SUMPRODUCT(('01_Data'!$B572:$AW572&lt;&gt;"")*(1/(1+EXP(-(K572-'03_Lap_b'!$B$15:$AW$15))))^2)</f>
        <v/>
      </c>
      <c r="N572" s="5">
        <f>MEDIAN(-6,K572+(C572-L572)/MAX(L572-M572,0.000000001),6)</f>
        <v/>
      </c>
      <c r="O572" s="5">
        <f>SUMPRODUCT(('01_Data'!$B572:$AW572&lt;&gt;"")*(1/(1+EXP(-(N572-'03_Lap_b'!$B$20:$AW$20)))))</f>
        <v/>
      </c>
      <c r="P572" s="5">
        <f>SUMPRODUCT(('01_Data'!$B572:$AW572&lt;&gt;"")*(1/(1+EXP(-(N572-'03_Lap_b'!$B$20:$AW$20))))^2)</f>
        <v/>
      </c>
      <c r="Q572" s="5">
        <f>MEDIAN(-6,N572+(C572-O572)/MAX(O572-P572,0.000000001),6)</f>
        <v/>
      </c>
      <c r="R572" s="5">
        <f>SUMPRODUCT(('01_Data'!$B572:$AW572&lt;&gt;"")*(1/(1+EXP(-(Q572-'03_Lap_b'!$B$25:$AW$25)))))</f>
        <v/>
      </c>
      <c r="S572" s="5">
        <f>SUMPRODUCT(('01_Data'!$B572:$AW572&lt;&gt;"")*(1/(1+EXP(-(Q572-'03_Lap_b'!$B$25:$AW$25))))^2)</f>
        <v/>
      </c>
      <c r="T572" s="5">
        <f>MEDIAN(-6,Q572+(C572-R572)/MAX(R572-S572,0.000000001),6)</f>
        <v/>
      </c>
      <c r="U572" s="5">
        <f>SUMPRODUCT(('01_Data'!$B572:$AW572&lt;&gt;"")*(1/(1+EXP(-(T572-'03_Lap_b'!$B$30:$AW$30)))))</f>
        <v/>
      </c>
      <c r="V572" s="5">
        <f>SUMPRODUCT(('01_Data'!$B572:$AW572&lt;&gt;"")*(1/(1+EXP(-(T572-'03_Lap_b'!$B$30:$AW$30))))^2)</f>
        <v/>
      </c>
      <c r="W572" s="5">
        <f>MEDIAN(-6,T572+(C572-U572)/MAX(U572-V572,0.000000001),6)</f>
        <v/>
      </c>
      <c r="X572" s="5">
        <f>SUMPRODUCT(('01_Data'!$B572:$AW572&lt;&gt;"")*(1/(1+EXP(-(W572-'03_Lap_b'!$B$35:$AW$35)))))</f>
        <v/>
      </c>
      <c r="Y572" s="5">
        <f>SUMPRODUCT(('01_Data'!$B572:$AW572&lt;&gt;"")*(1/(1+EXP(-(W572-'03_Lap_b'!$B$35:$AW$35))))^2)</f>
        <v/>
      </c>
      <c r="Z572" s="5">
        <f>MEDIAN(-6,W572+(C572-X572)/MAX(X572-Y572,0.000000001),6)</f>
        <v/>
      </c>
      <c r="AA572" s="5">
        <f>SUMPRODUCT(('01_Data'!$B572:$AW572&lt;&gt;"")*(1/(1+EXP(-(Z572-'03_Lap_b'!$B$40:$AW$40)))))</f>
        <v/>
      </c>
      <c r="AB572" s="5">
        <f>SUMPRODUCT(('01_Data'!$B572:$AW572&lt;&gt;"")*(1/(1+EXP(-(Z572-'03_Lap_b'!$B$40:$AW$40))))^2)</f>
        <v/>
      </c>
      <c r="AC572" s="5">
        <f>MEDIAN(-6,Z572+(C572-AA572)/MAX(AA572-AB572,0.000000001),6)</f>
        <v/>
      </c>
    </row>
    <row r="573">
      <c r="A573" t="n">
        <v>572</v>
      </c>
      <c r="B573">
        <f>'01_Data'!A573</f>
        <v/>
      </c>
      <c r="C573">
        <f>SUM('01_Data'!$B573:$AW573)</f>
        <v/>
      </c>
      <c r="D573">
        <f>COUNT('01_Data'!$B573:$AW573)</f>
        <v/>
      </c>
      <c r="E573" s="5">
        <f>MEDIAN(-6,LN((C573+0.3)/(D573-C573+0.3)),6)</f>
        <v/>
      </c>
      <c r="F573" s="5">
        <f>SUMPRODUCT(('01_Data'!$B573:$AW573&lt;&gt;"")*(1/(1+EXP(-(E573-'03_Lap_b'!$B$5:$AW$5)))))</f>
        <v/>
      </c>
      <c r="G573" s="5">
        <f>SUMPRODUCT(('01_Data'!$B573:$AW573&lt;&gt;"")*(1/(1+EXP(-(E573-'03_Lap_b'!$B$5:$AW$5))))^2)</f>
        <v/>
      </c>
      <c r="H573" s="5">
        <f>MEDIAN(-6,E573+(C573-F573)/MAX(F573-G573,0.000000001),6)</f>
        <v/>
      </c>
      <c r="I573" s="5">
        <f>SUMPRODUCT(('01_Data'!$B573:$AW573&lt;&gt;"")*(1/(1+EXP(-(H573-'03_Lap_b'!$B$10:$AW$10)))))</f>
        <v/>
      </c>
      <c r="J573" s="5">
        <f>SUMPRODUCT(('01_Data'!$B573:$AW573&lt;&gt;"")*(1/(1+EXP(-(H573-'03_Lap_b'!$B$10:$AW$10))))^2)</f>
        <v/>
      </c>
      <c r="K573" s="5">
        <f>MEDIAN(-6,H573+(C573-I573)/MAX(I573-J573,0.000000001),6)</f>
        <v/>
      </c>
      <c r="L573" s="5">
        <f>SUMPRODUCT(('01_Data'!$B573:$AW573&lt;&gt;"")*(1/(1+EXP(-(K573-'03_Lap_b'!$B$15:$AW$15)))))</f>
        <v/>
      </c>
      <c r="M573" s="5">
        <f>SUMPRODUCT(('01_Data'!$B573:$AW573&lt;&gt;"")*(1/(1+EXP(-(K573-'03_Lap_b'!$B$15:$AW$15))))^2)</f>
        <v/>
      </c>
      <c r="N573" s="5">
        <f>MEDIAN(-6,K573+(C573-L573)/MAX(L573-M573,0.000000001),6)</f>
        <v/>
      </c>
      <c r="O573" s="5">
        <f>SUMPRODUCT(('01_Data'!$B573:$AW573&lt;&gt;"")*(1/(1+EXP(-(N573-'03_Lap_b'!$B$20:$AW$20)))))</f>
        <v/>
      </c>
      <c r="P573" s="5">
        <f>SUMPRODUCT(('01_Data'!$B573:$AW573&lt;&gt;"")*(1/(1+EXP(-(N573-'03_Lap_b'!$B$20:$AW$20))))^2)</f>
        <v/>
      </c>
      <c r="Q573" s="5">
        <f>MEDIAN(-6,N573+(C573-O573)/MAX(O573-P573,0.000000001),6)</f>
        <v/>
      </c>
      <c r="R573" s="5">
        <f>SUMPRODUCT(('01_Data'!$B573:$AW573&lt;&gt;"")*(1/(1+EXP(-(Q573-'03_Lap_b'!$B$25:$AW$25)))))</f>
        <v/>
      </c>
      <c r="S573" s="5">
        <f>SUMPRODUCT(('01_Data'!$B573:$AW573&lt;&gt;"")*(1/(1+EXP(-(Q573-'03_Lap_b'!$B$25:$AW$25))))^2)</f>
        <v/>
      </c>
      <c r="T573" s="5">
        <f>MEDIAN(-6,Q573+(C573-R573)/MAX(R573-S573,0.000000001),6)</f>
        <v/>
      </c>
      <c r="U573" s="5">
        <f>SUMPRODUCT(('01_Data'!$B573:$AW573&lt;&gt;"")*(1/(1+EXP(-(T573-'03_Lap_b'!$B$30:$AW$30)))))</f>
        <v/>
      </c>
      <c r="V573" s="5">
        <f>SUMPRODUCT(('01_Data'!$B573:$AW573&lt;&gt;"")*(1/(1+EXP(-(T573-'03_Lap_b'!$B$30:$AW$30))))^2)</f>
        <v/>
      </c>
      <c r="W573" s="5">
        <f>MEDIAN(-6,T573+(C573-U573)/MAX(U573-V573,0.000000001),6)</f>
        <v/>
      </c>
      <c r="X573" s="5">
        <f>SUMPRODUCT(('01_Data'!$B573:$AW573&lt;&gt;"")*(1/(1+EXP(-(W573-'03_Lap_b'!$B$35:$AW$35)))))</f>
        <v/>
      </c>
      <c r="Y573" s="5">
        <f>SUMPRODUCT(('01_Data'!$B573:$AW573&lt;&gt;"")*(1/(1+EXP(-(W573-'03_Lap_b'!$B$35:$AW$35))))^2)</f>
        <v/>
      </c>
      <c r="Z573" s="5">
        <f>MEDIAN(-6,W573+(C573-X573)/MAX(X573-Y573,0.000000001),6)</f>
        <v/>
      </c>
      <c r="AA573" s="5">
        <f>SUMPRODUCT(('01_Data'!$B573:$AW573&lt;&gt;"")*(1/(1+EXP(-(Z573-'03_Lap_b'!$B$40:$AW$40)))))</f>
        <v/>
      </c>
      <c r="AB573" s="5">
        <f>SUMPRODUCT(('01_Data'!$B573:$AW573&lt;&gt;"")*(1/(1+EXP(-(Z573-'03_Lap_b'!$B$40:$AW$40))))^2)</f>
        <v/>
      </c>
      <c r="AC573" s="5">
        <f>MEDIAN(-6,Z573+(C573-AA573)/MAX(AA573-AB573,0.000000001),6)</f>
        <v/>
      </c>
    </row>
    <row r="574">
      <c r="A574" t="n">
        <v>573</v>
      </c>
      <c r="B574">
        <f>'01_Data'!A574</f>
        <v/>
      </c>
      <c r="C574">
        <f>SUM('01_Data'!$B574:$AW574)</f>
        <v/>
      </c>
      <c r="D574">
        <f>COUNT('01_Data'!$B574:$AW574)</f>
        <v/>
      </c>
      <c r="E574" s="5">
        <f>MEDIAN(-6,LN((C574+0.3)/(D574-C574+0.3)),6)</f>
        <v/>
      </c>
      <c r="F574" s="5">
        <f>SUMPRODUCT(('01_Data'!$B574:$AW574&lt;&gt;"")*(1/(1+EXP(-(E574-'03_Lap_b'!$B$5:$AW$5)))))</f>
        <v/>
      </c>
      <c r="G574" s="5">
        <f>SUMPRODUCT(('01_Data'!$B574:$AW574&lt;&gt;"")*(1/(1+EXP(-(E574-'03_Lap_b'!$B$5:$AW$5))))^2)</f>
        <v/>
      </c>
      <c r="H574" s="5">
        <f>MEDIAN(-6,E574+(C574-F574)/MAX(F574-G574,0.000000001),6)</f>
        <v/>
      </c>
      <c r="I574" s="5">
        <f>SUMPRODUCT(('01_Data'!$B574:$AW574&lt;&gt;"")*(1/(1+EXP(-(H574-'03_Lap_b'!$B$10:$AW$10)))))</f>
        <v/>
      </c>
      <c r="J574" s="5">
        <f>SUMPRODUCT(('01_Data'!$B574:$AW574&lt;&gt;"")*(1/(1+EXP(-(H574-'03_Lap_b'!$B$10:$AW$10))))^2)</f>
        <v/>
      </c>
      <c r="K574" s="5">
        <f>MEDIAN(-6,H574+(C574-I574)/MAX(I574-J574,0.000000001),6)</f>
        <v/>
      </c>
      <c r="L574" s="5">
        <f>SUMPRODUCT(('01_Data'!$B574:$AW574&lt;&gt;"")*(1/(1+EXP(-(K574-'03_Lap_b'!$B$15:$AW$15)))))</f>
        <v/>
      </c>
      <c r="M574" s="5">
        <f>SUMPRODUCT(('01_Data'!$B574:$AW574&lt;&gt;"")*(1/(1+EXP(-(K574-'03_Lap_b'!$B$15:$AW$15))))^2)</f>
        <v/>
      </c>
      <c r="N574" s="5">
        <f>MEDIAN(-6,K574+(C574-L574)/MAX(L574-M574,0.000000001),6)</f>
        <v/>
      </c>
      <c r="O574" s="5">
        <f>SUMPRODUCT(('01_Data'!$B574:$AW574&lt;&gt;"")*(1/(1+EXP(-(N574-'03_Lap_b'!$B$20:$AW$20)))))</f>
        <v/>
      </c>
      <c r="P574" s="5">
        <f>SUMPRODUCT(('01_Data'!$B574:$AW574&lt;&gt;"")*(1/(1+EXP(-(N574-'03_Lap_b'!$B$20:$AW$20))))^2)</f>
        <v/>
      </c>
      <c r="Q574" s="5">
        <f>MEDIAN(-6,N574+(C574-O574)/MAX(O574-P574,0.000000001),6)</f>
        <v/>
      </c>
      <c r="R574" s="5">
        <f>SUMPRODUCT(('01_Data'!$B574:$AW574&lt;&gt;"")*(1/(1+EXP(-(Q574-'03_Lap_b'!$B$25:$AW$25)))))</f>
        <v/>
      </c>
      <c r="S574" s="5">
        <f>SUMPRODUCT(('01_Data'!$B574:$AW574&lt;&gt;"")*(1/(1+EXP(-(Q574-'03_Lap_b'!$B$25:$AW$25))))^2)</f>
        <v/>
      </c>
      <c r="T574" s="5">
        <f>MEDIAN(-6,Q574+(C574-R574)/MAX(R574-S574,0.000000001),6)</f>
        <v/>
      </c>
      <c r="U574" s="5">
        <f>SUMPRODUCT(('01_Data'!$B574:$AW574&lt;&gt;"")*(1/(1+EXP(-(T574-'03_Lap_b'!$B$30:$AW$30)))))</f>
        <v/>
      </c>
      <c r="V574" s="5">
        <f>SUMPRODUCT(('01_Data'!$B574:$AW574&lt;&gt;"")*(1/(1+EXP(-(T574-'03_Lap_b'!$B$30:$AW$30))))^2)</f>
        <v/>
      </c>
      <c r="W574" s="5">
        <f>MEDIAN(-6,T574+(C574-U574)/MAX(U574-V574,0.000000001),6)</f>
        <v/>
      </c>
      <c r="X574" s="5">
        <f>SUMPRODUCT(('01_Data'!$B574:$AW574&lt;&gt;"")*(1/(1+EXP(-(W574-'03_Lap_b'!$B$35:$AW$35)))))</f>
        <v/>
      </c>
      <c r="Y574" s="5">
        <f>SUMPRODUCT(('01_Data'!$B574:$AW574&lt;&gt;"")*(1/(1+EXP(-(W574-'03_Lap_b'!$B$35:$AW$35))))^2)</f>
        <v/>
      </c>
      <c r="Z574" s="5">
        <f>MEDIAN(-6,W574+(C574-X574)/MAX(X574-Y574,0.000000001),6)</f>
        <v/>
      </c>
      <c r="AA574" s="5">
        <f>SUMPRODUCT(('01_Data'!$B574:$AW574&lt;&gt;"")*(1/(1+EXP(-(Z574-'03_Lap_b'!$B$40:$AW$40)))))</f>
        <v/>
      </c>
      <c r="AB574" s="5">
        <f>SUMPRODUCT(('01_Data'!$B574:$AW574&lt;&gt;"")*(1/(1+EXP(-(Z574-'03_Lap_b'!$B$40:$AW$40))))^2)</f>
        <v/>
      </c>
      <c r="AC574" s="5">
        <f>MEDIAN(-6,Z574+(C574-AA574)/MAX(AA574-AB574,0.000000001),6)</f>
        <v/>
      </c>
    </row>
    <row r="575">
      <c r="A575" t="n">
        <v>574</v>
      </c>
      <c r="B575">
        <f>'01_Data'!A575</f>
        <v/>
      </c>
      <c r="C575">
        <f>SUM('01_Data'!$B575:$AW575)</f>
        <v/>
      </c>
      <c r="D575">
        <f>COUNT('01_Data'!$B575:$AW575)</f>
        <v/>
      </c>
      <c r="E575" s="5">
        <f>MEDIAN(-6,LN((C575+0.3)/(D575-C575+0.3)),6)</f>
        <v/>
      </c>
      <c r="F575" s="5">
        <f>SUMPRODUCT(('01_Data'!$B575:$AW575&lt;&gt;"")*(1/(1+EXP(-(E575-'03_Lap_b'!$B$5:$AW$5)))))</f>
        <v/>
      </c>
      <c r="G575" s="5">
        <f>SUMPRODUCT(('01_Data'!$B575:$AW575&lt;&gt;"")*(1/(1+EXP(-(E575-'03_Lap_b'!$B$5:$AW$5))))^2)</f>
        <v/>
      </c>
      <c r="H575" s="5">
        <f>MEDIAN(-6,E575+(C575-F575)/MAX(F575-G575,0.000000001),6)</f>
        <v/>
      </c>
      <c r="I575" s="5">
        <f>SUMPRODUCT(('01_Data'!$B575:$AW575&lt;&gt;"")*(1/(1+EXP(-(H575-'03_Lap_b'!$B$10:$AW$10)))))</f>
        <v/>
      </c>
      <c r="J575" s="5">
        <f>SUMPRODUCT(('01_Data'!$B575:$AW575&lt;&gt;"")*(1/(1+EXP(-(H575-'03_Lap_b'!$B$10:$AW$10))))^2)</f>
        <v/>
      </c>
      <c r="K575" s="5">
        <f>MEDIAN(-6,H575+(C575-I575)/MAX(I575-J575,0.000000001),6)</f>
        <v/>
      </c>
      <c r="L575" s="5">
        <f>SUMPRODUCT(('01_Data'!$B575:$AW575&lt;&gt;"")*(1/(1+EXP(-(K575-'03_Lap_b'!$B$15:$AW$15)))))</f>
        <v/>
      </c>
      <c r="M575" s="5">
        <f>SUMPRODUCT(('01_Data'!$B575:$AW575&lt;&gt;"")*(1/(1+EXP(-(K575-'03_Lap_b'!$B$15:$AW$15))))^2)</f>
        <v/>
      </c>
      <c r="N575" s="5">
        <f>MEDIAN(-6,K575+(C575-L575)/MAX(L575-M575,0.000000001),6)</f>
        <v/>
      </c>
      <c r="O575" s="5">
        <f>SUMPRODUCT(('01_Data'!$B575:$AW575&lt;&gt;"")*(1/(1+EXP(-(N575-'03_Lap_b'!$B$20:$AW$20)))))</f>
        <v/>
      </c>
      <c r="P575" s="5">
        <f>SUMPRODUCT(('01_Data'!$B575:$AW575&lt;&gt;"")*(1/(1+EXP(-(N575-'03_Lap_b'!$B$20:$AW$20))))^2)</f>
        <v/>
      </c>
      <c r="Q575" s="5">
        <f>MEDIAN(-6,N575+(C575-O575)/MAX(O575-P575,0.000000001),6)</f>
        <v/>
      </c>
      <c r="R575" s="5">
        <f>SUMPRODUCT(('01_Data'!$B575:$AW575&lt;&gt;"")*(1/(1+EXP(-(Q575-'03_Lap_b'!$B$25:$AW$25)))))</f>
        <v/>
      </c>
      <c r="S575" s="5">
        <f>SUMPRODUCT(('01_Data'!$B575:$AW575&lt;&gt;"")*(1/(1+EXP(-(Q575-'03_Lap_b'!$B$25:$AW$25))))^2)</f>
        <v/>
      </c>
      <c r="T575" s="5">
        <f>MEDIAN(-6,Q575+(C575-R575)/MAX(R575-S575,0.000000001),6)</f>
        <v/>
      </c>
      <c r="U575" s="5">
        <f>SUMPRODUCT(('01_Data'!$B575:$AW575&lt;&gt;"")*(1/(1+EXP(-(T575-'03_Lap_b'!$B$30:$AW$30)))))</f>
        <v/>
      </c>
      <c r="V575" s="5">
        <f>SUMPRODUCT(('01_Data'!$B575:$AW575&lt;&gt;"")*(1/(1+EXP(-(T575-'03_Lap_b'!$B$30:$AW$30))))^2)</f>
        <v/>
      </c>
      <c r="W575" s="5">
        <f>MEDIAN(-6,T575+(C575-U575)/MAX(U575-V575,0.000000001),6)</f>
        <v/>
      </c>
      <c r="X575" s="5">
        <f>SUMPRODUCT(('01_Data'!$B575:$AW575&lt;&gt;"")*(1/(1+EXP(-(W575-'03_Lap_b'!$B$35:$AW$35)))))</f>
        <v/>
      </c>
      <c r="Y575" s="5">
        <f>SUMPRODUCT(('01_Data'!$B575:$AW575&lt;&gt;"")*(1/(1+EXP(-(W575-'03_Lap_b'!$B$35:$AW$35))))^2)</f>
        <v/>
      </c>
      <c r="Z575" s="5">
        <f>MEDIAN(-6,W575+(C575-X575)/MAX(X575-Y575,0.000000001),6)</f>
        <v/>
      </c>
      <c r="AA575" s="5">
        <f>SUMPRODUCT(('01_Data'!$B575:$AW575&lt;&gt;"")*(1/(1+EXP(-(Z575-'03_Lap_b'!$B$40:$AW$40)))))</f>
        <v/>
      </c>
      <c r="AB575" s="5">
        <f>SUMPRODUCT(('01_Data'!$B575:$AW575&lt;&gt;"")*(1/(1+EXP(-(Z575-'03_Lap_b'!$B$40:$AW$40))))^2)</f>
        <v/>
      </c>
      <c r="AC575" s="5">
        <f>MEDIAN(-6,Z575+(C575-AA575)/MAX(AA575-AB575,0.000000001),6)</f>
        <v/>
      </c>
    </row>
    <row r="576">
      <c r="A576" t="n">
        <v>575</v>
      </c>
      <c r="B576">
        <f>'01_Data'!A576</f>
        <v/>
      </c>
      <c r="C576">
        <f>SUM('01_Data'!$B576:$AW576)</f>
        <v/>
      </c>
      <c r="D576">
        <f>COUNT('01_Data'!$B576:$AW576)</f>
        <v/>
      </c>
      <c r="E576" s="5">
        <f>MEDIAN(-6,LN((C576+0.3)/(D576-C576+0.3)),6)</f>
        <v/>
      </c>
      <c r="F576" s="5">
        <f>SUMPRODUCT(('01_Data'!$B576:$AW576&lt;&gt;"")*(1/(1+EXP(-(E576-'03_Lap_b'!$B$5:$AW$5)))))</f>
        <v/>
      </c>
      <c r="G576" s="5">
        <f>SUMPRODUCT(('01_Data'!$B576:$AW576&lt;&gt;"")*(1/(1+EXP(-(E576-'03_Lap_b'!$B$5:$AW$5))))^2)</f>
        <v/>
      </c>
      <c r="H576" s="5">
        <f>MEDIAN(-6,E576+(C576-F576)/MAX(F576-G576,0.000000001),6)</f>
        <v/>
      </c>
      <c r="I576" s="5">
        <f>SUMPRODUCT(('01_Data'!$B576:$AW576&lt;&gt;"")*(1/(1+EXP(-(H576-'03_Lap_b'!$B$10:$AW$10)))))</f>
        <v/>
      </c>
      <c r="J576" s="5">
        <f>SUMPRODUCT(('01_Data'!$B576:$AW576&lt;&gt;"")*(1/(1+EXP(-(H576-'03_Lap_b'!$B$10:$AW$10))))^2)</f>
        <v/>
      </c>
      <c r="K576" s="5">
        <f>MEDIAN(-6,H576+(C576-I576)/MAX(I576-J576,0.000000001),6)</f>
        <v/>
      </c>
      <c r="L576" s="5">
        <f>SUMPRODUCT(('01_Data'!$B576:$AW576&lt;&gt;"")*(1/(1+EXP(-(K576-'03_Lap_b'!$B$15:$AW$15)))))</f>
        <v/>
      </c>
      <c r="M576" s="5">
        <f>SUMPRODUCT(('01_Data'!$B576:$AW576&lt;&gt;"")*(1/(1+EXP(-(K576-'03_Lap_b'!$B$15:$AW$15))))^2)</f>
        <v/>
      </c>
      <c r="N576" s="5">
        <f>MEDIAN(-6,K576+(C576-L576)/MAX(L576-M576,0.000000001),6)</f>
        <v/>
      </c>
      <c r="O576" s="5">
        <f>SUMPRODUCT(('01_Data'!$B576:$AW576&lt;&gt;"")*(1/(1+EXP(-(N576-'03_Lap_b'!$B$20:$AW$20)))))</f>
        <v/>
      </c>
      <c r="P576" s="5">
        <f>SUMPRODUCT(('01_Data'!$B576:$AW576&lt;&gt;"")*(1/(1+EXP(-(N576-'03_Lap_b'!$B$20:$AW$20))))^2)</f>
        <v/>
      </c>
      <c r="Q576" s="5">
        <f>MEDIAN(-6,N576+(C576-O576)/MAX(O576-P576,0.000000001),6)</f>
        <v/>
      </c>
      <c r="R576" s="5">
        <f>SUMPRODUCT(('01_Data'!$B576:$AW576&lt;&gt;"")*(1/(1+EXP(-(Q576-'03_Lap_b'!$B$25:$AW$25)))))</f>
        <v/>
      </c>
      <c r="S576" s="5">
        <f>SUMPRODUCT(('01_Data'!$B576:$AW576&lt;&gt;"")*(1/(1+EXP(-(Q576-'03_Lap_b'!$B$25:$AW$25))))^2)</f>
        <v/>
      </c>
      <c r="T576" s="5">
        <f>MEDIAN(-6,Q576+(C576-R576)/MAX(R576-S576,0.000000001),6)</f>
        <v/>
      </c>
      <c r="U576" s="5">
        <f>SUMPRODUCT(('01_Data'!$B576:$AW576&lt;&gt;"")*(1/(1+EXP(-(T576-'03_Lap_b'!$B$30:$AW$30)))))</f>
        <v/>
      </c>
      <c r="V576" s="5">
        <f>SUMPRODUCT(('01_Data'!$B576:$AW576&lt;&gt;"")*(1/(1+EXP(-(T576-'03_Lap_b'!$B$30:$AW$30))))^2)</f>
        <v/>
      </c>
      <c r="W576" s="5">
        <f>MEDIAN(-6,T576+(C576-U576)/MAX(U576-V576,0.000000001),6)</f>
        <v/>
      </c>
      <c r="X576" s="5">
        <f>SUMPRODUCT(('01_Data'!$B576:$AW576&lt;&gt;"")*(1/(1+EXP(-(W576-'03_Lap_b'!$B$35:$AW$35)))))</f>
        <v/>
      </c>
      <c r="Y576" s="5">
        <f>SUMPRODUCT(('01_Data'!$B576:$AW576&lt;&gt;"")*(1/(1+EXP(-(W576-'03_Lap_b'!$B$35:$AW$35))))^2)</f>
        <v/>
      </c>
      <c r="Z576" s="5">
        <f>MEDIAN(-6,W576+(C576-X576)/MAX(X576-Y576,0.000000001),6)</f>
        <v/>
      </c>
      <c r="AA576" s="5">
        <f>SUMPRODUCT(('01_Data'!$B576:$AW576&lt;&gt;"")*(1/(1+EXP(-(Z576-'03_Lap_b'!$B$40:$AW$40)))))</f>
        <v/>
      </c>
      <c r="AB576" s="5">
        <f>SUMPRODUCT(('01_Data'!$B576:$AW576&lt;&gt;"")*(1/(1+EXP(-(Z576-'03_Lap_b'!$B$40:$AW$40))))^2)</f>
        <v/>
      </c>
      <c r="AC576" s="5">
        <f>MEDIAN(-6,Z576+(C576-AA576)/MAX(AA576-AB576,0.000000001),6)</f>
        <v/>
      </c>
    </row>
    <row r="577">
      <c r="A577" t="n">
        <v>576</v>
      </c>
      <c r="B577">
        <f>'01_Data'!A577</f>
        <v/>
      </c>
      <c r="C577">
        <f>SUM('01_Data'!$B577:$AW577)</f>
        <v/>
      </c>
      <c r="D577">
        <f>COUNT('01_Data'!$B577:$AW577)</f>
        <v/>
      </c>
      <c r="E577" s="5">
        <f>MEDIAN(-6,LN((C577+0.3)/(D577-C577+0.3)),6)</f>
        <v/>
      </c>
      <c r="F577" s="5">
        <f>SUMPRODUCT(('01_Data'!$B577:$AW577&lt;&gt;"")*(1/(1+EXP(-(E577-'03_Lap_b'!$B$5:$AW$5)))))</f>
        <v/>
      </c>
      <c r="G577" s="5">
        <f>SUMPRODUCT(('01_Data'!$B577:$AW577&lt;&gt;"")*(1/(1+EXP(-(E577-'03_Lap_b'!$B$5:$AW$5))))^2)</f>
        <v/>
      </c>
      <c r="H577" s="5">
        <f>MEDIAN(-6,E577+(C577-F577)/MAX(F577-G577,0.000000001),6)</f>
        <v/>
      </c>
      <c r="I577" s="5">
        <f>SUMPRODUCT(('01_Data'!$B577:$AW577&lt;&gt;"")*(1/(1+EXP(-(H577-'03_Lap_b'!$B$10:$AW$10)))))</f>
        <v/>
      </c>
      <c r="J577" s="5">
        <f>SUMPRODUCT(('01_Data'!$B577:$AW577&lt;&gt;"")*(1/(1+EXP(-(H577-'03_Lap_b'!$B$10:$AW$10))))^2)</f>
        <v/>
      </c>
      <c r="K577" s="5">
        <f>MEDIAN(-6,H577+(C577-I577)/MAX(I577-J577,0.000000001),6)</f>
        <v/>
      </c>
      <c r="L577" s="5">
        <f>SUMPRODUCT(('01_Data'!$B577:$AW577&lt;&gt;"")*(1/(1+EXP(-(K577-'03_Lap_b'!$B$15:$AW$15)))))</f>
        <v/>
      </c>
      <c r="M577" s="5">
        <f>SUMPRODUCT(('01_Data'!$B577:$AW577&lt;&gt;"")*(1/(1+EXP(-(K577-'03_Lap_b'!$B$15:$AW$15))))^2)</f>
        <v/>
      </c>
      <c r="N577" s="5">
        <f>MEDIAN(-6,K577+(C577-L577)/MAX(L577-M577,0.000000001),6)</f>
        <v/>
      </c>
      <c r="O577" s="5">
        <f>SUMPRODUCT(('01_Data'!$B577:$AW577&lt;&gt;"")*(1/(1+EXP(-(N577-'03_Lap_b'!$B$20:$AW$20)))))</f>
        <v/>
      </c>
      <c r="P577" s="5">
        <f>SUMPRODUCT(('01_Data'!$B577:$AW577&lt;&gt;"")*(1/(1+EXP(-(N577-'03_Lap_b'!$B$20:$AW$20))))^2)</f>
        <v/>
      </c>
      <c r="Q577" s="5">
        <f>MEDIAN(-6,N577+(C577-O577)/MAX(O577-P577,0.000000001),6)</f>
        <v/>
      </c>
      <c r="R577" s="5">
        <f>SUMPRODUCT(('01_Data'!$B577:$AW577&lt;&gt;"")*(1/(1+EXP(-(Q577-'03_Lap_b'!$B$25:$AW$25)))))</f>
        <v/>
      </c>
      <c r="S577" s="5">
        <f>SUMPRODUCT(('01_Data'!$B577:$AW577&lt;&gt;"")*(1/(1+EXP(-(Q577-'03_Lap_b'!$B$25:$AW$25))))^2)</f>
        <v/>
      </c>
      <c r="T577" s="5">
        <f>MEDIAN(-6,Q577+(C577-R577)/MAX(R577-S577,0.000000001),6)</f>
        <v/>
      </c>
      <c r="U577" s="5">
        <f>SUMPRODUCT(('01_Data'!$B577:$AW577&lt;&gt;"")*(1/(1+EXP(-(T577-'03_Lap_b'!$B$30:$AW$30)))))</f>
        <v/>
      </c>
      <c r="V577" s="5">
        <f>SUMPRODUCT(('01_Data'!$B577:$AW577&lt;&gt;"")*(1/(1+EXP(-(T577-'03_Lap_b'!$B$30:$AW$30))))^2)</f>
        <v/>
      </c>
      <c r="W577" s="5">
        <f>MEDIAN(-6,T577+(C577-U577)/MAX(U577-V577,0.000000001),6)</f>
        <v/>
      </c>
      <c r="X577" s="5">
        <f>SUMPRODUCT(('01_Data'!$B577:$AW577&lt;&gt;"")*(1/(1+EXP(-(W577-'03_Lap_b'!$B$35:$AW$35)))))</f>
        <v/>
      </c>
      <c r="Y577" s="5">
        <f>SUMPRODUCT(('01_Data'!$B577:$AW577&lt;&gt;"")*(1/(1+EXP(-(W577-'03_Lap_b'!$B$35:$AW$35))))^2)</f>
        <v/>
      </c>
      <c r="Z577" s="5">
        <f>MEDIAN(-6,W577+(C577-X577)/MAX(X577-Y577,0.000000001),6)</f>
        <v/>
      </c>
      <c r="AA577" s="5">
        <f>SUMPRODUCT(('01_Data'!$B577:$AW577&lt;&gt;"")*(1/(1+EXP(-(Z577-'03_Lap_b'!$B$40:$AW$40)))))</f>
        <v/>
      </c>
      <c r="AB577" s="5">
        <f>SUMPRODUCT(('01_Data'!$B577:$AW577&lt;&gt;"")*(1/(1+EXP(-(Z577-'03_Lap_b'!$B$40:$AW$40))))^2)</f>
        <v/>
      </c>
      <c r="AC577" s="5">
        <f>MEDIAN(-6,Z577+(C577-AA577)/MAX(AA577-AB577,0.000000001),6)</f>
        <v/>
      </c>
    </row>
    <row r="578">
      <c r="A578" t="n">
        <v>577</v>
      </c>
      <c r="B578">
        <f>'01_Data'!A578</f>
        <v/>
      </c>
      <c r="C578">
        <f>SUM('01_Data'!$B578:$AW578)</f>
        <v/>
      </c>
      <c r="D578">
        <f>COUNT('01_Data'!$B578:$AW578)</f>
        <v/>
      </c>
      <c r="E578" s="5">
        <f>MEDIAN(-6,LN((C578+0.3)/(D578-C578+0.3)),6)</f>
        <v/>
      </c>
      <c r="F578" s="5">
        <f>SUMPRODUCT(('01_Data'!$B578:$AW578&lt;&gt;"")*(1/(1+EXP(-(E578-'03_Lap_b'!$B$5:$AW$5)))))</f>
        <v/>
      </c>
      <c r="G578" s="5">
        <f>SUMPRODUCT(('01_Data'!$B578:$AW578&lt;&gt;"")*(1/(1+EXP(-(E578-'03_Lap_b'!$B$5:$AW$5))))^2)</f>
        <v/>
      </c>
      <c r="H578" s="5">
        <f>MEDIAN(-6,E578+(C578-F578)/MAX(F578-G578,0.000000001),6)</f>
        <v/>
      </c>
      <c r="I578" s="5">
        <f>SUMPRODUCT(('01_Data'!$B578:$AW578&lt;&gt;"")*(1/(1+EXP(-(H578-'03_Lap_b'!$B$10:$AW$10)))))</f>
        <v/>
      </c>
      <c r="J578" s="5">
        <f>SUMPRODUCT(('01_Data'!$B578:$AW578&lt;&gt;"")*(1/(1+EXP(-(H578-'03_Lap_b'!$B$10:$AW$10))))^2)</f>
        <v/>
      </c>
      <c r="K578" s="5">
        <f>MEDIAN(-6,H578+(C578-I578)/MAX(I578-J578,0.000000001),6)</f>
        <v/>
      </c>
      <c r="L578" s="5">
        <f>SUMPRODUCT(('01_Data'!$B578:$AW578&lt;&gt;"")*(1/(1+EXP(-(K578-'03_Lap_b'!$B$15:$AW$15)))))</f>
        <v/>
      </c>
      <c r="M578" s="5">
        <f>SUMPRODUCT(('01_Data'!$B578:$AW578&lt;&gt;"")*(1/(1+EXP(-(K578-'03_Lap_b'!$B$15:$AW$15))))^2)</f>
        <v/>
      </c>
      <c r="N578" s="5">
        <f>MEDIAN(-6,K578+(C578-L578)/MAX(L578-M578,0.000000001),6)</f>
        <v/>
      </c>
      <c r="O578" s="5">
        <f>SUMPRODUCT(('01_Data'!$B578:$AW578&lt;&gt;"")*(1/(1+EXP(-(N578-'03_Lap_b'!$B$20:$AW$20)))))</f>
        <v/>
      </c>
      <c r="P578" s="5">
        <f>SUMPRODUCT(('01_Data'!$B578:$AW578&lt;&gt;"")*(1/(1+EXP(-(N578-'03_Lap_b'!$B$20:$AW$20))))^2)</f>
        <v/>
      </c>
      <c r="Q578" s="5">
        <f>MEDIAN(-6,N578+(C578-O578)/MAX(O578-P578,0.000000001),6)</f>
        <v/>
      </c>
      <c r="R578" s="5">
        <f>SUMPRODUCT(('01_Data'!$B578:$AW578&lt;&gt;"")*(1/(1+EXP(-(Q578-'03_Lap_b'!$B$25:$AW$25)))))</f>
        <v/>
      </c>
      <c r="S578" s="5">
        <f>SUMPRODUCT(('01_Data'!$B578:$AW578&lt;&gt;"")*(1/(1+EXP(-(Q578-'03_Lap_b'!$B$25:$AW$25))))^2)</f>
        <v/>
      </c>
      <c r="T578" s="5">
        <f>MEDIAN(-6,Q578+(C578-R578)/MAX(R578-S578,0.000000001),6)</f>
        <v/>
      </c>
      <c r="U578" s="5">
        <f>SUMPRODUCT(('01_Data'!$B578:$AW578&lt;&gt;"")*(1/(1+EXP(-(T578-'03_Lap_b'!$B$30:$AW$30)))))</f>
        <v/>
      </c>
      <c r="V578" s="5">
        <f>SUMPRODUCT(('01_Data'!$B578:$AW578&lt;&gt;"")*(1/(1+EXP(-(T578-'03_Lap_b'!$B$30:$AW$30))))^2)</f>
        <v/>
      </c>
      <c r="W578" s="5">
        <f>MEDIAN(-6,T578+(C578-U578)/MAX(U578-V578,0.000000001),6)</f>
        <v/>
      </c>
      <c r="X578" s="5">
        <f>SUMPRODUCT(('01_Data'!$B578:$AW578&lt;&gt;"")*(1/(1+EXP(-(W578-'03_Lap_b'!$B$35:$AW$35)))))</f>
        <v/>
      </c>
      <c r="Y578" s="5">
        <f>SUMPRODUCT(('01_Data'!$B578:$AW578&lt;&gt;"")*(1/(1+EXP(-(W578-'03_Lap_b'!$B$35:$AW$35))))^2)</f>
        <v/>
      </c>
      <c r="Z578" s="5">
        <f>MEDIAN(-6,W578+(C578-X578)/MAX(X578-Y578,0.000000001),6)</f>
        <v/>
      </c>
      <c r="AA578" s="5">
        <f>SUMPRODUCT(('01_Data'!$B578:$AW578&lt;&gt;"")*(1/(1+EXP(-(Z578-'03_Lap_b'!$B$40:$AW$40)))))</f>
        <v/>
      </c>
      <c r="AB578" s="5">
        <f>SUMPRODUCT(('01_Data'!$B578:$AW578&lt;&gt;"")*(1/(1+EXP(-(Z578-'03_Lap_b'!$B$40:$AW$40))))^2)</f>
        <v/>
      </c>
      <c r="AC578" s="5">
        <f>MEDIAN(-6,Z578+(C578-AA578)/MAX(AA578-AB578,0.000000001),6)</f>
        <v/>
      </c>
    </row>
    <row r="579">
      <c r="A579" t="n">
        <v>578</v>
      </c>
      <c r="B579">
        <f>'01_Data'!A579</f>
        <v/>
      </c>
      <c r="C579">
        <f>SUM('01_Data'!$B579:$AW579)</f>
        <v/>
      </c>
      <c r="D579">
        <f>COUNT('01_Data'!$B579:$AW579)</f>
        <v/>
      </c>
      <c r="E579" s="5">
        <f>MEDIAN(-6,LN((C579+0.3)/(D579-C579+0.3)),6)</f>
        <v/>
      </c>
      <c r="F579" s="5">
        <f>SUMPRODUCT(('01_Data'!$B579:$AW579&lt;&gt;"")*(1/(1+EXP(-(E579-'03_Lap_b'!$B$5:$AW$5)))))</f>
        <v/>
      </c>
      <c r="G579" s="5">
        <f>SUMPRODUCT(('01_Data'!$B579:$AW579&lt;&gt;"")*(1/(1+EXP(-(E579-'03_Lap_b'!$B$5:$AW$5))))^2)</f>
        <v/>
      </c>
      <c r="H579" s="5">
        <f>MEDIAN(-6,E579+(C579-F579)/MAX(F579-G579,0.000000001),6)</f>
        <v/>
      </c>
      <c r="I579" s="5">
        <f>SUMPRODUCT(('01_Data'!$B579:$AW579&lt;&gt;"")*(1/(1+EXP(-(H579-'03_Lap_b'!$B$10:$AW$10)))))</f>
        <v/>
      </c>
      <c r="J579" s="5">
        <f>SUMPRODUCT(('01_Data'!$B579:$AW579&lt;&gt;"")*(1/(1+EXP(-(H579-'03_Lap_b'!$B$10:$AW$10))))^2)</f>
        <v/>
      </c>
      <c r="K579" s="5">
        <f>MEDIAN(-6,H579+(C579-I579)/MAX(I579-J579,0.000000001),6)</f>
        <v/>
      </c>
      <c r="L579" s="5">
        <f>SUMPRODUCT(('01_Data'!$B579:$AW579&lt;&gt;"")*(1/(1+EXP(-(K579-'03_Lap_b'!$B$15:$AW$15)))))</f>
        <v/>
      </c>
      <c r="M579" s="5">
        <f>SUMPRODUCT(('01_Data'!$B579:$AW579&lt;&gt;"")*(1/(1+EXP(-(K579-'03_Lap_b'!$B$15:$AW$15))))^2)</f>
        <v/>
      </c>
      <c r="N579" s="5">
        <f>MEDIAN(-6,K579+(C579-L579)/MAX(L579-M579,0.000000001),6)</f>
        <v/>
      </c>
      <c r="O579" s="5">
        <f>SUMPRODUCT(('01_Data'!$B579:$AW579&lt;&gt;"")*(1/(1+EXP(-(N579-'03_Lap_b'!$B$20:$AW$20)))))</f>
        <v/>
      </c>
      <c r="P579" s="5">
        <f>SUMPRODUCT(('01_Data'!$B579:$AW579&lt;&gt;"")*(1/(1+EXP(-(N579-'03_Lap_b'!$B$20:$AW$20))))^2)</f>
        <v/>
      </c>
      <c r="Q579" s="5">
        <f>MEDIAN(-6,N579+(C579-O579)/MAX(O579-P579,0.000000001),6)</f>
        <v/>
      </c>
      <c r="R579" s="5">
        <f>SUMPRODUCT(('01_Data'!$B579:$AW579&lt;&gt;"")*(1/(1+EXP(-(Q579-'03_Lap_b'!$B$25:$AW$25)))))</f>
        <v/>
      </c>
      <c r="S579" s="5">
        <f>SUMPRODUCT(('01_Data'!$B579:$AW579&lt;&gt;"")*(1/(1+EXP(-(Q579-'03_Lap_b'!$B$25:$AW$25))))^2)</f>
        <v/>
      </c>
      <c r="T579" s="5">
        <f>MEDIAN(-6,Q579+(C579-R579)/MAX(R579-S579,0.000000001),6)</f>
        <v/>
      </c>
      <c r="U579" s="5">
        <f>SUMPRODUCT(('01_Data'!$B579:$AW579&lt;&gt;"")*(1/(1+EXP(-(T579-'03_Lap_b'!$B$30:$AW$30)))))</f>
        <v/>
      </c>
      <c r="V579" s="5">
        <f>SUMPRODUCT(('01_Data'!$B579:$AW579&lt;&gt;"")*(1/(1+EXP(-(T579-'03_Lap_b'!$B$30:$AW$30))))^2)</f>
        <v/>
      </c>
      <c r="W579" s="5">
        <f>MEDIAN(-6,T579+(C579-U579)/MAX(U579-V579,0.000000001),6)</f>
        <v/>
      </c>
      <c r="X579" s="5">
        <f>SUMPRODUCT(('01_Data'!$B579:$AW579&lt;&gt;"")*(1/(1+EXP(-(W579-'03_Lap_b'!$B$35:$AW$35)))))</f>
        <v/>
      </c>
      <c r="Y579" s="5">
        <f>SUMPRODUCT(('01_Data'!$B579:$AW579&lt;&gt;"")*(1/(1+EXP(-(W579-'03_Lap_b'!$B$35:$AW$35))))^2)</f>
        <v/>
      </c>
      <c r="Z579" s="5">
        <f>MEDIAN(-6,W579+(C579-X579)/MAX(X579-Y579,0.000000001),6)</f>
        <v/>
      </c>
      <c r="AA579" s="5">
        <f>SUMPRODUCT(('01_Data'!$B579:$AW579&lt;&gt;"")*(1/(1+EXP(-(Z579-'03_Lap_b'!$B$40:$AW$40)))))</f>
        <v/>
      </c>
      <c r="AB579" s="5">
        <f>SUMPRODUCT(('01_Data'!$B579:$AW579&lt;&gt;"")*(1/(1+EXP(-(Z579-'03_Lap_b'!$B$40:$AW$40))))^2)</f>
        <v/>
      </c>
      <c r="AC579" s="5">
        <f>MEDIAN(-6,Z579+(C579-AA579)/MAX(AA579-AB579,0.000000001),6)</f>
        <v/>
      </c>
    </row>
    <row r="580">
      <c r="A580" t="n">
        <v>579</v>
      </c>
      <c r="B580">
        <f>'01_Data'!A580</f>
        <v/>
      </c>
      <c r="C580">
        <f>SUM('01_Data'!$B580:$AW580)</f>
        <v/>
      </c>
      <c r="D580">
        <f>COUNT('01_Data'!$B580:$AW580)</f>
        <v/>
      </c>
      <c r="E580" s="5">
        <f>MEDIAN(-6,LN((C580+0.3)/(D580-C580+0.3)),6)</f>
        <v/>
      </c>
      <c r="F580" s="5">
        <f>SUMPRODUCT(('01_Data'!$B580:$AW580&lt;&gt;"")*(1/(1+EXP(-(E580-'03_Lap_b'!$B$5:$AW$5)))))</f>
        <v/>
      </c>
      <c r="G580" s="5">
        <f>SUMPRODUCT(('01_Data'!$B580:$AW580&lt;&gt;"")*(1/(1+EXP(-(E580-'03_Lap_b'!$B$5:$AW$5))))^2)</f>
        <v/>
      </c>
      <c r="H580" s="5">
        <f>MEDIAN(-6,E580+(C580-F580)/MAX(F580-G580,0.000000001),6)</f>
        <v/>
      </c>
      <c r="I580" s="5">
        <f>SUMPRODUCT(('01_Data'!$B580:$AW580&lt;&gt;"")*(1/(1+EXP(-(H580-'03_Lap_b'!$B$10:$AW$10)))))</f>
        <v/>
      </c>
      <c r="J580" s="5">
        <f>SUMPRODUCT(('01_Data'!$B580:$AW580&lt;&gt;"")*(1/(1+EXP(-(H580-'03_Lap_b'!$B$10:$AW$10))))^2)</f>
        <v/>
      </c>
      <c r="K580" s="5">
        <f>MEDIAN(-6,H580+(C580-I580)/MAX(I580-J580,0.000000001),6)</f>
        <v/>
      </c>
      <c r="L580" s="5">
        <f>SUMPRODUCT(('01_Data'!$B580:$AW580&lt;&gt;"")*(1/(1+EXP(-(K580-'03_Lap_b'!$B$15:$AW$15)))))</f>
        <v/>
      </c>
      <c r="M580" s="5">
        <f>SUMPRODUCT(('01_Data'!$B580:$AW580&lt;&gt;"")*(1/(1+EXP(-(K580-'03_Lap_b'!$B$15:$AW$15))))^2)</f>
        <v/>
      </c>
      <c r="N580" s="5">
        <f>MEDIAN(-6,K580+(C580-L580)/MAX(L580-M580,0.000000001),6)</f>
        <v/>
      </c>
      <c r="O580" s="5">
        <f>SUMPRODUCT(('01_Data'!$B580:$AW580&lt;&gt;"")*(1/(1+EXP(-(N580-'03_Lap_b'!$B$20:$AW$20)))))</f>
        <v/>
      </c>
      <c r="P580" s="5">
        <f>SUMPRODUCT(('01_Data'!$B580:$AW580&lt;&gt;"")*(1/(1+EXP(-(N580-'03_Lap_b'!$B$20:$AW$20))))^2)</f>
        <v/>
      </c>
      <c r="Q580" s="5">
        <f>MEDIAN(-6,N580+(C580-O580)/MAX(O580-P580,0.000000001),6)</f>
        <v/>
      </c>
      <c r="R580" s="5">
        <f>SUMPRODUCT(('01_Data'!$B580:$AW580&lt;&gt;"")*(1/(1+EXP(-(Q580-'03_Lap_b'!$B$25:$AW$25)))))</f>
        <v/>
      </c>
      <c r="S580" s="5">
        <f>SUMPRODUCT(('01_Data'!$B580:$AW580&lt;&gt;"")*(1/(1+EXP(-(Q580-'03_Lap_b'!$B$25:$AW$25))))^2)</f>
        <v/>
      </c>
      <c r="T580" s="5">
        <f>MEDIAN(-6,Q580+(C580-R580)/MAX(R580-S580,0.000000001),6)</f>
        <v/>
      </c>
      <c r="U580" s="5">
        <f>SUMPRODUCT(('01_Data'!$B580:$AW580&lt;&gt;"")*(1/(1+EXP(-(T580-'03_Lap_b'!$B$30:$AW$30)))))</f>
        <v/>
      </c>
      <c r="V580" s="5">
        <f>SUMPRODUCT(('01_Data'!$B580:$AW580&lt;&gt;"")*(1/(1+EXP(-(T580-'03_Lap_b'!$B$30:$AW$30))))^2)</f>
        <v/>
      </c>
      <c r="W580" s="5">
        <f>MEDIAN(-6,T580+(C580-U580)/MAX(U580-V580,0.000000001),6)</f>
        <v/>
      </c>
      <c r="X580" s="5">
        <f>SUMPRODUCT(('01_Data'!$B580:$AW580&lt;&gt;"")*(1/(1+EXP(-(W580-'03_Lap_b'!$B$35:$AW$35)))))</f>
        <v/>
      </c>
      <c r="Y580" s="5">
        <f>SUMPRODUCT(('01_Data'!$B580:$AW580&lt;&gt;"")*(1/(1+EXP(-(W580-'03_Lap_b'!$B$35:$AW$35))))^2)</f>
        <v/>
      </c>
      <c r="Z580" s="5">
        <f>MEDIAN(-6,W580+(C580-X580)/MAX(X580-Y580,0.000000001),6)</f>
        <v/>
      </c>
      <c r="AA580" s="5">
        <f>SUMPRODUCT(('01_Data'!$B580:$AW580&lt;&gt;"")*(1/(1+EXP(-(Z580-'03_Lap_b'!$B$40:$AW$40)))))</f>
        <v/>
      </c>
      <c r="AB580" s="5">
        <f>SUMPRODUCT(('01_Data'!$B580:$AW580&lt;&gt;"")*(1/(1+EXP(-(Z580-'03_Lap_b'!$B$40:$AW$40))))^2)</f>
        <v/>
      </c>
      <c r="AC580" s="5">
        <f>MEDIAN(-6,Z580+(C580-AA580)/MAX(AA580-AB580,0.000000001),6)</f>
        <v/>
      </c>
    </row>
    <row r="581">
      <c r="A581" t="n">
        <v>580</v>
      </c>
      <c r="B581">
        <f>'01_Data'!A581</f>
        <v/>
      </c>
      <c r="C581">
        <f>SUM('01_Data'!$B581:$AW581)</f>
        <v/>
      </c>
      <c r="D581">
        <f>COUNT('01_Data'!$B581:$AW581)</f>
        <v/>
      </c>
      <c r="E581" s="5">
        <f>MEDIAN(-6,LN((C581+0.3)/(D581-C581+0.3)),6)</f>
        <v/>
      </c>
      <c r="F581" s="5">
        <f>SUMPRODUCT(('01_Data'!$B581:$AW581&lt;&gt;"")*(1/(1+EXP(-(E581-'03_Lap_b'!$B$5:$AW$5)))))</f>
        <v/>
      </c>
      <c r="G581" s="5">
        <f>SUMPRODUCT(('01_Data'!$B581:$AW581&lt;&gt;"")*(1/(1+EXP(-(E581-'03_Lap_b'!$B$5:$AW$5))))^2)</f>
        <v/>
      </c>
      <c r="H581" s="5">
        <f>MEDIAN(-6,E581+(C581-F581)/MAX(F581-G581,0.000000001),6)</f>
        <v/>
      </c>
      <c r="I581" s="5">
        <f>SUMPRODUCT(('01_Data'!$B581:$AW581&lt;&gt;"")*(1/(1+EXP(-(H581-'03_Lap_b'!$B$10:$AW$10)))))</f>
        <v/>
      </c>
      <c r="J581" s="5">
        <f>SUMPRODUCT(('01_Data'!$B581:$AW581&lt;&gt;"")*(1/(1+EXP(-(H581-'03_Lap_b'!$B$10:$AW$10))))^2)</f>
        <v/>
      </c>
      <c r="K581" s="5">
        <f>MEDIAN(-6,H581+(C581-I581)/MAX(I581-J581,0.000000001),6)</f>
        <v/>
      </c>
      <c r="L581" s="5">
        <f>SUMPRODUCT(('01_Data'!$B581:$AW581&lt;&gt;"")*(1/(1+EXP(-(K581-'03_Lap_b'!$B$15:$AW$15)))))</f>
        <v/>
      </c>
      <c r="M581" s="5">
        <f>SUMPRODUCT(('01_Data'!$B581:$AW581&lt;&gt;"")*(1/(1+EXP(-(K581-'03_Lap_b'!$B$15:$AW$15))))^2)</f>
        <v/>
      </c>
      <c r="N581" s="5">
        <f>MEDIAN(-6,K581+(C581-L581)/MAX(L581-M581,0.000000001),6)</f>
        <v/>
      </c>
      <c r="O581" s="5">
        <f>SUMPRODUCT(('01_Data'!$B581:$AW581&lt;&gt;"")*(1/(1+EXP(-(N581-'03_Lap_b'!$B$20:$AW$20)))))</f>
        <v/>
      </c>
      <c r="P581" s="5">
        <f>SUMPRODUCT(('01_Data'!$B581:$AW581&lt;&gt;"")*(1/(1+EXP(-(N581-'03_Lap_b'!$B$20:$AW$20))))^2)</f>
        <v/>
      </c>
      <c r="Q581" s="5">
        <f>MEDIAN(-6,N581+(C581-O581)/MAX(O581-P581,0.000000001),6)</f>
        <v/>
      </c>
      <c r="R581" s="5">
        <f>SUMPRODUCT(('01_Data'!$B581:$AW581&lt;&gt;"")*(1/(1+EXP(-(Q581-'03_Lap_b'!$B$25:$AW$25)))))</f>
        <v/>
      </c>
      <c r="S581" s="5">
        <f>SUMPRODUCT(('01_Data'!$B581:$AW581&lt;&gt;"")*(1/(1+EXP(-(Q581-'03_Lap_b'!$B$25:$AW$25))))^2)</f>
        <v/>
      </c>
      <c r="T581" s="5">
        <f>MEDIAN(-6,Q581+(C581-R581)/MAX(R581-S581,0.000000001),6)</f>
        <v/>
      </c>
      <c r="U581" s="5">
        <f>SUMPRODUCT(('01_Data'!$B581:$AW581&lt;&gt;"")*(1/(1+EXP(-(T581-'03_Lap_b'!$B$30:$AW$30)))))</f>
        <v/>
      </c>
      <c r="V581" s="5">
        <f>SUMPRODUCT(('01_Data'!$B581:$AW581&lt;&gt;"")*(1/(1+EXP(-(T581-'03_Lap_b'!$B$30:$AW$30))))^2)</f>
        <v/>
      </c>
      <c r="W581" s="5">
        <f>MEDIAN(-6,T581+(C581-U581)/MAX(U581-V581,0.000000001),6)</f>
        <v/>
      </c>
      <c r="X581" s="5">
        <f>SUMPRODUCT(('01_Data'!$B581:$AW581&lt;&gt;"")*(1/(1+EXP(-(W581-'03_Lap_b'!$B$35:$AW$35)))))</f>
        <v/>
      </c>
      <c r="Y581" s="5">
        <f>SUMPRODUCT(('01_Data'!$B581:$AW581&lt;&gt;"")*(1/(1+EXP(-(W581-'03_Lap_b'!$B$35:$AW$35))))^2)</f>
        <v/>
      </c>
      <c r="Z581" s="5">
        <f>MEDIAN(-6,W581+(C581-X581)/MAX(X581-Y581,0.000000001),6)</f>
        <v/>
      </c>
      <c r="AA581" s="5">
        <f>SUMPRODUCT(('01_Data'!$B581:$AW581&lt;&gt;"")*(1/(1+EXP(-(Z581-'03_Lap_b'!$B$40:$AW$40)))))</f>
        <v/>
      </c>
      <c r="AB581" s="5">
        <f>SUMPRODUCT(('01_Data'!$B581:$AW581&lt;&gt;"")*(1/(1+EXP(-(Z581-'03_Lap_b'!$B$40:$AW$40))))^2)</f>
        <v/>
      </c>
      <c r="AC581" s="5">
        <f>MEDIAN(-6,Z581+(C581-AA581)/MAX(AA581-AB581,0.000000001),6)</f>
        <v/>
      </c>
    </row>
    <row r="582">
      <c r="A582" t="n">
        <v>581</v>
      </c>
      <c r="B582">
        <f>'01_Data'!A582</f>
        <v/>
      </c>
      <c r="C582">
        <f>SUM('01_Data'!$B582:$AW582)</f>
        <v/>
      </c>
      <c r="D582">
        <f>COUNT('01_Data'!$B582:$AW582)</f>
        <v/>
      </c>
      <c r="E582" s="5">
        <f>MEDIAN(-6,LN((C582+0.3)/(D582-C582+0.3)),6)</f>
        <v/>
      </c>
      <c r="F582" s="5">
        <f>SUMPRODUCT(('01_Data'!$B582:$AW582&lt;&gt;"")*(1/(1+EXP(-(E582-'03_Lap_b'!$B$5:$AW$5)))))</f>
        <v/>
      </c>
      <c r="G582" s="5">
        <f>SUMPRODUCT(('01_Data'!$B582:$AW582&lt;&gt;"")*(1/(1+EXP(-(E582-'03_Lap_b'!$B$5:$AW$5))))^2)</f>
        <v/>
      </c>
      <c r="H582" s="5">
        <f>MEDIAN(-6,E582+(C582-F582)/MAX(F582-G582,0.000000001),6)</f>
        <v/>
      </c>
      <c r="I582" s="5">
        <f>SUMPRODUCT(('01_Data'!$B582:$AW582&lt;&gt;"")*(1/(1+EXP(-(H582-'03_Lap_b'!$B$10:$AW$10)))))</f>
        <v/>
      </c>
      <c r="J582" s="5">
        <f>SUMPRODUCT(('01_Data'!$B582:$AW582&lt;&gt;"")*(1/(1+EXP(-(H582-'03_Lap_b'!$B$10:$AW$10))))^2)</f>
        <v/>
      </c>
      <c r="K582" s="5">
        <f>MEDIAN(-6,H582+(C582-I582)/MAX(I582-J582,0.000000001),6)</f>
        <v/>
      </c>
      <c r="L582" s="5">
        <f>SUMPRODUCT(('01_Data'!$B582:$AW582&lt;&gt;"")*(1/(1+EXP(-(K582-'03_Lap_b'!$B$15:$AW$15)))))</f>
        <v/>
      </c>
      <c r="M582" s="5">
        <f>SUMPRODUCT(('01_Data'!$B582:$AW582&lt;&gt;"")*(1/(1+EXP(-(K582-'03_Lap_b'!$B$15:$AW$15))))^2)</f>
        <v/>
      </c>
      <c r="N582" s="5">
        <f>MEDIAN(-6,K582+(C582-L582)/MAX(L582-M582,0.000000001),6)</f>
        <v/>
      </c>
      <c r="O582" s="5">
        <f>SUMPRODUCT(('01_Data'!$B582:$AW582&lt;&gt;"")*(1/(1+EXP(-(N582-'03_Lap_b'!$B$20:$AW$20)))))</f>
        <v/>
      </c>
      <c r="P582" s="5">
        <f>SUMPRODUCT(('01_Data'!$B582:$AW582&lt;&gt;"")*(1/(1+EXP(-(N582-'03_Lap_b'!$B$20:$AW$20))))^2)</f>
        <v/>
      </c>
      <c r="Q582" s="5">
        <f>MEDIAN(-6,N582+(C582-O582)/MAX(O582-P582,0.000000001),6)</f>
        <v/>
      </c>
      <c r="R582" s="5">
        <f>SUMPRODUCT(('01_Data'!$B582:$AW582&lt;&gt;"")*(1/(1+EXP(-(Q582-'03_Lap_b'!$B$25:$AW$25)))))</f>
        <v/>
      </c>
      <c r="S582" s="5">
        <f>SUMPRODUCT(('01_Data'!$B582:$AW582&lt;&gt;"")*(1/(1+EXP(-(Q582-'03_Lap_b'!$B$25:$AW$25))))^2)</f>
        <v/>
      </c>
      <c r="T582" s="5">
        <f>MEDIAN(-6,Q582+(C582-R582)/MAX(R582-S582,0.000000001),6)</f>
        <v/>
      </c>
      <c r="U582" s="5">
        <f>SUMPRODUCT(('01_Data'!$B582:$AW582&lt;&gt;"")*(1/(1+EXP(-(T582-'03_Lap_b'!$B$30:$AW$30)))))</f>
        <v/>
      </c>
      <c r="V582" s="5">
        <f>SUMPRODUCT(('01_Data'!$B582:$AW582&lt;&gt;"")*(1/(1+EXP(-(T582-'03_Lap_b'!$B$30:$AW$30))))^2)</f>
        <v/>
      </c>
      <c r="W582" s="5">
        <f>MEDIAN(-6,T582+(C582-U582)/MAX(U582-V582,0.000000001),6)</f>
        <v/>
      </c>
      <c r="X582" s="5">
        <f>SUMPRODUCT(('01_Data'!$B582:$AW582&lt;&gt;"")*(1/(1+EXP(-(W582-'03_Lap_b'!$B$35:$AW$35)))))</f>
        <v/>
      </c>
      <c r="Y582" s="5">
        <f>SUMPRODUCT(('01_Data'!$B582:$AW582&lt;&gt;"")*(1/(1+EXP(-(W582-'03_Lap_b'!$B$35:$AW$35))))^2)</f>
        <v/>
      </c>
      <c r="Z582" s="5">
        <f>MEDIAN(-6,W582+(C582-X582)/MAX(X582-Y582,0.000000001),6)</f>
        <v/>
      </c>
      <c r="AA582" s="5">
        <f>SUMPRODUCT(('01_Data'!$B582:$AW582&lt;&gt;"")*(1/(1+EXP(-(Z582-'03_Lap_b'!$B$40:$AW$40)))))</f>
        <v/>
      </c>
      <c r="AB582" s="5">
        <f>SUMPRODUCT(('01_Data'!$B582:$AW582&lt;&gt;"")*(1/(1+EXP(-(Z582-'03_Lap_b'!$B$40:$AW$40))))^2)</f>
        <v/>
      </c>
      <c r="AC582" s="5">
        <f>MEDIAN(-6,Z582+(C582-AA582)/MAX(AA582-AB582,0.000000001),6)</f>
        <v/>
      </c>
    </row>
    <row r="583">
      <c r="A583" t="n">
        <v>582</v>
      </c>
      <c r="B583">
        <f>'01_Data'!A583</f>
        <v/>
      </c>
      <c r="C583">
        <f>SUM('01_Data'!$B583:$AW583)</f>
        <v/>
      </c>
      <c r="D583">
        <f>COUNT('01_Data'!$B583:$AW583)</f>
        <v/>
      </c>
      <c r="E583" s="5">
        <f>MEDIAN(-6,LN((C583+0.3)/(D583-C583+0.3)),6)</f>
        <v/>
      </c>
      <c r="F583" s="5">
        <f>SUMPRODUCT(('01_Data'!$B583:$AW583&lt;&gt;"")*(1/(1+EXP(-(E583-'03_Lap_b'!$B$5:$AW$5)))))</f>
        <v/>
      </c>
      <c r="G583" s="5">
        <f>SUMPRODUCT(('01_Data'!$B583:$AW583&lt;&gt;"")*(1/(1+EXP(-(E583-'03_Lap_b'!$B$5:$AW$5))))^2)</f>
        <v/>
      </c>
      <c r="H583" s="5">
        <f>MEDIAN(-6,E583+(C583-F583)/MAX(F583-G583,0.000000001),6)</f>
        <v/>
      </c>
      <c r="I583" s="5">
        <f>SUMPRODUCT(('01_Data'!$B583:$AW583&lt;&gt;"")*(1/(1+EXP(-(H583-'03_Lap_b'!$B$10:$AW$10)))))</f>
        <v/>
      </c>
      <c r="J583" s="5">
        <f>SUMPRODUCT(('01_Data'!$B583:$AW583&lt;&gt;"")*(1/(1+EXP(-(H583-'03_Lap_b'!$B$10:$AW$10))))^2)</f>
        <v/>
      </c>
      <c r="K583" s="5">
        <f>MEDIAN(-6,H583+(C583-I583)/MAX(I583-J583,0.000000001),6)</f>
        <v/>
      </c>
      <c r="L583" s="5">
        <f>SUMPRODUCT(('01_Data'!$B583:$AW583&lt;&gt;"")*(1/(1+EXP(-(K583-'03_Lap_b'!$B$15:$AW$15)))))</f>
        <v/>
      </c>
      <c r="M583" s="5">
        <f>SUMPRODUCT(('01_Data'!$B583:$AW583&lt;&gt;"")*(1/(1+EXP(-(K583-'03_Lap_b'!$B$15:$AW$15))))^2)</f>
        <v/>
      </c>
      <c r="N583" s="5">
        <f>MEDIAN(-6,K583+(C583-L583)/MAX(L583-M583,0.000000001),6)</f>
        <v/>
      </c>
      <c r="O583" s="5">
        <f>SUMPRODUCT(('01_Data'!$B583:$AW583&lt;&gt;"")*(1/(1+EXP(-(N583-'03_Lap_b'!$B$20:$AW$20)))))</f>
        <v/>
      </c>
      <c r="P583" s="5">
        <f>SUMPRODUCT(('01_Data'!$B583:$AW583&lt;&gt;"")*(1/(1+EXP(-(N583-'03_Lap_b'!$B$20:$AW$20))))^2)</f>
        <v/>
      </c>
      <c r="Q583" s="5">
        <f>MEDIAN(-6,N583+(C583-O583)/MAX(O583-P583,0.000000001),6)</f>
        <v/>
      </c>
      <c r="R583" s="5">
        <f>SUMPRODUCT(('01_Data'!$B583:$AW583&lt;&gt;"")*(1/(1+EXP(-(Q583-'03_Lap_b'!$B$25:$AW$25)))))</f>
        <v/>
      </c>
      <c r="S583" s="5">
        <f>SUMPRODUCT(('01_Data'!$B583:$AW583&lt;&gt;"")*(1/(1+EXP(-(Q583-'03_Lap_b'!$B$25:$AW$25))))^2)</f>
        <v/>
      </c>
      <c r="T583" s="5">
        <f>MEDIAN(-6,Q583+(C583-R583)/MAX(R583-S583,0.000000001),6)</f>
        <v/>
      </c>
      <c r="U583" s="5">
        <f>SUMPRODUCT(('01_Data'!$B583:$AW583&lt;&gt;"")*(1/(1+EXP(-(T583-'03_Lap_b'!$B$30:$AW$30)))))</f>
        <v/>
      </c>
      <c r="V583" s="5">
        <f>SUMPRODUCT(('01_Data'!$B583:$AW583&lt;&gt;"")*(1/(1+EXP(-(T583-'03_Lap_b'!$B$30:$AW$30))))^2)</f>
        <v/>
      </c>
      <c r="W583" s="5">
        <f>MEDIAN(-6,T583+(C583-U583)/MAX(U583-V583,0.000000001),6)</f>
        <v/>
      </c>
      <c r="X583" s="5">
        <f>SUMPRODUCT(('01_Data'!$B583:$AW583&lt;&gt;"")*(1/(1+EXP(-(W583-'03_Lap_b'!$B$35:$AW$35)))))</f>
        <v/>
      </c>
      <c r="Y583" s="5">
        <f>SUMPRODUCT(('01_Data'!$B583:$AW583&lt;&gt;"")*(1/(1+EXP(-(W583-'03_Lap_b'!$B$35:$AW$35))))^2)</f>
        <v/>
      </c>
      <c r="Z583" s="5">
        <f>MEDIAN(-6,W583+(C583-X583)/MAX(X583-Y583,0.000000001),6)</f>
        <v/>
      </c>
      <c r="AA583" s="5">
        <f>SUMPRODUCT(('01_Data'!$B583:$AW583&lt;&gt;"")*(1/(1+EXP(-(Z583-'03_Lap_b'!$B$40:$AW$40)))))</f>
        <v/>
      </c>
      <c r="AB583" s="5">
        <f>SUMPRODUCT(('01_Data'!$B583:$AW583&lt;&gt;"")*(1/(1+EXP(-(Z583-'03_Lap_b'!$B$40:$AW$40))))^2)</f>
        <v/>
      </c>
      <c r="AC583" s="5">
        <f>MEDIAN(-6,Z583+(C583-AA583)/MAX(AA583-AB583,0.000000001),6)</f>
        <v/>
      </c>
    </row>
    <row r="584">
      <c r="A584" t="n">
        <v>583</v>
      </c>
      <c r="B584">
        <f>'01_Data'!A584</f>
        <v/>
      </c>
      <c r="C584">
        <f>SUM('01_Data'!$B584:$AW584)</f>
        <v/>
      </c>
      <c r="D584">
        <f>COUNT('01_Data'!$B584:$AW584)</f>
        <v/>
      </c>
      <c r="E584" s="5">
        <f>MEDIAN(-6,LN((C584+0.3)/(D584-C584+0.3)),6)</f>
        <v/>
      </c>
      <c r="F584" s="5">
        <f>SUMPRODUCT(('01_Data'!$B584:$AW584&lt;&gt;"")*(1/(1+EXP(-(E584-'03_Lap_b'!$B$5:$AW$5)))))</f>
        <v/>
      </c>
      <c r="G584" s="5">
        <f>SUMPRODUCT(('01_Data'!$B584:$AW584&lt;&gt;"")*(1/(1+EXP(-(E584-'03_Lap_b'!$B$5:$AW$5))))^2)</f>
        <v/>
      </c>
      <c r="H584" s="5">
        <f>MEDIAN(-6,E584+(C584-F584)/MAX(F584-G584,0.000000001),6)</f>
        <v/>
      </c>
      <c r="I584" s="5">
        <f>SUMPRODUCT(('01_Data'!$B584:$AW584&lt;&gt;"")*(1/(1+EXP(-(H584-'03_Lap_b'!$B$10:$AW$10)))))</f>
        <v/>
      </c>
      <c r="J584" s="5">
        <f>SUMPRODUCT(('01_Data'!$B584:$AW584&lt;&gt;"")*(1/(1+EXP(-(H584-'03_Lap_b'!$B$10:$AW$10))))^2)</f>
        <v/>
      </c>
      <c r="K584" s="5">
        <f>MEDIAN(-6,H584+(C584-I584)/MAX(I584-J584,0.000000001),6)</f>
        <v/>
      </c>
      <c r="L584" s="5">
        <f>SUMPRODUCT(('01_Data'!$B584:$AW584&lt;&gt;"")*(1/(1+EXP(-(K584-'03_Lap_b'!$B$15:$AW$15)))))</f>
        <v/>
      </c>
      <c r="M584" s="5">
        <f>SUMPRODUCT(('01_Data'!$B584:$AW584&lt;&gt;"")*(1/(1+EXP(-(K584-'03_Lap_b'!$B$15:$AW$15))))^2)</f>
        <v/>
      </c>
      <c r="N584" s="5">
        <f>MEDIAN(-6,K584+(C584-L584)/MAX(L584-M584,0.000000001),6)</f>
        <v/>
      </c>
      <c r="O584" s="5">
        <f>SUMPRODUCT(('01_Data'!$B584:$AW584&lt;&gt;"")*(1/(1+EXP(-(N584-'03_Lap_b'!$B$20:$AW$20)))))</f>
        <v/>
      </c>
      <c r="P584" s="5">
        <f>SUMPRODUCT(('01_Data'!$B584:$AW584&lt;&gt;"")*(1/(1+EXP(-(N584-'03_Lap_b'!$B$20:$AW$20))))^2)</f>
        <v/>
      </c>
      <c r="Q584" s="5">
        <f>MEDIAN(-6,N584+(C584-O584)/MAX(O584-P584,0.000000001),6)</f>
        <v/>
      </c>
      <c r="R584" s="5">
        <f>SUMPRODUCT(('01_Data'!$B584:$AW584&lt;&gt;"")*(1/(1+EXP(-(Q584-'03_Lap_b'!$B$25:$AW$25)))))</f>
        <v/>
      </c>
      <c r="S584" s="5">
        <f>SUMPRODUCT(('01_Data'!$B584:$AW584&lt;&gt;"")*(1/(1+EXP(-(Q584-'03_Lap_b'!$B$25:$AW$25))))^2)</f>
        <v/>
      </c>
      <c r="T584" s="5">
        <f>MEDIAN(-6,Q584+(C584-R584)/MAX(R584-S584,0.000000001),6)</f>
        <v/>
      </c>
      <c r="U584" s="5">
        <f>SUMPRODUCT(('01_Data'!$B584:$AW584&lt;&gt;"")*(1/(1+EXP(-(T584-'03_Lap_b'!$B$30:$AW$30)))))</f>
        <v/>
      </c>
      <c r="V584" s="5">
        <f>SUMPRODUCT(('01_Data'!$B584:$AW584&lt;&gt;"")*(1/(1+EXP(-(T584-'03_Lap_b'!$B$30:$AW$30))))^2)</f>
        <v/>
      </c>
      <c r="W584" s="5">
        <f>MEDIAN(-6,T584+(C584-U584)/MAX(U584-V584,0.000000001),6)</f>
        <v/>
      </c>
      <c r="X584" s="5">
        <f>SUMPRODUCT(('01_Data'!$B584:$AW584&lt;&gt;"")*(1/(1+EXP(-(W584-'03_Lap_b'!$B$35:$AW$35)))))</f>
        <v/>
      </c>
      <c r="Y584" s="5">
        <f>SUMPRODUCT(('01_Data'!$B584:$AW584&lt;&gt;"")*(1/(1+EXP(-(W584-'03_Lap_b'!$B$35:$AW$35))))^2)</f>
        <v/>
      </c>
      <c r="Z584" s="5">
        <f>MEDIAN(-6,W584+(C584-X584)/MAX(X584-Y584,0.000000001),6)</f>
        <v/>
      </c>
      <c r="AA584" s="5">
        <f>SUMPRODUCT(('01_Data'!$B584:$AW584&lt;&gt;"")*(1/(1+EXP(-(Z584-'03_Lap_b'!$B$40:$AW$40)))))</f>
        <v/>
      </c>
      <c r="AB584" s="5">
        <f>SUMPRODUCT(('01_Data'!$B584:$AW584&lt;&gt;"")*(1/(1+EXP(-(Z584-'03_Lap_b'!$B$40:$AW$40))))^2)</f>
        <v/>
      </c>
      <c r="AC584" s="5">
        <f>MEDIAN(-6,Z584+(C584-AA584)/MAX(AA584-AB584,0.000000001),6)</f>
        <v/>
      </c>
    </row>
    <row r="585">
      <c r="A585" t="n">
        <v>584</v>
      </c>
      <c r="B585">
        <f>'01_Data'!A585</f>
        <v/>
      </c>
      <c r="C585">
        <f>SUM('01_Data'!$B585:$AW585)</f>
        <v/>
      </c>
      <c r="D585">
        <f>COUNT('01_Data'!$B585:$AW585)</f>
        <v/>
      </c>
      <c r="E585" s="5">
        <f>MEDIAN(-6,LN((C585+0.3)/(D585-C585+0.3)),6)</f>
        <v/>
      </c>
      <c r="F585" s="5">
        <f>SUMPRODUCT(('01_Data'!$B585:$AW585&lt;&gt;"")*(1/(1+EXP(-(E585-'03_Lap_b'!$B$5:$AW$5)))))</f>
        <v/>
      </c>
      <c r="G585" s="5">
        <f>SUMPRODUCT(('01_Data'!$B585:$AW585&lt;&gt;"")*(1/(1+EXP(-(E585-'03_Lap_b'!$B$5:$AW$5))))^2)</f>
        <v/>
      </c>
      <c r="H585" s="5">
        <f>MEDIAN(-6,E585+(C585-F585)/MAX(F585-G585,0.000000001),6)</f>
        <v/>
      </c>
      <c r="I585" s="5">
        <f>SUMPRODUCT(('01_Data'!$B585:$AW585&lt;&gt;"")*(1/(1+EXP(-(H585-'03_Lap_b'!$B$10:$AW$10)))))</f>
        <v/>
      </c>
      <c r="J585" s="5">
        <f>SUMPRODUCT(('01_Data'!$B585:$AW585&lt;&gt;"")*(1/(1+EXP(-(H585-'03_Lap_b'!$B$10:$AW$10))))^2)</f>
        <v/>
      </c>
      <c r="K585" s="5">
        <f>MEDIAN(-6,H585+(C585-I585)/MAX(I585-J585,0.000000001),6)</f>
        <v/>
      </c>
      <c r="L585" s="5">
        <f>SUMPRODUCT(('01_Data'!$B585:$AW585&lt;&gt;"")*(1/(1+EXP(-(K585-'03_Lap_b'!$B$15:$AW$15)))))</f>
        <v/>
      </c>
      <c r="M585" s="5">
        <f>SUMPRODUCT(('01_Data'!$B585:$AW585&lt;&gt;"")*(1/(1+EXP(-(K585-'03_Lap_b'!$B$15:$AW$15))))^2)</f>
        <v/>
      </c>
      <c r="N585" s="5">
        <f>MEDIAN(-6,K585+(C585-L585)/MAX(L585-M585,0.000000001),6)</f>
        <v/>
      </c>
      <c r="O585" s="5">
        <f>SUMPRODUCT(('01_Data'!$B585:$AW585&lt;&gt;"")*(1/(1+EXP(-(N585-'03_Lap_b'!$B$20:$AW$20)))))</f>
        <v/>
      </c>
      <c r="P585" s="5">
        <f>SUMPRODUCT(('01_Data'!$B585:$AW585&lt;&gt;"")*(1/(1+EXP(-(N585-'03_Lap_b'!$B$20:$AW$20))))^2)</f>
        <v/>
      </c>
      <c r="Q585" s="5">
        <f>MEDIAN(-6,N585+(C585-O585)/MAX(O585-P585,0.000000001),6)</f>
        <v/>
      </c>
      <c r="R585" s="5">
        <f>SUMPRODUCT(('01_Data'!$B585:$AW585&lt;&gt;"")*(1/(1+EXP(-(Q585-'03_Lap_b'!$B$25:$AW$25)))))</f>
        <v/>
      </c>
      <c r="S585" s="5">
        <f>SUMPRODUCT(('01_Data'!$B585:$AW585&lt;&gt;"")*(1/(1+EXP(-(Q585-'03_Lap_b'!$B$25:$AW$25))))^2)</f>
        <v/>
      </c>
      <c r="T585" s="5">
        <f>MEDIAN(-6,Q585+(C585-R585)/MAX(R585-S585,0.000000001),6)</f>
        <v/>
      </c>
      <c r="U585" s="5">
        <f>SUMPRODUCT(('01_Data'!$B585:$AW585&lt;&gt;"")*(1/(1+EXP(-(T585-'03_Lap_b'!$B$30:$AW$30)))))</f>
        <v/>
      </c>
      <c r="V585" s="5">
        <f>SUMPRODUCT(('01_Data'!$B585:$AW585&lt;&gt;"")*(1/(1+EXP(-(T585-'03_Lap_b'!$B$30:$AW$30))))^2)</f>
        <v/>
      </c>
      <c r="W585" s="5">
        <f>MEDIAN(-6,T585+(C585-U585)/MAX(U585-V585,0.000000001),6)</f>
        <v/>
      </c>
      <c r="X585" s="5">
        <f>SUMPRODUCT(('01_Data'!$B585:$AW585&lt;&gt;"")*(1/(1+EXP(-(W585-'03_Lap_b'!$B$35:$AW$35)))))</f>
        <v/>
      </c>
      <c r="Y585" s="5">
        <f>SUMPRODUCT(('01_Data'!$B585:$AW585&lt;&gt;"")*(1/(1+EXP(-(W585-'03_Lap_b'!$B$35:$AW$35))))^2)</f>
        <v/>
      </c>
      <c r="Z585" s="5">
        <f>MEDIAN(-6,W585+(C585-X585)/MAX(X585-Y585,0.000000001),6)</f>
        <v/>
      </c>
      <c r="AA585" s="5">
        <f>SUMPRODUCT(('01_Data'!$B585:$AW585&lt;&gt;"")*(1/(1+EXP(-(Z585-'03_Lap_b'!$B$40:$AW$40)))))</f>
        <v/>
      </c>
      <c r="AB585" s="5">
        <f>SUMPRODUCT(('01_Data'!$B585:$AW585&lt;&gt;"")*(1/(1+EXP(-(Z585-'03_Lap_b'!$B$40:$AW$40))))^2)</f>
        <v/>
      </c>
      <c r="AC585" s="5">
        <f>MEDIAN(-6,Z585+(C585-AA585)/MAX(AA585-AB585,0.000000001),6)</f>
        <v/>
      </c>
    </row>
    <row r="586">
      <c r="A586" t="n">
        <v>585</v>
      </c>
      <c r="B586">
        <f>'01_Data'!A586</f>
        <v/>
      </c>
      <c r="C586">
        <f>SUM('01_Data'!$B586:$AW586)</f>
        <v/>
      </c>
      <c r="D586">
        <f>COUNT('01_Data'!$B586:$AW586)</f>
        <v/>
      </c>
      <c r="E586" s="5">
        <f>MEDIAN(-6,LN((C586+0.3)/(D586-C586+0.3)),6)</f>
        <v/>
      </c>
      <c r="F586" s="5">
        <f>SUMPRODUCT(('01_Data'!$B586:$AW586&lt;&gt;"")*(1/(1+EXP(-(E586-'03_Lap_b'!$B$5:$AW$5)))))</f>
        <v/>
      </c>
      <c r="G586" s="5">
        <f>SUMPRODUCT(('01_Data'!$B586:$AW586&lt;&gt;"")*(1/(1+EXP(-(E586-'03_Lap_b'!$B$5:$AW$5))))^2)</f>
        <v/>
      </c>
      <c r="H586" s="5">
        <f>MEDIAN(-6,E586+(C586-F586)/MAX(F586-G586,0.000000001),6)</f>
        <v/>
      </c>
      <c r="I586" s="5">
        <f>SUMPRODUCT(('01_Data'!$B586:$AW586&lt;&gt;"")*(1/(1+EXP(-(H586-'03_Lap_b'!$B$10:$AW$10)))))</f>
        <v/>
      </c>
      <c r="J586" s="5">
        <f>SUMPRODUCT(('01_Data'!$B586:$AW586&lt;&gt;"")*(1/(1+EXP(-(H586-'03_Lap_b'!$B$10:$AW$10))))^2)</f>
        <v/>
      </c>
      <c r="K586" s="5">
        <f>MEDIAN(-6,H586+(C586-I586)/MAX(I586-J586,0.000000001),6)</f>
        <v/>
      </c>
      <c r="L586" s="5">
        <f>SUMPRODUCT(('01_Data'!$B586:$AW586&lt;&gt;"")*(1/(1+EXP(-(K586-'03_Lap_b'!$B$15:$AW$15)))))</f>
        <v/>
      </c>
      <c r="M586" s="5">
        <f>SUMPRODUCT(('01_Data'!$B586:$AW586&lt;&gt;"")*(1/(1+EXP(-(K586-'03_Lap_b'!$B$15:$AW$15))))^2)</f>
        <v/>
      </c>
      <c r="N586" s="5">
        <f>MEDIAN(-6,K586+(C586-L586)/MAX(L586-M586,0.000000001),6)</f>
        <v/>
      </c>
      <c r="O586" s="5">
        <f>SUMPRODUCT(('01_Data'!$B586:$AW586&lt;&gt;"")*(1/(1+EXP(-(N586-'03_Lap_b'!$B$20:$AW$20)))))</f>
        <v/>
      </c>
      <c r="P586" s="5">
        <f>SUMPRODUCT(('01_Data'!$B586:$AW586&lt;&gt;"")*(1/(1+EXP(-(N586-'03_Lap_b'!$B$20:$AW$20))))^2)</f>
        <v/>
      </c>
      <c r="Q586" s="5">
        <f>MEDIAN(-6,N586+(C586-O586)/MAX(O586-P586,0.000000001),6)</f>
        <v/>
      </c>
      <c r="R586" s="5">
        <f>SUMPRODUCT(('01_Data'!$B586:$AW586&lt;&gt;"")*(1/(1+EXP(-(Q586-'03_Lap_b'!$B$25:$AW$25)))))</f>
        <v/>
      </c>
      <c r="S586" s="5">
        <f>SUMPRODUCT(('01_Data'!$B586:$AW586&lt;&gt;"")*(1/(1+EXP(-(Q586-'03_Lap_b'!$B$25:$AW$25))))^2)</f>
        <v/>
      </c>
      <c r="T586" s="5">
        <f>MEDIAN(-6,Q586+(C586-R586)/MAX(R586-S586,0.000000001),6)</f>
        <v/>
      </c>
      <c r="U586" s="5">
        <f>SUMPRODUCT(('01_Data'!$B586:$AW586&lt;&gt;"")*(1/(1+EXP(-(T586-'03_Lap_b'!$B$30:$AW$30)))))</f>
        <v/>
      </c>
      <c r="V586" s="5">
        <f>SUMPRODUCT(('01_Data'!$B586:$AW586&lt;&gt;"")*(1/(1+EXP(-(T586-'03_Lap_b'!$B$30:$AW$30))))^2)</f>
        <v/>
      </c>
      <c r="W586" s="5">
        <f>MEDIAN(-6,T586+(C586-U586)/MAX(U586-V586,0.000000001),6)</f>
        <v/>
      </c>
      <c r="X586" s="5">
        <f>SUMPRODUCT(('01_Data'!$B586:$AW586&lt;&gt;"")*(1/(1+EXP(-(W586-'03_Lap_b'!$B$35:$AW$35)))))</f>
        <v/>
      </c>
      <c r="Y586" s="5">
        <f>SUMPRODUCT(('01_Data'!$B586:$AW586&lt;&gt;"")*(1/(1+EXP(-(W586-'03_Lap_b'!$B$35:$AW$35))))^2)</f>
        <v/>
      </c>
      <c r="Z586" s="5">
        <f>MEDIAN(-6,W586+(C586-X586)/MAX(X586-Y586,0.000000001),6)</f>
        <v/>
      </c>
      <c r="AA586" s="5">
        <f>SUMPRODUCT(('01_Data'!$B586:$AW586&lt;&gt;"")*(1/(1+EXP(-(Z586-'03_Lap_b'!$B$40:$AW$40)))))</f>
        <v/>
      </c>
      <c r="AB586" s="5">
        <f>SUMPRODUCT(('01_Data'!$B586:$AW586&lt;&gt;"")*(1/(1+EXP(-(Z586-'03_Lap_b'!$B$40:$AW$40))))^2)</f>
        <v/>
      </c>
      <c r="AC586" s="5">
        <f>MEDIAN(-6,Z586+(C586-AA586)/MAX(AA586-AB586,0.000000001),6)</f>
        <v/>
      </c>
    </row>
    <row r="587">
      <c r="A587" t="n">
        <v>586</v>
      </c>
      <c r="B587">
        <f>'01_Data'!A587</f>
        <v/>
      </c>
      <c r="C587">
        <f>SUM('01_Data'!$B587:$AW587)</f>
        <v/>
      </c>
      <c r="D587">
        <f>COUNT('01_Data'!$B587:$AW587)</f>
        <v/>
      </c>
      <c r="E587" s="5">
        <f>MEDIAN(-6,LN((C587+0.3)/(D587-C587+0.3)),6)</f>
        <v/>
      </c>
      <c r="F587" s="5">
        <f>SUMPRODUCT(('01_Data'!$B587:$AW587&lt;&gt;"")*(1/(1+EXP(-(E587-'03_Lap_b'!$B$5:$AW$5)))))</f>
        <v/>
      </c>
      <c r="G587" s="5">
        <f>SUMPRODUCT(('01_Data'!$B587:$AW587&lt;&gt;"")*(1/(1+EXP(-(E587-'03_Lap_b'!$B$5:$AW$5))))^2)</f>
        <v/>
      </c>
      <c r="H587" s="5">
        <f>MEDIAN(-6,E587+(C587-F587)/MAX(F587-G587,0.000000001),6)</f>
        <v/>
      </c>
      <c r="I587" s="5">
        <f>SUMPRODUCT(('01_Data'!$B587:$AW587&lt;&gt;"")*(1/(1+EXP(-(H587-'03_Lap_b'!$B$10:$AW$10)))))</f>
        <v/>
      </c>
      <c r="J587" s="5">
        <f>SUMPRODUCT(('01_Data'!$B587:$AW587&lt;&gt;"")*(1/(1+EXP(-(H587-'03_Lap_b'!$B$10:$AW$10))))^2)</f>
        <v/>
      </c>
      <c r="K587" s="5">
        <f>MEDIAN(-6,H587+(C587-I587)/MAX(I587-J587,0.000000001),6)</f>
        <v/>
      </c>
      <c r="L587" s="5">
        <f>SUMPRODUCT(('01_Data'!$B587:$AW587&lt;&gt;"")*(1/(1+EXP(-(K587-'03_Lap_b'!$B$15:$AW$15)))))</f>
        <v/>
      </c>
      <c r="M587" s="5">
        <f>SUMPRODUCT(('01_Data'!$B587:$AW587&lt;&gt;"")*(1/(1+EXP(-(K587-'03_Lap_b'!$B$15:$AW$15))))^2)</f>
        <v/>
      </c>
      <c r="N587" s="5">
        <f>MEDIAN(-6,K587+(C587-L587)/MAX(L587-M587,0.000000001),6)</f>
        <v/>
      </c>
      <c r="O587" s="5">
        <f>SUMPRODUCT(('01_Data'!$B587:$AW587&lt;&gt;"")*(1/(1+EXP(-(N587-'03_Lap_b'!$B$20:$AW$20)))))</f>
        <v/>
      </c>
      <c r="P587" s="5">
        <f>SUMPRODUCT(('01_Data'!$B587:$AW587&lt;&gt;"")*(1/(1+EXP(-(N587-'03_Lap_b'!$B$20:$AW$20))))^2)</f>
        <v/>
      </c>
      <c r="Q587" s="5">
        <f>MEDIAN(-6,N587+(C587-O587)/MAX(O587-P587,0.000000001),6)</f>
        <v/>
      </c>
      <c r="R587" s="5">
        <f>SUMPRODUCT(('01_Data'!$B587:$AW587&lt;&gt;"")*(1/(1+EXP(-(Q587-'03_Lap_b'!$B$25:$AW$25)))))</f>
        <v/>
      </c>
      <c r="S587" s="5">
        <f>SUMPRODUCT(('01_Data'!$B587:$AW587&lt;&gt;"")*(1/(1+EXP(-(Q587-'03_Lap_b'!$B$25:$AW$25))))^2)</f>
        <v/>
      </c>
      <c r="T587" s="5">
        <f>MEDIAN(-6,Q587+(C587-R587)/MAX(R587-S587,0.000000001),6)</f>
        <v/>
      </c>
      <c r="U587" s="5">
        <f>SUMPRODUCT(('01_Data'!$B587:$AW587&lt;&gt;"")*(1/(1+EXP(-(T587-'03_Lap_b'!$B$30:$AW$30)))))</f>
        <v/>
      </c>
      <c r="V587" s="5">
        <f>SUMPRODUCT(('01_Data'!$B587:$AW587&lt;&gt;"")*(1/(1+EXP(-(T587-'03_Lap_b'!$B$30:$AW$30))))^2)</f>
        <v/>
      </c>
      <c r="W587" s="5">
        <f>MEDIAN(-6,T587+(C587-U587)/MAX(U587-V587,0.000000001),6)</f>
        <v/>
      </c>
      <c r="X587" s="5">
        <f>SUMPRODUCT(('01_Data'!$B587:$AW587&lt;&gt;"")*(1/(1+EXP(-(W587-'03_Lap_b'!$B$35:$AW$35)))))</f>
        <v/>
      </c>
      <c r="Y587" s="5">
        <f>SUMPRODUCT(('01_Data'!$B587:$AW587&lt;&gt;"")*(1/(1+EXP(-(W587-'03_Lap_b'!$B$35:$AW$35))))^2)</f>
        <v/>
      </c>
      <c r="Z587" s="5">
        <f>MEDIAN(-6,W587+(C587-X587)/MAX(X587-Y587,0.000000001),6)</f>
        <v/>
      </c>
      <c r="AA587" s="5">
        <f>SUMPRODUCT(('01_Data'!$B587:$AW587&lt;&gt;"")*(1/(1+EXP(-(Z587-'03_Lap_b'!$B$40:$AW$40)))))</f>
        <v/>
      </c>
      <c r="AB587" s="5">
        <f>SUMPRODUCT(('01_Data'!$B587:$AW587&lt;&gt;"")*(1/(1+EXP(-(Z587-'03_Lap_b'!$B$40:$AW$40))))^2)</f>
        <v/>
      </c>
      <c r="AC587" s="5">
        <f>MEDIAN(-6,Z587+(C587-AA587)/MAX(AA587-AB587,0.000000001),6)</f>
        <v/>
      </c>
    </row>
    <row r="588">
      <c r="A588" t="n">
        <v>587</v>
      </c>
      <c r="B588">
        <f>'01_Data'!A588</f>
        <v/>
      </c>
      <c r="C588">
        <f>SUM('01_Data'!$B588:$AW588)</f>
        <v/>
      </c>
      <c r="D588">
        <f>COUNT('01_Data'!$B588:$AW588)</f>
        <v/>
      </c>
      <c r="E588" s="5">
        <f>MEDIAN(-6,LN((C588+0.3)/(D588-C588+0.3)),6)</f>
        <v/>
      </c>
      <c r="F588" s="5">
        <f>SUMPRODUCT(('01_Data'!$B588:$AW588&lt;&gt;"")*(1/(1+EXP(-(E588-'03_Lap_b'!$B$5:$AW$5)))))</f>
        <v/>
      </c>
      <c r="G588" s="5">
        <f>SUMPRODUCT(('01_Data'!$B588:$AW588&lt;&gt;"")*(1/(1+EXP(-(E588-'03_Lap_b'!$B$5:$AW$5))))^2)</f>
        <v/>
      </c>
      <c r="H588" s="5">
        <f>MEDIAN(-6,E588+(C588-F588)/MAX(F588-G588,0.000000001),6)</f>
        <v/>
      </c>
      <c r="I588" s="5">
        <f>SUMPRODUCT(('01_Data'!$B588:$AW588&lt;&gt;"")*(1/(1+EXP(-(H588-'03_Lap_b'!$B$10:$AW$10)))))</f>
        <v/>
      </c>
      <c r="J588" s="5">
        <f>SUMPRODUCT(('01_Data'!$B588:$AW588&lt;&gt;"")*(1/(1+EXP(-(H588-'03_Lap_b'!$B$10:$AW$10))))^2)</f>
        <v/>
      </c>
      <c r="K588" s="5">
        <f>MEDIAN(-6,H588+(C588-I588)/MAX(I588-J588,0.000000001),6)</f>
        <v/>
      </c>
      <c r="L588" s="5">
        <f>SUMPRODUCT(('01_Data'!$B588:$AW588&lt;&gt;"")*(1/(1+EXP(-(K588-'03_Lap_b'!$B$15:$AW$15)))))</f>
        <v/>
      </c>
      <c r="M588" s="5">
        <f>SUMPRODUCT(('01_Data'!$B588:$AW588&lt;&gt;"")*(1/(1+EXP(-(K588-'03_Lap_b'!$B$15:$AW$15))))^2)</f>
        <v/>
      </c>
      <c r="N588" s="5">
        <f>MEDIAN(-6,K588+(C588-L588)/MAX(L588-M588,0.000000001),6)</f>
        <v/>
      </c>
      <c r="O588" s="5">
        <f>SUMPRODUCT(('01_Data'!$B588:$AW588&lt;&gt;"")*(1/(1+EXP(-(N588-'03_Lap_b'!$B$20:$AW$20)))))</f>
        <v/>
      </c>
      <c r="P588" s="5">
        <f>SUMPRODUCT(('01_Data'!$B588:$AW588&lt;&gt;"")*(1/(1+EXP(-(N588-'03_Lap_b'!$B$20:$AW$20))))^2)</f>
        <v/>
      </c>
      <c r="Q588" s="5">
        <f>MEDIAN(-6,N588+(C588-O588)/MAX(O588-P588,0.000000001),6)</f>
        <v/>
      </c>
      <c r="R588" s="5">
        <f>SUMPRODUCT(('01_Data'!$B588:$AW588&lt;&gt;"")*(1/(1+EXP(-(Q588-'03_Lap_b'!$B$25:$AW$25)))))</f>
        <v/>
      </c>
      <c r="S588" s="5">
        <f>SUMPRODUCT(('01_Data'!$B588:$AW588&lt;&gt;"")*(1/(1+EXP(-(Q588-'03_Lap_b'!$B$25:$AW$25))))^2)</f>
        <v/>
      </c>
      <c r="T588" s="5">
        <f>MEDIAN(-6,Q588+(C588-R588)/MAX(R588-S588,0.000000001),6)</f>
        <v/>
      </c>
      <c r="U588" s="5">
        <f>SUMPRODUCT(('01_Data'!$B588:$AW588&lt;&gt;"")*(1/(1+EXP(-(T588-'03_Lap_b'!$B$30:$AW$30)))))</f>
        <v/>
      </c>
      <c r="V588" s="5">
        <f>SUMPRODUCT(('01_Data'!$B588:$AW588&lt;&gt;"")*(1/(1+EXP(-(T588-'03_Lap_b'!$B$30:$AW$30))))^2)</f>
        <v/>
      </c>
      <c r="W588" s="5">
        <f>MEDIAN(-6,T588+(C588-U588)/MAX(U588-V588,0.000000001),6)</f>
        <v/>
      </c>
      <c r="X588" s="5">
        <f>SUMPRODUCT(('01_Data'!$B588:$AW588&lt;&gt;"")*(1/(1+EXP(-(W588-'03_Lap_b'!$B$35:$AW$35)))))</f>
        <v/>
      </c>
      <c r="Y588" s="5">
        <f>SUMPRODUCT(('01_Data'!$B588:$AW588&lt;&gt;"")*(1/(1+EXP(-(W588-'03_Lap_b'!$B$35:$AW$35))))^2)</f>
        <v/>
      </c>
      <c r="Z588" s="5">
        <f>MEDIAN(-6,W588+(C588-X588)/MAX(X588-Y588,0.000000001),6)</f>
        <v/>
      </c>
      <c r="AA588" s="5">
        <f>SUMPRODUCT(('01_Data'!$B588:$AW588&lt;&gt;"")*(1/(1+EXP(-(Z588-'03_Lap_b'!$B$40:$AW$40)))))</f>
        <v/>
      </c>
      <c r="AB588" s="5">
        <f>SUMPRODUCT(('01_Data'!$B588:$AW588&lt;&gt;"")*(1/(1+EXP(-(Z588-'03_Lap_b'!$B$40:$AW$40))))^2)</f>
        <v/>
      </c>
      <c r="AC588" s="5">
        <f>MEDIAN(-6,Z588+(C588-AA588)/MAX(AA588-AB588,0.000000001),6)</f>
        <v/>
      </c>
    </row>
    <row r="589">
      <c r="A589" t="n">
        <v>588</v>
      </c>
      <c r="B589">
        <f>'01_Data'!A589</f>
        <v/>
      </c>
      <c r="C589">
        <f>SUM('01_Data'!$B589:$AW589)</f>
        <v/>
      </c>
      <c r="D589">
        <f>COUNT('01_Data'!$B589:$AW589)</f>
        <v/>
      </c>
      <c r="E589" s="5">
        <f>MEDIAN(-6,LN((C589+0.3)/(D589-C589+0.3)),6)</f>
        <v/>
      </c>
      <c r="F589" s="5">
        <f>SUMPRODUCT(('01_Data'!$B589:$AW589&lt;&gt;"")*(1/(1+EXP(-(E589-'03_Lap_b'!$B$5:$AW$5)))))</f>
        <v/>
      </c>
      <c r="G589" s="5">
        <f>SUMPRODUCT(('01_Data'!$B589:$AW589&lt;&gt;"")*(1/(1+EXP(-(E589-'03_Lap_b'!$B$5:$AW$5))))^2)</f>
        <v/>
      </c>
      <c r="H589" s="5">
        <f>MEDIAN(-6,E589+(C589-F589)/MAX(F589-G589,0.000000001),6)</f>
        <v/>
      </c>
      <c r="I589" s="5">
        <f>SUMPRODUCT(('01_Data'!$B589:$AW589&lt;&gt;"")*(1/(1+EXP(-(H589-'03_Lap_b'!$B$10:$AW$10)))))</f>
        <v/>
      </c>
      <c r="J589" s="5">
        <f>SUMPRODUCT(('01_Data'!$B589:$AW589&lt;&gt;"")*(1/(1+EXP(-(H589-'03_Lap_b'!$B$10:$AW$10))))^2)</f>
        <v/>
      </c>
      <c r="K589" s="5">
        <f>MEDIAN(-6,H589+(C589-I589)/MAX(I589-J589,0.000000001),6)</f>
        <v/>
      </c>
      <c r="L589" s="5">
        <f>SUMPRODUCT(('01_Data'!$B589:$AW589&lt;&gt;"")*(1/(1+EXP(-(K589-'03_Lap_b'!$B$15:$AW$15)))))</f>
        <v/>
      </c>
      <c r="M589" s="5">
        <f>SUMPRODUCT(('01_Data'!$B589:$AW589&lt;&gt;"")*(1/(1+EXP(-(K589-'03_Lap_b'!$B$15:$AW$15))))^2)</f>
        <v/>
      </c>
      <c r="N589" s="5">
        <f>MEDIAN(-6,K589+(C589-L589)/MAX(L589-M589,0.000000001),6)</f>
        <v/>
      </c>
      <c r="O589" s="5">
        <f>SUMPRODUCT(('01_Data'!$B589:$AW589&lt;&gt;"")*(1/(1+EXP(-(N589-'03_Lap_b'!$B$20:$AW$20)))))</f>
        <v/>
      </c>
      <c r="P589" s="5">
        <f>SUMPRODUCT(('01_Data'!$B589:$AW589&lt;&gt;"")*(1/(1+EXP(-(N589-'03_Lap_b'!$B$20:$AW$20))))^2)</f>
        <v/>
      </c>
      <c r="Q589" s="5">
        <f>MEDIAN(-6,N589+(C589-O589)/MAX(O589-P589,0.000000001),6)</f>
        <v/>
      </c>
      <c r="R589" s="5">
        <f>SUMPRODUCT(('01_Data'!$B589:$AW589&lt;&gt;"")*(1/(1+EXP(-(Q589-'03_Lap_b'!$B$25:$AW$25)))))</f>
        <v/>
      </c>
      <c r="S589" s="5">
        <f>SUMPRODUCT(('01_Data'!$B589:$AW589&lt;&gt;"")*(1/(1+EXP(-(Q589-'03_Lap_b'!$B$25:$AW$25))))^2)</f>
        <v/>
      </c>
      <c r="T589" s="5">
        <f>MEDIAN(-6,Q589+(C589-R589)/MAX(R589-S589,0.000000001),6)</f>
        <v/>
      </c>
      <c r="U589" s="5">
        <f>SUMPRODUCT(('01_Data'!$B589:$AW589&lt;&gt;"")*(1/(1+EXP(-(T589-'03_Lap_b'!$B$30:$AW$30)))))</f>
        <v/>
      </c>
      <c r="V589" s="5">
        <f>SUMPRODUCT(('01_Data'!$B589:$AW589&lt;&gt;"")*(1/(1+EXP(-(T589-'03_Lap_b'!$B$30:$AW$30))))^2)</f>
        <v/>
      </c>
      <c r="W589" s="5">
        <f>MEDIAN(-6,T589+(C589-U589)/MAX(U589-V589,0.000000001),6)</f>
        <v/>
      </c>
      <c r="X589" s="5">
        <f>SUMPRODUCT(('01_Data'!$B589:$AW589&lt;&gt;"")*(1/(1+EXP(-(W589-'03_Lap_b'!$B$35:$AW$35)))))</f>
        <v/>
      </c>
      <c r="Y589" s="5">
        <f>SUMPRODUCT(('01_Data'!$B589:$AW589&lt;&gt;"")*(1/(1+EXP(-(W589-'03_Lap_b'!$B$35:$AW$35))))^2)</f>
        <v/>
      </c>
      <c r="Z589" s="5">
        <f>MEDIAN(-6,W589+(C589-X589)/MAX(X589-Y589,0.000000001),6)</f>
        <v/>
      </c>
      <c r="AA589" s="5">
        <f>SUMPRODUCT(('01_Data'!$B589:$AW589&lt;&gt;"")*(1/(1+EXP(-(Z589-'03_Lap_b'!$B$40:$AW$40)))))</f>
        <v/>
      </c>
      <c r="AB589" s="5">
        <f>SUMPRODUCT(('01_Data'!$B589:$AW589&lt;&gt;"")*(1/(1+EXP(-(Z589-'03_Lap_b'!$B$40:$AW$40))))^2)</f>
        <v/>
      </c>
      <c r="AC589" s="5">
        <f>MEDIAN(-6,Z589+(C589-AA589)/MAX(AA589-AB589,0.000000001),6)</f>
        <v/>
      </c>
    </row>
    <row r="590">
      <c r="A590" t="n">
        <v>589</v>
      </c>
      <c r="B590">
        <f>'01_Data'!A590</f>
        <v/>
      </c>
      <c r="C590">
        <f>SUM('01_Data'!$B590:$AW590)</f>
        <v/>
      </c>
      <c r="D590">
        <f>COUNT('01_Data'!$B590:$AW590)</f>
        <v/>
      </c>
      <c r="E590" s="5">
        <f>MEDIAN(-6,LN((C590+0.3)/(D590-C590+0.3)),6)</f>
        <v/>
      </c>
      <c r="F590" s="5">
        <f>SUMPRODUCT(('01_Data'!$B590:$AW590&lt;&gt;"")*(1/(1+EXP(-(E590-'03_Lap_b'!$B$5:$AW$5)))))</f>
        <v/>
      </c>
      <c r="G590" s="5">
        <f>SUMPRODUCT(('01_Data'!$B590:$AW590&lt;&gt;"")*(1/(1+EXP(-(E590-'03_Lap_b'!$B$5:$AW$5))))^2)</f>
        <v/>
      </c>
      <c r="H590" s="5">
        <f>MEDIAN(-6,E590+(C590-F590)/MAX(F590-G590,0.000000001),6)</f>
        <v/>
      </c>
      <c r="I590" s="5">
        <f>SUMPRODUCT(('01_Data'!$B590:$AW590&lt;&gt;"")*(1/(1+EXP(-(H590-'03_Lap_b'!$B$10:$AW$10)))))</f>
        <v/>
      </c>
      <c r="J590" s="5">
        <f>SUMPRODUCT(('01_Data'!$B590:$AW590&lt;&gt;"")*(1/(1+EXP(-(H590-'03_Lap_b'!$B$10:$AW$10))))^2)</f>
        <v/>
      </c>
      <c r="K590" s="5">
        <f>MEDIAN(-6,H590+(C590-I590)/MAX(I590-J590,0.000000001),6)</f>
        <v/>
      </c>
      <c r="L590" s="5">
        <f>SUMPRODUCT(('01_Data'!$B590:$AW590&lt;&gt;"")*(1/(1+EXP(-(K590-'03_Lap_b'!$B$15:$AW$15)))))</f>
        <v/>
      </c>
      <c r="M590" s="5">
        <f>SUMPRODUCT(('01_Data'!$B590:$AW590&lt;&gt;"")*(1/(1+EXP(-(K590-'03_Lap_b'!$B$15:$AW$15))))^2)</f>
        <v/>
      </c>
      <c r="N590" s="5">
        <f>MEDIAN(-6,K590+(C590-L590)/MAX(L590-M590,0.000000001),6)</f>
        <v/>
      </c>
      <c r="O590" s="5">
        <f>SUMPRODUCT(('01_Data'!$B590:$AW590&lt;&gt;"")*(1/(1+EXP(-(N590-'03_Lap_b'!$B$20:$AW$20)))))</f>
        <v/>
      </c>
      <c r="P590" s="5">
        <f>SUMPRODUCT(('01_Data'!$B590:$AW590&lt;&gt;"")*(1/(1+EXP(-(N590-'03_Lap_b'!$B$20:$AW$20))))^2)</f>
        <v/>
      </c>
      <c r="Q590" s="5">
        <f>MEDIAN(-6,N590+(C590-O590)/MAX(O590-P590,0.000000001),6)</f>
        <v/>
      </c>
      <c r="R590" s="5">
        <f>SUMPRODUCT(('01_Data'!$B590:$AW590&lt;&gt;"")*(1/(1+EXP(-(Q590-'03_Lap_b'!$B$25:$AW$25)))))</f>
        <v/>
      </c>
      <c r="S590" s="5">
        <f>SUMPRODUCT(('01_Data'!$B590:$AW590&lt;&gt;"")*(1/(1+EXP(-(Q590-'03_Lap_b'!$B$25:$AW$25))))^2)</f>
        <v/>
      </c>
      <c r="T590" s="5">
        <f>MEDIAN(-6,Q590+(C590-R590)/MAX(R590-S590,0.000000001),6)</f>
        <v/>
      </c>
      <c r="U590" s="5">
        <f>SUMPRODUCT(('01_Data'!$B590:$AW590&lt;&gt;"")*(1/(1+EXP(-(T590-'03_Lap_b'!$B$30:$AW$30)))))</f>
        <v/>
      </c>
      <c r="V590" s="5">
        <f>SUMPRODUCT(('01_Data'!$B590:$AW590&lt;&gt;"")*(1/(1+EXP(-(T590-'03_Lap_b'!$B$30:$AW$30))))^2)</f>
        <v/>
      </c>
      <c r="W590" s="5">
        <f>MEDIAN(-6,T590+(C590-U590)/MAX(U590-V590,0.000000001),6)</f>
        <v/>
      </c>
      <c r="X590" s="5">
        <f>SUMPRODUCT(('01_Data'!$B590:$AW590&lt;&gt;"")*(1/(1+EXP(-(W590-'03_Lap_b'!$B$35:$AW$35)))))</f>
        <v/>
      </c>
      <c r="Y590" s="5">
        <f>SUMPRODUCT(('01_Data'!$B590:$AW590&lt;&gt;"")*(1/(1+EXP(-(W590-'03_Lap_b'!$B$35:$AW$35))))^2)</f>
        <v/>
      </c>
      <c r="Z590" s="5">
        <f>MEDIAN(-6,W590+(C590-X590)/MAX(X590-Y590,0.000000001),6)</f>
        <v/>
      </c>
      <c r="AA590" s="5">
        <f>SUMPRODUCT(('01_Data'!$B590:$AW590&lt;&gt;"")*(1/(1+EXP(-(Z590-'03_Lap_b'!$B$40:$AW$40)))))</f>
        <v/>
      </c>
      <c r="AB590" s="5">
        <f>SUMPRODUCT(('01_Data'!$B590:$AW590&lt;&gt;"")*(1/(1+EXP(-(Z590-'03_Lap_b'!$B$40:$AW$40))))^2)</f>
        <v/>
      </c>
      <c r="AC590" s="5">
        <f>MEDIAN(-6,Z590+(C590-AA590)/MAX(AA590-AB590,0.000000001),6)</f>
        <v/>
      </c>
    </row>
    <row r="591">
      <c r="A591" t="n">
        <v>590</v>
      </c>
      <c r="B591">
        <f>'01_Data'!A591</f>
        <v/>
      </c>
      <c r="C591">
        <f>SUM('01_Data'!$B591:$AW591)</f>
        <v/>
      </c>
      <c r="D591">
        <f>COUNT('01_Data'!$B591:$AW591)</f>
        <v/>
      </c>
      <c r="E591" s="5">
        <f>MEDIAN(-6,LN((C591+0.3)/(D591-C591+0.3)),6)</f>
        <v/>
      </c>
      <c r="F591" s="5">
        <f>SUMPRODUCT(('01_Data'!$B591:$AW591&lt;&gt;"")*(1/(1+EXP(-(E591-'03_Lap_b'!$B$5:$AW$5)))))</f>
        <v/>
      </c>
      <c r="G591" s="5">
        <f>SUMPRODUCT(('01_Data'!$B591:$AW591&lt;&gt;"")*(1/(1+EXP(-(E591-'03_Lap_b'!$B$5:$AW$5))))^2)</f>
        <v/>
      </c>
      <c r="H591" s="5">
        <f>MEDIAN(-6,E591+(C591-F591)/MAX(F591-G591,0.000000001),6)</f>
        <v/>
      </c>
      <c r="I591" s="5">
        <f>SUMPRODUCT(('01_Data'!$B591:$AW591&lt;&gt;"")*(1/(1+EXP(-(H591-'03_Lap_b'!$B$10:$AW$10)))))</f>
        <v/>
      </c>
      <c r="J591" s="5">
        <f>SUMPRODUCT(('01_Data'!$B591:$AW591&lt;&gt;"")*(1/(1+EXP(-(H591-'03_Lap_b'!$B$10:$AW$10))))^2)</f>
        <v/>
      </c>
      <c r="K591" s="5">
        <f>MEDIAN(-6,H591+(C591-I591)/MAX(I591-J591,0.000000001),6)</f>
        <v/>
      </c>
      <c r="L591" s="5">
        <f>SUMPRODUCT(('01_Data'!$B591:$AW591&lt;&gt;"")*(1/(1+EXP(-(K591-'03_Lap_b'!$B$15:$AW$15)))))</f>
        <v/>
      </c>
      <c r="M591" s="5">
        <f>SUMPRODUCT(('01_Data'!$B591:$AW591&lt;&gt;"")*(1/(1+EXP(-(K591-'03_Lap_b'!$B$15:$AW$15))))^2)</f>
        <v/>
      </c>
      <c r="N591" s="5">
        <f>MEDIAN(-6,K591+(C591-L591)/MAX(L591-M591,0.000000001),6)</f>
        <v/>
      </c>
      <c r="O591" s="5">
        <f>SUMPRODUCT(('01_Data'!$B591:$AW591&lt;&gt;"")*(1/(1+EXP(-(N591-'03_Lap_b'!$B$20:$AW$20)))))</f>
        <v/>
      </c>
      <c r="P591" s="5">
        <f>SUMPRODUCT(('01_Data'!$B591:$AW591&lt;&gt;"")*(1/(1+EXP(-(N591-'03_Lap_b'!$B$20:$AW$20))))^2)</f>
        <v/>
      </c>
      <c r="Q591" s="5">
        <f>MEDIAN(-6,N591+(C591-O591)/MAX(O591-P591,0.000000001),6)</f>
        <v/>
      </c>
      <c r="R591" s="5">
        <f>SUMPRODUCT(('01_Data'!$B591:$AW591&lt;&gt;"")*(1/(1+EXP(-(Q591-'03_Lap_b'!$B$25:$AW$25)))))</f>
        <v/>
      </c>
      <c r="S591" s="5">
        <f>SUMPRODUCT(('01_Data'!$B591:$AW591&lt;&gt;"")*(1/(1+EXP(-(Q591-'03_Lap_b'!$B$25:$AW$25))))^2)</f>
        <v/>
      </c>
      <c r="T591" s="5">
        <f>MEDIAN(-6,Q591+(C591-R591)/MAX(R591-S591,0.000000001),6)</f>
        <v/>
      </c>
      <c r="U591" s="5">
        <f>SUMPRODUCT(('01_Data'!$B591:$AW591&lt;&gt;"")*(1/(1+EXP(-(T591-'03_Lap_b'!$B$30:$AW$30)))))</f>
        <v/>
      </c>
      <c r="V591" s="5">
        <f>SUMPRODUCT(('01_Data'!$B591:$AW591&lt;&gt;"")*(1/(1+EXP(-(T591-'03_Lap_b'!$B$30:$AW$30))))^2)</f>
        <v/>
      </c>
      <c r="W591" s="5">
        <f>MEDIAN(-6,T591+(C591-U591)/MAX(U591-V591,0.000000001),6)</f>
        <v/>
      </c>
      <c r="X591" s="5">
        <f>SUMPRODUCT(('01_Data'!$B591:$AW591&lt;&gt;"")*(1/(1+EXP(-(W591-'03_Lap_b'!$B$35:$AW$35)))))</f>
        <v/>
      </c>
      <c r="Y591" s="5">
        <f>SUMPRODUCT(('01_Data'!$B591:$AW591&lt;&gt;"")*(1/(1+EXP(-(W591-'03_Lap_b'!$B$35:$AW$35))))^2)</f>
        <v/>
      </c>
      <c r="Z591" s="5">
        <f>MEDIAN(-6,W591+(C591-X591)/MAX(X591-Y591,0.000000001),6)</f>
        <v/>
      </c>
      <c r="AA591" s="5">
        <f>SUMPRODUCT(('01_Data'!$B591:$AW591&lt;&gt;"")*(1/(1+EXP(-(Z591-'03_Lap_b'!$B$40:$AW$40)))))</f>
        <v/>
      </c>
      <c r="AB591" s="5">
        <f>SUMPRODUCT(('01_Data'!$B591:$AW591&lt;&gt;"")*(1/(1+EXP(-(Z591-'03_Lap_b'!$B$40:$AW$40))))^2)</f>
        <v/>
      </c>
      <c r="AC591" s="5">
        <f>MEDIAN(-6,Z591+(C591-AA591)/MAX(AA591-AB591,0.000000001),6)</f>
        <v/>
      </c>
    </row>
    <row r="592">
      <c r="A592" t="n">
        <v>591</v>
      </c>
      <c r="B592">
        <f>'01_Data'!A592</f>
        <v/>
      </c>
      <c r="C592">
        <f>SUM('01_Data'!$B592:$AW592)</f>
        <v/>
      </c>
      <c r="D592">
        <f>COUNT('01_Data'!$B592:$AW592)</f>
        <v/>
      </c>
      <c r="E592" s="5">
        <f>MEDIAN(-6,LN((C592+0.3)/(D592-C592+0.3)),6)</f>
        <v/>
      </c>
      <c r="F592" s="5">
        <f>SUMPRODUCT(('01_Data'!$B592:$AW592&lt;&gt;"")*(1/(1+EXP(-(E592-'03_Lap_b'!$B$5:$AW$5)))))</f>
        <v/>
      </c>
      <c r="G592" s="5">
        <f>SUMPRODUCT(('01_Data'!$B592:$AW592&lt;&gt;"")*(1/(1+EXP(-(E592-'03_Lap_b'!$B$5:$AW$5))))^2)</f>
        <v/>
      </c>
      <c r="H592" s="5">
        <f>MEDIAN(-6,E592+(C592-F592)/MAX(F592-G592,0.000000001),6)</f>
        <v/>
      </c>
      <c r="I592" s="5">
        <f>SUMPRODUCT(('01_Data'!$B592:$AW592&lt;&gt;"")*(1/(1+EXP(-(H592-'03_Lap_b'!$B$10:$AW$10)))))</f>
        <v/>
      </c>
      <c r="J592" s="5">
        <f>SUMPRODUCT(('01_Data'!$B592:$AW592&lt;&gt;"")*(1/(1+EXP(-(H592-'03_Lap_b'!$B$10:$AW$10))))^2)</f>
        <v/>
      </c>
      <c r="K592" s="5">
        <f>MEDIAN(-6,H592+(C592-I592)/MAX(I592-J592,0.000000001),6)</f>
        <v/>
      </c>
      <c r="L592" s="5">
        <f>SUMPRODUCT(('01_Data'!$B592:$AW592&lt;&gt;"")*(1/(1+EXP(-(K592-'03_Lap_b'!$B$15:$AW$15)))))</f>
        <v/>
      </c>
      <c r="M592" s="5">
        <f>SUMPRODUCT(('01_Data'!$B592:$AW592&lt;&gt;"")*(1/(1+EXP(-(K592-'03_Lap_b'!$B$15:$AW$15))))^2)</f>
        <v/>
      </c>
      <c r="N592" s="5">
        <f>MEDIAN(-6,K592+(C592-L592)/MAX(L592-M592,0.000000001),6)</f>
        <v/>
      </c>
      <c r="O592" s="5">
        <f>SUMPRODUCT(('01_Data'!$B592:$AW592&lt;&gt;"")*(1/(1+EXP(-(N592-'03_Lap_b'!$B$20:$AW$20)))))</f>
        <v/>
      </c>
      <c r="P592" s="5">
        <f>SUMPRODUCT(('01_Data'!$B592:$AW592&lt;&gt;"")*(1/(1+EXP(-(N592-'03_Lap_b'!$B$20:$AW$20))))^2)</f>
        <v/>
      </c>
      <c r="Q592" s="5">
        <f>MEDIAN(-6,N592+(C592-O592)/MAX(O592-P592,0.000000001),6)</f>
        <v/>
      </c>
      <c r="R592" s="5">
        <f>SUMPRODUCT(('01_Data'!$B592:$AW592&lt;&gt;"")*(1/(1+EXP(-(Q592-'03_Lap_b'!$B$25:$AW$25)))))</f>
        <v/>
      </c>
      <c r="S592" s="5">
        <f>SUMPRODUCT(('01_Data'!$B592:$AW592&lt;&gt;"")*(1/(1+EXP(-(Q592-'03_Lap_b'!$B$25:$AW$25))))^2)</f>
        <v/>
      </c>
      <c r="T592" s="5">
        <f>MEDIAN(-6,Q592+(C592-R592)/MAX(R592-S592,0.000000001),6)</f>
        <v/>
      </c>
      <c r="U592" s="5">
        <f>SUMPRODUCT(('01_Data'!$B592:$AW592&lt;&gt;"")*(1/(1+EXP(-(T592-'03_Lap_b'!$B$30:$AW$30)))))</f>
        <v/>
      </c>
      <c r="V592" s="5">
        <f>SUMPRODUCT(('01_Data'!$B592:$AW592&lt;&gt;"")*(1/(1+EXP(-(T592-'03_Lap_b'!$B$30:$AW$30))))^2)</f>
        <v/>
      </c>
      <c r="W592" s="5">
        <f>MEDIAN(-6,T592+(C592-U592)/MAX(U592-V592,0.000000001),6)</f>
        <v/>
      </c>
      <c r="X592" s="5">
        <f>SUMPRODUCT(('01_Data'!$B592:$AW592&lt;&gt;"")*(1/(1+EXP(-(W592-'03_Lap_b'!$B$35:$AW$35)))))</f>
        <v/>
      </c>
      <c r="Y592" s="5">
        <f>SUMPRODUCT(('01_Data'!$B592:$AW592&lt;&gt;"")*(1/(1+EXP(-(W592-'03_Lap_b'!$B$35:$AW$35))))^2)</f>
        <v/>
      </c>
      <c r="Z592" s="5">
        <f>MEDIAN(-6,W592+(C592-X592)/MAX(X592-Y592,0.000000001),6)</f>
        <v/>
      </c>
      <c r="AA592" s="5">
        <f>SUMPRODUCT(('01_Data'!$B592:$AW592&lt;&gt;"")*(1/(1+EXP(-(Z592-'03_Lap_b'!$B$40:$AW$40)))))</f>
        <v/>
      </c>
      <c r="AB592" s="5">
        <f>SUMPRODUCT(('01_Data'!$B592:$AW592&lt;&gt;"")*(1/(1+EXP(-(Z592-'03_Lap_b'!$B$40:$AW$40))))^2)</f>
        <v/>
      </c>
      <c r="AC592" s="5">
        <f>MEDIAN(-6,Z592+(C592-AA592)/MAX(AA592-AB592,0.000000001),6)</f>
        <v/>
      </c>
    </row>
    <row r="593">
      <c r="A593" t="n">
        <v>592</v>
      </c>
      <c r="B593">
        <f>'01_Data'!A593</f>
        <v/>
      </c>
      <c r="C593">
        <f>SUM('01_Data'!$B593:$AW593)</f>
        <v/>
      </c>
      <c r="D593">
        <f>COUNT('01_Data'!$B593:$AW593)</f>
        <v/>
      </c>
      <c r="E593" s="5">
        <f>MEDIAN(-6,LN((C593+0.3)/(D593-C593+0.3)),6)</f>
        <v/>
      </c>
      <c r="F593" s="5">
        <f>SUMPRODUCT(('01_Data'!$B593:$AW593&lt;&gt;"")*(1/(1+EXP(-(E593-'03_Lap_b'!$B$5:$AW$5)))))</f>
        <v/>
      </c>
      <c r="G593" s="5">
        <f>SUMPRODUCT(('01_Data'!$B593:$AW593&lt;&gt;"")*(1/(1+EXP(-(E593-'03_Lap_b'!$B$5:$AW$5))))^2)</f>
        <v/>
      </c>
      <c r="H593" s="5">
        <f>MEDIAN(-6,E593+(C593-F593)/MAX(F593-G593,0.000000001),6)</f>
        <v/>
      </c>
      <c r="I593" s="5">
        <f>SUMPRODUCT(('01_Data'!$B593:$AW593&lt;&gt;"")*(1/(1+EXP(-(H593-'03_Lap_b'!$B$10:$AW$10)))))</f>
        <v/>
      </c>
      <c r="J593" s="5">
        <f>SUMPRODUCT(('01_Data'!$B593:$AW593&lt;&gt;"")*(1/(1+EXP(-(H593-'03_Lap_b'!$B$10:$AW$10))))^2)</f>
        <v/>
      </c>
      <c r="K593" s="5">
        <f>MEDIAN(-6,H593+(C593-I593)/MAX(I593-J593,0.000000001),6)</f>
        <v/>
      </c>
      <c r="L593" s="5">
        <f>SUMPRODUCT(('01_Data'!$B593:$AW593&lt;&gt;"")*(1/(1+EXP(-(K593-'03_Lap_b'!$B$15:$AW$15)))))</f>
        <v/>
      </c>
      <c r="M593" s="5">
        <f>SUMPRODUCT(('01_Data'!$B593:$AW593&lt;&gt;"")*(1/(1+EXP(-(K593-'03_Lap_b'!$B$15:$AW$15))))^2)</f>
        <v/>
      </c>
      <c r="N593" s="5">
        <f>MEDIAN(-6,K593+(C593-L593)/MAX(L593-M593,0.000000001),6)</f>
        <v/>
      </c>
      <c r="O593" s="5">
        <f>SUMPRODUCT(('01_Data'!$B593:$AW593&lt;&gt;"")*(1/(1+EXP(-(N593-'03_Lap_b'!$B$20:$AW$20)))))</f>
        <v/>
      </c>
      <c r="P593" s="5">
        <f>SUMPRODUCT(('01_Data'!$B593:$AW593&lt;&gt;"")*(1/(1+EXP(-(N593-'03_Lap_b'!$B$20:$AW$20))))^2)</f>
        <v/>
      </c>
      <c r="Q593" s="5">
        <f>MEDIAN(-6,N593+(C593-O593)/MAX(O593-P593,0.000000001),6)</f>
        <v/>
      </c>
      <c r="R593" s="5">
        <f>SUMPRODUCT(('01_Data'!$B593:$AW593&lt;&gt;"")*(1/(1+EXP(-(Q593-'03_Lap_b'!$B$25:$AW$25)))))</f>
        <v/>
      </c>
      <c r="S593" s="5">
        <f>SUMPRODUCT(('01_Data'!$B593:$AW593&lt;&gt;"")*(1/(1+EXP(-(Q593-'03_Lap_b'!$B$25:$AW$25))))^2)</f>
        <v/>
      </c>
      <c r="T593" s="5">
        <f>MEDIAN(-6,Q593+(C593-R593)/MAX(R593-S593,0.000000001),6)</f>
        <v/>
      </c>
      <c r="U593" s="5">
        <f>SUMPRODUCT(('01_Data'!$B593:$AW593&lt;&gt;"")*(1/(1+EXP(-(T593-'03_Lap_b'!$B$30:$AW$30)))))</f>
        <v/>
      </c>
      <c r="V593" s="5">
        <f>SUMPRODUCT(('01_Data'!$B593:$AW593&lt;&gt;"")*(1/(1+EXP(-(T593-'03_Lap_b'!$B$30:$AW$30))))^2)</f>
        <v/>
      </c>
      <c r="W593" s="5">
        <f>MEDIAN(-6,T593+(C593-U593)/MAX(U593-V593,0.000000001),6)</f>
        <v/>
      </c>
      <c r="X593" s="5">
        <f>SUMPRODUCT(('01_Data'!$B593:$AW593&lt;&gt;"")*(1/(1+EXP(-(W593-'03_Lap_b'!$B$35:$AW$35)))))</f>
        <v/>
      </c>
      <c r="Y593" s="5">
        <f>SUMPRODUCT(('01_Data'!$B593:$AW593&lt;&gt;"")*(1/(1+EXP(-(W593-'03_Lap_b'!$B$35:$AW$35))))^2)</f>
        <v/>
      </c>
      <c r="Z593" s="5">
        <f>MEDIAN(-6,W593+(C593-X593)/MAX(X593-Y593,0.000000001),6)</f>
        <v/>
      </c>
      <c r="AA593" s="5">
        <f>SUMPRODUCT(('01_Data'!$B593:$AW593&lt;&gt;"")*(1/(1+EXP(-(Z593-'03_Lap_b'!$B$40:$AW$40)))))</f>
        <v/>
      </c>
      <c r="AB593" s="5">
        <f>SUMPRODUCT(('01_Data'!$B593:$AW593&lt;&gt;"")*(1/(1+EXP(-(Z593-'03_Lap_b'!$B$40:$AW$40))))^2)</f>
        <v/>
      </c>
      <c r="AC593" s="5">
        <f>MEDIAN(-6,Z593+(C593-AA593)/MAX(AA593-AB593,0.000000001),6)</f>
        <v/>
      </c>
    </row>
    <row r="594">
      <c r="A594" t="n">
        <v>593</v>
      </c>
      <c r="B594">
        <f>'01_Data'!A594</f>
        <v/>
      </c>
      <c r="C594">
        <f>SUM('01_Data'!$B594:$AW594)</f>
        <v/>
      </c>
      <c r="D594">
        <f>COUNT('01_Data'!$B594:$AW594)</f>
        <v/>
      </c>
      <c r="E594" s="5">
        <f>MEDIAN(-6,LN((C594+0.3)/(D594-C594+0.3)),6)</f>
        <v/>
      </c>
      <c r="F594" s="5">
        <f>SUMPRODUCT(('01_Data'!$B594:$AW594&lt;&gt;"")*(1/(1+EXP(-(E594-'03_Lap_b'!$B$5:$AW$5)))))</f>
        <v/>
      </c>
      <c r="G594" s="5">
        <f>SUMPRODUCT(('01_Data'!$B594:$AW594&lt;&gt;"")*(1/(1+EXP(-(E594-'03_Lap_b'!$B$5:$AW$5))))^2)</f>
        <v/>
      </c>
      <c r="H594" s="5">
        <f>MEDIAN(-6,E594+(C594-F594)/MAX(F594-G594,0.000000001),6)</f>
        <v/>
      </c>
      <c r="I594" s="5">
        <f>SUMPRODUCT(('01_Data'!$B594:$AW594&lt;&gt;"")*(1/(1+EXP(-(H594-'03_Lap_b'!$B$10:$AW$10)))))</f>
        <v/>
      </c>
      <c r="J594" s="5">
        <f>SUMPRODUCT(('01_Data'!$B594:$AW594&lt;&gt;"")*(1/(1+EXP(-(H594-'03_Lap_b'!$B$10:$AW$10))))^2)</f>
        <v/>
      </c>
      <c r="K594" s="5">
        <f>MEDIAN(-6,H594+(C594-I594)/MAX(I594-J594,0.000000001),6)</f>
        <v/>
      </c>
      <c r="L594" s="5">
        <f>SUMPRODUCT(('01_Data'!$B594:$AW594&lt;&gt;"")*(1/(1+EXP(-(K594-'03_Lap_b'!$B$15:$AW$15)))))</f>
        <v/>
      </c>
      <c r="M594" s="5">
        <f>SUMPRODUCT(('01_Data'!$B594:$AW594&lt;&gt;"")*(1/(1+EXP(-(K594-'03_Lap_b'!$B$15:$AW$15))))^2)</f>
        <v/>
      </c>
      <c r="N594" s="5">
        <f>MEDIAN(-6,K594+(C594-L594)/MAX(L594-M594,0.000000001),6)</f>
        <v/>
      </c>
      <c r="O594" s="5">
        <f>SUMPRODUCT(('01_Data'!$B594:$AW594&lt;&gt;"")*(1/(1+EXP(-(N594-'03_Lap_b'!$B$20:$AW$20)))))</f>
        <v/>
      </c>
      <c r="P594" s="5">
        <f>SUMPRODUCT(('01_Data'!$B594:$AW594&lt;&gt;"")*(1/(1+EXP(-(N594-'03_Lap_b'!$B$20:$AW$20))))^2)</f>
        <v/>
      </c>
      <c r="Q594" s="5">
        <f>MEDIAN(-6,N594+(C594-O594)/MAX(O594-P594,0.000000001),6)</f>
        <v/>
      </c>
      <c r="R594" s="5">
        <f>SUMPRODUCT(('01_Data'!$B594:$AW594&lt;&gt;"")*(1/(1+EXP(-(Q594-'03_Lap_b'!$B$25:$AW$25)))))</f>
        <v/>
      </c>
      <c r="S594" s="5">
        <f>SUMPRODUCT(('01_Data'!$B594:$AW594&lt;&gt;"")*(1/(1+EXP(-(Q594-'03_Lap_b'!$B$25:$AW$25))))^2)</f>
        <v/>
      </c>
      <c r="T594" s="5">
        <f>MEDIAN(-6,Q594+(C594-R594)/MAX(R594-S594,0.000000001),6)</f>
        <v/>
      </c>
      <c r="U594" s="5">
        <f>SUMPRODUCT(('01_Data'!$B594:$AW594&lt;&gt;"")*(1/(1+EXP(-(T594-'03_Lap_b'!$B$30:$AW$30)))))</f>
        <v/>
      </c>
      <c r="V594" s="5">
        <f>SUMPRODUCT(('01_Data'!$B594:$AW594&lt;&gt;"")*(1/(1+EXP(-(T594-'03_Lap_b'!$B$30:$AW$30))))^2)</f>
        <v/>
      </c>
      <c r="W594" s="5">
        <f>MEDIAN(-6,T594+(C594-U594)/MAX(U594-V594,0.000000001),6)</f>
        <v/>
      </c>
      <c r="X594" s="5">
        <f>SUMPRODUCT(('01_Data'!$B594:$AW594&lt;&gt;"")*(1/(1+EXP(-(W594-'03_Lap_b'!$B$35:$AW$35)))))</f>
        <v/>
      </c>
      <c r="Y594" s="5">
        <f>SUMPRODUCT(('01_Data'!$B594:$AW594&lt;&gt;"")*(1/(1+EXP(-(W594-'03_Lap_b'!$B$35:$AW$35))))^2)</f>
        <v/>
      </c>
      <c r="Z594" s="5">
        <f>MEDIAN(-6,W594+(C594-X594)/MAX(X594-Y594,0.000000001),6)</f>
        <v/>
      </c>
      <c r="AA594" s="5">
        <f>SUMPRODUCT(('01_Data'!$B594:$AW594&lt;&gt;"")*(1/(1+EXP(-(Z594-'03_Lap_b'!$B$40:$AW$40)))))</f>
        <v/>
      </c>
      <c r="AB594" s="5">
        <f>SUMPRODUCT(('01_Data'!$B594:$AW594&lt;&gt;"")*(1/(1+EXP(-(Z594-'03_Lap_b'!$B$40:$AW$40))))^2)</f>
        <v/>
      </c>
      <c r="AC594" s="5">
        <f>MEDIAN(-6,Z594+(C594-AA594)/MAX(AA594-AB594,0.000000001),6)</f>
        <v/>
      </c>
    </row>
    <row r="595">
      <c r="A595" t="n">
        <v>594</v>
      </c>
      <c r="B595">
        <f>'01_Data'!A595</f>
        <v/>
      </c>
      <c r="C595">
        <f>SUM('01_Data'!$B595:$AW595)</f>
        <v/>
      </c>
      <c r="D595">
        <f>COUNT('01_Data'!$B595:$AW595)</f>
        <v/>
      </c>
      <c r="E595" s="5">
        <f>MEDIAN(-6,LN((C595+0.3)/(D595-C595+0.3)),6)</f>
        <v/>
      </c>
      <c r="F595" s="5">
        <f>SUMPRODUCT(('01_Data'!$B595:$AW595&lt;&gt;"")*(1/(1+EXP(-(E595-'03_Lap_b'!$B$5:$AW$5)))))</f>
        <v/>
      </c>
      <c r="G595" s="5">
        <f>SUMPRODUCT(('01_Data'!$B595:$AW595&lt;&gt;"")*(1/(1+EXP(-(E595-'03_Lap_b'!$B$5:$AW$5))))^2)</f>
        <v/>
      </c>
      <c r="H595" s="5">
        <f>MEDIAN(-6,E595+(C595-F595)/MAX(F595-G595,0.000000001),6)</f>
        <v/>
      </c>
      <c r="I595" s="5">
        <f>SUMPRODUCT(('01_Data'!$B595:$AW595&lt;&gt;"")*(1/(1+EXP(-(H595-'03_Lap_b'!$B$10:$AW$10)))))</f>
        <v/>
      </c>
      <c r="J595" s="5">
        <f>SUMPRODUCT(('01_Data'!$B595:$AW595&lt;&gt;"")*(1/(1+EXP(-(H595-'03_Lap_b'!$B$10:$AW$10))))^2)</f>
        <v/>
      </c>
      <c r="K595" s="5">
        <f>MEDIAN(-6,H595+(C595-I595)/MAX(I595-J595,0.000000001),6)</f>
        <v/>
      </c>
      <c r="L595" s="5">
        <f>SUMPRODUCT(('01_Data'!$B595:$AW595&lt;&gt;"")*(1/(1+EXP(-(K595-'03_Lap_b'!$B$15:$AW$15)))))</f>
        <v/>
      </c>
      <c r="M595" s="5">
        <f>SUMPRODUCT(('01_Data'!$B595:$AW595&lt;&gt;"")*(1/(1+EXP(-(K595-'03_Lap_b'!$B$15:$AW$15))))^2)</f>
        <v/>
      </c>
      <c r="N595" s="5">
        <f>MEDIAN(-6,K595+(C595-L595)/MAX(L595-M595,0.000000001),6)</f>
        <v/>
      </c>
      <c r="O595" s="5">
        <f>SUMPRODUCT(('01_Data'!$B595:$AW595&lt;&gt;"")*(1/(1+EXP(-(N595-'03_Lap_b'!$B$20:$AW$20)))))</f>
        <v/>
      </c>
      <c r="P595" s="5">
        <f>SUMPRODUCT(('01_Data'!$B595:$AW595&lt;&gt;"")*(1/(1+EXP(-(N595-'03_Lap_b'!$B$20:$AW$20))))^2)</f>
        <v/>
      </c>
      <c r="Q595" s="5">
        <f>MEDIAN(-6,N595+(C595-O595)/MAX(O595-P595,0.000000001),6)</f>
        <v/>
      </c>
      <c r="R595" s="5">
        <f>SUMPRODUCT(('01_Data'!$B595:$AW595&lt;&gt;"")*(1/(1+EXP(-(Q595-'03_Lap_b'!$B$25:$AW$25)))))</f>
        <v/>
      </c>
      <c r="S595" s="5">
        <f>SUMPRODUCT(('01_Data'!$B595:$AW595&lt;&gt;"")*(1/(1+EXP(-(Q595-'03_Lap_b'!$B$25:$AW$25))))^2)</f>
        <v/>
      </c>
      <c r="T595" s="5">
        <f>MEDIAN(-6,Q595+(C595-R595)/MAX(R595-S595,0.000000001),6)</f>
        <v/>
      </c>
      <c r="U595" s="5">
        <f>SUMPRODUCT(('01_Data'!$B595:$AW595&lt;&gt;"")*(1/(1+EXP(-(T595-'03_Lap_b'!$B$30:$AW$30)))))</f>
        <v/>
      </c>
      <c r="V595" s="5">
        <f>SUMPRODUCT(('01_Data'!$B595:$AW595&lt;&gt;"")*(1/(1+EXP(-(T595-'03_Lap_b'!$B$30:$AW$30))))^2)</f>
        <v/>
      </c>
      <c r="W595" s="5">
        <f>MEDIAN(-6,T595+(C595-U595)/MAX(U595-V595,0.000000001),6)</f>
        <v/>
      </c>
      <c r="X595" s="5">
        <f>SUMPRODUCT(('01_Data'!$B595:$AW595&lt;&gt;"")*(1/(1+EXP(-(W595-'03_Lap_b'!$B$35:$AW$35)))))</f>
        <v/>
      </c>
      <c r="Y595" s="5">
        <f>SUMPRODUCT(('01_Data'!$B595:$AW595&lt;&gt;"")*(1/(1+EXP(-(W595-'03_Lap_b'!$B$35:$AW$35))))^2)</f>
        <v/>
      </c>
      <c r="Z595" s="5">
        <f>MEDIAN(-6,W595+(C595-X595)/MAX(X595-Y595,0.000000001),6)</f>
        <v/>
      </c>
      <c r="AA595" s="5">
        <f>SUMPRODUCT(('01_Data'!$B595:$AW595&lt;&gt;"")*(1/(1+EXP(-(Z595-'03_Lap_b'!$B$40:$AW$40)))))</f>
        <v/>
      </c>
      <c r="AB595" s="5">
        <f>SUMPRODUCT(('01_Data'!$B595:$AW595&lt;&gt;"")*(1/(1+EXP(-(Z595-'03_Lap_b'!$B$40:$AW$40))))^2)</f>
        <v/>
      </c>
      <c r="AC595" s="5">
        <f>MEDIAN(-6,Z595+(C595-AA595)/MAX(AA595-AB595,0.000000001),6)</f>
        <v/>
      </c>
    </row>
    <row r="596">
      <c r="A596" t="n">
        <v>595</v>
      </c>
      <c r="B596">
        <f>'01_Data'!A596</f>
        <v/>
      </c>
      <c r="C596">
        <f>SUM('01_Data'!$B596:$AW596)</f>
        <v/>
      </c>
      <c r="D596">
        <f>COUNT('01_Data'!$B596:$AW596)</f>
        <v/>
      </c>
      <c r="E596" s="5">
        <f>MEDIAN(-6,LN((C596+0.3)/(D596-C596+0.3)),6)</f>
        <v/>
      </c>
      <c r="F596" s="5">
        <f>SUMPRODUCT(('01_Data'!$B596:$AW596&lt;&gt;"")*(1/(1+EXP(-(E596-'03_Lap_b'!$B$5:$AW$5)))))</f>
        <v/>
      </c>
      <c r="G596" s="5">
        <f>SUMPRODUCT(('01_Data'!$B596:$AW596&lt;&gt;"")*(1/(1+EXP(-(E596-'03_Lap_b'!$B$5:$AW$5))))^2)</f>
        <v/>
      </c>
      <c r="H596" s="5">
        <f>MEDIAN(-6,E596+(C596-F596)/MAX(F596-G596,0.000000001),6)</f>
        <v/>
      </c>
      <c r="I596" s="5">
        <f>SUMPRODUCT(('01_Data'!$B596:$AW596&lt;&gt;"")*(1/(1+EXP(-(H596-'03_Lap_b'!$B$10:$AW$10)))))</f>
        <v/>
      </c>
      <c r="J596" s="5">
        <f>SUMPRODUCT(('01_Data'!$B596:$AW596&lt;&gt;"")*(1/(1+EXP(-(H596-'03_Lap_b'!$B$10:$AW$10))))^2)</f>
        <v/>
      </c>
      <c r="K596" s="5">
        <f>MEDIAN(-6,H596+(C596-I596)/MAX(I596-J596,0.000000001),6)</f>
        <v/>
      </c>
      <c r="L596" s="5">
        <f>SUMPRODUCT(('01_Data'!$B596:$AW596&lt;&gt;"")*(1/(1+EXP(-(K596-'03_Lap_b'!$B$15:$AW$15)))))</f>
        <v/>
      </c>
      <c r="M596" s="5">
        <f>SUMPRODUCT(('01_Data'!$B596:$AW596&lt;&gt;"")*(1/(1+EXP(-(K596-'03_Lap_b'!$B$15:$AW$15))))^2)</f>
        <v/>
      </c>
      <c r="N596" s="5">
        <f>MEDIAN(-6,K596+(C596-L596)/MAX(L596-M596,0.000000001),6)</f>
        <v/>
      </c>
      <c r="O596" s="5">
        <f>SUMPRODUCT(('01_Data'!$B596:$AW596&lt;&gt;"")*(1/(1+EXP(-(N596-'03_Lap_b'!$B$20:$AW$20)))))</f>
        <v/>
      </c>
      <c r="P596" s="5">
        <f>SUMPRODUCT(('01_Data'!$B596:$AW596&lt;&gt;"")*(1/(1+EXP(-(N596-'03_Lap_b'!$B$20:$AW$20))))^2)</f>
        <v/>
      </c>
      <c r="Q596" s="5">
        <f>MEDIAN(-6,N596+(C596-O596)/MAX(O596-P596,0.000000001),6)</f>
        <v/>
      </c>
      <c r="R596" s="5">
        <f>SUMPRODUCT(('01_Data'!$B596:$AW596&lt;&gt;"")*(1/(1+EXP(-(Q596-'03_Lap_b'!$B$25:$AW$25)))))</f>
        <v/>
      </c>
      <c r="S596" s="5">
        <f>SUMPRODUCT(('01_Data'!$B596:$AW596&lt;&gt;"")*(1/(1+EXP(-(Q596-'03_Lap_b'!$B$25:$AW$25))))^2)</f>
        <v/>
      </c>
      <c r="T596" s="5">
        <f>MEDIAN(-6,Q596+(C596-R596)/MAX(R596-S596,0.000000001),6)</f>
        <v/>
      </c>
      <c r="U596" s="5">
        <f>SUMPRODUCT(('01_Data'!$B596:$AW596&lt;&gt;"")*(1/(1+EXP(-(T596-'03_Lap_b'!$B$30:$AW$30)))))</f>
        <v/>
      </c>
      <c r="V596" s="5">
        <f>SUMPRODUCT(('01_Data'!$B596:$AW596&lt;&gt;"")*(1/(1+EXP(-(T596-'03_Lap_b'!$B$30:$AW$30))))^2)</f>
        <v/>
      </c>
      <c r="W596" s="5">
        <f>MEDIAN(-6,T596+(C596-U596)/MAX(U596-V596,0.000000001),6)</f>
        <v/>
      </c>
      <c r="X596" s="5">
        <f>SUMPRODUCT(('01_Data'!$B596:$AW596&lt;&gt;"")*(1/(1+EXP(-(W596-'03_Lap_b'!$B$35:$AW$35)))))</f>
        <v/>
      </c>
      <c r="Y596" s="5">
        <f>SUMPRODUCT(('01_Data'!$B596:$AW596&lt;&gt;"")*(1/(1+EXP(-(W596-'03_Lap_b'!$B$35:$AW$35))))^2)</f>
        <v/>
      </c>
      <c r="Z596" s="5">
        <f>MEDIAN(-6,W596+(C596-X596)/MAX(X596-Y596,0.000000001),6)</f>
        <v/>
      </c>
      <c r="AA596" s="5">
        <f>SUMPRODUCT(('01_Data'!$B596:$AW596&lt;&gt;"")*(1/(1+EXP(-(Z596-'03_Lap_b'!$B$40:$AW$40)))))</f>
        <v/>
      </c>
      <c r="AB596" s="5">
        <f>SUMPRODUCT(('01_Data'!$B596:$AW596&lt;&gt;"")*(1/(1+EXP(-(Z596-'03_Lap_b'!$B$40:$AW$40))))^2)</f>
        <v/>
      </c>
      <c r="AC596" s="5">
        <f>MEDIAN(-6,Z596+(C596-AA596)/MAX(AA596-AB596,0.000000001),6)</f>
        <v/>
      </c>
    </row>
    <row r="597">
      <c r="A597" t="n">
        <v>596</v>
      </c>
      <c r="B597">
        <f>'01_Data'!A597</f>
        <v/>
      </c>
      <c r="C597">
        <f>SUM('01_Data'!$B597:$AW597)</f>
        <v/>
      </c>
      <c r="D597">
        <f>COUNT('01_Data'!$B597:$AW597)</f>
        <v/>
      </c>
      <c r="E597" s="5">
        <f>MEDIAN(-6,LN((C597+0.3)/(D597-C597+0.3)),6)</f>
        <v/>
      </c>
      <c r="F597" s="5">
        <f>SUMPRODUCT(('01_Data'!$B597:$AW597&lt;&gt;"")*(1/(1+EXP(-(E597-'03_Lap_b'!$B$5:$AW$5)))))</f>
        <v/>
      </c>
      <c r="G597" s="5">
        <f>SUMPRODUCT(('01_Data'!$B597:$AW597&lt;&gt;"")*(1/(1+EXP(-(E597-'03_Lap_b'!$B$5:$AW$5))))^2)</f>
        <v/>
      </c>
      <c r="H597" s="5">
        <f>MEDIAN(-6,E597+(C597-F597)/MAX(F597-G597,0.000000001),6)</f>
        <v/>
      </c>
      <c r="I597" s="5">
        <f>SUMPRODUCT(('01_Data'!$B597:$AW597&lt;&gt;"")*(1/(1+EXP(-(H597-'03_Lap_b'!$B$10:$AW$10)))))</f>
        <v/>
      </c>
      <c r="J597" s="5">
        <f>SUMPRODUCT(('01_Data'!$B597:$AW597&lt;&gt;"")*(1/(1+EXP(-(H597-'03_Lap_b'!$B$10:$AW$10))))^2)</f>
        <v/>
      </c>
      <c r="K597" s="5">
        <f>MEDIAN(-6,H597+(C597-I597)/MAX(I597-J597,0.000000001),6)</f>
        <v/>
      </c>
      <c r="L597" s="5">
        <f>SUMPRODUCT(('01_Data'!$B597:$AW597&lt;&gt;"")*(1/(1+EXP(-(K597-'03_Lap_b'!$B$15:$AW$15)))))</f>
        <v/>
      </c>
      <c r="M597" s="5">
        <f>SUMPRODUCT(('01_Data'!$B597:$AW597&lt;&gt;"")*(1/(1+EXP(-(K597-'03_Lap_b'!$B$15:$AW$15))))^2)</f>
        <v/>
      </c>
      <c r="N597" s="5">
        <f>MEDIAN(-6,K597+(C597-L597)/MAX(L597-M597,0.000000001),6)</f>
        <v/>
      </c>
      <c r="O597" s="5">
        <f>SUMPRODUCT(('01_Data'!$B597:$AW597&lt;&gt;"")*(1/(1+EXP(-(N597-'03_Lap_b'!$B$20:$AW$20)))))</f>
        <v/>
      </c>
      <c r="P597" s="5">
        <f>SUMPRODUCT(('01_Data'!$B597:$AW597&lt;&gt;"")*(1/(1+EXP(-(N597-'03_Lap_b'!$B$20:$AW$20))))^2)</f>
        <v/>
      </c>
      <c r="Q597" s="5">
        <f>MEDIAN(-6,N597+(C597-O597)/MAX(O597-P597,0.000000001),6)</f>
        <v/>
      </c>
      <c r="R597" s="5">
        <f>SUMPRODUCT(('01_Data'!$B597:$AW597&lt;&gt;"")*(1/(1+EXP(-(Q597-'03_Lap_b'!$B$25:$AW$25)))))</f>
        <v/>
      </c>
      <c r="S597" s="5">
        <f>SUMPRODUCT(('01_Data'!$B597:$AW597&lt;&gt;"")*(1/(1+EXP(-(Q597-'03_Lap_b'!$B$25:$AW$25))))^2)</f>
        <v/>
      </c>
      <c r="T597" s="5">
        <f>MEDIAN(-6,Q597+(C597-R597)/MAX(R597-S597,0.000000001),6)</f>
        <v/>
      </c>
      <c r="U597" s="5">
        <f>SUMPRODUCT(('01_Data'!$B597:$AW597&lt;&gt;"")*(1/(1+EXP(-(T597-'03_Lap_b'!$B$30:$AW$30)))))</f>
        <v/>
      </c>
      <c r="V597" s="5">
        <f>SUMPRODUCT(('01_Data'!$B597:$AW597&lt;&gt;"")*(1/(1+EXP(-(T597-'03_Lap_b'!$B$30:$AW$30))))^2)</f>
        <v/>
      </c>
      <c r="W597" s="5">
        <f>MEDIAN(-6,T597+(C597-U597)/MAX(U597-V597,0.000000001),6)</f>
        <v/>
      </c>
      <c r="X597" s="5">
        <f>SUMPRODUCT(('01_Data'!$B597:$AW597&lt;&gt;"")*(1/(1+EXP(-(W597-'03_Lap_b'!$B$35:$AW$35)))))</f>
        <v/>
      </c>
      <c r="Y597" s="5">
        <f>SUMPRODUCT(('01_Data'!$B597:$AW597&lt;&gt;"")*(1/(1+EXP(-(W597-'03_Lap_b'!$B$35:$AW$35))))^2)</f>
        <v/>
      </c>
      <c r="Z597" s="5">
        <f>MEDIAN(-6,W597+(C597-X597)/MAX(X597-Y597,0.000000001),6)</f>
        <v/>
      </c>
      <c r="AA597" s="5">
        <f>SUMPRODUCT(('01_Data'!$B597:$AW597&lt;&gt;"")*(1/(1+EXP(-(Z597-'03_Lap_b'!$B$40:$AW$40)))))</f>
        <v/>
      </c>
      <c r="AB597" s="5">
        <f>SUMPRODUCT(('01_Data'!$B597:$AW597&lt;&gt;"")*(1/(1+EXP(-(Z597-'03_Lap_b'!$B$40:$AW$40))))^2)</f>
        <v/>
      </c>
      <c r="AC597" s="5">
        <f>MEDIAN(-6,Z597+(C597-AA597)/MAX(AA597-AB597,0.000000001),6)</f>
        <v/>
      </c>
    </row>
    <row r="598">
      <c r="A598" t="n">
        <v>597</v>
      </c>
      <c r="B598">
        <f>'01_Data'!A598</f>
        <v/>
      </c>
      <c r="C598">
        <f>SUM('01_Data'!$B598:$AW598)</f>
        <v/>
      </c>
      <c r="D598">
        <f>COUNT('01_Data'!$B598:$AW598)</f>
        <v/>
      </c>
      <c r="E598" s="5">
        <f>MEDIAN(-6,LN((C598+0.3)/(D598-C598+0.3)),6)</f>
        <v/>
      </c>
      <c r="F598" s="5">
        <f>SUMPRODUCT(('01_Data'!$B598:$AW598&lt;&gt;"")*(1/(1+EXP(-(E598-'03_Lap_b'!$B$5:$AW$5)))))</f>
        <v/>
      </c>
      <c r="G598" s="5">
        <f>SUMPRODUCT(('01_Data'!$B598:$AW598&lt;&gt;"")*(1/(1+EXP(-(E598-'03_Lap_b'!$B$5:$AW$5))))^2)</f>
        <v/>
      </c>
      <c r="H598" s="5">
        <f>MEDIAN(-6,E598+(C598-F598)/MAX(F598-G598,0.000000001),6)</f>
        <v/>
      </c>
      <c r="I598" s="5">
        <f>SUMPRODUCT(('01_Data'!$B598:$AW598&lt;&gt;"")*(1/(1+EXP(-(H598-'03_Lap_b'!$B$10:$AW$10)))))</f>
        <v/>
      </c>
      <c r="J598" s="5">
        <f>SUMPRODUCT(('01_Data'!$B598:$AW598&lt;&gt;"")*(1/(1+EXP(-(H598-'03_Lap_b'!$B$10:$AW$10))))^2)</f>
        <v/>
      </c>
      <c r="K598" s="5">
        <f>MEDIAN(-6,H598+(C598-I598)/MAX(I598-J598,0.000000001),6)</f>
        <v/>
      </c>
      <c r="L598" s="5">
        <f>SUMPRODUCT(('01_Data'!$B598:$AW598&lt;&gt;"")*(1/(1+EXP(-(K598-'03_Lap_b'!$B$15:$AW$15)))))</f>
        <v/>
      </c>
      <c r="M598" s="5">
        <f>SUMPRODUCT(('01_Data'!$B598:$AW598&lt;&gt;"")*(1/(1+EXP(-(K598-'03_Lap_b'!$B$15:$AW$15))))^2)</f>
        <v/>
      </c>
      <c r="N598" s="5">
        <f>MEDIAN(-6,K598+(C598-L598)/MAX(L598-M598,0.000000001),6)</f>
        <v/>
      </c>
      <c r="O598" s="5">
        <f>SUMPRODUCT(('01_Data'!$B598:$AW598&lt;&gt;"")*(1/(1+EXP(-(N598-'03_Lap_b'!$B$20:$AW$20)))))</f>
        <v/>
      </c>
      <c r="P598" s="5">
        <f>SUMPRODUCT(('01_Data'!$B598:$AW598&lt;&gt;"")*(1/(1+EXP(-(N598-'03_Lap_b'!$B$20:$AW$20))))^2)</f>
        <v/>
      </c>
      <c r="Q598" s="5">
        <f>MEDIAN(-6,N598+(C598-O598)/MAX(O598-P598,0.000000001),6)</f>
        <v/>
      </c>
      <c r="R598" s="5">
        <f>SUMPRODUCT(('01_Data'!$B598:$AW598&lt;&gt;"")*(1/(1+EXP(-(Q598-'03_Lap_b'!$B$25:$AW$25)))))</f>
        <v/>
      </c>
      <c r="S598" s="5">
        <f>SUMPRODUCT(('01_Data'!$B598:$AW598&lt;&gt;"")*(1/(1+EXP(-(Q598-'03_Lap_b'!$B$25:$AW$25))))^2)</f>
        <v/>
      </c>
      <c r="T598" s="5">
        <f>MEDIAN(-6,Q598+(C598-R598)/MAX(R598-S598,0.000000001),6)</f>
        <v/>
      </c>
      <c r="U598" s="5">
        <f>SUMPRODUCT(('01_Data'!$B598:$AW598&lt;&gt;"")*(1/(1+EXP(-(T598-'03_Lap_b'!$B$30:$AW$30)))))</f>
        <v/>
      </c>
      <c r="V598" s="5">
        <f>SUMPRODUCT(('01_Data'!$B598:$AW598&lt;&gt;"")*(1/(1+EXP(-(T598-'03_Lap_b'!$B$30:$AW$30))))^2)</f>
        <v/>
      </c>
      <c r="W598" s="5">
        <f>MEDIAN(-6,T598+(C598-U598)/MAX(U598-V598,0.000000001),6)</f>
        <v/>
      </c>
      <c r="X598" s="5">
        <f>SUMPRODUCT(('01_Data'!$B598:$AW598&lt;&gt;"")*(1/(1+EXP(-(W598-'03_Lap_b'!$B$35:$AW$35)))))</f>
        <v/>
      </c>
      <c r="Y598" s="5">
        <f>SUMPRODUCT(('01_Data'!$B598:$AW598&lt;&gt;"")*(1/(1+EXP(-(W598-'03_Lap_b'!$B$35:$AW$35))))^2)</f>
        <v/>
      </c>
      <c r="Z598" s="5">
        <f>MEDIAN(-6,W598+(C598-X598)/MAX(X598-Y598,0.000000001),6)</f>
        <v/>
      </c>
      <c r="AA598" s="5">
        <f>SUMPRODUCT(('01_Data'!$B598:$AW598&lt;&gt;"")*(1/(1+EXP(-(Z598-'03_Lap_b'!$B$40:$AW$40)))))</f>
        <v/>
      </c>
      <c r="AB598" s="5">
        <f>SUMPRODUCT(('01_Data'!$B598:$AW598&lt;&gt;"")*(1/(1+EXP(-(Z598-'03_Lap_b'!$B$40:$AW$40))))^2)</f>
        <v/>
      </c>
      <c r="AC598" s="5">
        <f>MEDIAN(-6,Z598+(C598-AA598)/MAX(AA598-AB598,0.000000001),6)</f>
        <v/>
      </c>
    </row>
    <row r="599">
      <c r="A599" t="n">
        <v>598</v>
      </c>
      <c r="B599">
        <f>'01_Data'!A599</f>
        <v/>
      </c>
      <c r="C599">
        <f>SUM('01_Data'!$B599:$AW599)</f>
        <v/>
      </c>
      <c r="D599">
        <f>COUNT('01_Data'!$B599:$AW599)</f>
        <v/>
      </c>
      <c r="E599" s="5">
        <f>MEDIAN(-6,LN((C599+0.3)/(D599-C599+0.3)),6)</f>
        <v/>
      </c>
      <c r="F599" s="5">
        <f>SUMPRODUCT(('01_Data'!$B599:$AW599&lt;&gt;"")*(1/(1+EXP(-(E599-'03_Lap_b'!$B$5:$AW$5)))))</f>
        <v/>
      </c>
      <c r="G599" s="5">
        <f>SUMPRODUCT(('01_Data'!$B599:$AW599&lt;&gt;"")*(1/(1+EXP(-(E599-'03_Lap_b'!$B$5:$AW$5))))^2)</f>
        <v/>
      </c>
      <c r="H599" s="5">
        <f>MEDIAN(-6,E599+(C599-F599)/MAX(F599-G599,0.000000001),6)</f>
        <v/>
      </c>
      <c r="I599" s="5">
        <f>SUMPRODUCT(('01_Data'!$B599:$AW599&lt;&gt;"")*(1/(1+EXP(-(H599-'03_Lap_b'!$B$10:$AW$10)))))</f>
        <v/>
      </c>
      <c r="J599" s="5">
        <f>SUMPRODUCT(('01_Data'!$B599:$AW599&lt;&gt;"")*(1/(1+EXP(-(H599-'03_Lap_b'!$B$10:$AW$10))))^2)</f>
        <v/>
      </c>
      <c r="K599" s="5">
        <f>MEDIAN(-6,H599+(C599-I599)/MAX(I599-J599,0.000000001),6)</f>
        <v/>
      </c>
      <c r="L599" s="5">
        <f>SUMPRODUCT(('01_Data'!$B599:$AW599&lt;&gt;"")*(1/(1+EXP(-(K599-'03_Lap_b'!$B$15:$AW$15)))))</f>
        <v/>
      </c>
      <c r="M599" s="5">
        <f>SUMPRODUCT(('01_Data'!$B599:$AW599&lt;&gt;"")*(1/(1+EXP(-(K599-'03_Lap_b'!$B$15:$AW$15))))^2)</f>
        <v/>
      </c>
      <c r="N599" s="5">
        <f>MEDIAN(-6,K599+(C599-L599)/MAX(L599-M599,0.000000001),6)</f>
        <v/>
      </c>
      <c r="O599" s="5">
        <f>SUMPRODUCT(('01_Data'!$B599:$AW599&lt;&gt;"")*(1/(1+EXP(-(N599-'03_Lap_b'!$B$20:$AW$20)))))</f>
        <v/>
      </c>
      <c r="P599" s="5">
        <f>SUMPRODUCT(('01_Data'!$B599:$AW599&lt;&gt;"")*(1/(1+EXP(-(N599-'03_Lap_b'!$B$20:$AW$20))))^2)</f>
        <v/>
      </c>
      <c r="Q599" s="5">
        <f>MEDIAN(-6,N599+(C599-O599)/MAX(O599-P599,0.000000001),6)</f>
        <v/>
      </c>
      <c r="R599" s="5">
        <f>SUMPRODUCT(('01_Data'!$B599:$AW599&lt;&gt;"")*(1/(1+EXP(-(Q599-'03_Lap_b'!$B$25:$AW$25)))))</f>
        <v/>
      </c>
      <c r="S599" s="5">
        <f>SUMPRODUCT(('01_Data'!$B599:$AW599&lt;&gt;"")*(1/(1+EXP(-(Q599-'03_Lap_b'!$B$25:$AW$25))))^2)</f>
        <v/>
      </c>
      <c r="T599" s="5">
        <f>MEDIAN(-6,Q599+(C599-R599)/MAX(R599-S599,0.000000001),6)</f>
        <v/>
      </c>
      <c r="U599" s="5">
        <f>SUMPRODUCT(('01_Data'!$B599:$AW599&lt;&gt;"")*(1/(1+EXP(-(T599-'03_Lap_b'!$B$30:$AW$30)))))</f>
        <v/>
      </c>
      <c r="V599" s="5">
        <f>SUMPRODUCT(('01_Data'!$B599:$AW599&lt;&gt;"")*(1/(1+EXP(-(T599-'03_Lap_b'!$B$30:$AW$30))))^2)</f>
        <v/>
      </c>
      <c r="W599" s="5">
        <f>MEDIAN(-6,T599+(C599-U599)/MAX(U599-V599,0.000000001),6)</f>
        <v/>
      </c>
      <c r="X599" s="5">
        <f>SUMPRODUCT(('01_Data'!$B599:$AW599&lt;&gt;"")*(1/(1+EXP(-(W599-'03_Lap_b'!$B$35:$AW$35)))))</f>
        <v/>
      </c>
      <c r="Y599" s="5">
        <f>SUMPRODUCT(('01_Data'!$B599:$AW599&lt;&gt;"")*(1/(1+EXP(-(W599-'03_Lap_b'!$B$35:$AW$35))))^2)</f>
        <v/>
      </c>
      <c r="Z599" s="5">
        <f>MEDIAN(-6,W599+(C599-X599)/MAX(X599-Y599,0.000000001),6)</f>
        <v/>
      </c>
      <c r="AA599" s="5">
        <f>SUMPRODUCT(('01_Data'!$B599:$AW599&lt;&gt;"")*(1/(1+EXP(-(Z599-'03_Lap_b'!$B$40:$AW$40)))))</f>
        <v/>
      </c>
      <c r="AB599" s="5">
        <f>SUMPRODUCT(('01_Data'!$B599:$AW599&lt;&gt;"")*(1/(1+EXP(-(Z599-'03_Lap_b'!$B$40:$AW$40))))^2)</f>
        <v/>
      </c>
      <c r="AC599" s="5">
        <f>MEDIAN(-6,Z599+(C599-AA599)/MAX(AA599-AB599,0.000000001),6)</f>
        <v/>
      </c>
    </row>
    <row r="600">
      <c r="A600" t="n">
        <v>599</v>
      </c>
      <c r="B600">
        <f>'01_Data'!A600</f>
        <v/>
      </c>
      <c r="C600">
        <f>SUM('01_Data'!$B600:$AW600)</f>
        <v/>
      </c>
      <c r="D600">
        <f>COUNT('01_Data'!$B600:$AW600)</f>
        <v/>
      </c>
      <c r="E600" s="5">
        <f>MEDIAN(-6,LN((C600+0.3)/(D600-C600+0.3)),6)</f>
        <v/>
      </c>
      <c r="F600" s="5">
        <f>SUMPRODUCT(('01_Data'!$B600:$AW600&lt;&gt;"")*(1/(1+EXP(-(E600-'03_Lap_b'!$B$5:$AW$5)))))</f>
        <v/>
      </c>
      <c r="G600" s="5">
        <f>SUMPRODUCT(('01_Data'!$B600:$AW600&lt;&gt;"")*(1/(1+EXP(-(E600-'03_Lap_b'!$B$5:$AW$5))))^2)</f>
        <v/>
      </c>
      <c r="H600" s="5">
        <f>MEDIAN(-6,E600+(C600-F600)/MAX(F600-G600,0.000000001),6)</f>
        <v/>
      </c>
      <c r="I600" s="5">
        <f>SUMPRODUCT(('01_Data'!$B600:$AW600&lt;&gt;"")*(1/(1+EXP(-(H600-'03_Lap_b'!$B$10:$AW$10)))))</f>
        <v/>
      </c>
      <c r="J600" s="5">
        <f>SUMPRODUCT(('01_Data'!$B600:$AW600&lt;&gt;"")*(1/(1+EXP(-(H600-'03_Lap_b'!$B$10:$AW$10))))^2)</f>
        <v/>
      </c>
      <c r="K600" s="5">
        <f>MEDIAN(-6,H600+(C600-I600)/MAX(I600-J600,0.000000001),6)</f>
        <v/>
      </c>
      <c r="L600" s="5">
        <f>SUMPRODUCT(('01_Data'!$B600:$AW600&lt;&gt;"")*(1/(1+EXP(-(K600-'03_Lap_b'!$B$15:$AW$15)))))</f>
        <v/>
      </c>
      <c r="M600" s="5">
        <f>SUMPRODUCT(('01_Data'!$B600:$AW600&lt;&gt;"")*(1/(1+EXP(-(K600-'03_Lap_b'!$B$15:$AW$15))))^2)</f>
        <v/>
      </c>
      <c r="N600" s="5">
        <f>MEDIAN(-6,K600+(C600-L600)/MAX(L600-M600,0.000000001),6)</f>
        <v/>
      </c>
      <c r="O600" s="5">
        <f>SUMPRODUCT(('01_Data'!$B600:$AW600&lt;&gt;"")*(1/(1+EXP(-(N600-'03_Lap_b'!$B$20:$AW$20)))))</f>
        <v/>
      </c>
      <c r="P600" s="5">
        <f>SUMPRODUCT(('01_Data'!$B600:$AW600&lt;&gt;"")*(1/(1+EXP(-(N600-'03_Lap_b'!$B$20:$AW$20))))^2)</f>
        <v/>
      </c>
      <c r="Q600" s="5">
        <f>MEDIAN(-6,N600+(C600-O600)/MAX(O600-P600,0.000000001),6)</f>
        <v/>
      </c>
      <c r="R600" s="5">
        <f>SUMPRODUCT(('01_Data'!$B600:$AW600&lt;&gt;"")*(1/(1+EXP(-(Q600-'03_Lap_b'!$B$25:$AW$25)))))</f>
        <v/>
      </c>
      <c r="S600" s="5">
        <f>SUMPRODUCT(('01_Data'!$B600:$AW600&lt;&gt;"")*(1/(1+EXP(-(Q600-'03_Lap_b'!$B$25:$AW$25))))^2)</f>
        <v/>
      </c>
      <c r="T600" s="5">
        <f>MEDIAN(-6,Q600+(C600-R600)/MAX(R600-S600,0.000000001),6)</f>
        <v/>
      </c>
      <c r="U600" s="5">
        <f>SUMPRODUCT(('01_Data'!$B600:$AW600&lt;&gt;"")*(1/(1+EXP(-(T600-'03_Lap_b'!$B$30:$AW$30)))))</f>
        <v/>
      </c>
      <c r="V600" s="5">
        <f>SUMPRODUCT(('01_Data'!$B600:$AW600&lt;&gt;"")*(1/(1+EXP(-(T600-'03_Lap_b'!$B$30:$AW$30))))^2)</f>
        <v/>
      </c>
      <c r="W600" s="5">
        <f>MEDIAN(-6,T600+(C600-U600)/MAX(U600-V600,0.000000001),6)</f>
        <v/>
      </c>
      <c r="X600" s="5">
        <f>SUMPRODUCT(('01_Data'!$B600:$AW600&lt;&gt;"")*(1/(1+EXP(-(W600-'03_Lap_b'!$B$35:$AW$35)))))</f>
        <v/>
      </c>
      <c r="Y600" s="5">
        <f>SUMPRODUCT(('01_Data'!$B600:$AW600&lt;&gt;"")*(1/(1+EXP(-(W600-'03_Lap_b'!$B$35:$AW$35))))^2)</f>
        <v/>
      </c>
      <c r="Z600" s="5">
        <f>MEDIAN(-6,W600+(C600-X600)/MAX(X600-Y600,0.000000001),6)</f>
        <v/>
      </c>
      <c r="AA600" s="5">
        <f>SUMPRODUCT(('01_Data'!$B600:$AW600&lt;&gt;"")*(1/(1+EXP(-(Z600-'03_Lap_b'!$B$40:$AW$40)))))</f>
        <v/>
      </c>
      <c r="AB600" s="5">
        <f>SUMPRODUCT(('01_Data'!$B600:$AW600&lt;&gt;"")*(1/(1+EXP(-(Z600-'03_Lap_b'!$B$40:$AW$40))))^2)</f>
        <v/>
      </c>
      <c r="AC600" s="5">
        <f>MEDIAN(-6,Z600+(C600-AA600)/MAX(AA600-AB600,0.000000001),6)</f>
        <v/>
      </c>
    </row>
    <row r="601">
      <c r="A601" t="n">
        <v>600</v>
      </c>
      <c r="B601">
        <f>'01_Data'!A601</f>
        <v/>
      </c>
      <c r="C601">
        <f>SUM('01_Data'!$B601:$AW601)</f>
        <v/>
      </c>
      <c r="D601">
        <f>COUNT('01_Data'!$B601:$AW601)</f>
        <v/>
      </c>
      <c r="E601" s="5">
        <f>MEDIAN(-6,LN((C601+0.3)/(D601-C601+0.3)),6)</f>
        <v/>
      </c>
      <c r="F601" s="5">
        <f>SUMPRODUCT(('01_Data'!$B601:$AW601&lt;&gt;"")*(1/(1+EXP(-(E601-'03_Lap_b'!$B$5:$AW$5)))))</f>
        <v/>
      </c>
      <c r="G601" s="5">
        <f>SUMPRODUCT(('01_Data'!$B601:$AW601&lt;&gt;"")*(1/(1+EXP(-(E601-'03_Lap_b'!$B$5:$AW$5))))^2)</f>
        <v/>
      </c>
      <c r="H601" s="5">
        <f>MEDIAN(-6,E601+(C601-F601)/MAX(F601-G601,0.000000001),6)</f>
        <v/>
      </c>
      <c r="I601" s="5">
        <f>SUMPRODUCT(('01_Data'!$B601:$AW601&lt;&gt;"")*(1/(1+EXP(-(H601-'03_Lap_b'!$B$10:$AW$10)))))</f>
        <v/>
      </c>
      <c r="J601" s="5">
        <f>SUMPRODUCT(('01_Data'!$B601:$AW601&lt;&gt;"")*(1/(1+EXP(-(H601-'03_Lap_b'!$B$10:$AW$10))))^2)</f>
        <v/>
      </c>
      <c r="K601" s="5">
        <f>MEDIAN(-6,H601+(C601-I601)/MAX(I601-J601,0.000000001),6)</f>
        <v/>
      </c>
      <c r="L601" s="5">
        <f>SUMPRODUCT(('01_Data'!$B601:$AW601&lt;&gt;"")*(1/(1+EXP(-(K601-'03_Lap_b'!$B$15:$AW$15)))))</f>
        <v/>
      </c>
      <c r="M601" s="5">
        <f>SUMPRODUCT(('01_Data'!$B601:$AW601&lt;&gt;"")*(1/(1+EXP(-(K601-'03_Lap_b'!$B$15:$AW$15))))^2)</f>
        <v/>
      </c>
      <c r="N601" s="5">
        <f>MEDIAN(-6,K601+(C601-L601)/MAX(L601-M601,0.000000001),6)</f>
        <v/>
      </c>
      <c r="O601" s="5">
        <f>SUMPRODUCT(('01_Data'!$B601:$AW601&lt;&gt;"")*(1/(1+EXP(-(N601-'03_Lap_b'!$B$20:$AW$20)))))</f>
        <v/>
      </c>
      <c r="P601" s="5">
        <f>SUMPRODUCT(('01_Data'!$B601:$AW601&lt;&gt;"")*(1/(1+EXP(-(N601-'03_Lap_b'!$B$20:$AW$20))))^2)</f>
        <v/>
      </c>
      <c r="Q601" s="5">
        <f>MEDIAN(-6,N601+(C601-O601)/MAX(O601-P601,0.000000001),6)</f>
        <v/>
      </c>
      <c r="R601" s="5">
        <f>SUMPRODUCT(('01_Data'!$B601:$AW601&lt;&gt;"")*(1/(1+EXP(-(Q601-'03_Lap_b'!$B$25:$AW$25)))))</f>
        <v/>
      </c>
      <c r="S601" s="5">
        <f>SUMPRODUCT(('01_Data'!$B601:$AW601&lt;&gt;"")*(1/(1+EXP(-(Q601-'03_Lap_b'!$B$25:$AW$25))))^2)</f>
        <v/>
      </c>
      <c r="T601" s="5">
        <f>MEDIAN(-6,Q601+(C601-R601)/MAX(R601-S601,0.000000001),6)</f>
        <v/>
      </c>
      <c r="U601" s="5">
        <f>SUMPRODUCT(('01_Data'!$B601:$AW601&lt;&gt;"")*(1/(1+EXP(-(T601-'03_Lap_b'!$B$30:$AW$30)))))</f>
        <v/>
      </c>
      <c r="V601" s="5">
        <f>SUMPRODUCT(('01_Data'!$B601:$AW601&lt;&gt;"")*(1/(1+EXP(-(T601-'03_Lap_b'!$B$30:$AW$30))))^2)</f>
        <v/>
      </c>
      <c r="W601" s="5">
        <f>MEDIAN(-6,T601+(C601-U601)/MAX(U601-V601,0.000000001),6)</f>
        <v/>
      </c>
      <c r="X601" s="5">
        <f>SUMPRODUCT(('01_Data'!$B601:$AW601&lt;&gt;"")*(1/(1+EXP(-(W601-'03_Lap_b'!$B$35:$AW$35)))))</f>
        <v/>
      </c>
      <c r="Y601" s="5">
        <f>SUMPRODUCT(('01_Data'!$B601:$AW601&lt;&gt;"")*(1/(1+EXP(-(W601-'03_Lap_b'!$B$35:$AW$35))))^2)</f>
        <v/>
      </c>
      <c r="Z601" s="5">
        <f>MEDIAN(-6,W601+(C601-X601)/MAX(X601-Y601,0.000000001),6)</f>
        <v/>
      </c>
      <c r="AA601" s="5">
        <f>SUMPRODUCT(('01_Data'!$B601:$AW601&lt;&gt;"")*(1/(1+EXP(-(Z601-'03_Lap_b'!$B$40:$AW$40)))))</f>
        <v/>
      </c>
      <c r="AB601" s="5">
        <f>SUMPRODUCT(('01_Data'!$B601:$AW601&lt;&gt;"")*(1/(1+EXP(-(Z601-'03_Lap_b'!$B$40:$AW$40))))^2)</f>
        <v/>
      </c>
      <c r="AC601" s="5">
        <f>MEDIAN(-6,Z601+(C601-AA601)/MAX(AA601-AB601,0.000000001),6)</f>
        <v/>
      </c>
    </row>
    <row r="602">
      <c r="A602" t="n">
        <v>601</v>
      </c>
      <c r="B602">
        <f>'01_Data'!A602</f>
        <v/>
      </c>
      <c r="C602">
        <f>SUM('01_Data'!$B602:$AW602)</f>
        <v/>
      </c>
      <c r="D602">
        <f>COUNT('01_Data'!$B602:$AW602)</f>
        <v/>
      </c>
      <c r="E602" s="5">
        <f>MEDIAN(-6,LN((C602+0.3)/(D602-C602+0.3)),6)</f>
        <v/>
      </c>
      <c r="F602" s="5">
        <f>SUMPRODUCT(('01_Data'!$B602:$AW602&lt;&gt;"")*(1/(1+EXP(-(E602-'03_Lap_b'!$B$5:$AW$5)))))</f>
        <v/>
      </c>
      <c r="G602" s="5">
        <f>SUMPRODUCT(('01_Data'!$B602:$AW602&lt;&gt;"")*(1/(1+EXP(-(E602-'03_Lap_b'!$B$5:$AW$5))))^2)</f>
        <v/>
      </c>
      <c r="H602" s="5">
        <f>MEDIAN(-6,E602+(C602-F602)/MAX(F602-G602,0.000000001),6)</f>
        <v/>
      </c>
      <c r="I602" s="5">
        <f>SUMPRODUCT(('01_Data'!$B602:$AW602&lt;&gt;"")*(1/(1+EXP(-(H602-'03_Lap_b'!$B$10:$AW$10)))))</f>
        <v/>
      </c>
      <c r="J602" s="5">
        <f>SUMPRODUCT(('01_Data'!$B602:$AW602&lt;&gt;"")*(1/(1+EXP(-(H602-'03_Lap_b'!$B$10:$AW$10))))^2)</f>
        <v/>
      </c>
      <c r="K602" s="5">
        <f>MEDIAN(-6,H602+(C602-I602)/MAX(I602-J602,0.000000001),6)</f>
        <v/>
      </c>
      <c r="L602" s="5">
        <f>SUMPRODUCT(('01_Data'!$B602:$AW602&lt;&gt;"")*(1/(1+EXP(-(K602-'03_Lap_b'!$B$15:$AW$15)))))</f>
        <v/>
      </c>
      <c r="M602" s="5">
        <f>SUMPRODUCT(('01_Data'!$B602:$AW602&lt;&gt;"")*(1/(1+EXP(-(K602-'03_Lap_b'!$B$15:$AW$15))))^2)</f>
        <v/>
      </c>
      <c r="N602" s="5">
        <f>MEDIAN(-6,K602+(C602-L602)/MAX(L602-M602,0.000000001),6)</f>
        <v/>
      </c>
      <c r="O602" s="5">
        <f>SUMPRODUCT(('01_Data'!$B602:$AW602&lt;&gt;"")*(1/(1+EXP(-(N602-'03_Lap_b'!$B$20:$AW$20)))))</f>
        <v/>
      </c>
      <c r="P602" s="5">
        <f>SUMPRODUCT(('01_Data'!$B602:$AW602&lt;&gt;"")*(1/(1+EXP(-(N602-'03_Lap_b'!$B$20:$AW$20))))^2)</f>
        <v/>
      </c>
      <c r="Q602" s="5">
        <f>MEDIAN(-6,N602+(C602-O602)/MAX(O602-P602,0.000000001),6)</f>
        <v/>
      </c>
      <c r="R602" s="5">
        <f>SUMPRODUCT(('01_Data'!$B602:$AW602&lt;&gt;"")*(1/(1+EXP(-(Q602-'03_Lap_b'!$B$25:$AW$25)))))</f>
        <v/>
      </c>
      <c r="S602" s="5">
        <f>SUMPRODUCT(('01_Data'!$B602:$AW602&lt;&gt;"")*(1/(1+EXP(-(Q602-'03_Lap_b'!$B$25:$AW$25))))^2)</f>
        <v/>
      </c>
      <c r="T602" s="5">
        <f>MEDIAN(-6,Q602+(C602-R602)/MAX(R602-S602,0.000000001),6)</f>
        <v/>
      </c>
      <c r="U602" s="5">
        <f>SUMPRODUCT(('01_Data'!$B602:$AW602&lt;&gt;"")*(1/(1+EXP(-(T602-'03_Lap_b'!$B$30:$AW$30)))))</f>
        <v/>
      </c>
      <c r="V602" s="5">
        <f>SUMPRODUCT(('01_Data'!$B602:$AW602&lt;&gt;"")*(1/(1+EXP(-(T602-'03_Lap_b'!$B$30:$AW$30))))^2)</f>
        <v/>
      </c>
      <c r="W602" s="5">
        <f>MEDIAN(-6,T602+(C602-U602)/MAX(U602-V602,0.000000001),6)</f>
        <v/>
      </c>
      <c r="X602" s="5">
        <f>SUMPRODUCT(('01_Data'!$B602:$AW602&lt;&gt;"")*(1/(1+EXP(-(W602-'03_Lap_b'!$B$35:$AW$35)))))</f>
        <v/>
      </c>
      <c r="Y602" s="5">
        <f>SUMPRODUCT(('01_Data'!$B602:$AW602&lt;&gt;"")*(1/(1+EXP(-(W602-'03_Lap_b'!$B$35:$AW$35))))^2)</f>
        <v/>
      </c>
      <c r="Z602" s="5">
        <f>MEDIAN(-6,W602+(C602-X602)/MAX(X602-Y602,0.000000001),6)</f>
        <v/>
      </c>
      <c r="AA602" s="5">
        <f>SUMPRODUCT(('01_Data'!$B602:$AW602&lt;&gt;"")*(1/(1+EXP(-(Z602-'03_Lap_b'!$B$40:$AW$40)))))</f>
        <v/>
      </c>
      <c r="AB602" s="5">
        <f>SUMPRODUCT(('01_Data'!$B602:$AW602&lt;&gt;"")*(1/(1+EXP(-(Z602-'03_Lap_b'!$B$40:$AW$40))))^2)</f>
        <v/>
      </c>
      <c r="AC602" s="5">
        <f>MEDIAN(-6,Z602+(C602-AA602)/MAX(AA602-AB602,0.000000001),6)</f>
        <v/>
      </c>
    </row>
    <row r="603">
      <c r="A603" t="n">
        <v>602</v>
      </c>
      <c r="B603">
        <f>'01_Data'!A603</f>
        <v/>
      </c>
      <c r="C603">
        <f>SUM('01_Data'!$B603:$AW603)</f>
        <v/>
      </c>
      <c r="D603">
        <f>COUNT('01_Data'!$B603:$AW603)</f>
        <v/>
      </c>
      <c r="E603" s="5">
        <f>MEDIAN(-6,LN((C603+0.3)/(D603-C603+0.3)),6)</f>
        <v/>
      </c>
      <c r="F603" s="5">
        <f>SUMPRODUCT(('01_Data'!$B603:$AW603&lt;&gt;"")*(1/(1+EXP(-(E603-'03_Lap_b'!$B$5:$AW$5)))))</f>
        <v/>
      </c>
      <c r="G603" s="5">
        <f>SUMPRODUCT(('01_Data'!$B603:$AW603&lt;&gt;"")*(1/(1+EXP(-(E603-'03_Lap_b'!$B$5:$AW$5))))^2)</f>
        <v/>
      </c>
      <c r="H603" s="5">
        <f>MEDIAN(-6,E603+(C603-F603)/MAX(F603-G603,0.000000001),6)</f>
        <v/>
      </c>
      <c r="I603" s="5">
        <f>SUMPRODUCT(('01_Data'!$B603:$AW603&lt;&gt;"")*(1/(1+EXP(-(H603-'03_Lap_b'!$B$10:$AW$10)))))</f>
        <v/>
      </c>
      <c r="J603" s="5">
        <f>SUMPRODUCT(('01_Data'!$B603:$AW603&lt;&gt;"")*(1/(1+EXP(-(H603-'03_Lap_b'!$B$10:$AW$10))))^2)</f>
        <v/>
      </c>
      <c r="K603" s="5">
        <f>MEDIAN(-6,H603+(C603-I603)/MAX(I603-J603,0.000000001),6)</f>
        <v/>
      </c>
      <c r="L603" s="5">
        <f>SUMPRODUCT(('01_Data'!$B603:$AW603&lt;&gt;"")*(1/(1+EXP(-(K603-'03_Lap_b'!$B$15:$AW$15)))))</f>
        <v/>
      </c>
      <c r="M603" s="5">
        <f>SUMPRODUCT(('01_Data'!$B603:$AW603&lt;&gt;"")*(1/(1+EXP(-(K603-'03_Lap_b'!$B$15:$AW$15))))^2)</f>
        <v/>
      </c>
      <c r="N603" s="5">
        <f>MEDIAN(-6,K603+(C603-L603)/MAX(L603-M603,0.000000001),6)</f>
        <v/>
      </c>
      <c r="O603" s="5">
        <f>SUMPRODUCT(('01_Data'!$B603:$AW603&lt;&gt;"")*(1/(1+EXP(-(N603-'03_Lap_b'!$B$20:$AW$20)))))</f>
        <v/>
      </c>
      <c r="P603" s="5">
        <f>SUMPRODUCT(('01_Data'!$B603:$AW603&lt;&gt;"")*(1/(1+EXP(-(N603-'03_Lap_b'!$B$20:$AW$20))))^2)</f>
        <v/>
      </c>
      <c r="Q603" s="5">
        <f>MEDIAN(-6,N603+(C603-O603)/MAX(O603-P603,0.000000001),6)</f>
        <v/>
      </c>
      <c r="R603" s="5">
        <f>SUMPRODUCT(('01_Data'!$B603:$AW603&lt;&gt;"")*(1/(1+EXP(-(Q603-'03_Lap_b'!$B$25:$AW$25)))))</f>
        <v/>
      </c>
      <c r="S603" s="5">
        <f>SUMPRODUCT(('01_Data'!$B603:$AW603&lt;&gt;"")*(1/(1+EXP(-(Q603-'03_Lap_b'!$B$25:$AW$25))))^2)</f>
        <v/>
      </c>
      <c r="T603" s="5">
        <f>MEDIAN(-6,Q603+(C603-R603)/MAX(R603-S603,0.000000001),6)</f>
        <v/>
      </c>
      <c r="U603" s="5">
        <f>SUMPRODUCT(('01_Data'!$B603:$AW603&lt;&gt;"")*(1/(1+EXP(-(T603-'03_Lap_b'!$B$30:$AW$30)))))</f>
        <v/>
      </c>
      <c r="V603" s="5">
        <f>SUMPRODUCT(('01_Data'!$B603:$AW603&lt;&gt;"")*(1/(1+EXP(-(T603-'03_Lap_b'!$B$30:$AW$30))))^2)</f>
        <v/>
      </c>
      <c r="W603" s="5">
        <f>MEDIAN(-6,T603+(C603-U603)/MAX(U603-V603,0.000000001),6)</f>
        <v/>
      </c>
      <c r="X603" s="5">
        <f>SUMPRODUCT(('01_Data'!$B603:$AW603&lt;&gt;"")*(1/(1+EXP(-(W603-'03_Lap_b'!$B$35:$AW$35)))))</f>
        <v/>
      </c>
      <c r="Y603" s="5">
        <f>SUMPRODUCT(('01_Data'!$B603:$AW603&lt;&gt;"")*(1/(1+EXP(-(W603-'03_Lap_b'!$B$35:$AW$35))))^2)</f>
        <v/>
      </c>
      <c r="Z603" s="5">
        <f>MEDIAN(-6,W603+(C603-X603)/MAX(X603-Y603,0.000000001),6)</f>
        <v/>
      </c>
      <c r="AA603" s="5">
        <f>SUMPRODUCT(('01_Data'!$B603:$AW603&lt;&gt;"")*(1/(1+EXP(-(Z603-'03_Lap_b'!$B$40:$AW$40)))))</f>
        <v/>
      </c>
      <c r="AB603" s="5">
        <f>SUMPRODUCT(('01_Data'!$B603:$AW603&lt;&gt;"")*(1/(1+EXP(-(Z603-'03_Lap_b'!$B$40:$AW$40))))^2)</f>
        <v/>
      </c>
      <c r="AC603" s="5">
        <f>MEDIAN(-6,Z603+(C603-AA603)/MAX(AA603-AB603,0.000000001),6)</f>
        <v/>
      </c>
    </row>
    <row r="604">
      <c r="A604" t="n">
        <v>603</v>
      </c>
      <c r="B604">
        <f>'01_Data'!A604</f>
        <v/>
      </c>
      <c r="C604">
        <f>SUM('01_Data'!$B604:$AW604)</f>
        <v/>
      </c>
      <c r="D604">
        <f>COUNT('01_Data'!$B604:$AW604)</f>
        <v/>
      </c>
      <c r="E604" s="5">
        <f>MEDIAN(-6,LN((C604+0.3)/(D604-C604+0.3)),6)</f>
        <v/>
      </c>
      <c r="F604" s="5">
        <f>SUMPRODUCT(('01_Data'!$B604:$AW604&lt;&gt;"")*(1/(1+EXP(-(E604-'03_Lap_b'!$B$5:$AW$5)))))</f>
        <v/>
      </c>
      <c r="G604" s="5">
        <f>SUMPRODUCT(('01_Data'!$B604:$AW604&lt;&gt;"")*(1/(1+EXP(-(E604-'03_Lap_b'!$B$5:$AW$5))))^2)</f>
        <v/>
      </c>
      <c r="H604" s="5">
        <f>MEDIAN(-6,E604+(C604-F604)/MAX(F604-G604,0.000000001),6)</f>
        <v/>
      </c>
      <c r="I604" s="5">
        <f>SUMPRODUCT(('01_Data'!$B604:$AW604&lt;&gt;"")*(1/(1+EXP(-(H604-'03_Lap_b'!$B$10:$AW$10)))))</f>
        <v/>
      </c>
      <c r="J604" s="5">
        <f>SUMPRODUCT(('01_Data'!$B604:$AW604&lt;&gt;"")*(1/(1+EXP(-(H604-'03_Lap_b'!$B$10:$AW$10))))^2)</f>
        <v/>
      </c>
      <c r="K604" s="5">
        <f>MEDIAN(-6,H604+(C604-I604)/MAX(I604-J604,0.000000001),6)</f>
        <v/>
      </c>
      <c r="L604" s="5">
        <f>SUMPRODUCT(('01_Data'!$B604:$AW604&lt;&gt;"")*(1/(1+EXP(-(K604-'03_Lap_b'!$B$15:$AW$15)))))</f>
        <v/>
      </c>
      <c r="M604" s="5">
        <f>SUMPRODUCT(('01_Data'!$B604:$AW604&lt;&gt;"")*(1/(1+EXP(-(K604-'03_Lap_b'!$B$15:$AW$15))))^2)</f>
        <v/>
      </c>
      <c r="N604" s="5">
        <f>MEDIAN(-6,K604+(C604-L604)/MAX(L604-M604,0.000000001),6)</f>
        <v/>
      </c>
      <c r="O604" s="5">
        <f>SUMPRODUCT(('01_Data'!$B604:$AW604&lt;&gt;"")*(1/(1+EXP(-(N604-'03_Lap_b'!$B$20:$AW$20)))))</f>
        <v/>
      </c>
      <c r="P604" s="5">
        <f>SUMPRODUCT(('01_Data'!$B604:$AW604&lt;&gt;"")*(1/(1+EXP(-(N604-'03_Lap_b'!$B$20:$AW$20))))^2)</f>
        <v/>
      </c>
      <c r="Q604" s="5">
        <f>MEDIAN(-6,N604+(C604-O604)/MAX(O604-P604,0.000000001),6)</f>
        <v/>
      </c>
      <c r="R604" s="5">
        <f>SUMPRODUCT(('01_Data'!$B604:$AW604&lt;&gt;"")*(1/(1+EXP(-(Q604-'03_Lap_b'!$B$25:$AW$25)))))</f>
        <v/>
      </c>
      <c r="S604" s="5">
        <f>SUMPRODUCT(('01_Data'!$B604:$AW604&lt;&gt;"")*(1/(1+EXP(-(Q604-'03_Lap_b'!$B$25:$AW$25))))^2)</f>
        <v/>
      </c>
      <c r="T604" s="5">
        <f>MEDIAN(-6,Q604+(C604-R604)/MAX(R604-S604,0.000000001),6)</f>
        <v/>
      </c>
      <c r="U604" s="5">
        <f>SUMPRODUCT(('01_Data'!$B604:$AW604&lt;&gt;"")*(1/(1+EXP(-(T604-'03_Lap_b'!$B$30:$AW$30)))))</f>
        <v/>
      </c>
      <c r="V604" s="5">
        <f>SUMPRODUCT(('01_Data'!$B604:$AW604&lt;&gt;"")*(1/(1+EXP(-(T604-'03_Lap_b'!$B$30:$AW$30))))^2)</f>
        <v/>
      </c>
      <c r="W604" s="5">
        <f>MEDIAN(-6,T604+(C604-U604)/MAX(U604-V604,0.000000001),6)</f>
        <v/>
      </c>
      <c r="X604" s="5">
        <f>SUMPRODUCT(('01_Data'!$B604:$AW604&lt;&gt;"")*(1/(1+EXP(-(W604-'03_Lap_b'!$B$35:$AW$35)))))</f>
        <v/>
      </c>
      <c r="Y604" s="5">
        <f>SUMPRODUCT(('01_Data'!$B604:$AW604&lt;&gt;"")*(1/(1+EXP(-(W604-'03_Lap_b'!$B$35:$AW$35))))^2)</f>
        <v/>
      </c>
      <c r="Z604" s="5">
        <f>MEDIAN(-6,W604+(C604-X604)/MAX(X604-Y604,0.000000001),6)</f>
        <v/>
      </c>
      <c r="AA604" s="5">
        <f>SUMPRODUCT(('01_Data'!$B604:$AW604&lt;&gt;"")*(1/(1+EXP(-(Z604-'03_Lap_b'!$B$40:$AW$40)))))</f>
        <v/>
      </c>
      <c r="AB604" s="5">
        <f>SUMPRODUCT(('01_Data'!$B604:$AW604&lt;&gt;"")*(1/(1+EXP(-(Z604-'03_Lap_b'!$B$40:$AW$40))))^2)</f>
        <v/>
      </c>
      <c r="AC604" s="5">
        <f>MEDIAN(-6,Z604+(C604-AA604)/MAX(AA604-AB604,0.000000001),6)</f>
        <v/>
      </c>
    </row>
    <row r="605">
      <c r="A605" t="n">
        <v>604</v>
      </c>
      <c r="B605">
        <f>'01_Data'!A605</f>
        <v/>
      </c>
      <c r="C605">
        <f>SUM('01_Data'!$B605:$AW605)</f>
        <v/>
      </c>
      <c r="D605">
        <f>COUNT('01_Data'!$B605:$AW605)</f>
        <v/>
      </c>
      <c r="E605" s="5">
        <f>MEDIAN(-6,LN((C605+0.3)/(D605-C605+0.3)),6)</f>
        <v/>
      </c>
      <c r="F605" s="5">
        <f>SUMPRODUCT(('01_Data'!$B605:$AW605&lt;&gt;"")*(1/(1+EXP(-(E605-'03_Lap_b'!$B$5:$AW$5)))))</f>
        <v/>
      </c>
      <c r="G605" s="5">
        <f>SUMPRODUCT(('01_Data'!$B605:$AW605&lt;&gt;"")*(1/(1+EXP(-(E605-'03_Lap_b'!$B$5:$AW$5))))^2)</f>
        <v/>
      </c>
      <c r="H605" s="5">
        <f>MEDIAN(-6,E605+(C605-F605)/MAX(F605-G605,0.000000001),6)</f>
        <v/>
      </c>
      <c r="I605" s="5">
        <f>SUMPRODUCT(('01_Data'!$B605:$AW605&lt;&gt;"")*(1/(1+EXP(-(H605-'03_Lap_b'!$B$10:$AW$10)))))</f>
        <v/>
      </c>
      <c r="J605" s="5">
        <f>SUMPRODUCT(('01_Data'!$B605:$AW605&lt;&gt;"")*(1/(1+EXP(-(H605-'03_Lap_b'!$B$10:$AW$10))))^2)</f>
        <v/>
      </c>
      <c r="K605" s="5">
        <f>MEDIAN(-6,H605+(C605-I605)/MAX(I605-J605,0.000000001),6)</f>
        <v/>
      </c>
      <c r="L605" s="5">
        <f>SUMPRODUCT(('01_Data'!$B605:$AW605&lt;&gt;"")*(1/(1+EXP(-(K605-'03_Lap_b'!$B$15:$AW$15)))))</f>
        <v/>
      </c>
      <c r="M605" s="5">
        <f>SUMPRODUCT(('01_Data'!$B605:$AW605&lt;&gt;"")*(1/(1+EXP(-(K605-'03_Lap_b'!$B$15:$AW$15))))^2)</f>
        <v/>
      </c>
      <c r="N605" s="5">
        <f>MEDIAN(-6,K605+(C605-L605)/MAX(L605-M605,0.000000001),6)</f>
        <v/>
      </c>
      <c r="O605" s="5">
        <f>SUMPRODUCT(('01_Data'!$B605:$AW605&lt;&gt;"")*(1/(1+EXP(-(N605-'03_Lap_b'!$B$20:$AW$20)))))</f>
        <v/>
      </c>
      <c r="P605" s="5">
        <f>SUMPRODUCT(('01_Data'!$B605:$AW605&lt;&gt;"")*(1/(1+EXP(-(N605-'03_Lap_b'!$B$20:$AW$20))))^2)</f>
        <v/>
      </c>
      <c r="Q605" s="5">
        <f>MEDIAN(-6,N605+(C605-O605)/MAX(O605-P605,0.000000001),6)</f>
        <v/>
      </c>
      <c r="R605" s="5">
        <f>SUMPRODUCT(('01_Data'!$B605:$AW605&lt;&gt;"")*(1/(1+EXP(-(Q605-'03_Lap_b'!$B$25:$AW$25)))))</f>
        <v/>
      </c>
      <c r="S605" s="5">
        <f>SUMPRODUCT(('01_Data'!$B605:$AW605&lt;&gt;"")*(1/(1+EXP(-(Q605-'03_Lap_b'!$B$25:$AW$25))))^2)</f>
        <v/>
      </c>
      <c r="T605" s="5">
        <f>MEDIAN(-6,Q605+(C605-R605)/MAX(R605-S605,0.000000001),6)</f>
        <v/>
      </c>
      <c r="U605" s="5">
        <f>SUMPRODUCT(('01_Data'!$B605:$AW605&lt;&gt;"")*(1/(1+EXP(-(T605-'03_Lap_b'!$B$30:$AW$30)))))</f>
        <v/>
      </c>
      <c r="V605" s="5">
        <f>SUMPRODUCT(('01_Data'!$B605:$AW605&lt;&gt;"")*(1/(1+EXP(-(T605-'03_Lap_b'!$B$30:$AW$30))))^2)</f>
        <v/>
      </c>
      <c r="W605" s="5">
        <f>MEDIAN(-6,T605+(C605-U605)/MAX(U605-V605,0.000000001),6)</f>
        <v/>
      </c>
      <c r="X605" s="5">
        <f>SUMPRODUCT(('01_Data'!$B605:$AW605&lt;&gt;"")*(1/(1+EXP(-(W605-'03_Lap_b'!$B$35:$AW$35)))))</f>
        <v/>
      </c>
      <c r="Y605" s="5">
        <f>SUMPRODUCT(('01_Data'!$B605:$AW605&lt;&gt;"")*(1/(1+EXP(-(W605-'03_Lap_b'!$B$35:$AW$35))))^2)</f>
        <v/>
      </c>
      <c r="Z605" s="5">
        <f>MEDIAN(-6,W605+(C605-X605)/MAX(X605-Y605,0.000000001),6)</f>
        <v/>
      </c>
      <c r="AA605" s="5">
        <f>SUMPRODUCT(('01_Data'!$B605:$AW605&lt;&gt;"")*(1/(1+EXP(-(Z605-'03_Lap_b'!$B$40:$AW$40)))))</f>
        <v/>
      </c>
      <c r="AB605" s="5">
        <f>SUMPRODUCT(('01_Data'!$B605:$AW605&lt;&gt;"")*(1/(1+EXP(-(Z605-'03_Lap_b'!$B$40:$AW$40))))^2)</f>
        <v/>
      </c>
      <c r="AC605" s="5">
        <f>MEDIAN(-6,Z605+(C605-AA605)/MAX(AA605-AB605,0.000000001),6)</f>
        <v/>
      </c>
    </row>
    <row r="606">
      <c r="A606" t="n">
        <v>605</v>
      </c>
      <c r="B606">
        <f>'01_Data'!A606</f>
        <v/>
      </c>
      <c r="C606">
        <f>SUM('01_Data'!$B606:$AW606)</f>
        <v/>
      </c>
      <c r="D606">
        <f>COUNT('01_Data'!$B606:$AW606)</f>
        <v/>
      </c>
      <c r="E606" s="5">
        <f>MEDIAN(-6,LN((C606+0.3)/(D606-C606+0.3)),6)</f>
        <v/>
      </c>
      <c r="F606" s="5">
        <f>SUMPRODUCT(('01_Data'!$B606:$AW606&lt;&gt;"")*(1/(1+EXP(-(E606-'03_Lap_b'!$B$5:$AW$5)))))</f>
        <v/>
      </c>
      <c r="G606" s="5">
        <f>SUMPRODUCT(('01_Data'!$B606:$AW606&lt;&gt;"")*(1/(1+EXP(-(E606-'03_Lap_b'!$B$5:$AW$5))))^2)</f>
        <v/>
      </c>
      <c r="H606" s="5">
        <f>MEDIAN(-6,E606+(C606-F606)/MAX(F606-G606,0.000000001),6)</f>
        <v/>
      </c>
      <c r="I606" s="5">
        <f>SUMPRODUCT(('01_Data'!$B606:$AW606&lt;&gt;"")*(1/(1+EXP(-(H606-'03_Lap_b'!$B$10:$AW$10)))))</f>
        <v/>
      </c>
      <c r="J606" s="5">
        <f>SUMPRODUCT(('01_Data'!$B606:$AW606&lt;&gt;"")*(1/(1+EXP(-(H606-'03_Lap_b'!$B$10:$AW$10))))^2)</f>
        <v/>
      </c>
      <c r="K606" s="5">
        <f>MEDIAN(-6,H606+(C606-I606)/MAX(I606-J606,0.000000001),6)</f>
        <v/>
      </c>
      <c r="L606" s="5">
        <f>SUMPRODUCT(('01_Data'!$B606:$AW606&lt;&gt;"")*(1/(1+EXP(-(K606-'03_Lap_b'!$B$15:$AW$15)))))</f>
        <v/>
      </c>
      <c r="M606" s="5">
        <f>SUMPRODUCT(('01_Data'!$B606:$AW606&lt;&gt;"")*(1/(1+EXP(-(K606-'03_Lap_b'!$B$15:$AW$15))))^2)</f>
        <v/>
      </c>
      <c r="N606" s="5">
        <f>MEDIAN(-6,K606+(C606-L606)/MAX(L606-M606,0.000000001),6)</f>
        <v/>
      </c>
      <c r="O606" s="5">
        <f>SUMPRODUCT(('01_Data'!$B606:$AW606&lt;&gt;"")*(1/(1+EXP(-(N606-'03_Lap_b'!$B$20:$AW$20)))))</f>
        <v/>
      </c>
      <c r="P606" s="5">
        <f>SUMPRODUCT(('01_Data'!$B606:$AW606&lt;&gt;"")*(1/(1+EXP(-(N606-'03_Lap_b'!$B$20:$AW$20))))^2)</f>
        <v/>
      </c>
      <c r="Q606" s="5">
        <f>MEDIAN(-6,N606+(C606-O606)/MAX(O606-P606,0.000000001),6)</f>
        <v/>
      </c>
      <c r="R606" s="5">
        <f>SUMPRODUCT(('01_Data'!$B606:$AW606&lt;&gt;"")*(1/(1+EXP(-(Q606-'03_Lap_b'!$B$25:$AW$25)))))</f>
        <v/>
      </c>
      <c r="S606" s="5">
        <f>SUMPRODUCT(('01_Data'!$B606:$AW606&lt;&gt;"")*(1/(1+EXP(-(Q606-'03_Lap_b'!$B$25:$AW$25))))^2)</f>
        <v/>
      </c>
      <c r="T606" s="5">
        <f>MEDIAN(-6,Q606+(C606-R606)/MAX(R606-S606,0.000000001),6)</f>
        <v/>
      </c>
      <c r="U606" s="5">
        <f>SUMPRODUCT(('01_Data'!$B606:$AW606&lt;&gt;"")*(1/(1+EXP(-(T606-'03_Lap_b'!$B$30:$AW$30)))))</f>
        <v/>
      </c>
      <c r="V606" s="5">
        <f>SUMPRODUCT(('01_Data'!$B606:$AW606&lt;&gt;"")*(1/(1+EXP(-(T606-'03_Lap_b'!$B$30:$AW$30))))^2)</f>
        <v/>
      </c>
      <c r="W606" s="5">
        <f>MEDIAN(-6,T606+(C606-U606)/MAX(U606-V606,0.000000001),6)</f>
        <v/>
      </c>
      <c r="X606" s="5">
        <f>SUMPRODUCT(('01_Data'!$B606:$AW606&lt;&gt;"")*(1/(1+EXP(-(W606-'03_Lap_b'!$B$35:$AW$35)))))</f>
        <v/>
      </c>
      <c r="Y606" s="5">
        <f>SUMPRODUCT(('01_Data'!$B606:$AW606&lt;&gt;"")*(1/(1+EXP(-(W606-'03_Lap_b'!$B$35:$AW$35))))^2)</f>
        <v/>
      </c>
      <c r="Z606" s="5">
        <f>MEDIAN(-6,W606+(C606-X606)/MAX(X606-Y606,0.000000001),6)</f>
        <v/>
      </c>
      <c r="AA606" s="5">
        <f>SUMPRODUCT(('01_Data'!$B606:$AW606&lt;&gt;"")*(1/(1+EXP(-(Z606-'03_Lap_b'!$B$40:$AW$40)))))</f>
        <v/>
      </c>
      <c r="AB606" s="5">
        <f>SUMPRODUCT(('01_Data'!$B606:$AW606&lt;&gt;"")*(1/(1+EXP(-(Z606-'03_Lap_b'!$B$40:$AW$40))))^2)</f>
        <v/>
      </c>
      <c r="AC606" s="5">
        <f>MEDIAN(-6,Z606+(C606-AA606)/MAX(AA606-AB606,0.000000001),6)</f>
        <v/>
      </c>
    </row>
    <row r="607">
      <c r="A607" t="n">
        <v>606</v>
      </c>
      <c r="B607">
        <f>'01_Data'!A607</f>
        <v/>
      </c>
      <c r="C607">
        <f>SUM('01_Data'!$B607:$AW607)</f>
        <v/>
      </c>
      <c r="D607">
        <f>COUNT('01_Data'!$B607:$AW607)</f>
        <v/>
      </c>
      <c r="E607" s="5">
        <f>MEDIAN(-6,LN((C607+0.3)/(D607-C607+0.3)),6)</f>
        <v/>
      </c>
      <c r="F607" s="5">
        <f>SUMPRODUCT(('01_Data'!$B607:$AW607&lt;&gt;"")*(1/(1+EXP(-(E607-'03_Lap_b'!$B$5:$AW$5)))))</f>
        <v/>
      </c>
      <c r="G607" s="5">
        <f>SUMPRODUCT(('01_Data'!$B607:$AW607&lt;&gt;"")*(1/(1+EXP(-(E607-'03_Lap_b'!$B$5:$AW$5))))^2)</f>
        <v/>
      </c>
      <c r="H607" s="5">
        <f>MEDIAN(-6,E607+(C607-F607)/MAX(F607-G607,0.000000001),6)</f>
        <v/>
      </c>
      <c r="I607" s="5">
        <f>SUMPRODUCT(('01_Data'!$B607:$AW607&lt;&gt;"")*(1/(1+EXP(-(H607-'03_Lap_b'!$B$10:$AW$10)))))</f>
        <v/>
      </c>
      <c r="J607" s="5">
        <f>SUMPRODUCT(('01_Data'!$B607:$AW607&lt;&gt;"")*(1/(1+EXP(-(H607-'03_Lap_b'!$B$10:$AW$10))))^2)</f>
        <v/>
      </c>
      <c r="K607" s="5">
        <f>MEDIAN(-6,H607+(C607-I607)/MAX(I607-J607,0.000000001),6)</f>
        <v/>
      </c>
      <c r="L607" s="5">
        <f>SUMPRODUCT(('01_Data'!$B607:$AW607&lt;&gt;"")*(1/(1+EXP(-(K607-'03_Lap_b'!$B$15:$AW$15)))))</f>
        <v/>
      </c>
      <c r="M607" s="5">
        <f>SUMPRODUCT(('01_Data'!$B607:$AW607&lt;&gt;"")*(1/(1+EXP(-(K607-'03_Lap_b'!$B$15:$AW$15))))^2)</f>
        <v/>
      </c>
      <c r="N607" s="5">
        <f>MEDIAN(-6,K607+(C607-L607)/MAX(L607-M607,0.000000001),6)</f>
        <v/>
      </c>
      <c r="O607" s="5">
        <f>SUMPRODUCT(('01_Data'!$B607:$AW607&lt;&gt;"")*(1/(1+EXP(-(N607-'03_Lap_b'!$B$20:$AW$20)))))</f>
        <v/>
      </c>
      <c r="P607" s="5">
        <f>SUMPRODUCT(('01_Data'!$B607:$AW607&lt;&gt;"")*(1/(1+EXP(-(N607-'03_Lap_b'!$B$20:$AW$20))))^2)</f>
        <v/>
      </c>
      <c r="Q607" s="5">
        <f>MEDIAN(-6,N607+(C607-O607)/MAX(O607-P607,0.000000001),6)</f>
        <v/>
      </c>
      <c r="R607" s="5">
        <f>SUMPRODUCT(('01_Data'!$B607:$AW607&lt;&gt;"")*(1/(1+EXP(-(Q607-'03_Lap_b'!$B$25:$AW$25)))))</f>
        <v/>
      </c>
      <c r="S607" s="5">
        <f>SUMPRODUCT(('01_Data'!$B607:$AW607&lt;&gt;"")*(1/(1+EXP(-(Q607-'03_Lap_b'!$B$25:$AW$25))))^2)</f>
        <v/>
      </c>
      <c r="T607" s="5">
        <f>MEDIAN(-6,Q607+(C607-R607)/MAX(R607-S607,0.000000001),6)</f>
        <v/>
      </c>
      <c r="U607" s="5">
        <f>SUMPRODUCT(('01_Data'!$B607:$AW607&lt;&gt;"")*(1/(1+EXP(-(T607-'03_Lap_b'!$B$30:$AW$30)))))</f>
        <v/>
      </c>
      <c r="V607" s="5">
        <f>SUMPRODUCT(('01_Data'!$B607:$AW607&lt;&gt;"")*(1/(1+EXP(-(T607-'03_Lap_b'!$B$30:$AW$30))))^2)</f>
        <v/>
      </c>
      <c r="W607" s="5">
        <f>MEDIAN(-6,T607+(C607-U607)/MAX(U607-V607,0.000000001),6)</f>
        <v/>
      </c>
      <c r="X607" s="5">
        <f>SUMPRODUCT(('01_Data'!$B607:$AW607&lt;&gt;"")*(1/(1+EXP(-(W607-'03_Lap_b'!$B$35:$AW$35)))))</f>
        <v/>
      </c>
      <c r="Y607" s="5">
        <f>SUMPRODUCT(('01_Data'!$B607:$AW607&lt;&gt;"")*(1/(1+EXP(-(W607-'03_Lap_b'!$B$35:$AW$35))))^2)</f>
        <v/>
      </c>
      <c r="Z607" s="5">
        <f>MEDIAN(-6,W607+(C607-X607)/MAX(X607-Y607,0.000000001),6)</f>
        <v/>
      </c>
      <c r="AA607" s="5">
        <f>SUMPRODUCT(('01_Data'!$B607:$AW607&lt;&gt;"")*(1/(1+EXP(-(Z607-'03_Lap_b'!$B$40:$AW$40)))))</f>
        <v/>
      </c>
      <c r="AB607" s="5">
        <f>SUMPRODUCT(('01_Data'!$B607:$AW607&lt;&gt;"")*(1/(1+EXP(-(Z607-'03_Lap_b'!$B$40:$AW$40))))^2)</f>
        <v/>
      </c>
      <c r="AC607" s="5">
        <f>MEDIAN(-6,Z607+(C607-AA607)/MAX(AA607-AB607,0.000000001),6)</f>
        <v/>
      </c>
    </row>
    <row r="608">
      <c r="A608" t="n">
        <v>607</v>
      </c>
      <c r="B608">
        <f>'01_Data'!A608</f>
        <v/>
      </c>
      <c r="C608">
        <f>SUM('01_Data'!$B608:$AW608)</f>
        <v/>
      </c>
      <c r="D608">
        <f>COUNT('01_Data'!$B608:$AW608)</f>
        <v/>
      </c>
      <c r="E608" s="5">
        <f>MEDIAN(-6,LN((C608+0.3)/(D608-C608+0.3)),6)</f>
        <v/>
      </c>
      <c r="F608" s="5">
        <f>SUMPRODUCT(('01_Data'!$B608:$AW608&lt;&gt;"")*(1/(1+EXP(-(E608-'03_Lap_b'!$B$5:$AW$5)))))</f>
        <v/>
      </c>
      <c r="G608" s="5">
        <f>SUMPRODUCT(('01_Data'!$B608:$AW608&lt;&gt;"")*(1/(1+EXP(-(E608-'03_Lap_b'!$B$5:$AW$5))))^2)</f>
        <v/>
      </c>
      <c r="H608" s="5">
        <f>MEDIAN(-6,E608+(C608-F608)/MAX(F608-G608,0.000000001),6)</f>
        <v/>
      </c>
      <c r="I608" s="5">
        <f>SUMPRODUCT(('01_Data'!$B608:$AW608&lt;&gt;"")*(1/(1+EXP(-(H608-'03_Lap_b'!$B$10:$AW$10)))))</f>
        <v/>
      </c>
      <c r="J608" s="5">
        <f>SUMPRODUCT(('01_Data'!$B608:$AW608&lt;&gt;"")*(1/(1+EXP(-(H608-'03_Lap_b'!$B$10:$AW$10))))^2)</f>
        <v/>
      </c>
      <c r="K608" s="5">
        <f>MEDIAN(-6,H608+(C608-I608)/MAX(I608-J608,0.000000001),6)</f>
        <v/>
      </c>
      <c r="L608" s="5">
        <f>SUMPRODUCT(('01_Data'!$B608:$AW608&lt;&gt;"")*(1/(1+EXP(-(K608-'03_Lap_b'!$B$15:$AW$15)))))</f>
        <v/>
      </c>
      <c r="M608" s="5">
        <f>SUMPRODUCT(('01_Data'!$B608:$AW608&lt;&gt;"")*(1/(1+EXP(-(K608-'03_Lap_b'!$B$15:$AW$15))))^2)</f>
        <v/>
      </c>
      <c r="N608" s="5">
        <f>MEDIAN(-6,K608+(C608-L608)/MAX(L608-M608,0.000000001),6)</f>
        <v/>
      </c>
      <c r="O608" s="5">
        <f>SUMPRODUCT(('01_Data'!$B608:$AW608&lt;&gt;"")*(1/(1+EXP(-(N608-'03_Lap_b'!$B$20:$AW$20)))))</f>
        <v/>
      </c>
      <c r="P608" s="5">
        <f>SUMPRODUCT(('01_Data'!$B608:$AW608&lt;&gt;"")*(1/(1+EXP(-(N608-'03_Lap_b'!$B$20:$AW$20))))^2)</f>
        <v/>
      </c>
      <c r="Q608" s="5">
        <f>MEDIAN(-6,N608+(C608-O608)/MAX(O608-P608,0.000000001),6)</f>
        <v/>
      </c>
      <c r="R608" s="5">
        <f>SUMPRODUCT(('01_Data'!$B608:$AW608&lt;&gt;"")*(1/(1+EXP(-(Q608-'03_Lap_b'!$B$25:$AW$25)))))</f>
        <v/>
      </c>
      <c r="S608" s="5">
        <f>SUMPRODUCT(('01_Data'!$B608:$AW608&lt;&gt;"")*(1/(1+EXP(-(Q608-'03_Lap_b'!$B$25:$AW$25))))^2)</f>
        <v/>
      </c>
      <c r="T608" s="5">
        <f>MEDIAN(-6,Q608+(C608-R608)/MAX(R608-S608,0.000000001),6)</f>
        <v/>
      </c>
      <c r="U608" s="5">
        <f>SUMPRODUCT(('01_Data'!$B608:$AW608&lt;&gt;"")*(1/(1+EXP(-(T608-'03_Lap_b'!$B$30:$AW$30)))))</f>
        <v/>
      </c>
      <c r="V608" s="5">
        <f>SUMPRODUCT(('01_Data'!$B608:$AW608&lt;&gt;"")*(1/(1+EXP(-(T608-'03_Lap_b'!$B$30:$AW$30))))^2)</f>
        <v/>
      </c>
      <c r="W608" s="5">
        <f>MEDIAN(-6,T608+(C608-U608)/MAX(U608-V608,0.000000001),6)</f>
        <v/>
      </c>
      <c r="X608" s="5">
        <f>SUMPRODUCT(('01_Data'!$B608:$AW608&lt;&gt;"")*(1/(1+EXP(-(W608-'03_Lap_b'!$B$35:$AW$35)))))</f>
        <v/>
      </c>
      <c r="Y608" s="5">
        <f>SUMPRODUCT(('01_Data'!$B608:$AW608&lt;&gt;"")*(1/(1+EXP(-(W608-'03_Lap_b'!$B$35:$AW$35))))^2)</f>
        <v/>
      </c>
      <c r="Z608" s="5">
        <f>MEDIAN(-6,W608+(C608-X608)/MAX(X608-Y608,0.000000001),6)</f>
        <v/>
      </c>
      <c r="AA608" s="5">
        <f>SUMPRODUCT(('01_Data'!$B608:$AW608&lt;&gt;"")*(1/(1+EXP(-(Z608-'03_Lap_b'!$B$40:$AW$40)))))</f>
        <v/>
      </c>
      <c r="AB608" s="5">
        <f>SUMPRODUCT(('01_Data'!$B608:$AW608&lt;&gt;"")*(1/(1+EXP(-(Z608-'03_Lap_b'!$B$40:$AW$40))))^2)</f>
        <v/>
      </c>
      <c r="AC608" s="5">
        <f>MEDIAN(-6,Z608+(C608-AA608)/MAX(AA608-AB608,0.000000001),6)</f>
        <v/>
      </c>
    </row>
    <row r="609">
      <c r="A609" t="n">
        <v>608</v>
      </c>
      <c r="B609">
        <f>'01_Data'!A609</f>
        <v/>
      </c>
      <c r="C609">
        <f>SUM('01_Data'!$B609:$AW609)</f>
        <v/>
      </c>
      <c r="D609">
        <f>COUNT('01_Data'!$B609:$AW609)</f>
        <v/>
      </c>
      <c r="E609" s="5">
        <f>MEDIAN(-6,LN((C609+0.3)/(D609-C609+0.3)),6)</f>
        <v/>
      </c>
      <c r="F609" s="5">
        <f>SUMPRODUCT(('01_Data'!$B609:$AW609&lt;&gt;"")*(1/(1+EXP(-(E609-'03_Lap_b'!$B$5:$AW$5)))))</f>
        <v/>
      </c>
      <c r="G609" s="5">
        <f>SUMPRODUCT(('01_Data'!$B609:$AW609&lt;&gt;"")*(1/(1+EXP(-(E609-'03_Lap_b'!$B$5:$AW$5))))^2)</f>
        <v/>
      </c>
      <c r="H609" s="5">
        <f>MEDIAN(-6,E609+(C609-F609)/MAX(F609-G609,0.000000001),6)</f>
        <v/>
      </c>
      <c r="I609" s="5">
        <f>SUMPRODUCT(('01_Data'!$B609:$AW609&lt;&gt;"")*(1/(1+EXP(-(H609-'03_Lap_b'!$B$10:$AW$10)))))</f>
        <v/>
      </c>
      <c r="J609" s="5">
        <f>SUMPRODUCT(('01_Data'!$B609:$AW609&lt;&gt;"")*(1/(1+EXP(-(H609-'03_Lap_b'!$B$10:$AW$10))))^2)</f>
        <v/>
      </c>
      <c r="K609" s="5">
        <f>MEDIAN(-6,H609+(C609-I609)/MAX(I609-J609,0.000000001),6)</f>
        <v/>
      </c>
      <c r="L609" s="5">
        <f>SUMPRODUCT(('01_Data'!$B609:$AW609&lt;&gt;"")*(1/(1+EXP(-(K609-'03_Lap_b'!$B$15:$AW$15)))))</f>
        <v/>
      </c>
      <c r="M609" s="5">
        <f>SUMPRODUCT(('01_Data'!$B609:$AW609&lt;&gt;"")*(1/(1+EXP(-(K609-'03_Lap_b'!$B$15:$AW$15))))^2)</f>
        <v/>
      </c>
      <c r="N609" s="5">
        <f>MEDIAN(-6,K609+(C609-L609)/MAX(L609-M609,0.000000001),6)</f>
        <v/>
      </c>
      <c r="O609" s="5">
        <f>SUMPRODUCT(('01_Data'!$B609:$AW609&lt;&gt;"")*(1/(1+EXP(-(N609-'03_Lap_b'!$B$20:$AW$20)))))</f>
        <v/>
      </c>
      <c r="P609" s="5">
        <f>SUMPRODUCT(('01_Data'!$B609:$AW609&lt;&gt;"")*(1/(1+EXP(-(N609-'03_Lap_b'!$B$20:$AW$20))))^2)</f>
        <v/>
      </c>
      <c r="Q609" s="5">
        <f>MEDIAN(-6,N609+(C609-O609)/MAX(O609-P609,0.000000001),6)</f>
        <v/>
      </c>
      <c r="R609" s="5">
        <f>SUMPRODUCT(('01_Data'!$B609:$AW609&lt;&gt;"")*(1/(1+EXP(-(Q609-'03_Lap_b'!$B$25:$AW$25)))))</f>
        <v/>
      </c>
      <c r="S609" s="5">
        <f>SUMPRODUCT(('01_Data'!$B609:$AW609&lt;&gt;"")*(1/(1+EXP(-(Q609-'03_Lap_b'!$B$25:$AW$25))))^2)</f>
        <v/>
      </c>
      <c r="T609" s="5">
        <f>MEDIAN(-6,Q609+(C609-R609)/MAX(R609-S609,0.000000001),6)</f>
        <v/>
      </c>
      <c r="U609" s="5">
        <f>SUMPRODUCT(('01_Data'!$B609:$AW609&lt;&gt;"")*(1/(1+EXP(-(T609-'03_Lap_b'!$B$30:$AW$30)))))</f>
        <v/>
      </c>
      <c r="V609" s="5">
        <f>SUMPRODUCT(('01_Data'!$B609:$AW609&lt;&gt;"")*(1/(1+EXP(-(T609-'03_Lap_b'!$B$30:$AW$30))))^2)</f>
        <v/>
      </c>
      <c r="W609" s="5">
        <f>MEDIAN(-6,T609+(C609-U609)/MAX(U609-V609,0.000000001),6)</f>
        <v/>
      </c>
      <c r="X609" s="5">
        <f>SUMPRODUCT(('01_Data'!$B609:$AW609&lt;&gt;"")*(1/(1+EXP(-(W609-'03_Lap_b'!$B$35:$AW$35)))))</f>
        <v/>
      </c>
      <c r="Y609" s="5">
        <f>SUMPRODUCT(('01_Data'!$B609:$AW609&lt;&gt;"")*(1/(1+EXP(-(W609-'03_Lap_b'!$B$35:$AW$35))))^2)</f>
        <v/>
      </c>
      <c r="Z609" s="5">
        <f>MEDIAN(-6,W609+(C609-X609)/MAX(X609-Y609,0.000000001),6)</f>
        <v/>
      </c>
      <c r="AA609" s="5">
        <f>SUMPRODUCT(('01_Data'!$B609:$AW609&lt;&gt;"")*(1/(1+EXP(-(Z609-'03_Lap_b'!$B$40:$AW$40)))))</f>
        <v/>
      </c>
      <c r="AB609" s="5">
        <f>SUMPRODUCT(('01_Data'!$B609:$AW609&lt;&gt;"")*(1/(1+EXP(-(Z609-'03_Lap_b'!$B$40:$AW$40))))^2)</f>
        <v/>
      </c>
      <c r="AC609" s="5">
        <f>MEDIAN(-6,Z609+(C609-AA609)/MAX(AA609-AB609,0.000000001),6)</f>
        <v/>
      </c>
    </row>
    <row r="610">
      <c r="A610" t="n">
        <v>609</v>
      </c>
      <c r="B610">
        <f>'01_Data'!A610</f>
        <v/>
      </c>
      <c r="C610">
        <f>SUM('01_Data'!$B610:$AW610)</f>
        <v/>
      </c>
      <c r="D610">
        <f>COUNT('01_Data'!$B610:$AW610)</f>
        <v/>
      </c>
      <c r="E610" s="5">
        <f>MEDIAN(-6,LN((C610+0.3)/(D610-C610+0.3)),6)</f>
        <v/>
      </c>
      <c r="F610" s="5">
        <f>SUMPRODUCT(('01_Data'!$B610:$AW610&lt;&gt;"")*(1/(1+EXP(-(E610-'03_Lap_b'!$B$5:$AW$5)))))</f>
        <v/>
      </c>
      <c r="G610" s="5">
        <f>SUMPRODUCT(('01_Data'!$B610:$AW610&lt;&gt;"")*(1/(1+EXP(-(E610-'03_Lap_b'!$B$5:$AW$5))))^2)</f>
        <v/>
      </c>
      <c r="H610" s="5">
        <f>MEDIAN(-6,E610+(C610-F610)/MAX(F610-G610,0.000000001),6)</f>
        <v/>
      </c>
      <c r="I610" s="5">
        <f>SUMPRODUCT(('01_Data'!$B610:$AW610&lt;&gt;"")*(1/(1+EXP(-(H610-'03_Lap_b'!$B$10:$AW$10)))))</f>
        <v/>
      </c>
      <c r="J610" s="5">
        <f>SUMPRODUCT(('01_Data'!$B610:$AW610&lt;&gt;"")*(1/(1+EXP(-(H610-'03_Lap_b'!$B$10:$AW$10))))^2)</f>
        <v/>
      </c>
      <c r="K610" s="5">
        <f>MEDIAN(-6,H610+(C610-I610)/MAX(I610-J610,0.000000001),6)</f>
        <v/>
      </c>
      <c r="L610" s="5">
        <f>SUMPRODUCT(('01_Data'!$B610:$AW610&lt;&gt;"")*(1/(1+EXP(-(K610-'03_Lap_b'!$B$15:$AW$15)))))</f>
        <v/>
      </c>
      <c r="M610" s="5">
        <f>SUMPRODUCT(('01_Data'!$B610:$AW610&lt;&gt;"")*(1/(1+EXP(-(K610-'03_Lap_b'!$B$15:$AW$15))))^2)</f>
        <v/>
      </c>
      <c r="N610" s="5">
        <f>MEDIAN(-6,K610+(C610-L610)/MAX(L610-M610,0.000000001),6)</f>
        <v/>
      </c>
      <c r="O610" s="5">
        <f>SUMPRODUCT(('01_Data'!$B610:$AW610&lt;&gt;"")*(1/(1+EXP(-(N610-'03_Lap_b'!$B$20:$AW$20)))))</f>
        <v/>
      </c>
      <c r="P610" s="5">
        <f>SUMPRODUCT(('01_Data'!$B610:$AW610&lt;&gt;"")*(1/(1+EXP(-(N610-'03_Lap_b'!$B$20:$AW$20))))^2)</f>
        <v/>
      </c>
      <c r="Q610" s="5">
        <f>MEDIAN(-6,N610+(C610-O610)/MAX(O610-P610,0.000000001),6)</f>
        <v/>
      </c>
      <c r="R610" s="5">
        <f>SUMPRODUCT(('01_Data'!$B610:$AW610&lt;&gt;"")*(1/(1+EXP(-(Q610-'03_Lap_b'!$B$25:$AW$25)))))</f>
        <v/>
      </c>
      <c r="S610" s="5">
        <f>SUMPRODUCT(('01_Data'!$B610:$AW610&lt;&gt;"")*(1/(1+EXP(-(Q610-'03_Lap_b'!$B$25:$AW$25))))^2)</f>
        <v/>
      </c>
      <c r="T610" s="5">
        <f>MEDIAN(-6,Q610+(C610-R610)/MAX(R610-S610,0.000000001),6)</f>
        <v/>
      </c>
      <c r="U610" s="5">
        <f>SUMPRODUCT(('01_Data'!$B610:$AW610&lt;&gt;"")*(1/(1+EXP(-(T610-'03_Lap_b'!$B$30:$AW$30)))))</f>
        <v/>
      </c>
      <c r="V610" s="5">
        <f>SUMPRODUCT(('01_Data'!$B610:$AW610&lt;&gt;"")*(1/(1+EXP(-(T610-'03_Lap_b'!$B$30:$AW$30))))^2)</f>
        <v/>
      </c>
      <c r="W610" s="5">
        <f>MEDIAN(-6,T610+(C610-U610)/MAX(U610-V610,0.000000001),6)</f>
        <v/>
      </c>
      <c r="X610" s="5">
        <f>SUMPRODUCT(('01_Data'!$B610:$AW610&lt;&gt;"")*(1/(1+EXP(-(W610-'03_Lap_b'!$B$35:$AW$35)))))</f>
        <v/>
      </c>
      <c r="Y610" s="5">
        <f>SUMPRODUCT(('01_Data'!$B610:$AW610&lt;&gt;"")*(1/(1+EXP(-(W610-'03_Lap_b'!$B$35:$AW$35))))^2)</f>
        <v/>
      </c>
      <c r="Z610" s="5">
        <f>MEDIAN(-6,W610+(C610-X610)/MAX(X610-Y610,0.000000001),6)</f>
        <v/>
      </c>
      <c r="AA610" s="5">
        <f>SUMPRODUCT(('01_Data'!$B610:$AW610&lt;&gt;"")*(1/(1+EXP(-(Z610-'03_Lap_b'!$B$40:$AW$40)))))</f>
        <v/>
      </c>
      <c r="AB610" s="5">
        <f>SUMPRODUCT(('01_Data'!$B610:$AW610&lt;&gt;"")*(1/(1+EXP(-(Z610-'03_Lap_b'!$B$40:$AW$40))))^2)</f>
        <v/>
      </c>
      <c r="AC610" s="5">
        <f>MEDIAN(-6,Z610+(C610-AA610)/MAX(AA610-AB610,0.000000001),6)</f>
        <v/>
      </c>
    </row>
    <row r="611">
      <c r="A611" t="n">
        <v>610</v>
      </c>
      <c r="B611">
        <f>'01_Data'!A611</f>
        <v/>
      </c>
      <c r="C611">
        <f>SUM('01_Data'!$B611:$AW611)</f>
        <v/>
      </c>
      <c r="D611">
        <f>COUNT('01_Data'!$B611:$AW611)</f>
        <v/>
      </c>
      <c r="E611" s="5">
        <f>MEDIAN(-6,LN((C611+0.3)/(D611-C611+0.3)),6)</f>
        <v/>
      </c>
      <c r="F611" s="5">
        <f>SUMPRODUCT(('01_Data'!$B611:$AW611&lt;&gt;"")*(1/(1+EXP(-(E611-'03_Lap_b'!$B$5:$AW$5)))))</f>
        <v/>
      </c>
      <c r="G611" s="5">
        <f>SUMPRODUCT(('01_Data'!$B611:$AW611&lt;&gt;"")*(1/(1+EXP(-(E611-'03_Lap_b'!$B$5:$AW$5))))^2)</f>
        <v/>
      </c>
      <c r="H611" s="5">
        <f>MEDIAN(-6,E611+(C611-F611)/MAX(F611-G611,0.000000001),6)</f>
        <v/>
      </c>
      <c r="I611" s="5">
        <f>SUMPRODUCT(('01_Data'!$B611:$AW611&lt;&gt;"")*(1/(1+EXP(-(H611-'03_Lap_b'!$B$10:$AW$10)))))</f>
        <v/>
      </c>
      <c r="J611" s="5">
        <f>SUMPRODUCT(('01_Data'!$B611:$AW611&lt;&gt;"")*(1/(1+EXP(-(H611-'03_Lap_b'!$B$10:$AW$10))))^2)</f>
        <v/>
      </c>
      <c r="K611" s="5">
        <f>MEDIAN(-6,H611+(C611-I611)/MAX(I611-J611,0.000000001),6)</f>
        <v/>
      </c>
      <c r="L611" s="5">
        <f>SUMPRODUCT(('01_Data'!$B611:$AW611&lt;&gt;"")*(1/(1+EXP(-(K611-'03_Lap_b'!$B$15:$AW$15)))))</f>
        <v/>
      </c>
      <c r="M611" s="5">
        <f>SUMPRODUCT(('01_Data'!$B611:$AW611&lt;&gt;"")*(1/(1+EXP(-(K611-'03_Lap_b'!$B$15:$AW$15))))^2)</f>
        <v/>
      </c>
      <c r="N611" s="5">
        <f>MEDIAN(-6,K611+(C611-L611)/MAX(L611-M611,0.000000001),6)</f>
        <v/>
      </c>
      <c r="O611" s="5">
        <f>SUMPRODUCT(('01_Data'!$B611:$AW611&lt;&gt;"")*(1/(1+EXP(-(N611-'03_Lap_b'!$B$20:$AW$20)))))</f>
        <v/>
      </c>
      <c r="P611" s="5">
        <f>SUMPRODUCT(('01_Data'!$B611:$AW611&lt;&gt;"")*(1/(1+EXP(-(N611-'03_Lap_b'!$B$20:$AW$20))))^2)</f>
        <v/>
      </c>
      <c r="Q611" s="5">
        <f>MEDIAN(-6,N611+(C611-O611)/MAX(O611-P611,0.000000001),6)</f>
        <v/>
      </c>
      <c r="R611" s="5">
        <f>SUMPRODUCT(('01_Data'!$B611:$AW611&lt;&gt;"")*(1/(1+EXP(-(Q611-'03_Lap_b'!$B$25:$AW$25)))))</f>
        <v/>
      </c>
      <c r="S611" s="5">
        <f>SUMPRODUCT(('01_Data'!$B611:$AW611&lt;&gt;"")*(1/(1+EXP(-(Q611-'03_Lap_b'!$B$25:$AW$25))))^2)</f>
        <v/>
      </c>
      <c r="T611" s="5">
        <f>MEDIAN(-6,Q611+(C611-R611)/MAX(R611-S611,0.000000001),6)</f>
        <v/>
      </c>
      <c r="U611" s="5">
        <f>SUMPRODUCT(('01_Data'!$B611:$AW611&lt;&gt;"")*(1/(1+EXP(-(T611-'03_Lap_b'!$B$30:$AW$30)))))</f>
        <v/>
      </c>
      <c r="V611" s="5">
        <f>SUMPRODUCT(('01_Data'!$B611:$AW611&lt;&gt;"")*(1/(1+EXP(-(T611-'03_Lap_b'!$B$30:$AW$30))))^2)</f>
        <v/>
      </c>
      <c r="W611" s="5">
        <f>MEDIAN(-6,T611+(C611-U611)/MAX(U611-V611,0.000000001),6)</f>
        <v/>
      </c>
      <c r="X611" s="5">
        <f>SUMPRODUCT(('01_Data'!$B611:$AW611&lt;&gt;"")*(1/(1+EXP(-(W611-'03_Lap_b'!$B$35:$AW$35)))))</f>
        <v/>
      </c>
      <c r="Y611" s="5">
        <f>SUMPRODUCT(('01_Data'!$B611:$AW611&lt;&gt;"")*(1/(1+EXP(-(W611-'03_Lap_b'!$B$35:$AW$35))))^2)</f>
        <v/>
      </c>
      <c r="Z611" s="5">
        <f>MEDIAN(-6,W611+(C611-X611)/MAX(X611-Y611,0.000000001),6)</f>
        <v/>
      </c>
      <c r="AA611" s="5">
        <f>SUMPRODUCT(('01_Data'!$B611:$AW611&lt;&gt;"")*(1/(1+EXP(-(Z611-'03_Lap_b'!$B$40:$AW$40)))))</f>
        <v/>
      </c>
      <c r="AB611" s="5">
        <f>SUMPRODUCT(('01_Data'!$B611:$AW611&lt;&gt;"")*(1/(1+EXP(-(Z611-'03_Lap_b'!$B$40:$AW$40))))^2)</f>
        <v/>
      </c>
      <c r="AC611" s="5">
        <f>MEDIAN(-6,Z611+(C611-AA611)/MAX(AA611-AB611,0.000000001),6)</f>
        <v/>
      </c>
    </row>
    <row r="612">
      <c r="A612" t="n">
        <v>611</v>
      </c>
      <c r="B612">
        <f>'01_Data'!A612</f>
        <v/>
      </c>
      <c r="C612">
        <f>SUM('01_Data'!$B612:$AW612)</f>
        <v/>
      </c>
      <c r="D612">
        <f>COUNT('01_Data'!$B612:$AW612)</f>
        <v/>
      </c>
      <c r="E612" s="5">
        <f>MEDIAN(-6,LN((C612+0.3)/(D612-C612+0.3)),6)</f>
        <v/>
      </c>
      <c r="F612" s="5">
        <f>SUMPRODUCT(('01_Data'!$B612:$AW612&lt;&gt;"")*(1/(1+EXP(-(E612-'03_Lap_b'!$B$5:$AW$5)))))</f>
        <v/>
      </c>
      <c r="G612" s="5">
        <f>SUMPRODUCT(('01_Data'!$B612:$AW612&lt;&gt;"")*(1/(1+EXP(-(E612-'03_Lap_b'!$B$5:$AW$5))))^2)</f>
        <v/>
      </c>
      <c r="H612" s="5">
        <f>MEDIAN(-6,E612+(C612-F612)/MAX(F612-G612,0.000000001),6)</f>
        <v/>
      </c>
      <c r="I612" s="5">
        <f>SUMPRODUCT(('01_Data'!$B612:$AW612&lt;&gt;"")*(1/(1+EXP(-(H612-'03_Lap_b'!$B$10:$AW$10)))))</f>
        <v/>
      </c>
      <c r="J612" s="5">
        <f>SUMPRODUCT(('01_Data'!$B612:$AW612&lt;&gt;"")*(1/(1+EXP(-(H612-'03_Lap_b'!$B$10:$AW$10))))^2)</f>
        <v/>
      </c>
      <c r="K612" s="5">
        <f>MEDIAN(-6,H612+(C612-I612)/MAX(I612-J612,0.000000001),6)</f>
        <v/>
      </c>
      <c r="L612" s="5">
        <f>SUMPRODUCT(('01_Data'!$B612:$AW612&lt;&gt;"")*(1/(1+EXP(-(K612-'03_Lap_b'!$B$15:$AW$15)))))</f>
        <v/>
      </c>
      <c r="M612" s="5">
        <f>SUMPRODUCT(('01_Data'!$B612:$AW612&lt;&gt;"")*(1/(1+EXP(-(K612-'03_Lap_b'!$B$15:$AW$15))))^2)</f>
        <v/>
      </c>
      <c r="N612" s="5">
        <f>MEDIAN(-6,K612+(C612-L612)/MAX(L612-M612,0.000000001),6)</f>
        <v/>
      </c>
      <c r="O612" s="5">
        <f>SUMPRODUCT(('01_Data'!$B612:$AW612&lt;&gt;"")*(1/(1+EXP(-(N612-'03_Lap_b'!$B$20:$AW$20)))))</f>
        <v/>
      </c>
      <c r="P612" s="5">
        <f>SUMPRODUCT(('01_Data'!$B612:$AW612&lt;&gt;"")*(1/(1+EXP(-(N612-'03_Lap_b'!$B$20:$AW$20))))^2)</f>
        <v/>
      </c>
      <c r="Q612" s="5">
        <f>MEDIAN(-6,N612+(C612-O612)/MAX(O612-P612,0.000000001),6)</f>
        <v/>
      </c>
      <c r="R612" s="5">
        <f>SUMPRODUCT(('01_Data'!$B612:$AW612&lt;&gt;"")*(1/(1+EXP(-(Q612-'03_Lap_b'!$B$25:$AW$25)))))</f>
        <v/>
      </c>
      <c r="S612" s="5">
        <f>SUMPRODUCT(('01_Data'!$B612:$AW612&lt;&gt;"")*(1/(1+EXP(-(Q612-'03_Lap_b'!$B$25:$AW$25))))^2)</f>
        <v/>
      </c>
      <c r="T612" s="5">
        <f>MEDIAN(-6,Q612+(C612-R612)/MAX(R612-S612,0.000000001),6)</f>
        <v/>
      </c>
      <c r="U612" s="5">
        <f>SUMPRODUCT(('01_Data'!$B612:$AW612&lt;&gt;"")*(1/(1+EXP(-(T612-'03_Lap_b'!$B$30:$AW$30)))))</f>
        <v/>
      </c>
      <c r="V612" s="5">
        <f>SUMPRODUCT(('01_Data'!$B612:$AW612&lt;&gt;"")*(1/(1+EXP(-(T612-'03_Lap_b'!$B$30:$AW$30))))^2)</f>
        <v/>
      </c>
      <c r="W612" s="5">
        <f>MEDIAN(-6,T612+(C612-U612)/MAX(U612-V612,0.000000001),6)</f>
        <v/>
      </c>
      <c r="X612" s="5">
        <f>SUMPRODUCT(('01_Data'!$B612:$AW612&lt;&gt;"")*(1/(1+EXP(-(W612-'03_Lap_b'!$B$35:$AW$35)))))</f>
        <v/>
      </c>
      <c r="Y612" s="5">
        <f>SUMPRODUCT(('01_Data'!$B612:$AW612&lt;&gt;"")*(1/(1+EXP(-(W612-'03_Lap_b'!$B$35:$AW$35))))^2)</f>
        <v/>
      </c>
      <c r="Z612" s="5">
        <f>MEDIAN(-6,W612+(C612-X612)/MAX(X612-Y612,0.000000001),6)</f>
        <v/>
      </c>
      <c r="AA612" s="5">
        <f>SUMPRODUCT(('01_Data'!$B612:$AW612&lt;&gt;"")*(1/(1+EXP(-(Z612-'03_Lap_b'!$B$40:$AW$40)))))</f>
        <v/>
      </c>
      <c r="AB612" s="5">
        <f>SUMPRODUCT(('01_Data'!$B612:$AW612&lt;&gt;"")*(1/(1+EXP(-(Z612-'03_Lap_b'!$B$40:$AW$40))))^2)</f>
        <v/>
      </c>
      <c r="AC612" s="5">
        <f>MEDIAN(-6,Z612+(C612-AA612)/MAX(AA612-AB612,0.000000001),6)</f>
        <v/>
      </c>
    </row>
    <row r="613">
      <c r="A613" t="n">
        <v>612</v>
      </c>
      <c r="B613">
        <f>'01_Data'!A613</f>
        <v/>
      </c>
      <c r="C613">
        <f>SUM('01_Data'!$B613:$AW613)</f>
        <v/>
      </c>
      <c r="D613">
        <f>COUNT('01_Data'!$B613:$AW613)</f>
        <v/>
      </c>
      <c r="E613" s="5">
        <f>MEDIAN(-6,LN((C613+0.3)/(D613-C613+0.3)),6)</f>
        <v/>
      </c>
      <c r="F613" s="5">
        <f>SUMPRODUCT(('01_Data'!$B613:$AW613&lt;&gt;"")*(1/(1+EXP(-(E613-'03_Lap_b'!$B$5:$AW$5)))))</f>
        <v/>
      </c>
      <c r="G613" s="5">
        <f>SUMPRODUCT(('01_Data'!$B613:$AW613&lt;&gt;"")*(1/(1+EXP(-(E613-'03_Lap_b'!$B$5:$AW$5))))^2)</f>
        <v/>
      </c>
      <c r="H613" s="5">
        <f>MEDIAN(-6,E613+(C613-F613)/MAX(F613-G613,0.000000001),6)</f>
        <v/>
      </c>
      <c r="I613" s="5">
        <f>SUMPRODUCT(('01_Data'!$B613:$AW613&lt;&gt;"")*(1/(1+EXP(-(H613-'03_Lap_b'!$B$10:$AW$10)))))</f>
        <v/>
      </c>
      <c r="J613" s="5">
        <f>SUMPRODUCT(('01_Data'!$B613:$AW613&lt;&gt;"")*(1/(1+EXP(-(H613-'03_Lap_b'!$B$10:$AW$10))))^2)</f>
        <v/>
      </c>
      <c r="K613" s="5">
        <f>MEDIAN(-6,H613+(C613-I613)/MAX(I613-J613,0.000000001),6)</f>
        <v/>
      </c>
      <c r="L613" s="5">
        <f>SUMPRODUCT(('01_Data'!$B613:$AW613&lt;&gt;"")*(1/(1+EXP(-(K613-'03_Lap_b'!$B$15:$AW$15)))))</f>
        <v/>
      </c>
      <c r="M613" s="5">
        <f>SUMPRODUCT(('01_Data'!$B613:$AW613&lt;&gt;"")*(1/(1+EXP(-(K613-'03_Lap_b'!$B$15:$AW$15))))^2)</f>
        <v/>
      </c>
      <c r="N613" s="5">
        <f>MEDIAN(-6,K613+(C613-L613)/MAX(L613-M613,0.000000001),6)</f>
        <v/>
      </c>
      <c r="O613" s="5">
        <f>SUMPRODUCT(('01_Data'!$B613:$AW613&lt;&gt;"")*(1/(1+EXP(-(N613-'03_Lap_b'!$B$20:$AW$20)))))</f>
        <v/>
      </c>
      <c r="P613" s="5">
        <f>SUMPRODUCT(('01_Data'!$B613:$AW613&lt;&gt;"")*(1/(1+EXP(-(N613-'03_Lap_b'!$B$20:$AW$20))))^2)</f>
        <v/>
      </c>
      <c r="Q613" s="5">
        <f>MEDIAN(-6,N613+(C613-O613)/MAX(O613-P613,0.000000001),6)</f>
        <v/>
      </c>
      <c r="R613" s="5">
        <f>SUMPRODUCT(('01_Data'!$B613:$AW613&lt;&gt;"")*(1/(1+EXP(-(Q613-'03_Lap_b'!$B$25:$AW$25)))))</f>
        <v/>
      </c>
      <c r="S613" s="5">
        <f>SUMPRODUCT(('01_Data'!$B613:$AW613&lt;&gt;"")*(1/(1+EXP(-(Q613-'03_Lap_b'!$B$25:$AW$25))))^2)</f>
        <v/>
      </c>
      <c r="T613" s="5">
        <f>MEDIAN(-6,Q613+(C613-R613)/MAX(R613-S613,0.000000001),6)</f>
        <v/>
      </c>
      <c r="U613" s="5">
        <f>SUMPRODUCT(('01_Data'!$B613:$AW613&lt;&gt;"")*(1/(1+EXP(-(T613-'03_Lap_b'!$B$30:$AW$30)))))</f>
        <v/>
      </c>
      <c r="V613" s="5">
        <f>SUMPRODUCT(('01_Data'!$B613:$AW613&lt;&gt;"")*(1/(1+EXP(-(T613-'03_Lap_b'!$B$30:$AW$30))))^2)</f>
        <v/>
      </c>
      <c r="W613" s="5">
        <f>MEDIAN(-6,T613+(C613-U613)/MAX(U613-V613,0.000000001),6)</f>
        <v/>
      </c>
      <c r="X613" s="5">
        <f>SUMPRODUCT(('01_Data'!$B613:$AW613&lt;&gt;"")*(1/(1+EXP(-(W613-'03_Lap_b'!$B$35:$AW$35)))))</f>
        <v/>
      </c>
      <c r="Y613" s="5">
        <f>SUMPRODUCT(('01_Data'!$B613:$AW613&lt;&gt;"")*(1/(1+EXP(-(W613-'03_Lap_b'!$B$35:$AW$35))))^2)</f>
        <v/>
      </c>
      <c r="Z613" s="5">
        <f>MEDIAN(-6,W613+(C613-X613)/MAX(X613-Y613,0.000000001),6)</f>
        <v/>
      </c>
      <c r="AA613" s="5">
        <f>SUMPRODUCT(('01_Data'!$B613:$AW613&lt;&gt;"")*(1/(1+EXP(-(Z613-'03_Lap_b'!$B$40:$AW$40)))))</f>
        <v/>
      </c>
      <c r="AB613" s="5">
        <f>SUMPRODUCT(('01_Data'!$B613:$AW613&lt;&gt;"")*(1/(1+EXP(-(Z613-'03_Lap_b'!$B$40:$AW$40))))^2)</f>
        <v/>
      </c>
      <c r="AC613" s="5">
        <f>MEDIAN(-6,Z613+(C613-AA613)/MAX(AA613-AB613,0.000000001),6)</f>
        <v/>
      </c>
    </row>
    <row r="614">
      <c r="A614" t="n">
        <v>613</v>
      </c>
      <c r="B614">
        <f>'01_Data'!A614</f>
        <v/>
      </c>
      <c r="C614">
        <f>SUM('01_Data'!$B614:$AW614)</f>
        <v/>
      </c>
      <c r="D614">
        <f>COUNT('01_Data'!$B614:$AW614)</f>
        <v/>
      </c>
      <c r="E614" s="5">
        <f>MEDIAN(-6,LN((C614+0.3)/(D614-C614+0.3)),6)</f>
        <v/>
      </c>
      <c r="F614" s="5">
        <f>SUMPRODUCT(('01_Data'!$B614:$AW614&lt;&gt;"")*(1/(1+EXP(-(E614-'03_Lap_b'!$B$5:$AW$5)))))</f>
        <v/>
      </c>
      <c r="G614" s="5">
        <f>SUMPRODUCT(('01_Data'!$B614:$AW614&lt;&gt;"")*(1/(1+EXP(-(E614-'03_Lap_b'!$B$5:$AW$5))))^2)</f>
        <v/>
      </c>
      <c r="H614" s="5">
        <f>MEDIAN(-6,E614+(C614-F614)/MAX(F614-G614,0.000000001),6)</f>
        <v/>
      </c>
      <c r="I614" s="5">
        <f>SUMPRODUCT(('01_Data'!$B614:$AW614&lt;&gt;"")*(1/(1+EXP(-(H614-'03_Lap_b'!$B$10:$AW$10)))))</f>
        <v/>
      </c>
      <c r="J614" s="5">
        <f>SUMPRODUCT(('01_Data'!$B614:$AW614&lt;&gt;"")*(1/(1+EXP(-(H614-'03_Lap_b'!$B$10:$AW$10))))^2)</f>
        <v/>
      </c>
      <c r="K614" s="5">
        <f>MEDIAN(-6,H614+(C614-I614)/MAX(I614-J614,0.000000001),6)</f>
        <v/>
      </c>
      <c r="L614" s="5">
        <f>SUMPRODUCT(('01_Data'!$B614:$AW614&lt;&gt;"")*(1/(1+EXP(-(K614-'03_Lap_b'!$B$15:$AW$15)))))</f>
        <v/>
      </c>
      <c r="M614" s="5">
        <f>SUMPRODUCT(('01_Data'!$B614:$AW614&lt;&gt;"")*(1/(1+EXP(-(K614-'03_Lap_b'!$B$15:$AW$15))))^2)</f>
        <v/>
      </c>
      <c r="N614" s="5">
        <f>MEDIAN(-6,K614+(C614-L614)/MAX(L614-M614,0.000000001),6)</f>
        <v/>
      </c>
      <c r="O614" s="5">
        <f>SUMPRODUCT(('01_Data'!$B614:$AW614&lt;&gt;"")*(1/(1+EXP(-(N614-'03_Lap_b'!$B$20:$AW$20)))))</f>
        <v/>
      </c>
      <c r="P614" s="5">
        <f>SUMPRODUCT(('01_Data'!$B614:$AW614&lt;&gt;"")*(1/(1+EXP(-(N614-'03_Lap_b'!$B$20:$AW$20))))^2)</f>
        <v/>
      </c>
      <c r="Q614" s="5">
        <f>MEDIAN(-6,N614+(C614-O614)/MAX(O614-P614,0.000000001),6)</f>
        <v/>
      </c>
      <c r="R614" s="5">
        <f>SUMPRODUCT(('01_Data'!$B614:$AW614&lt;&gt;"")*(1/(1+EXP(-(Q614-'03_Lap_b'!$B$25:$AW$25)))))</f>
        <v/>
      </c>
      <c r="S614" s="5">
        <f>SUMPRODUCT(('01_Data'!$B614:$AW614&lt;&gt;"")*(1/(1+EXP(-(Q614-'03_Lap_b'!$B$25:$AW$25))))^2)</f>
        <v/>
      </c>
      <c r="T614" s="5">
        <f>MEDIAN(-6,Q614+(C614-R614)/MAX(R614-S614,0.000000001),6)</f>
        <v/>
      </c>
      <c r="U614" s="5">
        <f>SUMPRODUCT(('01_Data'!$B614:$AW614&lt;&gt;"")*(1/(1+EXP(-(T614-'03_Lap_b'!$B$30:$AW$30)))))</f>
        <v/>
      </c>
      <c r="V614" s="5">
        <f>SUMPRODUCT(('01_Data'!$B614:$AW614&lt;&gt;"")*(1/(1+EXP(-(T614-'03_Lap_b'!$B$30:$AW$30))))^2)</f>
        <v/>
      </c>
      <c r="W614" s="5">
        <f>MEDIAN(-6,T614+(C614-U614)/MAX(U614-V614,0.000000001),6)</f>
        <v/>
      </c>
      <c r="X614" s="5">
        <f>SUMPRODUCT(('01_Data'!$B614:$AW614&lt;&gt;"")*(1/(1+EXP(-(W614-'03_Lap_b'!$B$35:$AW$35)))))</f>
        <v/>
      </c>
      <c r="Y614" s="5">
        <f>SUMPRODUCT(('01_Data'!$B614:$AW614&lt;&gt;"")*(1/(1+EXP(-(W614-'03_Lap_b'!$B$35:$AW$35))))^2)</f>
        <v/>
      </c>
      <c r="Z614" s="5">
        <f>MEDIAN(-6,W614+(C614-X614)/MAX(X614-Y614,0.000000001),6)</f>
        <v/>
      </c>
      <c r="AA614" s="5">
        <f>SUMPRODUCT(('01_Data'!$B614:$AW614&lt;&gt;"")*(1/(1+EXP(-(Z614-'03_Lap_b'!$B$40:$AW$40)))))</f>
        <v/>
      </c>
      <c r="AB614" s="5">
        <f>SUMPRODUCT(('01_Data'!$B614:$AW614&lt;&gt;"")*(1/(1+EXP(-(Z614-'03_Lap_b'!$B$40:$AW$40))))^2)</f>
        <v/>
      </c>
      <c r="AC614" s="5">
        <f>MEDIAN(-6,Z614+(C614-AA614)/MAX(AA614-AB614,0.000000001),6)</f>
        <v/>
      </c>
    </row>
    <row r="615">
      <c r="A615" t="n">
        <v>614</v>
      </c>
      <c r="B615">
        <f>'01_Data'!A615</f>
        <v/>
      </c>
      <c r="C615">
        <f>SUM('01_Data'!$B615:$AW615)</f>
        <v/>
      </c>
      <c r="D615">
        <f>COUNT('01_Data'!$B615:$AW615)</f>
        <v/>
      </c>
      <c r="E615" s="5">
        <f>MEDIAN(-6,LN((C615+0.3)/(D615-C615+0.3)),6)</f>
        <v/>
      </c>
      <c r="F615" s="5">
        <f>SUMPRODUCT(('01_Data'!$B615:$AW615&lt;&gt;"")*(1/(1+EXP(-(E615-'03_Lap_b'!$B$5:$AW$5)))))</f>
        <v/>
      </c>
      <c r="G615" s="5">
        <f>SUMPRODUCT(('01_Data'!$B615:$AW615&lt;&gt;"")*(1/(1+EXP(-(E615-'03_Lap_b'!$B$5:$AW$5))))^2)</f>
        <v/>
      </c>
      <c r="H615" s="5">
        <f>MEDIAN(-6,E615+(C615-F615)/MAX(F615-G615,0.000000001),6)</f>
        <v/>
      </c>
      <c r="I615" s="5">
        <f>SUMPRODUCT(('01_Data'!$B615:$AW615&lt;&gt;"")*(1/(1+EXP(-(H615-'03_Lap_b'!$B$10:$AW$10)))))</f>
        <v/>
      </c>
      <c r="J615" s="5">
        <f>SUMPRODUCT(('01_Data'!$B615:$AW615&lt;&gt;"")*(1/(1+EXP(-(H615-'03_Lap_b'!$B$10:$AW$10))))^2)</f>
        <v/>
      </c>
      <c r="K615" s="5">
        <f>MEDIAN(-6,H615+(C615-I615)/MAX(I615-J615,0.000000001),6)</f>
        <v/>
      </c>
      <c r="L615" s="5">
        <f>SUMPRODUCT(('01_Data'!$B615:$AW615&lt;&gt;"")*(1/(1+EXP(-(K615-'03_Lap_b'!$B$15:$AW$15)))))</f>
        <v/>
      </c>
      <c r="M615" s="5">
        <f>SUMPRODUCT(('01_Data'!$B615:$AW615&lt;&gt;"")*(1/(1+EXP(-(K615-'03_Lap_b'!$B$15:$AW$15))))^2)</f>
        <v/>
      </c>
      <c r="N615" s="5">
        <f>MEDIAN(-6,K615+(C615-L615)/MAX(L615-M615,0.000000001),6)</f>
        <v/>
      </c>
      <c r="O615" s="5">
        <f>SUMPRODUCT(('01_Data'!$B615:$AW615&lt;&gt;"")*(1/(1+EXP(-(N615-'03_Lap_b'!$B$20:$AW$20)))))</f>
        <v/>
      </c>
      <c r="P615" s="5">
        <f>SUMPRODUCT(('01_Data'!$B615:$AW615&lt;&gt;"")*(1/(1+EXP(-(N615-'03_Lap_b'!$B$20:$AW$20))))^2)</f>
        <v/>
      </c>
      <c r="Q615" s="5">
        <f>MEDIAN(-6,N615+(C615-O615)/MAX(O615-P615,0.000000001),6)</f>
        <v/>
      </c>
      <c r="R615" s="5">
        <f>SUMPRODUCT(('01_Data'!$B615:$AW615&lt;&gt;"")*(1/(1+EXP(-(Q615-'03_Lap_b'!$B$25:$AW$25)))))</f>
        <v/>
      </c>
      <c r="S615" s="5">
        <f>SUMPRODUCT(('01_Data'!$B615:$AW615&lt;&gt;"")*(1/(1+EXP(-(Q615-'03_Lap_b'!$B$25:$AW$25))))^2)</f>
        <v/>
      </c>
      <c r="T615" s="5">
        <f>MEDIAN(-6,Q615+(C615-R615)/MAX(R615-S615,0.000000001),6)</f>
        <v/>
      </c>
      <c r="U615" s="5">
        <f>SUMPRODUCT(('01_Data'!$B615:$AW615&lt;&gt;"")*(1/(1+EXP(-(T615-'03_Lap_b'!$B$30:$AW$30)))))</f>
        <v/>
      </c>
      <c r="V615" s="5">
        <f>SUMPRODUCT(('01_Data'!$B615:$AW615&lt;&gt;"")*(1/(1+EXP(-(T615-'03_Lap_b'!$B$30:$AW$30))))^2)</f>
        <v/>
      </c>
      <c r="W615" s="5">
        <f>MEDIAN(-6,T615+(C615-U615)/MAX(U615-V615,0.000000001),6)</f>
        <v/>
      </c>
      <c r="X615" s="5">
        <f>SUMPRODUCT(('01_Data'!$B615:$AW615&lt;&gt;"")*(1/(1+EXP(-(W615-'03_Lap_b'!$B$35:$AW$35)))))</f>
        <v/>
      </c>
      <c r="Y615" s="5">
        <f>SUMPRODUCT(('01_Data'!$B615:$AW615&lt;&gt;"")*(1/(1+EXP(-(W615-'03_Lap_b'!$B$35:$AW$35))))^2)</f>
        <v/>
      </c>
      <c r="Z615" s="5">
        <f>MEDIAN(-6,W615+(C615-X615)/MAX(X615-Y615,0.000000001),6)</f>
        <v/>
      </c>
      <c r="AA615" s="5">
        <f>SUMPRODUCT(('01_Data'!$B615:$AW615&lt;&gt;"")*(1/(1+EXP(-(Z615-'03_Lap_b'!$B$40:$AW$40)))))</f>
        <v/>
      </c>
      <c r="AB615" s="5">
        <f>SUMPRODUCT(('01_Data'!$B615:$AW615&lt;&gt;"")*(1/(1+EXP(-(Z615-'03_Lap_b'!$B$40:$AW$40))))^2)</f>
        <v/>
      </c>
      <c r="AC615" s="5">
        <f>MEDIAN(-6,Z615+(C615-AA615)/MAX(AA615-AB615,0.000000001),6)</f>
        <v/>
      </c>
    </row>
    <row r="616">
      <c r="A616" t="n">
        <v>615</v>
      </c>
      <c r="B616">
        <f>'01_Data'!A616</f>
        <v/>
      </c>
      <c r="C616">
        <f>SUM('01_Data'!$B616:$AW616)</f>
        <v/>
      </c>
      <c r="D616">
        <f>COUNT('01_Data'!$B616:$AW616)</f>
        <v/>
      </c>
      <c r="E616" s="5">
        <f>MEDIAN(-6,LN((C616+0.3)/(D616-C616+0.3)),6)</f>
        <v/>
      </c>
      <c r="F616" s="5">
        <f>SUMPRODUCT(('01_Data'!$B616:$AW616&lt;&gt;"")*(1/(1+EXP(-(E616-'03_Lap_b'!$B$5:$AW$5)))))</f>
        <v/>
      </c>
      <c r="G616" s="5">
        <f>SUMPRODUCT(('01_Data'!$B616:$AW616&lt;&gt;"")*(1/(1+EXP(-(E616-'03_Lap_b'!$B$5:$AW$5))))^2)</f>
        <v/>
      </c>
      <c r="H616" s="5">
        <f>MEDIAN(-6,E616+(C616-F616)/MAX(F616-G616,0.000000001),6)</f>
        <v/>
      </c>
      <c r="I616" s="5">
        <f>SUMPRODUCT(('01_Data'!$B616:$AW616&lt;&gt;"")*(1/(1+EXP(-(H616-'03_Lap_b'!$B$10:$AW$10)))))</f>
        <v/>
      </c>
      <c r="J616" s="5">
        <f>SUMPRODUCT(('01_Data'!$B616:$AW616&lt;&gt;"")*(1/(1+EXP(-(H616-'03_Lap_b'!$B$10:$AW$10))))^2)</f>
        <v/>
      </c>
      <c r="K616" s="5">
        <f>MEDIAN(-6,H616+(C616-I616)/MAX(I616-J616,0.000000001),6)</f>
        <v/>
      </c>
      <c r="L616" s="5">
        <f>SUMPRODUCT(('01_Data'!$B616:$AW616&lt;&gt;"")*(1/(1+EXP(-(K616-'03_Lap_b'!$B$15:$AW$15)))))</f>
        <v/>
      </c>
      <c r="M616" s="5">
        <f>SUMPRODUCT(('01_Data'!$B616:$AW616&lt;&gt;"")*(1/(1+EXP(-(K616-'03_Lap_b'!$B$15:$AW$15))))^2)</f>
        <v/>
      </c>
      <c r="N616" s="5">
        <f>MEDIAN(-6,K616+(C616-L616)/MAX(L616-M616,0.000000001),6)</f>
        <v/>
      </c>
      <c r="O616" s="5">
        <f>SUMPRODUCT(('01_Data'!$B616:$AW616&lt;&gt;"")*(1/(1+EXP(-(N616-'03_Lap_b'!$B$20:$AW$20)))))</f>
        <v/>
      </c>
      <c r="P616" s="5">
        <f>SUMPRODUCT(('01_Data'!$B616:$AW616&lt;&gt;"")*(1/(1+EXP(-(N616-'03_Lap_b'!$B$20:$AW$20))))^2)</f>
        <v/>
      </c>
      <c r="Q616" s="5">
        <f>MEDIAN(-6,N616+(C616-O616)/MAX(O616-P616,0.000000001),6)</f>
        <v/>
      </c>
      <c r="R616" s="5">
        <f>SUMPRODUCT(('01_Data'!$B616:$AW616&lt;&gt;"")*(1/(1+EXP(-(Q616-'03_Lap_b'!$B$25:$AW$25)))))</f>
        <v/>
      </c>
      <c r="S616" s="5">
        <f>SUMPRODUCT(('01_Data'!$B616:$AW616&lt;&gt;"")*(1/(1+EXP(-(Q616-'03_Lap_b'!$B$25:$AW$25))))^2)</f>
        <v/>
      </c>
      <c r="T616" s="5">
        <f>MEDIAN(-6,Q616+(C616-R616)/MAX(R616-S616,0.000000001),6)</f>
        <v/>
      </c>
      <c r="U616" s="5">
        <f>SUMPRODUCT(('01_Data'!$B616:$AW616&lt;&gt;"")*(1/(1+EXP(-(T616-'03_Lap_b'!$B$30:$AW$30)))))</f>
        <v/>
      </c>
      <c r="V616" s="5">
        <f>SUMPRODUCT(('01_Data'!$B616:$AW616&lt;&gt;"")*(1/(1+EXP(-(T616-'03_Lap_b'!$B$30:$AW$30))))^2)</f>
        <v/>
      </c>
      <c r="W616" s="5">
        <f>MEDIAN(-6,T616+(C616-U616)/MAX(U616-V616,0.000000001),6)</f>
        <v/>
      </c>
      <c r="X616" s="5">
        <f>SUMPRODUCT(('01_Data'!$B616:$AW616&lt;&gt;"")*(1/(1+EXP(-(W616-'03_Lap_b'!$B$35:$AW$35)))))</f>
        <v/>
      </c>
      <c r="Y616" s="5">
        <f>SUMPRODUCT(('01_Data'!$B616:$AW616&lt;&gt;"")*(1/(1+EXP(-(W616-'03_Lap_b'!$B$35:$AW$35))))^2)</f>
        <v/>
      </c>
      <c r="Z616" s="5">
        <f>MEDIAN(-6,W616+(C616-X616)/MAX(X616-Y616,0.000000001),6)</f>
        <v/>
      </c>
      <c r="AA616" s="5">
        <f>SUMPRODUCT(('01_Data'!$B616:$AW616&lt;&gt;"")*(1/(1+EXP(-(Z616-'03_Lap_b'!$B$40:$AW$40)))))</f>
        <v/>
      </c>
      <c r="AB616" s="5">
        <f>SUMPRODUCT(('01_Data'!$B616:$AW616&lt;&gt;"")*(1/(1+EXP(-(Z616-'03_Lap_b'!$B$40:$AW$40))))^2)</f>
        <v/>
      </c>
      <c r="AC616" s="5">
        <f>MEDIAN(-6,Z616+(C616-AA616)/MAX(AA616-AB616,0.000000001),6)</f>
        <v/>
      </c>
    </row>
    <row r="617">
      <c r="A617" t="n">
        <v>616</v>
      </c>
      <c r="B617">
        <f>'01_Data'!A617</f>
        <v/>
      </c>
      <c r="C617">
        <f>SUM('01_Data'!$B617:$AW617)</f>
        <v/>
      </c>
      <c r="D617">
        <f>COUNT('01_Data'!$B617:$AW617)</f>
        <v/>
      </c>
      <c r="E617" s="5">
        <f>MEDIAN(-6,LN((C617+0.3)/(D617-C617+0.3)),6)</f>
        <v/>
      </c>
      <c r="F617" s="5">
        <f>SUMPRODUCT(('01_Data'!$B617:$AW617&lt;&gt;"")*(1/(1+EXP(-(E617-'03_Lap_b'!$B$5:$AW$5)))))</f>
        <v/>
      </c>
      <c r="G617" s="5">
        <f>SUMPRODUCT(('01_Data'!$B617:$AW617&lt;&gt;"")*(1/(1+EXP(-(E617-'03_Lap_b'!$B$5:$AW$5))))^2)</f>
        <v/>
      </c>
      <c r="H617" s="5">
        <f>MEDIAN(-6,E617+(C617-F617)/MAX(F617-G617,0.000000001),6)</f>
        <v/>
      </c>
      <c r="I617" s="5">
        <f>SUMPRODUCT(('01_Data'!$B617:$AW617&lt;&gt;"")*(1/(1+EXP(-(H617-'03_Lap_b'!$B$10:$AW$10)))))</f>
        <v/>
      </c>
      <c r="J617" s="5">
        <f>SUMPRODUCT(('01_Data'!$B617:$AW617&lt;&gt;"")*(1/(1+EXP(-(H617-'03_Lap_b'!$B$10:$AW$10))))^2)</f>
        <v/>
      </c>
      <c r="K617" s="5">
        <f>MEDIAN(-6,H617+(C617-I617)/MAX(I617-J617,0.000000001),6)</f>
        <v/>
      </c>
      <c r="L617" s="5">
        <f>SUMPRODUCT(('01_Data'!$B617:$AW617&lt;&gt;"")*(1/(1+EXP(-(K617-'03_Lap_b'!$B$15:$AW$15)))))</f>
        <v/>
      </c>
      <c r="M617" s="5">
        <f>SUMPRODUCT(('01_Data'!$B617:$AW617&lt;&gt;"")*(1/(1+EXP(-(K617-'03_Lap_b'!$B$15:$AW$15))))^2)</f>
        <v/>
      </c>
      <c r="N617" s="5">
        <f>MEDIAN(-6,K617+(C617-L617)/MAX(L617-M617,0.000000001),6)</f>
        <v/>
      </c>
      <c r="O617" s="5">
        <f>SUMPRODUCT(('01_Data'!$B617:$AW617&lt;&gt;"")*(1/(1+EXP(-(N617-'03_Lap_b'!$B$20:$AW$20)))))</f>
        <v/>
      </c>
      <c r="P617" s="5">
        <f>SUMPRODUCT(('01_Data'!$B617:$AW617&lt;&gt;"")*(1/(1+EXP(-(N617-'03_Lap_b'!$B$20:$AW$20))))^2)</f>
        <v/>
      </c>
      <c r="Q617" s="5">
        <f>MEDIAN(-6,N617+(C617-O617)/MAX(O617-P617,0.000000001),6)</f>
        <v/>
      </c>
      <c r="R617" s="5">
        <f>SUMPRODUCT(('01_Data'!$B617:$AW617&lt;&gt;"")*(1/(1+EXP(-(Q617-'03_Lap_b'!$B$25:$AW$25)))))</f>
        <v/>
      </c>
      <c r="S617" s="5">
        <f>SUMPRODUCT(('01_Data'!$B617:$AW617&lt;&gt;"")*(1/(1+EXP(-(Q617-'03_Lap_b'!$B$25:$AW$25))))^2)</f>
        <v/>
      </c>
      <c r="T617" s="5">
        <f>MEDIAN(-6,Q617+(C617-R617)/MAX(R617-S617,0.000000001),6)</f>
        <v/>
      </c>
      <c r="U617" s="5">
        <f>SUMPRODUCT(('01_Data'!$B617:$AW617&lt;&gt;"")*(1/(1+EXP(-(T617-'03_Lap_b'!$B$30:$AW$30)))))</f>
        <v/>
      </c>
      <c r="V617" s="5">
        <f>SUMPRODUCT(('01_Data'!$B617:$AW617&lt;&gt;"")*(1/(1+EXP(-(T617-'03_Lap_b'!$B$30:$AW$30))))^2)</f>
        <v/>
      </c>
      <c r="W617" s="5">
        <f>MEDIAN(-6,T617+(C617-U617)/MAX(U617-V617,0.000000001),6)</f>
        <v/>
      </c>
      <c r="X617" s="5">
        <f>SUMPRODUCT(('01_Data'!$B617:$AW617&lt;&gt;"")*(1/(1+EXP(-(W617-'03_Lap_b'!$B$35:$AW$35)))))</f>
        <v/>
      </c>
      <c r="Y617" s="5">
        <f>SUMPRODUCT(('01_Data'!$B617:$AW617&lt;&gt;"")*(1/(1+EXP(-(W617-'03_Lap_b'!$B$35:$AW$35))))^2)</f>
        <v/>
      </c>
      <c r="Z617" s="5">
        <f>MEDIAN(-6,W617+(C617-X617)/MAX(X617-Y617,0.000000001),6)</f>
        <v/>
      </c>
      <c r="AA617" s="5">
        <f>SUMPRODUCT(('01_Data'!$B617:$AW617&lt;&gt;"")*(1/(1+EXP(-(Z617-'03_Lap_b'!$B$40:$AW$40)))))</f>
        <v/>
      </c>
      <c r="AB617" s="5">
        <f>SUMPRODUCT(('01_Data'!$B617:$AW617&lt;&gt;"")*(1/(1+EXP(-(Z617-'03_Lap_b'!$B$40:$AW$40))))^2)</f>
        <v/>
      </c>
      <c r="AC617" s="5">
        <f>MEDIAN(-6,Z617+(C617-AA617)/MAX(AA617-AB617,0.000000001),6)</f>
        <v/>
      </c>
    </row>
    <row r="618">
      <c r="A618" t="n">
        <v>617</v>
      </c>
      <c r="B618">
        <f>'01_Data'!A618</f>
        <v/>
      </c>
      <c r="C618">
        <f>SUM('01_Data'!$B618:$AW618)</f>
        <v/>
      </c>
      <c r="D618">
        <f>COUNT('01_Data'!$B618:$AW618)</f>
        <v/>
      </c>
      <c r="E618" s="5">
        <f>MEDIAN(-6,LN((C618+0.3)/(D618-C618+0.3)),6)</f>
        <v/>
      </c>
      <c r="F618" s="5">
        <f>SUMPRODUCT(('01_Data'!$B618:$AW618&lt;&gt;"")*(1/(1+EXP(-(E618-'03_Lap_b'!$B$5:$AW$5)))))</f>
        <v/>
      </c>
      <c r="G618" s="5">
        <f>SUMPRODUCT(('01_Data'!$B618:$AW618&lt;&gt;"")*(1/(1+EXP(-(E618-'03_Lap_b'!$B$5:$AW$5))))^2)</f>
        <v/>
      </c>
      <c r="H618" s="5">
        <f>MEDIAN(-6,E618+(C618-F618)/MAX(F618-G618,0.000000001),6)</f>
        <v/>
      </c>
      <c r="I618" s="5">
        <f>SUMPRODUCT(('01_Data'!$B618:$AW618&lt;&gt;"")*(1/(1+EXP(-(H618-'03_Lap_b'!$B$10:$AW$10)))))</f>
        <v/>
      </c>
      <c r="J618" s="5">
        <f>SUMPRODUCT(('01_Data'!$B618:$AW618&lt;&gt;"")*(1/(1+EXP(-(H618-'03_Lap_b'!$B$10:$AW$10))))^2)</f>
        <v/>
      </c>
      <c r="K618" s="5">
        <f>MEDIAN(-6,H618+(C618-I618)/MAX(I618-J618,0.000000001),6)</f>
        <v/>
      </c>
      <c r="L618" s="5">
        <f>SUMPRODUCT(('01_Data'!$B618:$AW618&lt;&gt;"")*(1/(1+EXP(-(K618-'03_Lap_b'!$B$15:$AW$15)))))</f>
        <v/>
      </c>
      <c r="M618" s="5">
        <f>SUMPRODUCT(('01_Data'!$B618:$AW618&lt;&gt;"")*(1/(1+EXP(-(K618-'03_Lap_b'!$B$15:$AW$15))))^2)</f>
        <v/>
      </c>
      <c r="N618" s="5">
        <f>MEDIAN(-6,K618+(C618-L618)/MAX(L618-M618,0.000000001),6)</f>
        <v/>
      </c>
      <c r="O618" s="5">
        <f>SUMPRODUCT(('01_Data'!$B618:$AW618&lt;&gt;"")*(1/(1+EXP(-(N618-'03_Lap_b'!$B$20:$AW$20)))))</f>
        <v/>
      </c>
      <c r="P618" s="5">
        <f>SUMPRODUCT(('01_Data'!$B618:$AW618&lt;&gt;"")*(1/(1+EXP(-(N618-'03_Lap_b'!$B$20:$AW$20))))^2)</f>
        <v/>
      </c>
      <c r="Q618" s="5">
        <f>MEDIAN(-6,N618+(C618-O618)/MAX(O618-P618,0.000000001),6)</f>
        <v/>
      </c>
      <c r="R618" s="5">
        <f>SUMPRODUCT(('01_Data'!$B618:$AW618&lt;&gt;"")*(1/(1+EXP(-(Q618-'03_Lap_b'!$B$25:$AW$25)))))</f>
        <v/>
      </c>
      <c r="S618" s="5">
        <f>SUMPRODUCT(('01_Data'!$B618:$AW618&lt;&gt;"")*(1/(1+EXP(-(Q618-'03_Lap_b'!$B$25:$AW$25))))^2)</f>
        <v/>
      </c>
      <c r="T618" s="5">
        <f>MEDIAN(-6,Q618+(C618-R618)/MAX(R618-S618,0.000000001),6)</f>
        <v/>
      </c>
      <c r="U618" s="5">
        <f>SUMPRODUCT(('01_Data'!$B618:$AW618&lt;&gt;"")*(1/(1+EXP(-(T618-'03_Lap_b'!$B$30:$AW$30)))))</f>
        <v/>
      </c>
      <c r="V618" s="5">
        <f>SUMPRODUCT(('01_Data'!$B618:$AW618&lt;&gt;"")*(1/(1+EXP(-(T618-'03_Lap_b'!$B$30:$AW$30))))^2)</f>
        <v/>
      </c>
      <c r="W618" s="5">
        <f>MEDIAN(-6,T618+(C618-U618)/MAX(U618-V618,0.000000001),6)</f>
        <v/>
      </c>
      <c r="X618" s="5">
        <f>SUMPRODUCT(('01_Data'!$B618:$AW618&lt;&gt;"")*(1/(1+EXP(-(W618-'03_Lap_b'!$B$35:$AW$35)))))</f>
        <v/>
      </c>
      <c r="Y618" s="5">
        <f>SUMPRODUCT(('01_Data'!$B618:$AW618&lt;&gt;"")*(1/(1+EXP(-(W618-'03_Lap_b'!$B$35:$AW$35))))^2)</f>
        <v/>
      </c>
      <c r="Z618" s="5">
        <f>MEDIAN(-6,W618+(C618-X618)/MAX(X618-Y618,0.000000001),6)</f>
        <v/>
      </c>
      <c r="AA618" s="5">
        <f>SUMPRODUCT(('01_Data'!$B618:$AW618&lt;&gt;"")*(1/(1+EXP(-(Z618-'03_Lap_b'!$B$40:$AW$40)))))</f>
        <v/>
      </c>
      <c r="AB618" s="5">
        <f>SUMPRODUCT(('01_Data'!$B618:$AW618&lt;&gt;"")*(1/(1+EXP(-(Z618-'03_Lap_b'!$B$40:$AW$40))))^2)</f>
        <v/>
      </c>
      <c r="AC618" s="5">
        <f>MEDIAN(-6,Z618+(C618-AA618)/MAX(AA618-AB618,0.000000001),6)</f>
        <v/>
      </c>
    </row>
    <row r="619">
      <c r="A619" t="n">
        <v>618</v>
      </c>
      <c r="B619">
        <f>'01_Data'!A619</f>
        <v/>
      </c>
      <c r="C619">
        <f>SUM('01_Data'!$B619:$AW619)</f>
        <v/>
      </c>
      <c r="D619">
        <f>COUNT('01_Data'!$B619:$AW619)</f>
        <v/>
      </c>
      <c r="E619" s="5">
        <f>MEDIAN(-6,LN((C619+0.3)/(D619-C619+0.3)),6)</f>
        <v/>
      </c>
      <c r="F619" s="5">
        <f>SUMPRODUCT(('01_Data'!$B619:$AW619&lt;&gt;"")*(1/(1+EXP(-(E619-'03_Lap_b'!$B$5:$AW$5)))))</f>
        <v/>
      </c>
      <c r="G619" s="5">
        <f>SUMPRODUCT(('01_Data'!$B619:$AW619&lt;&gt;"")*(1/(1+EXP(-(E619-'03_Lap_b'!$B$5:$AW$5))))^2)</f>
        <v/>
      </c>
      <c r="H619" s="5">
        <f>MEDIAN(-6,E619+(C619-F619)/MAX(F619-G619,0.000000001),6)</f>
        <v/>
      </c>
      <c r="I619" s="5">
        <f>SUMPRODUCT(('01_Data'!$B619:$AW619&lt;&gt;"")*(1/(1+EXP(-(H619-'03_Lap_b'!$B$10:$AW$10)))))</f>
        <v/>
      </c>
      <c r="J619" s="5">
        <f>SUMPRODUCT(('01_Data'!$B619:$AW619&lt;&gt;"")*(1/(1+EXP(-(H619-'03_Lap_b'!$B$10:$AW$10))))^2)</f>
        <v/>
      </c>
      <c r="K619" s="5">
        <f>MEDIAN(-6,H619+(C619-I619)/MAX(I619-J619,0.000000001),6)</f>
        <v/>
      </c>
      <c r="L619" s="5">
        <f>SUMPRODUCT(('01_Data'!$B619:$AW619&lt;&gt;"")*(1/(1+EXP(-(K619-'03_Lap_b'!$B$15:$AW$15)))))</f>
        <v/>
      </c>
      <c r="M619" s="5">
        <f>SUMPRODUCT(('01_Data'!$B619:$AW619&lt;&gt;"")*(1/(1+EXP(-(K619-'03_Lap_b'!$B$15:$AW$15))))^2)</f>
        <v/>
      </c>
      <c r="N619" s="5">
        <f>MEDIAN(-6,K619+(C619-L619)/MAX(L619-M619,0.000000001),6)</f>
        <v/>
      </c>
      <c r="O619" s="5">
        <f>SUMPRODUCT(('01_Data'!$B619:$AW619&lt;&gt;"")*(1/(1+EXP(-(N619-'03_Lap_b'!$B$20:$AW$20)))))</f>
        <v/>
      </c>
      <c r="P619" s="5">
        <f>SUMPRODUCT(('01_Data'!$B619:$AW619&lt;&gt;"")*(1/(1+EXP(-(N619-'03_Lap_b'!$B$20:$AW$20))))^2)</f>
        <v/>
      </c>
      <c r="Q619" s="5">
        <f>MEDIAN(-6,N619+(C619-O619)/MAX(O619-P619,0.000000001),6)</f>
        <v/>
      </c>
      <c r="R619" s="5">
        <f>SUMPRODUCT(('01_Data'!$B619:$AW619&lt;&gt;"")*(1/(1+EXP(-(Q619-'03_Lap_b'!$B$25:$AW$25)))))</f>
        <v/>
      </c>
      <c r="S619" s="5">
        <f>SUMPRODUCT(('01_Data'!$B619:$AW619&lt;&gt;"")*(1/(1+EXP(-(Q619-'03_Lap_b'!$B$25:$AW$25))))^2)</f>
        <v/>
      </c>
      <c r="T619" s="5">
        <f>MEDIAN(-6,Q619+(C619-R619)/MAX(R619-S619,0.000000001),6)</f>
        <v/>
      </c>
      <c r="U619" s="5">
        <f>SUMPRODUCT(('01_Data'!$B619:$AW619&lt;&gt;"")*(1/(1+EXP(-(T619-'03_Lap_b'!$B$30:$AW$30)))))</f>
        <v/>
      </c>
      <c r="V619" s="5">
        <f>SUMPRODUCT(('01_Data'!$B619:$AW619&lt;&gt;"")*(1/(1+EXP(-(T619-'03_Lap_b'!$B$30:$AW$30))))^2)</f>
        <v/>
      </c>
      <c r="W619" s="5">
        <f>MEDIAN(-6,T619+(C619-U619)/MAX(U619-V619,0.000000001),6)</f>
        <v/>
      </c>
      <c r="X619" s="5">
        <f>SUMPRODUCT(('01_Data'!$B619:$AW619&lt;&gt;"")*(1/(1+EXP(-(W619-'03_Lap_b'!$B$35:$AW$35)))))</f>
        <v/>
      </c>
      <c r="Y619" s="5">
        <f>SUMPRODUCT(('01_Data'!$B619:$AW619&lt;&gt;"")*(1/(1+EXP(-(W619-'03_Lap_b'!$B$35:$AW$35))))^2)</f>
        <v/>
      </c>
      <c r="Z619" s="5">
        <f>MEDIAN(-6,W619+(C619-X619)/MAX(X619-Y619,0.000000001),6)</f>
        <v/>
      </c>
      <c r="AA619" s="5">
        <f>SUMPRODUCT(('01_Data'!$B619:$AW619&lt;&gt;"")*(1/(1+EXP(-(Z619-'03_Lap_b'!$B$40:$AW$40)))))</f>
        <v/>
      </c>
      <c r="AB619" s="5">
        <f>SUMPRODUCT(('01_Data'!$B619:$AW619&lt;&gt;"")*(1/(1+EXP(-(Z619-'03_Lap_b'!$B$40:$AW$40))))^2)</f>
        <v/>
      </c>
      <c r="AC619" s="5">
        <f>MEDIAN(-6,Z619+(C619-AA619)/MAX(AA619-AB619,0.000000001),6)</f>
        <v/>
      </c>
    </row>
    <row r="620">
      <c r="A620" t="n">
        <v>619</v>
      </c>
      <c r="B620">
        <f>'01_Data'!A620</f>
        <v/>
      </c>
      <c r="C620">
        <f>SUM('01_Data'!$B620:$AW620)</f>
        <v/>
      </c>
      <c r="D620">
        <f>COUNT('01_Data'!$B620:$AW620)</f>
        <v/>
      </c>
      <c r="E620" s="5">
        <f>MEDIAN(-6,LN((C620+0.3)/(D620-C620+0.3)),6)</f>
        <v/>
      </c>
      <c r="F620" s="5">
        <f>SUMPRODUCT(('01_Data'!$B620:$AW620&lt;&gt;"")*(1/(1+EXP(-(E620-'03_Lap_b'!$B$5:$AW$5)))))</f>
        <v/>
      </c>
      <c r="G620" s="5">
        <f>SUMPRODUCT(('01_Data'!$B620:$AW620&lt;&gt;"")*(1/(1+EXP(-(E620-'03_Lap_b'!$B$5:$AW$5))))^2)</f>
        <v/>
      </c>
      <c r="H620" s="5">
        <f>MEDIAN(-6,E620+(C620-F620)/MAX(F620-G620,0.000000001),6)</f>
        <v/>
      </c>
      <c r="I620" s="5">
        <f>SUMPRODUCT(('01_Data'!$B620:$AW620&lt;&gt;"")*(1/(1+EXP(-(H620-'03_Lap_b'!$B$10:$AW$10)))))</f>
        <v/>
      </c>
      <c r="J620" s="5">
        <f>SUMPRODUCT(('01_Data'!$B620:$AW620&lt;&gt;"")*(1/(1+EXP(-(H620-'03_Lap_b'!$B$10:$AW$10))))^2)</f>
        <v/>
      </c>
      <c r="K620" s="5">
        <f>MEDIAN(-6,H620+(C620-I620)/MAX(I620-J620,0.000000001),6)</f>
        <v/>
      </c>
      <c r="L620" s="5">
        <f>SUMPRODUCT(('01_Data'!$B620:$AW620&lt;&gt;"")*(1/(1+EXP(-(K620-'03_Lap_b'!$B$15:$AW$15)))))</f>
        <v/>
      </c>
      <c r="M620" s="5">
        <f>SUMPRODUCT(('01_Data'!$B620:$AW620&lt;&gt;"")*(1/(1+EXP(-(K620-'03_Lap_b'!$B$15:$AW$15))))^2)</f>
        <v/>
      </c>
      <c r="N620" s="5">
        <f>MEDIAN(-6,K620+(C620-L620)/MAX(L620-M620,0.000000001),6)</f>
        <v/>
      </c>
      <c r="O620" s="5">
        <f>SUMPRODUCT(('01_Data'!$B620:$AW620&lt;&gt;"")*(1/(1+EXP(-(N620-'03_Lap_b'!$B$20:$AW$20)))))</f>
        <v/>
      </c>
      <c r="P620" s="5">
        <f>SUMPRODUCT(('01_Data'!$B620:$AW620&lt;&gt;"")*(1/(1+EXP(-(N620-'03_Lap_b'!$B$20:$AW$20))))^2)</f>
        <v/>
      </c>
      <c r="Q620" s="5">
        <f>MEDIAN(-6,N620+(C620-O620)/MAX(O620-P620,0.000000001),6)</f>
        <v/>
      </c>
      <c r="R620" s="5">
        <f>SUMPRODUCT(('01_Data'!$B620:$AW620&lt;&gt;"")*(1/(1+EXP(-(Q620-'03_Lap_b'!$B$25:$AW$25)))))</f>
        <v/>
      </c>
      <c r="S620" s="5">
        <f>SUMPRODUCT(('01_Data'!$B620:$AW620&lt;&gt;"")*(1/(1+EXP(-(Q620-'03_Lap_b'!$B$25:$AW$25))))^2)</f>
        <v/>
      </c>
      <c r="T620" s="5">
        <f>MEDIAN(-6,Q620+(C620-R620)/MAX(R620-S620,0.000000001),6)</f>
        <v/>
      </c>
      <c r="U620" s="5">
        <f>SUMPRODUCT(('01_Data'!$B620:$AW620&lt;&gt;"")*(1/(1+EXP(-(T620-'03_Lap_b'!$B$30:$AW$30)))))</f>
        <v/>
      </c>
      <c r="V620" s="5">
        <f>SUMPRODUCT(('01_Data'!$B620:$AW620&lt;&gt;"")*(1/(1+EXP(-(T620-'03_Lap_b'!$B$30:$AW$30))))^2)</f>
        <v/>
      </c>
      <c r="W620" s="5">
        <f>MEDIAN(-6,T620+(C620-U620)/MAX(U620-V620,0.000000001),6)</f>
        <v/>
      </c>
      <c r="X620" s="5">
        <f>SUMPRODUCT(('01_Data'!$B620:$AW620&lt;&gt;"")*(1/(1+EXP(-(W620-'03_Lap_b'!$B$35:$AW$35)))))</f>
        <v/>
      </c>
      <c r="Y620" s="5">
        <f>SUMPRODUCT(('01_Data'!$B620:$AW620&lt;&gt;"")*(1/(1+EXP(-(W620-'03_Lap_b'!$B$35:$AW$35))))^2)</f>
        <v/>
      </c>
      <c r="Z620" s="5">
        <f>MEDIAN(-6,W620+(C620-X620)/MAX(X620-Y620,0.000000001),6)</f>
        <v/>
      </c>
      <c r="AA620" s="5">
        <f>SUMPRODUCT(('01_Data'!$B620:$AW620&lt;&gt;"")*(1/(1+EXP(-(Z620-'03_Lap_b'!$B$40:$AW$40)))))</f>
        <v/>
      </c>
      <c r="AB620" s="5">
        <f>SUMPRODUCT(('01_Data'!$B620:$AW620&lt;&gt;"")*(1/(1+EXP(-(Z620-'03_Lap_b'!$B$40:$AW$40))))^2)</f>
        <v/>
      </c>
      <c r="AC620" s="5">
        <f>MEDIAN(-6,Z620+(C620-AA620)/MAX(AA620-AB620,0.000000001),6)</f>
        <v/>
      </c>
    </row>
    <row r="621">
      <c r="A621" t="n">
        <v>620</v>
      </c>
      <c r="B621">
        <f>'01_Data'!A621</f>
        <v/>
      </c>
      <c r="C621">
        <f>SUM('01_Data'!$B621:$AW621)</f>
        <v/>
      </c>
      <c r="D621">
        <f>COUNT('01_Data'!$B621:$AW621)</f>
        <v/>
      </c>
      <c r="E621" s="5">
        <f>MEDIAN(-6,LN((C621+0.3)/(D621-C621+0.3)),6)</f>
        <v/>
      </c>
      <c r="F621" s="5">
        <f>SUMPRODUCT(('01_Data'!$B621:$AW621&lt;&gt;"")*(1/(1+EXP(-(E621-'03_Lap_b'!$B$5:$AW$5)))))</f>
        <v/>
      </c>
      <c r="G621" s="5">
        <f>SUMPRODUCT(('01_Data'!$B621:$AW621&lt;&gt;"")*(1/(1+EXP(-(E621-'03_Lap_b'!$B$5:$AW$5))))^2)</f>
        <v/>
      </c>
      <c r="H621" s="5">
        <f>MEDIAN(-6,E621+(C621-F621)/MAX(F621-G621,0.000000001),6)</f>
        <v/>
      </c>
      <c r="I621" s="5">
        <f>SUMPRODUCT(('01_Data'!$B621:$AW621&lt;&gt;"")*(1/(1+EXP(-(H621-'03_Lap_b'!$B$10:$AW$10)))))</f>
        <v/>
      </c>
      <c r="J621" s="5">
        <f>SUMPRODUCT(('01_Data'!$B621:$AW621&lt;&gt;"")*(1/(1+EXP(-(H621-'03_Lap_b'!$B$10:$AW$10))))^2)</f>
        <v/>
      </c>
      <c r="K621" s="5">
        <f>MEDIAN(-6,H621+(C621-I621)/MAX(I621-J621,0.000000001),6)</f>
        <v/>
      </c>
      <c r="L621" s="5">
        <f>SUMPRODUCT(('01_Data'!$B621:$AW621&lt;&gt;"")*(1/(1+EXP(-(K621-'03_Lap_b'!$B$15:$AW$15)))))</f>
        <v/>
      </c>
      <c r="M621" s="5">
        <f>SUMPRODUCT(('01_Data'!$B621:$AW621&lt;&gt;"")*(1/(1+EXP(-(K621-'03_Lap_b'!$B$15:$AW$15))))^2)</f>
        <v/>
      </c>
      <c r="N621" s="5">
        <f>MEDIAN(-6,K621+(C621-L621)/MAX(L621-M621,0.000000001),6)</f>
        <v/>
      </c>
      <c r="O621" s="5">
        <f>SUMPRODUCT(('01_Data'!$B621:$AW621&lt;&gt;"")*(1/(1+EXP(-(N621-'03_Lap_b'!$B$20:$AW$20)))))</f>
        <v/>
      </c>
      <c r="P621" s="5">
        <f>SUMPRODUCT(('01_Data'!$B621:$AW621&lt;&gt;"")*(1/(1+EXP(-(N621-'03_Lap_b'!$B$20:$AW$20))))^2)</f>
        <v/>
      </c>
      <c r="Q621" s="5">
        <f>MEDIAN(-6,N621+(C621-O621)/MAX(O621-P621,0.000000001),6)</f>
        <v/>
      </c>
      <c r="R621" s="5">
        <f>SUMPRODUCT(('01_Data'!$B621:$AW621&lt;&gt;"")*(1/(1+EXP(-(Q621-'03_Lap_b'!$B$25:$AW$25)))))</f>
        <v/>
      </c>
      <c r="S621" s="5">
        <f>SUMPRODUCT(('01_Data'!$B621:$AW621&lt;&gt;"")*(1/(1+EXP(-(Q621-'03_Lap_b'!$B$25:$AW$25))))^2)</f>
        <v/>
      </c>
      <c r="T621" s="5">
        <f>MEDIAN(-6,Q621+(C621-R621)/MAX(R621-S621,0.000000001),6)</f>
        <v/>
      </c>
      <c r="U621" s="5">
        <f>SUMPRODUCT(('01_Data'!$B621:$AW621&lt;&gt;"")*(1/(1+EXP(-(T621-'03_Lap_b'!$B$30:$AW$30)))))</f>
        <v/>
      </c>
      <c r="V621" s="5">
        <f>SUMPRODUCT(('01_Data'!$B621:$AW621&lt;&gt;"")*(1/(1+EXP(-(T621-'03_Lap_b'!$B$30:$AW$30))))^2)</f>
        <v/>
      </c>
      <c r="W621" s="5">
        <f>MEDIAN(-6,T621+(C621-U621)/MAX(U621-V621,0.000000001),6)</f>
        <v/>
      </c>
      <c r="X621" s="5">
        <f>SUMPRODUCT(('01_Data'!$B621:$AW621&lt;&gt;"")*(1/(1+EXP(-(W621-'03_Lap_b'!$B$35:$AW$35)))))</f>
        <v/>
      </c>
      <c r="Y621" s="5">
        <f>SUMPRODUCT(('01_Data'!$B621:$AW621&lt;&gt;"")*(1/(1+EXP(-(W621-'03_Lap_b'!$B$35:$AW$35))))^2)</f>
        <v/>
      </c>
      <c r="Z621" s="5">
        <f>MEDIAN(-6,W621+(C621-X621)/MAX(X621-Y621,0.000000001),6)</f>
        <v/>
      </c>
      <c r="AA621" s="5">
        <f>SUMPRODUCT(('01_Data'!$B621:$AW621&lt;&gt;"")*(1/(1+EXP(-(Z621-'03_Lap_b'!$B$40:$AW$40)))))</f>
        <v/>
      </c>
      <c r="AB621" s="5">
        <f>SUMPRODUCT(('01_Data'!$B621:$AW621&lt;&gt;"")*(1/(1+EXP(-(Z621-'03_Lap_b'!$B$40:$AW$40))))^2)</f>
        <v/>
      </c>
      <c r="AC621" s="5">
        <f>MEDIAN(-6,Z621+(C621-AA621)/MAX(AA621-AB621,0.000000001),6)</f>
        <v/>
      </c>
    </row>
    <row r="622">
      <c r="A622" t="n">
        <v>621</v>
      </c>
      <c r="B622">
        <f>'01_Data'!A622</f>
        <v/>
      </c>
      <c r="C622">
        <f>SUM('01_Data'!$B622:$AW622)</f>
        <v/>
      </c>
      <c r="D622">
        <f>COUNT('01_Data'!$B622:$AW622)</f>
        <v/>
      </c>
      <c r="E622" s="5">
        <f>MEDIAN(-6,LN((C622+0.3)/(D622-C622+0.3)),6)</f>
        <v/>
      </c>
      <c r="F622" s="5">
        <f>SUMPRODUCT(('01_Data'!$B622:$AW622&lt;&gt;"")*(1/(1+EXP(-(E622-'03_Lap_b'!$B$5:$AW$5)))))</f>
        <v/>
      </c>
      <c r="G622" s="5">
        <f>SUMPRODUCT(('01_Data'!$B622:$AW622&lt;&gt;"")*(1/(1+EXP(-(E622-'03_Lap_b'!$B$5:$AW$5))))^2)</f>
        <v/>
      </c>
      <c r="H622" s="5">
        <f>MEDIAN(-6,E622+(C622-F622)/MAX(F622-G622,0.000000001),6)</f>
        <v/>
      </c>
      <c r="I622" s="5">
        <f>SUMPRODUCT(('01_Data'!$B622:$AW622&lt;&gt;"")*(1/(1+EXP(-(H622-'03_Lap_b'!$B$10:$AW$10)))))</f>
        <v/>
      </c>
      <c r="J622" s="5">
        <f>SUMPRODUCT(('01_Data'!$B622:$AW622&lt;&gt;"")*(1/(1+EXP(-(H622-'03_Lap_b'!$B$10:$AW$10))))^2)</f>
        <v/>
      </c>
      <c r="K622" s="5">
        <f>MEDIAN(-6,H622+(C622-I622)/MAX(I622-J622,0.000000001),6)</f>
        <v/>
      </c>
      <c r="L622" s="5">
        <f>SUMPRODUCT(('01_Data'!$B622:$AW622&lt;&gt;"")*(1/(1+EXP(-(K622-'03_Lap_b'!$B$15:$AW$15)))))</f>
        <v/>
      </c>
      <c r="M622" s="5">
        <f>SUMPRODUCT(('01_Data'!$B622:$AW622&lt;&gt;"")*(1/(1+EXP(-(K622-'03_Lap_b'!$B$15:$AW$15))))^2)</f>
        <v/>
      </c>
      <c r="N622" s="5">
        <f>MEDIAN(-6,K622+(C622-L622)/MAX(L622-M622,0.000000001),6)</f>
        <v/>
      </c>
      <c r="O622" s="5">
        <f>SUMPRODUCT(('01_Data'!$B622:$AW622&lt;&gt;"")*(1/(1+EXP(-(N622-'03_Lap_b'!$B$20:$AW$20)))))</f>
        <v/>
      </c>
      <c r="P622" s="5">
        <f>SUMPRODUCT(('01_Data'!$B622:$AW622&lt;&gt;"")*(1/(1+EXP(-(N622-'03_Lap_b'!$B$20:$AW$20))))^2)</f>
        <v/>
      </c>
      <c r="Q622" s="5">
        <f>MEDIAN(-6,N622+(C622-O622)/MAX(O622-P622,0.000000001),6)</f>
        <v/>
      </c>
      <c r="R622" s="5">
        <f>SUMPRODUCT(('01_Data'!$B622:$AW622&lt;&gt;"")*(1/(1+EXP(-(Q622-'03_Lap_b'!$B$25:$AW$25)))))</f>
        <v/>
      </c>
      <c r="S622" s="5">
        <f>SUMPRODUCT(('01_Data'!$B622:$AW622&lt;&gt;"")*(1/(1+EXP(-(Q622-'03_Lap_b'!$B$25:$AW$25))))^2)</f>
        <v/>
      </c>
      <c r="T622" s="5">
        <f>MEDIAN(-6,Q622+(C622-R622)/MAX(R622-S622,0.000000001),6)</f>
        <v/>
      </c>
      <c r="U622" s="5">
        <f>SUMPRODUCT(('01_Data'!$B622:$AW622&lt;&gt;"")*(1/(1+EXP(-(T622-'03_Lap_b'!$B$30:$AW$30)))))</f>
        <v/>
      </c>
      <c r="V622" s="5">
        <f>SUMPRODUCT(('01_Data'!$B622:$AW622&lt;&gt;"")*(1/(1+EXP(-(T622-'03_Lap_b'!$B$30:$AW$30))))^2)</f>
        <v/>
      </c>
      <c r="W622" s="5">
        <f>MEDIAN(-6,T622+(C622-U622)/MAX(U622-V622,0.000000001),6)</f>
        <v/>
      </c>
      <c r="X622" s="5">
        <f>SUMPRODUCT(('01_Data'!$B622:$AW622&lt;&gt;"")*(1/(1+EXP(-(W622-'03_Lap_b'!$B$35:$AW$35)))))</f>
        <v/>
      </c>
      <c r="Y622" s="5">
        <f>SUMPRODUCT(('01_Data'!$B622:$AW622&lt;&gt;"")*(1/(1+EXP(-(W622-'03_Lap_b'!$B$35:$AW$35))))^2)</f>
        <v/>
      </c>
      <c r="Z622" s="5">
        <f>MEDIAN(-6,W622+(C622-X622)/MAX(X622-Y622,0.000000001),6)</f>
        <v/>
      </c>
      <c r="AA622" s="5">
        <f>SUMPRODUCT(('01_Data'!$B622:$AW622&lt;&gt;"")*(1/(1+EXP(-(Z622-'03_Lap_b'!$B$40:$AW$40)))))</f>
        <v/>
      </c>
      <c r="AB622" s="5">
        <f>SUMPRODUCT(('01_Data'!$B622:$AW622&lt;&gt;"")*(1/(1+EXP(-(Z622-'03_Lap_b'!$B$40:$AW$40))))^2)</f>
        <v/>
      </c>
      <c r="AC622" s="5">
        <f>MEDIAN(-6,Z622+(C622-AA622)/MAX(AA622-AB622,0.000000001),6)</f>
        <v/>
      </c>
    </row>
    <row r="623">
      <c r="A623" t="n">
        <v>622</v>
      </c>
      <c r="B623">
        <f>'01_Data'!A623</f>
        <v/>
      </c>
      <c r="C623">
        <f>SUM('01_Data'!$B623:$AW623)</f>
        <v/>
      </c>
      <c r="D623">
        <f>COUNT('01_Data'!$B623:$AW623)</f>
        <v/>
      </c>
      <c r="E623" s="5">
        <f>MEDIAN(-6,LN((C623+0.3)/(D623-C623+0.3)),6)</f>
        <v/>
      </c>
      <c r="F623" s="5">
        <f>SUMPRODUCT(('01_Data'!$B623:$AW623&lt;&gt;"")*(1/(1+EXP(-(E623-'03_Lap_b'!$B$5:$AW$5)))))</f>
        <v/>
      </c>
      <c r="G623" s="5">
        <f>SUMPRODUCT(('01_Data'!$B623:$AW623&lt;&gt;"")*(1/(1+EXP(-(E623-'03_Lap_b'!$B$5:$AW$5))))^2)</f>
        <v/>
      </c>
      <c r="H623" s="5">
        <f>MEDIAN(-6,E623+(C623-F623)/MAX(F623-G623,0.000000001),6)</f>
        <v/>
      </c>
      <c r="I623" s="5">
        <f>SUMPRODUCT(('01_Data'!$B623:$AW623&lt;&gt;"")*(1/(1+EXP(-(H623-'03_Lap_b'!$B$10:$AW$10)))))</f>
        <v/>
      </c>
      <c r="J623" s="5">
        <f>SUMPRODUCT(('01_Data'!$B623:$AW623&lt;&gt;"")*(1/(1+EXP(-(H623-'03_Lap_b'!$B$10:$AW$10))))^2)</f>
        <v/>
      </c>
      <c r="K623" s="5">
        <f>MEDIAN(-6,H623+(C623-I623)/MAX(I623-J623,0.000000001),6)</f>
        <v/>
      </c>
      <c r="L623" s="5">
        <f>SUMPRODUCT(('01_Data'!$B623:$AW623&lt;&gt;"")*(1/(1+EXP(-(K623-'03_Lap_b'!$B$15:$AW$15)))))</f>
        <v/>
      </c>
      <c r="M623" s="5">
        <f>SUMPRODUCT(('01_Data'!$B623:$AW623&lt;&gt;"")*(1/(1+EXP(-(K623-'03_Lap_b'!$B$15:$AW$15))))^2)</f>
        <v/>
      </c>
      <c r="N623" s="5">
        <f>MEDIAN(-6,K623+(C623-L623)/MAX(L623-M623,0.000000001),6)</f>
        <v/>
      </c>
      <c r="O623" s="5">
        <f>SUMPRODUCT(('01_Data'!$B623:$AW623&lt;&gt;"")*(1/(1+EXP(-(N623-'03_Lap_b'!$B$20:$AW$20)))))</f>
        <v/>
      </c>
      <c r="P623" s="5">
        <f>SUMPRODUCT(('01_Data'!$B623:$AW623&lt;&gt;"")*(1/(1+EXP(-(N623-'03_Lap_b'!$B$20:$AW$20))))^2)</f>
        <v/>
      </c>
      <c r="Q623" s="5">
        <f>MEDIAN(-6,N623+(C623-O623)/MAX(O623-P623,0.000000001),6)</f>
        <v/>
      </c>
      <c r="R623" s="5">
        <f>SUMPRODUCT(('01_Data'!$B623:$AW623&lt;&gt;"")*(1/(1+EXP(-(Q623-'03_Lap_b'!$B$25:$AW$25)))))</f>
        <v/>
      </c>
      <c r="S623" s="5">
        <f>SUMPRODUCT(('01_Data'!$B623:$AW623&lt;&gt;"")*(1/(1+EXP(-(Q623-'03_Lap_b'!$B$25:$AW$25))))^2)</f>
        <v/>
      </c>
      <c r="T623" s="5">
        <f>MEDIAN(-6,Q623+(C623-R623)/MAX(R623-S623,0.000000001),6)</f>
        <v/>
      </c>
      <c r="U623" s="5">
        <f>SUMPRODUCT(('01_Data'!$B623:$AW623&lt;&gt;"")*(1/(1+EXP(-(T623-'03_Lap_b'!$B$30:$AW$30)))))</f>
        <v/>
      </c>
      <c r="V623" s="5">
        <f>SUMPRODUCT(('01_Data'!$B623:$AW623&lt;&gt;"")*(1/(1+EXP(-(T623-'03_Lap_b'!$B$30:$AW$30))))^2)</f>
        <v/>
      </c>
      <c r="W623" s="5">
        <f>MEDIAN(-6,T623+(C623-U623)/MAX(U623-V623,0.000000001),6)</f>
        <v/>
      </c>
      <c r="X623" s="5">
        <f>SUMPRODUCT(('01_Data'!$B623:$AW623&lt;&gt;"")*(1/(1+EXP(-(W623-'03_Lap_b'!$B$35:$AW$35)))))</f>
        <v/>
      </c>
      <c r="Y623" s="5">
        <f>SUMPRODUCT(('01_Data'!$B623:$AW623&lt;&gt;"")*(1/(1+EXP(-(W623-'03_Lap_b'!$B$35:$AW$35))))^2)</f>
        <v/>
      </c>
      <c r="Z623" s="5">
        <f>MEDIAN(-6,W623+(C623-X623)/MAX(X623-Y623,0.000000001),6)</f>
        <v/>
      </c>
      <c r="AA623" s="5">
        <f>SUMPRODUCT(('01_Data'!$B623:$AW623&lt;&gt;"")*(1/(1+EXP(-(Z623-'03_Lap_b'!$B$40:$AW$40)))))</f>
        <v/>
      </c>
      <c r="AB623" s="5">
        <f>SUMPRODUCT(('01_Data'!$B623:$AW623&lt;&gt;"")*(1/(1+EXP(-(Z623-'03_Lap_b'!$B$40:$AW$40))))^2)</f>
        <v/>
      </c>
      <c r="AC623" s="5">
        <f>MEDIAN(-6,Z623+(C623-AA623)/MAX(AA623-AB623,0.000000001),6)</f>
        <v/>
      </c>
    </row>
    <row r="624">
      <c r="A624" t="n">
        <v>623</v>
      </c>
      <c r="B624">
        <f>'01_Data'!A624</f>
        <v/>
      </c>
      <c r="C624">
        <f>SUM('01_Data'!$B624:$AW624)</f>
        <v/>
      </c>
      <c r="D624">
        <f>COUNT('01_Data'!$B624:$AW624)</f>
        <v/>
      </c>
      <c r="E624" s="5">
        <f>MEDIAN(-6,LN((C624+0.3)/(D624-C624+0.3)),6)</f>
        <v/>
      </c>
      <c r="F624" s="5">
        <f>SUMPRODUCT(('01_Data'!$B624:$AW624&lt;&gt;"")*(1/(1+EXP(-(E624-'03_Lap_b'!$B$5:$AW$5)))))</f>
        <v/>
      </c>
      <c r="G624" s="5">
        <f>SUMPRODUCT(('01_Data'!$B624:$AW624&lt;&gt;"")*(1/(1+EXP(-(E624-'03_Lap_b'!$B$5:$AW$5))))^2)</f>
        <v/>
      </c>
      <c r="H624" s="5">
        <f>MEDIAN(-6,E624+(C624-F624)/MAX(F624-G624,0.000000001),6)</f>
        <v/>
      </c>
      <c r="I624" s="5">
        <f>SUMPRODUCT(('01_Data'!$B624:$AW624&lt;&gt;"")*(1/(1+EXP(-(H624-'03_Lap_b'!$B$10:$AW$10)))))</f>
        <v/>
      </c>
      <c r="J624" s="5">
        <f>SUMPRODUCT(('01_Data'!$B624:$AW624&lt;&gt;"")*(1/(1+EXP(-(H624-'03_Lap_b'!$B$10:$AW$10))))^2)</f>
        <v/>
      </c>
      <c r="K624" s="5">
        <f>MEDIAN(-6,H624+(C624-I624)/MAX(I624-J624,0.000000001),6)</f>
        <v/>
      </c>
      <c r="L624" s="5">
        <f>SUMPRODUCT(('01_Data'!$B624:$AW624&lt;&gt;"")*(1/(1+EXP(-(K624-'03_Lap_b'!$B$15:$AW$15)))))</f>
        <v/>
      </c>
      <c r="M624" s="5">
        <f>SUMPRODUCT(('01_Data'!$B624:$AW624&lt;&gt;"")*(1/(1+EXP(-(K624-'03_Lap_b'!$B$15:$AW$15))))^2)</f>
        <v/>
      </c>
      <c r="N624" s="5">
        <f>MEDIAN(-6,K624+(C624-L624)/MAX(L624-M624,0.000000001),6)</f>
        <v/>
      </c>
      <c r="O624" s="5">
        <f>SUMPRODUCT(('01_Data'!$B624:$AW624&lt;&gt;"")*(1/(1+EXP(-(N624-'03_Lap_b'!$B$20:$AW$20)))))</f>
        <v/>
      </c>
      <c r="P624" s="5">
        <f>SUMPRODUCT(('01_Data'!$B624:$AW624&lt;&gt;"")*(1/(1+EXP(-(N624-'03_Lap_b'!$B$20:$AW$20))))^2)</f>
        <v/>
      </c>
      <c r="Q624" s="5">
        <f>MEDIAN(-6,N624+(C624-O624)/MAX(O624-P624,0.000000001),6)</f>
        <v/>
      </c>
      <c r="R624" s="5">
        <f>SUMPRODUCT(('01_Data'!$B624:$AW624&lt;&gt;"")*(1/(1+EXP(-(Q624-'03_Lap_b'!$B$25:$AW$25)))))</f>
        <v/>
      </c>
      <c r="S624" s="5">
        <f>SUMPRODUCT(('01_Data'!$B624:$AW624&lt;&gt;"")*(1/(1+EXP(-(Q624-'03_Lap_b'!$B$25:$AW$25))))^2)</f>
        <v/>
      </c>
      <c r="T624" s="5">
        <f>MEDIAN(-6,Q624+(C624-R624)/MAX(R624-S624,0.000000001),6)</f>
        <v/>
      </c>
      <c r="U624" s="5">
        <f>SUMPRODUCT(('01_Data'!$B624:$AW624&lt;&gt;"")*(1/(1+EXP(-(T624-'03_Lap_b'!$B$30:$AW$30)))))</f>
        <v/>
      </c>
      <c r="V624" s="5">
        <f>SUMPRODUCT(('01_Data'!$B624:$AW624&lt;&gt;"")*(1/(1+EXP(-(T624-'03_Lap_b'!$B$30:$AW$30))))^2)</f>
        <v/>
      </c>
      <c r="W624" s="5">
        <f>MEDIAN(-6,T624+(C624-U624)/MAX(U624-V624,0.000000001),6)</f>
        <v/>
      </c>
      <c r="X624" s="5">
        <f>SUMPRODUCT(('01_Data'!$B624:$AW624&lt;&gt;"")*(1/(1+EXP(-(W624-'03_Lap_b'!$B$35:$AW$35)))))</f>
        <v/>
      </c>
      <c r="Y624" s="5">
        <f>SUMPRODUCT(('01_Data'!$B624:$AW624&lt;&gt;"")*(1/(1+EXP(-(W624-'03_Lap_b'!$B$35:$AW$35))))^2)</f>
        <v/>
      </c>
      <c r="Z624" s="5">
        <f>MEDIAN(-6,W624+(C624-X624)/MAX(X624-Y624,0.000000001),6)</f>
        <v/>
      </c>
      <c r="AA624" s="5">
        <f>SUMPRODUCT(('01_Data'!$B624:$AW624&lt;&gt;"")*(1/(1+EXP(-(Z624-'03_Lap_b'!$B$40:$AW$40)))))</f>
        <v/>
      </c>
      <c r="AB624" s="5">
        <f>SUMPRODUCT(('01_Data'!$B624:$AW624&lt;&gt;"")*(1/(1+EXP(-(Z624-'03_Lap_b'!$B$40:$AW$40))))^2)</f>
        <v/>
      </c>
      <c r="AC624" s="5">
        <f>MEDIAN(-6,Z624+(C624-AA624)/MAX(AA624-AB624,0.000000001),6)</f>
        <v/>
      </c>
    </row>
    <row r="625">
      <c r="A625" t="n">
        <v>624</v>
      </c>
      <c r="B625">
        <f>'01_Data'!A625</f>
        <v/>
      </c>
      <c r="C625">
        <f>SUM('01_Data'!$B625:$AW625)</f>
        <v/>
      </c>
      <c r="D625">
        <f>COUNT('01_Data'!$B625:$AW625)</f>
        <v/>
      </c>
      <c r="E625" s="5">
        <f>MEDIAN(-6,LN((C625+0.3)/(D625-C625+0.3)),6)</f>
        <v/>
      </c>
      <c r="F625" s="5">
        <f>SUMPRODUCT(('01_Data'!$B625:$AW625&lt;&gt;"")*(1/(1+EXP(-(E625-'03_Lap_b'!$B$5:$AW$5)))))</f>
        <v/>
      </c>
      <c r="G625" s="5">
        <f>SUMPRODUCT(('01_Data'!$B625:$AW625&lt;&gt;"")*(1/(1+EXP(-(E625-'03_Lap_b'!$B$5:$AW$5))))^2)</f>
        <v/>
      </c>
      <c r="H625" s="5">
        <f>MEDIAN(-6,E625+(C625-F625)/MAX(F625-G625,0.000000001),6)</f>
        <v/>
      </c>
      <c r="I625" s="5">
        <f>SUMPRODUCT(('01_Data'!$B625:$AW625&lt;&gt;"")*(1/(1+EXP(-(H625-'03_Lap_b'!$B$10:$AW$10)))))</f>
        <v/>
      </c>
      <c r="J625" s="5">
        <f>SUMPRODUCT(('01_Data'!$B625:$AW625&lt;&gt;"")*(1/(1+EXP(-(H625-'03_Lap_b'!$B$10:$AW$10))))^2)</f>
        <v/>
      </c>
      <c r="K625" s="5">
        <f>MEDIAN(-6,H625+(C625-I625)/MAX(I625-J625,0.000000001),6)</f>
        <v/>
      </c>
      <c r="L625" s="5">
        <f>SUMPRODUCT(('01_Data'!$B625:$AW625&lt;&gt;"")*(1/(1+EXP(-(K625-'03_Lap_b'!$B$15:$AW$15)))))</f>
        <v/>
      </c>
      <c r="M625" s="5">
        <f>SUMPRODUCT(('01_Data'!$B625:$AW625&lt;&gt;"")*(1/(1+EXP(-(K625-'03_Lap_b'!$B$15:$AW$15))))^2)</f>
        <v/>
      </c>
      <c r="N625" s="5">
        <f>MEDIAN(-6,K625+(C625-L625)/MAX(L625-M625,0.000000001),6)</f>
        <v/>
      </c>
      <c r="O625" s="5">
        <f>SUMPRODUCT(('01_Data'!$B625:$AW625&lt;&gt;"")*(1/(1+EXP(-(N625-'03_Lap_b'!$B$20:$AW$20)))))</f>
        <v/>
      </c>
      <c r="P625" s="5">
        <f>SUMPRODUCT(('01_Data'!$B625:$AW625&lt;&gt;"")*(1/(1+EXP(-(N625-'03_Lap_b'!$B$20:$AW$20))))^2)</f>
        <v/>
      </c>
      <c r="Q625" s="5">
        <f>MEDIAN(-6,N625+(C625-O625)/MAX(O625-P625,0.000000001),6)</f>
        <v/>
      </c>
      <c r="R625" s="5">
        <f>SUMPRODUCT(('01_Data'!$B625:$AW625&lt;&gt;"")*(1/(1+EXP(-(Q625-'03_Lap_b'!$B$25:$AW$25)))))</f>
        <v/>
      </c>
      <c r="S625" s="5">
        <f>SUMPRODUCT(('01_Data'!$B625:$AW625&lt;&gt;"")*(1/(1+EXP(-(Q625-'03_Lap_b'!$B$25:$AW$25))))^2)</f>
        <v/>
      </c>
      <c r="T625" s="5">
        <f>MEDIAN(-6,Q625+(C625-R625)/MAX(R625-S625,0.000000001),6)</f>
        <v/>
      </c>
      <c r="U625" s="5">
        <f>SUMPRODUCT(('01_Data'!$B625:$AW625&lt;&gt;"")*(1/(1+EXP(-(T625-'03_Lap_b'!$B$30:$AW$30)))))</f>
        <v/>
      </c>
      <c r="V625" s="5">
        <f>SUMPRODUCT(('01_Data'!$B625:$AW625&lt;&gt;"")*(1/(1+EXP(-(T625-'03_Lap_b'!$B$30:$AW$30))))^2)</f>
        <v/>
      </c>
      <c r="W625" s="5">
        <f>MEDIAN(-6,T625+(C625-U625)/MAX(U625-V625,0.000000001),6)</f>
        <v/>
      </c>
      <c r="X625" s="5">
        <f>SUMPRODUCT(('01_Data'!$B625:$AW625&lt;&gt;"")*(1/(1+EXP(-(W625-'03_Lap_b'!$B$35:$AW$35)))))</f>
        <v/>
      </c>
      <c r="Y625" s="5">
        <f>SUMPRODUCT(('01_Data'!$B625:$AW625&lt;&gt;"")*(1/(1+EXP(-(W625-'03_Lap_b'!$B$35:$AW$35))))^2)</f>
        <v/>
      </c>
      <c r="Z625" s="5">
        <f>MEDIAN(-6,W625+(C625-X625)/MAX(X625-Y625,0.000000001),6)</f>
        <v/>
      </c>
      <c r="AA625" s="5">
        <f>SUMPRODUCT(('01_Data'!$B625:$AW625&lt;&gt;"")*(1/(1+EXP(-(Z625-'03_Lap_b'!$B$40:$AW$40)))))</f>
        <v/>
      </c>
      <c r="AB625" s="5">
        <f>SUMPRODUCT(('01_Data'!$B625:$AW625&lt;&gt;"")*(1/(1+EXP(-(Z625-'03_Lap_b'!$B$40:$AW$40))))^2)</f>
        <v/>
      </c>
      <c r="AC625" s="5">
        <f>MEDIAN(-6,Z625+(C625-AA625)/MAX(AA625-AB625,0.000000001),6)</f>
        <v/>
      </c>
    </row>
    <row r="626">
      <c r="A626" t="n">
        <v>625</v>
      </c>
      <c r="B626">
        <f>'01_Data'!A626</f>
        <v/>
      </c>
      <c r="C626">
        <f>SUM('01_Data'!$B626:$AW626)</f>
        <v/>
      </c>
      <c r="D626">
        <f>COUNT('01_Data'!$B626:$AW626)</f>
        <v/>
      </c>
      <c r="E626" s="5">
        <f>MEDIAN(-6,LN((C626+0.3)/(D626-C626+0.3)),6)</f>
        <v/>
      </c>
      <c r="F626" s="5">
        <f>SUMPRODUCT(('01_Data'!$B626:$AW626&lt;&gt;"")*(1/(1+EXP(-(E626-'03_Lap_b'!$B$5:$AW$5)))))</f>
        <v/>
      </c>
      <c r="G626" s="5">
        <f>SUMPRODUCT(('01_Data'!$B626:$AW626&lt;&gt;"")*(1/(1+EXP(-(E626-'03_Lap_b'!$B$5:$AW$5))))^2)</f>
        <v/>
      </c>
      <c r="H626" s="5">
        <f>MEDIAN(-6,E626+(C626-F626)/MAX(F626-G626,0.000000001),6)</f>
        <v/>
      </c>
      <c r="I626" s="5">
        <f>SUMPRODUCT(('01_Data'!$B626:$AW626&lt;&gt;"")*(1/(1+EXP(-(H626-'03_Lap_b'!$B$10:$AW$10)))))</f>
        <v/>
      </c>
      <c r="J626" s="5">
        <f>SUMPRODUCT(('01_Data'!$B626:$AW626&lt;&gt;"")*(1/(1+EXP(-(H626-'03_Lap_b'!$B$10:$AW$10))))^2)</f>
        <v/>
      </c>
      <c r="K626" s="5">
        <f>MEDIAN(-6,H626+(C626-I626)/MAX(I626-J626,0.000000001),6)</f>
        <v/>
      </c>
      <c r="L626" s="5">
        <f>SUMPRODUCT(('01_Data'!$B626:$AW626&lt;&gt;"")*(1/(1+EXP(-(K626-'03_Lap_b'!$B$15:$AW$15)))))</f>
        <v/>
      </c>
      <c r="M626" s="5">
        <f>SUMPRODUCT(('01_Data'!$B626:$AW626&lt;&gt;"")*(1/(1+EXP(-(K626-'03_Lap_b'!$B$15:$AW$15))))^2)</f>
        <v/>
      </c>
      <c r="N626" s="5">
        <f>MEDIAN(-6,K626+(C626-L626)/MAX(L626-M626,0.000000001),6)</f>
        <v/>
      </c>
      <c r="O626" s="5">
        <f>SUMPRODUCT(('01_Data'!$B626:$AW626&lt;&gt;"")*(1/(1+EXP(-(N626-'03_Lap_b'!$B$20:$AW$20)))))</f>
        <v/>
      </c>
      <c r="P626" s="5">
        <f>SUMPRODUCT(('01_Data'!$B626:$AW626&lt;&gt;"")*(1/(1+EXP(-(N626-'03_Lap_b'!$B$20:$AW$20))))^2)</f>
        <v/>
      </c>
      <c r="Q626" s="5">
        <f>MEDIAN(-6,N626+(C626-O626)/MAX(O626-P626,0.000000001),6)</f>
        <v/>
      </c>
      <c r="R626" s="5">
        <f>SUMPRODUCT(('01_Data'!$B626:$AW626&lt;&gt;"")*(1/(1+EXP(-(Q626-'03_Lap_b'!$B$25:$AW$25)))))</f>
        <v/>
      </c>
      <c r="S626" s="5">
        <f>SUMPRODUCT(('01_Data'!$B626:$AW626&lt;&gt;"")*(1/(1+EXP(-(Q626-'03_Lap_b'!$B$25:$AW$25))))^2)</f>
        <v/>
      </c>
      <c r="T626" s="5">
        <f>MEDIAN(-6,Q626+(C626-R626)/MAX(R626-S626,0.000000001),6)</f>
        <v/>
      </c>
      <c r="U626" s="5">
        <f>SUMPRODUCT(('01_Data'!$B626:$AW626&lt;&gt;"")*(1/(1+EXP(-(T626-'03_Lap_b'!$B$30:$AW$30)))))</f>
        <v/>
      </c>
      <c r="V626" s="5">
        <f>SUMPRODUCT(('01_Data'!$B626:$AW626&lt;&gt;"")*(1/(1+EXP(-(T626-'03_Lap_b'!$B$30:$AW$30))))^2)</f>
        <v/>
      </c>
      <c r="W626" s="5">
        <f>MEDIAN(-6,T626+(C626-U626)/MAX(U626-V626,0.000000001),6)</f>
        <v/>
      </c>
      <c r="X626" s="5">
        <f>SUMPRODUCT(('01_Data'!$B626:$AW626&lt;&gt;"")*(1/(1+EXP(-(W626-'03_Lap_b'!$B$35:$AW$35)))))</f>
        <v/>
      </c>
      <c r="Y626" s="5">
        <f>SUMPRODUCT(('01_Data'!$B626:$AW626&lt;&gt;"")*(1/(1+EXP(-(W626-'03_Lap_b'!$B$35:$AW$35))))^2)</f>
        <v/>
      </c>
      <c r="Z626" s="5">
        <f>MEDIAN(-6,W626+(C626-X626)/MAX(X626-Y626,0.000000001),6)</f>
        <v/>
      </c>
      <c r="AA626" s="5">
        <f>SUMPRODUCT(('01_Data'!$B626:$AW626&lt;&gt;"")*(1/(1+EXP(-(Z626-'03_Lap_b'!$B$40:$AW$40)))))</f>
        <v/>
      </c>
      <c r="AB626" s="5">
        <f>SUMPRODUCT(('01_Data'!$B626:$AW626&lt;&gt;"")*(1/(1+EXP(-(Z626-'03_Lap_b'!$B$40:$AW$40))))^2)</f>
        <v/>
      </c>
      <c r="AC626" s="5">
        <f>MEDIAN(-6,Z626+(C626-AA626)/MAX(AA626-AB626,0.000000001),6)</f>
        <v/>
      </c>
    </row>
    <row r="627">
      <c r="A627" t="n">
        <v>626</v>
      </c>
      <c r="B627">
        <f>'01_Data'!A627</f>
        <v/>
      </c>
      <c r="C627">
        <f>SUM('01_Data'!$B627:$AW627)</f>
        <v/>
      </c>
      <c r="D627">
        <f>COUNT('01_Data'!$B627:$AW627)</f>
        <v/>
      </c>
      <c r="E627" s="5">
        <f>MEDIAN(-6,LN((C627+0.3)/(D627-C627+0.3)),6)</f>
        <v/>
      </c>
      <c r="F627" s="5">
        <f>SUMPRODUCT(('01_Data'!$B627:$AW627&lt;&gt;"")*(1/(1+EXP(-(E627-'03_Lap_b'!$B$5:$AW$5)))))</f>
        <v/>
      </c>
      <c r="G627" s="5">
        <f>SUMPRODUCT(('01_Data'!$B627:$AW627&lt;&gt;"")*(1/(1+EXP(-(E627-'03_Lap_b'!$B$5:$AW$5))))^2)</f>
        <v/>
      </c>
      <c r="H627" s="5">
        <f>MEDIAN(-6,E627+(C627-F627)/MAX(F627-G627,0.000000001),6)</f>
        <v/>
      </c>
      <c r="I627" s="5">
        <f>SUMPRODUCT(('01_Data'!$B627:$AW627&lt;&gt;"")*(1/(1+EXP(-(H627-'03_Lap_b'!$B$10:$AW$10)))))</f>
        <v/>
      </c>
      <c r="J627" s="5">
        <f>SUMPRODUCT(('01_Data'!$B627:$AW627&lt;&gt;"")*(1/(1+EXP(-(H627-'03_Lap_b'!$B$10:$AW$10))))^2)</f>
        <v/>
      </c>
      <c r="K627" s="5">
        <f>MEDIAN(-6,H627+(C627-I627)/MAX(I627-J627,0.000000001),6)</f>
        <v/>
      </c>
      <c r="L627" s="5">
        <f>SUMPRODUCT(('01_Data'!$B627:$AW627&lt;&gt;"")*(1/(1+EXP(-(K627-'03_Lap_b'!$B$15:$AW$15)))))</f>
        <v/>
      </c>
      <c r="M627" s="5">
        <f>SUMPRODUCT(('01_Data'!$B627:$AW627&lt;&gt;"")*(1/(1+EXP(-(K627-'03_Lap_b'!$B$15:$AW$15))))^2)</f>
        <v/>
      </c>
      <c r="N627" s="5">
        <f>MEDIAN(-6,K627+(C627-L627)/MAX(L627-M627,0.000000001),6)</f>
        <v/>
      </c>
      <c r="O627" s="5">
        <f>SUMPRODUCT(('01_Data'!$B627:$AW627&lt;&gt;"")*(1/(1+EXP(-(N627-'03_Lap_b'!$B$20:$AW$20)))))</f>
        <v/>
      </c>
      <c r="P627" s="5">
        <f>SUMPRODUCT(('01_Data'!$B627:$AW627&lt;&gt;"")*(1/(1+EXP(-(N627-'03_Lap_b'!$B$20:$AW$20))))^2)</f>
        <v/>
      </c>
      <c r="Q627" s="5">
        <f>MEDIAN(-6,N627+(C627-O627)/MAX(O627-P627,0.000000001),6)</f>
        <v/>
      </c>
      <c r="R627" s="5">
        <f>SUMPRODUCT(('01_Data'!$B627:$AW627&lt;&gt;"")*(1/(1+EXP(-(Q627-'03_Lap_b'!$B$25:$AW$25)))))</f>
        <v/>
      </c>
      <c r="S627" s="5">
        <f>SUMPRODUCT(('01_Data'!$B627:$AW627&lt;&gt;"")*(1/(1+EXP(-(Q627-'03_Lap_b'!$B$25:$AW$25))))^2)</f>
        <v/>
      </c>
      <c r="T627" s="5">
        <f>MEDIAN(-6,Q627+(C627-R627)/MAX(R627-S627,0.000000001),6)</f>
        <v/>
      </c>
      <c r="U627" s="5">
        <f>SUMPRODUCT(('01_Data'!$B627:$AW627&lt;&gt;"")*(1/(1+EXP(-(T627-'03_Lap_b'!$B$30:$AW$30)))))</f>
        <v/>
      </c>
      <c r="V627" s="5">
        <f>SUMPRODUCT(('01_Data'!$B627:$AW627&lt;&gt;"")*(1/(1+EXP(-(T627-'03_Lap_b'!$B$30:$AW$30))))^2)</f>
        <v/>
      </c>
      <c r="W627" s="5">
        <f>MEDIAN(-6,T627+(C627-U627)/MAX(U627-V627,0.000000001),6)</f>
        <v/>
      </c>
      <c r="X627" s="5">
        <f>SUMPRODUCT(('01_Data'!$B627:$AW627&lt;&gt;"")*(1/(1+EXP(-(W627-'03_Lap_b'!$B$35:$AW$35)))))</f>
        <v/>
      </c>
      <c r="Y627" s="5">
        <f>SUMPRODUCT(('01_Data'!$B627:$AW627&lt;&gt;"")*(1/(1+EXP(-(W627-'03_Lap_b'!$B$35:$AW$35))))^2)</f>
        <v/>
      </c>
      <c r="Z627" s="5">
        <f>MEDIAN(-6,W627+(C627-X627)/MAX(X627-Y627,0.000000001),6)</f>
        <v/>
      </c>
      <c r="AA627" s="5">
        <f>SUMPRODUCT(('01_Data'!$B627:$AW627&lt;&gt;"")*(1/(1+EXP(-(Z627-'03_Lap_b'!$B$40:$AW$40)))))</f>
        <v/>
      </c>
      <c r="AB627" s="5">
        <f>SUMPRODUCT(('01_Data'!$B627:$AW627&lt;&gt;"")*(1/(1+EXP(-(Z627-'03_Lap_b'!$B$40:$AW$40))))^2)</f>
        <v/>
      </c>
      <c r="AC627" s="5">
        <f>MEDIAN(-6,Z627+(C627-AA627)/MAX(AA627-AB627,0.000000001),6)</f>
        <v/>
      </c>
    </row>
    <row r="628">
      <c r="A628" t="n">
        <v>627</v>
      </c>
      <c r="B628">
        <f>'01_Data'!A628</f>
        <v/>
      </c>
      <c r="C628">
        <f>SUM('01_Data'!$B628:$AW628)</f>
        <v/>
      </c>
      <c r="D628">
        <f>COUNT('01_Data'!$B628:$AW628)</f>
        <v/>
      </c>
      <c r="E628" s="5">
        <f>MEDIAN(-6,LN((C628+0.3)/(D628-C628+0.3)),6)</f>
        <v/>
      </c>
      <c r="F628" s="5">
        <f>SUMPRODUCT(('01_Data'!$B628:$AW628&lt;&gt;"")*(1/(1+EXP(-(E628-'03_Lap_b'!$B$5:$AW$5)))))</f>
        <v/>
      </c>
      <c r="G628" s="5">
        <f>SUMPRODUCT(('01_Data'!$B628:$AW628&lt;&gt;"")*(1/(1+EXP(-(E628-'03_Lap_b'!$B$5:$AW$5))))^2)</f>
        <v/>
      </c>
      <c r="H628" s="5">
        <f>MEDIAN(-6,E628+(C628-F628)/MAX(F628-G628,0.000000001),6)</f>
        <v/>
      </c>
      <c r="I628" s="5">
        <f>SUMPRODUCT(('01_Data'!$B628:$AW628&lt;&gt;"")*(1/(1+EXP(-(H628-'03_Lap_b'!$B$10:$AW$10)))))</f>
        <v/>
      </c>
      <c r="J628" s="5">
        <f>SUMPRODUCT(('01_Data'!$B628:$AW628&lt;&gt;"")*(1/(1+EXP(-(H628-'03_Lap_b'!$B$10:$AW$10))))^2)</f>
        <v/>
      </c>
      <c r="K628" s="5">
        <f>MEDIAN(-6,H628+(C628-I628)/MAX(I628-J628,0.000000001),6)</f>
        <v/>
      </c>
      <c r="L628" s="5">
        <f>SUMPRODUCT(('01_Data'!$B628:$AW628&lt;&gt;"")*(1/(1+EXP(-(K628-'03_Lap_b'!$B$15:$AW$15)))))</f>
        <v/>
      </c>
      <c r="M628" s="5">
        <f>SUMPRODUCT(('01_Data'!$B628:$AW628&lt;&gt;"")*(1/(1+EXP(-(K628-'03_Lap_b'!$B$15:$AW$15))))^2)</f>
        <v/>
      </c>
      <c r="N628" s="5">
        <f>MEDIAN(-6,K628+(C628-L628)/MAX(L628-M628,0.000000001),6)</f>
        <v/>
      </c>
      <c r="O628" s="5">
        <f>SUMPRODUCT(('01_Data'!$B628:$AW628&lt;&gt;"")*(1/(1+EXP(-(N628-'03_Lap_b'!$B$20:$AW$20)))))</f>
        <v/>
      </c>
      <c r="P628" s="5">
        <f>SUMPRODUCT(('01_Data'!$B628:$AW628&lt;&gt;"")*(1/(1+EXP(-(N628-'03_Lap_b'!$B$20:$AW$20))))^2)</f>
        <v/>
      </c>
      <c r="Q628" s="5">
        <f>MEDIAN(-6,N628+(C628-O628)/MAX(O628-P628,0.000000001),6)</f>
        <v/>
      </c>
      <c r="R628" s="5">
        <f>SUMPRODUCT(('01_Data'!$B628:$AW628&lt;&gt;"")*(1/(1+EXP(-(Q628-'03_Lap_b'!$B$25:$AW$25)))))</f>
        <v/>
      </c>
      <c r="S628" s="5">
        <f>SUMPRODUCT(('01_Data'!$B628:$AW628&lt;&gt;"")*(1/(1+EXP(-(Q628-'03_Lap_b'!$B$25:$AW$25))))^2)</f>
        <v/>
      </c>
      <c r="T628" s="5">
        <f>MEDIAN(-6,Q628+(C628-R628)/MAX(R628-S628,0.000000001),6)</f>
        <v/>
      </c>
      <c r="U628" s="5">
        <f>SUMPRODUCT(('01_Data'!$B628:$AW628&lt;&gt;"")*(1/(1+EXP(-(T628-'03_Lap_b'!$B$30:$AW$30)))))</f>
        <v/>
      </c>
      <c r="V628" s="5">
        <f>SUMPRODUCT(('01_Data'!$B628:$AW628&lt;&gt;"")*(1/(1+EXP(-(T628-'03_Lap_b'!$B$30:$AW$30))))^2)</f>
        <v/>
      </c>
      <c r="W628" s="5">
        <f>MEDIAN(-6,T628+(C628-U628)/MAX(U628-V628,0.000000001),6)</f>
        <v/>
      </c>
      <c r="X628" s="5">
        <f>SUMPRODUCT(('01_Data'!$B628:$AW628&lt;&gt;"")*(1/(1+EXP(-(W628-'03_Lap_b'!$B$35:$AW$35)))))</f>
        <v/>
      </c>
      <c r="Y628" s="5">
        <f>SUMPRODUCT(('01_Data'!$B628:$AW628&lt;&gt;"")*(1/(1+EXP(-(W628-'03_Lap_b'!$B$35:$AW$35))))^2)</f>
        <v/>
      </c>
      <c r="Z628" s="5">
        <f>MEDIAN(-6,W628+(C628-X628)/MAX(X628-Y628,0.000000001),6)</f>
        <v/>
      </c>
      <c r="AA628" s="5">
        <f>SUMPRODUCT(('01_Data'!$B628:$AW628&lt;&gt;"")*(1/(1+EXP(-(Z628-'03_Lap_b'!$B$40:$AW$40)))))</f>
        <v/>
      </c>
      <c r="AB628" s="5">
        <f>SUMPRODUCT(('01_Data'!$B628:$AW628&lt;&gt;"")*(1/(1+EXP(-(Z628-'03_Lap_b'!$B$40:$AW$40))))^2)</f>
        <v/>
      </c>
      <c r="AC628" s="5">
        <f>MEDIAN(-6,Z628+(C628-AA628)/MAX(AA628-AB628,0.000000001),6)</f>
        <v/>
      </c>
    </row>
    <row r="629">
      <c r="A629" t="n">
        <v>628</v>
      </c>
      <c r="B629">
        <f>'01_Data'!A629</f>
        <v/>
      </c>
      <c r="C629">
        <f>SUM('01_Data'!$B629:$AW629)</f>
        <v/>
      </c>
      <c r="D629">
        <f>COUNT('01_Data'!$B629:$AW629)</f>
        <v/>
      </c>
      <c r="E629" s="5">
        <f>MEDIAN(-6,LN((C629+0.3)/(D629-C629+0.3)),6)</f>
        <v/>
      </c>
      <c r="F629" s="5">
        <f>SUMPRODUCT(('01_Data'!$B629:$AW629&lt;&gt;"")*(1/(1+EXP(-(E629-'03_Lap_b'!$B$5:$AW$5)))))</f>
        <v/>
      </c>
      <c r="G629" s="5">
        <f>SUMPRODUCT(('01_Data'!$B629:$AW629&lt;&gt;"")*(1/(1+EXP(-(E629-'03_Lap_b'!$B$5:$AW$5))))^2)</f>
        <v/>
      </c>
      <c r="H629" s="5">
        <f>MEDIAN(-6,E629+(C629-F629)/MAX(F629-G629,0.000000001),6)</f>
        <v/>
      </c>
      <c r="I629" s="5">
        <f>SUMPRODUCT(('01_Data'!$B629:$AW629&lt;&gt;"")*(1/(1+EXP(-(H629-'03_Lap_b'!$B$10:$AW$10)))))</f>
        <v/>
      </c>
      <c r="J629" s="5">
        <f>SUMPRODUCT(('01_Data'!$B629:$AW629&lt;&gt;"")*(1/(1+EXP(-(H629-'03_Lap_b'!$B$10:$AW$10))))^2)</f>
        <v/>
      </c>
      <c r="K629" s="5">
        <f>MEDIAN(-6,H629+(C629-I629)/MAX(I629-J629,0.000000001),6)</f>
        <v/>
      </c>
      <c r="L629" s="5">
        <f>SUMPRODUCT(('01_Data'!$B629:$AW629&lt;&gt;"")*(1/(1+EXP(-(K629-'03_Lap_b'!$B$15:$AW$15)))))</f>
        <v/>
      </c>
      <c r="M629" s="5">
        <f>SUMPRODUCT(('01_Data'!$B629:$AW629&lt;&gt;"")*(1/(1+EXP(-(K629-'03_Lap_b'!$B$15:$AW$15))))^2)</f>
        <v/>
      </c>
      <c r="N629" s="5">
        <f>MEDIAN(-6,K629+(C629-L629)/MAX(L629-M629,0.000000001),6)</f>
        <v/>
      </c>
      <c r="O629" s="5">
        <f>SUMPRODUCT(('01_Data'!$B629:$AW629&lt;&gt;"")*(1/(1+EXP(-(N629-'03_Lap_b'!$B$20:$AW$20)))))</f>
        <v/>
      </c>
      <c r="P629" s="5">
        <f>SUMPRODUCT(('01_Data'!$B629:$AW629&lt;&gt;"")*(1/(1+EXP(-(N629-'03_Lap_b'!$B$20:$AW$20))))^2)</f>
        <v/>
      </c>
      <c r="Q629" s="5">
        <f>MEDIAN(-6,N629+(C629-O629)/MAX(O629-P629,0.000000001),6)</f>
        <v/>
      </c>
      <c r="R629" s="5">
        <f>SUMPRODUCT(('01_Data'!$B629:$AW629&lt;&gt;"")*(1/(1+EXP(-(Q629-'03_Lap_b'!$B$25:$AW$25)))))</f>
        <v/>
      </c>
      <c r="S629" s="5">
        <f>SUMPRODUCT(('01_Data'!$B629:$AW629&lt;&gt;"")*(1/(1+EXP(-(Q629-'03_Lap_b'!$B$25:$AW$25))))^2)</f>
        <v/>
      </c>
      <c r="T629" s="5">
        <f>MEDIAN(-6,Q629+(C629-R629)/MAX(R629-S629,0.000000001),6)</f>
        <v/>
      </c>
      <c r="U629" s="5">
        <f>SUMPRODUCT(('01_Data'!$B629:$AW629&lt;&gt;"")*(1/(1+EXP(-(T629-'03_Lap_b'!$B$30:$AW$30)))))</f>
        <v/>
      </c>
      <c r="V629" s="5">
        <f>SUMPRODUCT(('01_Data'!$B629:$AW629&lt;&gt;"")*(1/(1+EXP(-(T629-'03_Lap_b'!$B$30:$AW$30))))^2)</f>
        <v/>
      </c>
      <c r="W629" s="5">
        <f>MEDIAN(-6,T629+(C629-U629)/MAX(U629-V629,0.000000001),6)</f>
        <v/>
      </c>
      <c r="X629" s="5">
        <f>SUMPRODUCT(('01_Data'!$B629:$AW629&lt;&gt;"")*(1/(1+EXP(-(W629-'03_Lap_b'!$B$35:$AW$35)))))</f>
        <v/>
      </c>
      <c r="Y629" s="5">
        <f>SUMPRODUCT(('01_Data'!$B629:$AW629&lt;&gt;"")*(1/(1+EXP(-(W629-'03_Lap_b'!$B$35:$AW$35))))^2)</f>
        <v/>
      </c>
      <c r="Z629" s="5">
        <f>MEDIAN(-6,W629+(C629-X629)/MAX(X629-Y629,0.000000001),6)</f>
        <v/>
      </c>
      <c r="AA629" s="5">
        <f>SUMPRODUCT(('01_Data'!$B629:$AW629&lt;&gt;"")*(1/(1+EXP(-(Z629-'03_Lap_b'!$B$40:$AW$40)))))</f>
        <v/>
      </c>
      <c r="AB629" s="5">
        <f>SUMPRODUCT(('01_Data'!$B629:$AW629&lt;&gt;"")*(1/(1+EXP(-(Z629-'03_Lap_b'!$B$40:$AW$40))))^2)</f>
        <v/>
      </c>
      <c r="AC629" s="5">
        <f>MEDIAN(-6,Z629+(C629-AA629)/MAX(AA629-AB629,0.000000001),6)</f>
        <v/>
      </c>
    </row>
    <row r="630">
      <c r="A630" t="n">
        <v>629</v>
      </c>
      <c r="B630">
        <f>'01_Data'!A630</f>
        <v/>
      </c>
      <c r="C630">
        <f>SUM('01_Data'!$B630:$AW630)</f>
        <v/>
      </c>
      <c r="D630">
        <f>COUNT('01_Data'!$B630:$AW630)</f>
        <v/>
      </c>
      <c r="E630" s="5">
        <f>MEDIAN(-6,LN((C630+0.3)/(D630-C630+0.3)),6)</f>
        <v/>
      </c>
      <c r="F630" s="5">
        <f>SUMPRODUCT(('01_Data'!$B630:$AW630&lt;&gt;"")*(1/(1+EXP(-(E630-'03_Lap_b'!$B$5:$AW$5)))))</f>
        <v/>
      </c>
      <c r="G630" s="5">
        <f>SUMPRODUCT(('01_Data'!$B630:$AW630&lt;&gt;"")*(1/(1+EXP(-(E630-'03_Lap_b'!$B$5:$AW$5))))^2)</f>
        <v/>
      </c>
      <c r="H630" s="5">
        <f>MEDIAN(-6,E630+(C630-F630)/MAX(F630-G630,0.000000001),6)</f>
        <v/>
      </c>
      <c r="I630" s="5">
        <f>SUMPRODUCT(('01_Data'!$B630:$AW630&lt;&gt;"")*(1/(1+EXP(-(H630-'03_Lap_b'!$B$10:$AW$10)))))</f>
        <v/>
      </c>
      <c r="J630" s="5">
        <f>SUMPRODUCT(('01_Data'!$B630:$AW630&lt;&gt;"")*(1/(1+EXP(-(H630-'03_Lap_b'!$B$10:$AW$10))))^2)</f>
        <v/>
      </c>
      <c r="K630" s="5">
        <f>MEDIAN(-6,H630+(C630-I630)/MAX(I630-J630,0.000000001),6)</f>
        <v/>
      </c>
      <c r="L630" s="5">
        <f>SUMPRODUCT(('01_Data'!$B630:$AW630&lt;&gt;"")*(1/(1+EXP(-(K630-'03_Lap_b'!$B$15:$AW$15)))))</f>
        <v/>
      </c>
      <c r="M630" s="5">
        <f>SUMPRODUCT(('01_Data'!$B630:$AW630&lt;&gt;"")*(1/(1+EXP(-(K630-'03_Lap_b'!$B$15:$AW$15))))^2)</f>
        <v/>
      </c>
      <c r="N630" s="5">
        <f>MEDIAN(-6,K630+(C630-L630)/MAX(L630-M630,0.000000001),6)</f>
        <v/>
      </c>
      <c r="O630" s="5">
        <f>SUMPRODUCT(('01_Data'!$B630:$AW630&lt;&gt;"")*(1/(1+EXP(-(N630-'03_Lap_b'!$B$20:$AW$20)))))</f>
        <v/>
      </c>
      <c r="P630" s="5">
        <f>SUMPRODUCT(('01_Data'!$B630:$AW630&lt;&gt;"")*(1/(1+EXP(-(N630-'03_Lap_b'!$B$20:$AW$20))))^2)</f>
        <v/>
      </c>
      <c r="Q630" s="5">
        <f>MEDIAN(-6,N630+(C630-O630)/MAX(O630-P630,0.000000001),6)</f>
        <v/>
      </c>
      <c r="R630" s="5">
        <f>SUMPRODUCT(('01_Data'!$B630:$AW630&lt;&gt;"")*(1/(1+EXP(-(Q630-'03_Lap_b'!$B$25:$AW$25)))))</f>
        <v/>
      </c>
      <c r="S630" s="5">
        <f>SUMPRODUCT(('01_Data'!$B630:$AW630&lt;&gt;"")*(1/(1+EXP(-(Q630-'03_Lap_b'!$B$25:$AW$25))))^2)</f>
        <v/>
      </c>
      <c r="T630" s="5">
        <f>MEDIAN(-6,Q630+(C630-R630)/MAX(R630-S630,0.000000001),6)</f>
        <v/>
      </c>
      <c r="U630" s="5">
        <f>SUMPRODUCT(('01_Data'!$B630:$AW630&lt;&gt;"")*(1/(1+EXP(-(T630-'03_Lap_b'!$B$30:$AW$30)))))</f>
        <v/>
      </c>
      <c r="V630" s="5">
        <f>SUMPRODUCT(('01_Data'!$B630:$AW630&lt;&gt;"")*(1/(1+EXP(-(T630-'03_Lap_b'!$B$30:$AW$30))))^2)</f>
        <v/>
      </c>
      <c r="W630" s="5">
        <f>MEDIAN(-6,T630+(C630-U630)/MAX(U630-V630,0.000000001),6)</f>
        <v/>
      </c>
      <c r="X630" s="5">
        <f>SUMPRODUCT(('01_Data'!$B630:$AW630&lt;&gt;"")*(1/(1+EXP(-(W630-'03_Lap_b'!$B$35:$AW$35)))))</f>
        <v/>
      </c>
      <c r="Y630" s="5">
        <f>SUMPRODUCT(('01_Data'!$B630:$AW630&lt;&gt;"")*(1/(1+EXP(-(W630-'03_Lap_b'!$B$35:$AW$35))))^2)</f>
        <v/>
      </c>
      <c r="Z630" s="5">
        <f>MEDIAN(-6,W630+(C630-X630)/MAX(X630-Y630,0.000000001),6)</f>
        <v/>
      </c>
      <c r="AA630" s="5">
        <f>SUMPRODUCT(('01_Data'!$B630:$AW630&lt;&gt;"")*(1/(1+EXP(-(Z630-'03_Lap_b'!$B$40:$AW$40)))))</f>
        <v/>
      </c>
      <c r="AB630" s="5">
        <f>SUMPRODUCT(('01_Data'!$B630:$AW630&lt;&gt;"")*(1/(1+EXP(-(Z630-'03_Lap_b'!$B$40:$AW$40))))^2)</f>
        <v/>
      </c>
      <c r="AC630" s="5">
        <f>MEDIAN(-6,Z630+(C630-AA630)/MAX(AA630-AB630,0.000000001),6)</f>
        <v/>
      </c>
    </row>
    <row r="631">
      <c r="A631" t="n">
        <v>630</v>
      </c>
      <c r="B631">
        <f>'01_Data'!A631</f>
        <v/>
      </c>
      <c r="C631">
        <f>SUM('01_Data'!$B631:$AW631)</f>
        <v/>
      </c>
      <c r="D631">
        <f>COUNT('01_Data'!$B631:$AW631)</f>
        <v/>
      </c>
      <c r="E631" s="5">
        <f>MEDIAN(-6,LN((C631+0.3)/(D631-C631+0.3)),6)</f>
        <v/>
      </c>
      <c r="F631" s="5">
        <f>SUMPRODUCT(('01_Data'!$B631:$AW631&lt;&gt;"")*(1/(1+EXP(-(E631-'03_Lap_b'!$B$5:$AW$5)))))</f>
        <v/>
      </c>
      <c r="G631" s="5">
        <f>SUMPRODUCT(('01_Data'!$B631:$AW631&lt;&gt;"")*(1/(1+EXP(-(E631-'03_Lap_b'!$B$5:$AW$5))))^2)</f>
        <v/>
      </c>
      <c r="H631" s="5">
        <f>MEDIAN(-6,E631+(C631-F631)/MAX(F631-G631,0.000000001),6)</f>
        <v/>
      </c>
      <c r="I631" s="5">
        <f>SUMPRODUCT(('01_Data'!$B631:$AW631&lt;&gt;"")*(1/(1+EXP(-(H631-'03_Lap_b'!$B$10:$AW$10)))))</f>
        <v/>
      </c>
      <c r="J631" s="5">
        <f>SUMPRODUCT(('01_Data'!$B631:$AW631&lt;&gt;"")*(1/(1+EXP(-(H631-'03_Lap_b'!$B$10:$AW$10))))^2)</f>
        <v/>
      </c>
      <c r="K631" s="5">
        <f>MEDIAN(-6,H631+(C631-I631)/MAX(I631-J631,0.000000001),6)</f>
        <v/>
      </c>
      <c r="L631" s="5">
        <f>SUMPRODUCT(('01_Data'!$B631:$AW631&lt;&gt;"")*(1/(1+EXP(-(K631-'03_Lap_b'!$B$15:$AW$15)))))</f>
        <v/>
      </c>
      <c r="M631" s="5">
        <f>SUMPRODUCT(('01_Data'!$B631:$AW631&lt;&gt;"")*(1/(1+EXP(-(K631-'03_Lap_b'!$B$15:$AW$15))))^2)</f>
        <v/>
      </c>
      <c r="N631" s="5">
        <f>MEDIAN(-6,K631+(C631-L631)/MAX(L631-M631,0.000000001),6)</f>
        <v/>
      </c>
      <c r="O631" s="5">
        <f>SUMPRODUCT(('01_Data'!$B631:$AW631&lt;&gt;"")*(1/(1+EXP(-(N631-'03_Lap_b'!$B$20:$AW$20)))))</f>
        <v/>
      </c>
      <c r="P631" s="5">
        <f>SUMPRODUCT(('01_Data'!$B631:$AW631&lt;&gt;"")*(1/(1+EXP(-(N631-'03_Lap_b'!$B$20:$AW$20))))^2)</f>
        <v/>
      </c>
      <c r="Q631" s="5">
        <f>MEDIAN(-6,N631+(C631-O631)/MAX(O631-P631,0.000000001),6)</f>
        <v/>
      </c>
      <c r="R631" s="5">
        <f>SUMPRODUCT(('01_Data'!$B631:$AW631&lt;&gt;"")*(1/(1+EXP(-(Q631-'03_Lap_b'!$B$25:$AW$25)))))</f>
        <v/>
      </c>
      <c r="S631" s="5">
        <f>SUMPRODUCT(('01_Data'!$B631:$AW631&lt;&gt;"")*(1/(1+EXP(-(Q631-'03_Lap_b'!$B$25:$AW$25))))^2)</f>
        <v/>
      </c>
      <c r="T631" s="5">
        <f>MEDIAN(-6,Q631+(C631-R631)/MAX(R631-S631,0.000000001),6)</f>
        <v/>
      </c>
      <c r="U631" s="5">
        <f>SUMPRODUCT(('01_Data'!$B631:$AW631&lt;&gt;"")*(1/(1+EXP(-(T631-'03_Lap_b'!$B$30:$AW$30)))))</f>
        <v/>
      </c>
      <c r="V631" s="5">
        <f>SUMPRODUCT(('01_Data'!$B631:$AW631&lt;&gt;"")*(1/(1+EXP(-(T631-'03_Lap_b'!$B$30:$AW$30))))^2)</f>
        <v/>
      </c>
      <c r="W631" s="5">
        <f>MEDIAN(-6,T631+(C631-U631)/MAX(U631-V631,0.000000001),6)</f>
        <v/>
      </c>
      <c r="X631" s="5">
        <f>SUMPRODUCT(('01_Data'!$B631:$AW631&lt;&gt;"")*(1/(1+EXP(-(W631-'03_Lap_b'!$B$35:$AW$35)))))</f>
        <v/>
      </c>
      <c r="Y631" s="5">
        <f>SUMPRODUCT(('01_Data'!$B631:$AW631&lt;&gt;"")*(1/(1+EXP(-(W631-'03_Lap_b'!$B$35:$AW$35))))^2)</f>
        <v/>
      </c>
      <c r="Z631" s="5">
        <f>MEDIAN(-6,W631+(C631-X631)/MAX(X631-Y631,0.000000001),6)</f>
        <v/>
      </c>
      <c r="AA631" s="5">
        <f>SUMPRODUCT(('01_Data'!$B631:$AW631&lt;&gt;"")*(1/(1+EXP(-(Z631-'03_Lap_b'!$B$40:$AW$40)))))</f>
        <v/>
      </c>
      <c r="AB631" s="5">
        <f>SUMPRODUCT(('01_Data'!$B631:$AW631&lt;&gt;"")*(1/(1+EXP(-(Z631-'03_Lap_b'!$B$40:$AW$40))))^2)</f>
        <v/>
      </c>
      <c r="AC631" s="5">
        <f>MEDIAN(-6,Z631+(C631-AA631)/MAX(AA631-AB631,0.000000001),6)</f>
        <v/>
      </c>
    </row>
    <row r="632">
      <c r="A632" t="n">
        <v>631</v>
      </c>
      <c r="B632">
        <f>'01_Data'!A632</f>
        <v/>
      </c>
      <c r="C632">
        <f>SUM('01_Data'!$B632:$AW632)</f>
        <v/>
      </c>
      <c r="D632">
        <f>COUNT('01_Data'!$B632:$AW632)</f>
        <v/>
      </c>
      <c r="E632" s="5">
        <f>MEDIAN(-6,LN((C632+0.3)/(D632-C632+0.3)),6)</f>
        <v/>
      </c>
      <c r="F632" s="5">
        <f>SUMPRODUCT(('01_Data'!$B632:$AW632&lt;&gt;"")*(1/(1+EXP(-(E632-'03_Lap_b'!$B$5:$AW$5)))))</f>
        <v/>
      </c>
      <c r="G632" s="5">
        <f>SUMPRODUCT(('01_Data'!$B632:$AW632&lt;&gt;"")*(1/(1+EXP(-(E632-'03_Lap_b'!$B$5:$AW$5))))^2)</f>
        <v/>
      </c>
      <c r="H632" s="5">
        <f>MEDIAN(-6,E632+(C632-F632)/MAX(F632-G632,0.000000001),6)</f>
        <v/>
      </c>
      <c r="I632" s="5">
        <f>SUMPRODUCT(('01_Data'!$B632:$AW632&lt;&gt;"")*(1/(1+EXP(-(H632-'03_Lap_b'!$B$10:$AW$10)))))</f>
        <v/>
      </c>
      <c r="J632" s="5">
        <f>SUMPRODUCT(('01_Data'!$B632:$AW632&lt;&gt;"")*(1/(1+EXP(-(H632-'03_Lap_b'!$B$10:$AW$10))))^2)</f>
        <v/>
      </c>
      <c r="K632" s="5">
        <f>MEDIAN(-6,H632+(C632-I632)/MAX(I632-J632,0.000000001),6)</f>
        <v/>
      </c>
      <c r="L632" s="5">
        <f>SUMPRODUCT(('01_Data'!$B632:$AW632&lt;&gt;"")*(1/(1+EXP(-(K632-'03_Lap_b'!$B$15:$AW$15)))))</f>
        <v/>
      </c>
      <c r="M632" s="5">
        <f>SUMPRODUCT(('01_Data'!$B632:$AW632&lt;&gt;"")*(1/(1+EXP(-(K632-'03_Lap_b'!$B$15:$AW$15))))^2)</f>
        <v/>
      </c>
      <c r="N632" s="5">
        <f>MEDIAN(-6,K632+(C632-L632)/MAX(L632-M632,0.000000001),6)</f>
        <v/>
      </c>
      <c r="O632" s="5">
        <f>SUMPRODUCT(('01_Data'!$B632:$AW632&lt;&gt;"")*(1/(1+EXP(-(N632-'03_Lap_b'!$B$20:$AW$20)))))</f>
        <v/>
      </c>
      <c r="P632" s="5">
        <f>SUMPRODUCT(('01_Data'!$B632:$AW632&lt;&gt;"")*(1/(1+EXP(-(N632-'03_Lap_b'!$B$20:$AW$20))))^2)</f>
        <v/>
      </c>
      <c r="Q632" s="5">
        <f>MEDIAN(-6,N632+(C632-O632)/MAX(O632-P632,0.000000001),6)</f>
        <v/>
      </c>
      <c r="R632" s="5">
        <f>SUMPRODUCT(('01_Data'!$B632:$AW632&lt;&gt;"")*(1/(1+EXP(-(Q632-'03_Lap_b'!$B$25:$AW$25)))))</f>
        <v/>
      </c>
      <c r="S632" s="5">
        <f>SUMPRODUCT(('01_Data'!$B632:$AW632&lt;&gt;"")*(1/(1+EXP(-(Q632-'03_Lap_b'!$B$25:$AW$25))))^2)</f>
        <v/>
      </c>
      <c r="T632" s="5">
        <f>MEDIAN(-6,Q632+(C632-R632)/MAX(R632-S632,0.000000001),6)</f>
        <v/>
      </c>
      <c r="U632" s="5">
        <f>SUMPRODUCT(('01_Data'!$B632:$AW632&lt;&gt;"")*(1/(1+EXP(-(T632-'03_Lap_b'!$B$30:$AW$30)))))</f>
        <v/>
      </c>
      <c r="V632" s="5">
        <f>SUMPRODUCT(('01_Data'!$B632:$AW632&lt;&gt;"")*(1/(1+EXP(-(T632-'03_Lap_b'!$B$30:$AW$30))))^2)</f>
        <v/>
      </c>
      <c r="W632" s="5">
        <f>MEDIAN(-6,T632+(C632-U632)/MAX(U632-V632,0.000000001),6)</f>
        <v/>
      </c>
      <c r="X632" s="5">
        <f>SUMPRODUCT(('01_Data'!$B632:$AW632&lt;&gt;"")*(1/(1+EXP(-(W632-'03_Lap_b'!$B$35:$AW$35)))))</f>
        <v/>
      </c>
      <c r="Y632" s="5">
        <f>SUMPRODUCT(('01_Data'!$B632:$AW632&lt;&gt;"")*(1/(1+EXP(-(W632-'03_Lap_b'!$B$35:$AW$35))))^2)</f>
        <v/>
      </c>
      <c r="Z632" s="5">
        <f>MEDIAN(-6,W632+(C632-X632)/MAX(X632-Y632,0.000000001),6)</f>
        <v/>
      </c>
      <c r="AA632" s="5">
        <f>SUMPRODUCT(('01_Data'!$B632:$AW632&lt;&gt;"")*(1/(1+EXP(-(Z632-'03_Lap_b'!$B$40:$AW$40)))))</f>
        <v/>
      </c>
      <c r="AB632" s="5">
        <f>SUMPRODUCT(('01_Data'!$B632:$AW632&lt;&gt;"")*(1/(1+EXP(-(Z632-'03_Lap_b'!$B$40:$AW$40))))^2)</f>
        <v/>
      </c>
      <c r="AC632" s="5">
        <f>MEDIAN(-6,Z632+(C632-AA632)/MAX(AA632-AB632,0.000000001),6)</f>
        <v/>
      </c>
    </row>
    <row r="633">
      <c r="A633" t="n">
        <v>632</v>
      </c>
      <c r="B633">
        <f>'01_Data'!A633</f>
        <v/>
      </c>
      <c r="C633">
        <f>SUM('01_Data'!$B633:$AW633)</f>
        <v/>
      </c>
      <c r="D633">
        <f>COUNT('01_Data'!$B633:$AW633)</f>
        <v/>
      </c>
      <c r="E633" s="5">
        <f>MEDIAN(-6,LN((C633+0.3)/(D633-C633+0.3)),6)</f>
        <v/>
      </c>
      <c r="F633" s="5">
        <f>SUMPRODUCT(('01_Data'!$B633:$AW633&lt;&gt;"")*(1/(1+EXP(-(E633-'03_Lap_b'!$B$5:$AW$5)))))</f>
        <v/>
      </c>
      <c r="G633" s="5">
        <f>SUMPRODUCT(('01_Data'!$B633:$AW633&lt;&gt;"")*(1/(1+EXP(-(E633-'03_Lap_b'!$B$5:$AW$5))))^2)</f>
        <v/>
      </c>
      <c r="H633" s="5">
        <f>MEDIAN(-6,E633+(C633-F633)/MAX(F633-G633,0.000000001),6)</f>
        <v/>
      </c>
      <c r="I633" s="5">
        <f>SUMPRODUCT(('01_Data'!$B633:$AW633&lt;&gt;"")*(1/(1+EXP(-(H633-'03_Lap_b'!$B$10:$AW$10)))))</f>
        <v/>
      </c>
      <c r="J633" s="5">
        <f>SUMPRODUCT(('01_Data'!$B633:$AW633&lt;&gt;"")*(1/(1+EXP(-(H633-'03_Lap_b'!$B$10:$AW$10))))^2)</f>
        <v/>
      </c>
      <c r="K633" s="5">
        <f>MEDIAN(-6,H633+(C633-I633)/MAX(I633-J633,0.000000001),6)</f>
        <v/>
      </c>
      <c r="L633" s="5">
        <f>SUMPRODUCT(('01_Data'!$B633:$AW633&lt;&gt;"")*(1/(1+EXP(-(K633-'03_Lap_b'!$B$15:$AW$15)))))</f>
        <v/>
      </c>
      <c r="M633" s="5">
        <f>SUMPRODUCT(('01_Data'!$B633:$AW633&lt;&gt;"")*(1/(1+EXP(-(K633-'03_Lap_b'!$B$15:$AW$15))))^2)</f>
        <v/>
      </c>
      <c r="N633" s="5">
        <f>MEDIAN(-6,K633+(C633-L633)/MAX(L633-M633,0.000000001),6)</f>
        <v/>
      </c>
      <c r="O633" s="5">
        <f>SUMPRODUCT(('01_Data'!$B633:$AW633&lt;&gt;"")*(1/(1+EXP(-(N633-'03_Lap_b'!$B$20:$AW$20)))))</f>
        <v/>
      </c>
      <c r="P633" s="5">
        <f>SUMPRODUCT(('01_Data'!$B633:$AW633&lt;&gt;"")*(1/(1+EXP(-(N633-'03_Lap_b'!$B$20:$AW$20))))^2)</f>
        <v/>
      </c>
      <c r="Q633" s="5">
        <f>MEDIAN(-6,N633+(C633-O633)/MAX(O633-P633,0.000000001),6)</f>
        <v/>
      </c>
      <c r="R633" s="5">
        <f>SUMPRODUCT(('01_Data'!$B633:$AW633&lt;&gt;"")*(1/(1+EXP(-(Q633-'03_Lap_b'!$B$25:$AW$25)))))</f>
        <v/>
      </c>
      <c r="S633" s="5">
        <f>SUMPRODUCT(('01_Data'!$B633:$AW633&lt;&gt;"")*(1/(1+EXP(-(Q633-'03_Lap_b'!$B$25:$AW$25))))^2)</f>
        <v/>
      </c>
      <c r="T633" s="5">
        <f>MEDIAN(-6,Q633+(C633-R633)/MAX(R633-S633,0.000000001),6)</f>
        <v/>
      </c>
      <c r="U633" s="5">
        <f>SUMPRODUCT(('01_Data'!$B633:$AW633&lt;&gt;"")*(1/(1+EXP(-(T633-'03_Lap_b'!$B$30:$AW$30)))))</f>
        <v/>
      </c>
      <c r="V633" s="5">
        <f>SUMPRODUCT(('01_Data'!$B633:$AW633&lt;&gt;"")*(1/(1+EXP(-(T633-'03_Lap_b'!$B$30:$AW$30))))^2)</f>
        <v/>
      </c>
      <c r="W633" s="5">
        <f>MEDIAN(-6,T633+(C633-U633)/MAX(U633-V633,0.000000001),6)</f>
        <v/>
      </c>
      <c r="X633" s="5">
        <f>SUMPRODUCT(('01_Data'!$B633:$AW633&lt;&gt;"")*(1/(1+EXP(-(W633-'03_Lap_b'!$B$35:$AW$35)))))</f>
        <v/>
      </c>
      <c r="Y633" s="5">
        <f>SUMPRODUCT(('01_Data'!$B633:$AW633&lt;&gt;"")*(1/(1+EXP(-(W633-'03_Lap_b'!$B$35:$AW$35))))^2)</f>
        <v/>
      </c>
      <c r="Z633" s="5">
        <f>MEDIAN(-6,W633+(C633-X633)/MAX(X633-Y633,0.000000001),6)</f>
        <v/>
      </c>
      <c r="AA633" s="5">
        <f>SUMPRODUCT(('01_Data'!$B633:$AW633&lt;&gt;"")*(1/(1+EXP(-(Z633-'03_Lap_b'!$B$40:$AW$40)))))</f>
        <v/>
      </c>
      <c r="AB633" s="5">
        <f>SUMPRODUCT(('01_Data'!$B633:$AW633&lt;&gt;"")*(1/(1+EXP(-(Z633-'03_Lap_b'!$B$40:$AW$40))))^2)</f>
        <v/>
      </c>
      <c r="AC633" s="5">
        <f>MEDIAN(-6,Z633+(C633-AA633)/MAX(AA633-AB633,0.000000001),6)</f>
        <v/>
      </c>
    </row>
    <row r="634">
      <c r="A634" t="n">
        <v>633</v>
      </c>
      <c r="B634">
        <f>'01_Data'!A634</f>
        <v/>
      </c>
      <c r="C634">
        <f>SUM('01_Data'!$B634:$AW634)</f>
        <v/>
      </c>
      <c r="D634">
        <f>COUNT('01_Data'!$B634:$AW634)</f>
        <v/>
      </c>
      <c r="E634" s="5">
        <f>MEDIAN(-6,LN((C634+0.3)/(D634-C634+0.3)),6)</f>
        <v/>
      </c>
      <c r="F634" s="5">
        <f>SUMPRODUCT(('01_Data'!$B634:$AW634&lt;&gt;"")*(1/(1+EXP(-(E634-'03_Lap_b'!$B$5:$AW$5)))))</f>
        <v/>
      </c>
      <c r="G634" s="5">
        <f>SUMPRODUCT(('01_Data'!$B634:$AW634&lt;&gt;"")*(1/(1+EXP(-(E634-'03_Lap_b'!$B$5:$AW$5))))^2)</f>
        <v/>
      </c>
      <c r="H634" s="5">
        <f>MEDIAN(-6,E634+(C634-F634)/MAX(F634-G634,0.000000001),6)</f>
        <v/>
      </c>
      <c r="I634" s="5">
        <f>SUMPRODUCT(('01_Data'!$B634:$AW634&lt;&gt;"")*(1/(1+EXP(-(H634-'03_Lap_b'!$B$10:$AW$10)))))</f>
        <v/>
      </c>
      <c r="J634" s="5">
        <f>SUMPRODUCT(('01_Data'!$B634:$AW634&lt;&gt;"")*(1/(1+EXP(-(H634-'03_Lap_b'!$B$10:$AW$10))))^2)</f>
        <v/>
      </c>
      <c r="K634" s="5">
        <f>MEDIAN(-6,H634+(C634-I634)/MAX(I634-J634,0.000000001),6)</f>
        <v/>
      </c>
      <c r="L634" s="5">
        <f>SUMPRODUCT(('01_Data'!$B634:$AW634&lt;&gt;"")*(1/(1+EXP(-(K634-'03_Lap_b'!$B$15:$AW$15)))))</f>
        <v/>
      </c>
      <c r="M634" s="5">
        <f>SUMPRODUCT(('01_Data'!$B634:$AW634&lt;&gt;"")*(1/(1+EXP(-(K634-'03_Lap_b'!$B$15:$AW$15))))^2)</f>
        <v/>
      </c>
      <c r="N634" s="5">
        <f>MEDIAN(-6,K634+(C634-L634)/MAX(L634-M634,0.000000001),6)</f>
        <v/>
      </c>
      <c r="O634" s="5">
        <f>SUMPRODUCT(('01_Data'!$B634:$AW634&lt;&gt;"")*(1/(1+EXP(-(N634-'03_Lap_b'!$B$20:$AW$20)))))</f>
        <v/>
      </c>
      <c r="P634" s="5">
        <f>SUMPRODUCT(('01_Data'!$B634:$AW634&lt;&gt;"")*(1/(1+EXP(-(N634-'03_Lap_b'!$B$20:$AW$20))))^2)</f>
        <v/>
      </c>
      <c r="Q634" s="5">
        <f>MEDIAN(-6,N634+(C634-O634)/MAX(O634-P634,0.000000001),6)</f>
        <v/>
      </c>
      <c r="R634" s="5">
        <f>SUMPRODUCT(('01_Data'!$B634:$AW634&lt;&gt;"")*(1/(1+EXP(-(Q634-'03_Lap_b'!$B$25:$AW$25)))))</f>
        <v/>
      </c>
      <c r="S634" s="5">
        <f>SUMPRODUCT(('01_Data'!$B634:$AW634&lt;&gt;"")*(1/(1+EXP(-(Q634-'03_Lap_b'!$B$25:$AW$25))))^2)</f>
        <v/>
      </c>
      <c r="T634" s="5">
        <f>MEDIAN(-6,Q634+(C634-R634)/MAX(R634-S634,0.000000001),6)</f>
        <v/>
      </c>
      <c r="U634" s="5">
        <f>SUMPRODUCT(('01_Data'!$B634:$AW634&lt;&gt;"")*(1/(1+EXP(-(T634-'03_Lap_b'!$B$30:$AW$30)))))</f>
        <v/>
      </c>
      <c r="V634" s="5">
        <f>SUMPRODUCT(('01_Data'!$B634:$AW634&lt;&gt;"")*(1/(1+EXP(-(T634-'03_Lap_b'!$B$30:$AW$30))))^2)</f>
        <v/>
      </c>
      <c r="W634" s="5">
        <f>MEDIAN(-6,T634+(C634-U634)/MAX(U634-V634,0.000000001),6)</f>
        <v/>
      </c>
      <c r="X634" s="5">
        <f>SUMPRODUCT(('01_Data'!$B634:$AW634&lt;&gt;"")*(1/(1+EXP(-(W634-'03_Lap_b'!$B$35:$AW$35)))))</f>
        <v/>
      </c>
      <c r="Y634" s="5">
        <f>SUMPRODUCT(('01_Data'!$B634:$AW634&lt;&gt;"")*(1/(1+EXP(-(W634-'03_Lap_b'!$B$35:$AW$35))))^2)</f>
        <v/>
      </c>
      <c r="Z634" s="5">
        <f>MEDIAN(-6,W634+(C634-X634)/MAX(X634-Y634,0.000000001),6)</f>
        <v/>
      </c>
      <c r="AA634" s="5">
        <f>SUMPRODUCT(('01_Data'!$B634:$AW634&lt;&gt;"")*(1/(1+EXP(-(Z634-'03_Lap_b'!$B$40:$AW$40)))))</f>
        <v/>
      </c>
      <c r="AB634" s="5">
        <f>SUMPRODUCT(('01_Data'!$B634:$AW634&lt;&gt;"")*(1/(1+EXP(-(Z634-'03_Lap_b'!$B$40:$AW$40))))^2)</f>
        <v/>
      </c>
      <c r="AC634" s="5">
        <f>MEDIAN(-6,Z634+(C634-AA634)/MAX(AA634-AB634,0.000000001),6)</f>
        <v/>
      </c>
    </row>
    <row r="635">
      <c r="A635" t="n">
        <v>634</v>
      </c>
      <c r="B635">
        <f>'01_Data'!A635</f>
        <v/>
      </c>
      <c r="C635">
        <f>SUM('01_Data'!$B635:$AW635)</f>
        <v/>
      </c>
      <c r="D635">
        <f>COUNT('01_Data'!$B635:$AW635)</f>
        <v/>
      </c>
      <c r="E635" s="5">
        <f>MEDIAN(-6,LN((C635+0.3)/(D635-C635+0.3)),6)</f>
        <v/>
      </c>
      <c r="F635" s="5">
        <f>SUMPRODUCT(('01_Data'!$B635:$AW635&lt;&gt;"")*(1/(1+EXP(-(E635-'03_Lap_b'!$B$5:$AW$5)))))</f>
        <v/>
      </c>
      <c r="G635" s="5">
        <f>SUMPRODUCT(('01_Data'!$B635:$AW635&lt;&gt;"")*(1/(1+EXP(-(E635-'03_Lap_b'!$B$5:$AW$5))))^2)</f>
        <v/>
      </c>
      <c r="H635" s="5">
        <f>MEDIAN(-6,E635+(C635-F635)/MAX(F635-G635,0.000000001),6)</f>
        <v/>
      </c>
      <c r="I635" s="5">
        <f>SUMPRODUCT(('01_Data'!$B635:$AW635&lt;&gt;"")*(1/(1+EXP(-(H635-'03_Lap_b'!$B$10:$AW$10)))))</f>
        <v/>
      </c>
      <c r="J635" s="5">
        <f>SUMPRODUCT(('01_Data'!$B635:$AW635&lt;&gt;"")*(1/(1+EXP(-(H635-'03_Lap_b'!$B$10:$AW$10))))^2)</f>
        <v/>
      </c>
      <c r="K635" s="5">
        <f>MEDIAN(-6,H635+(C635-I635)/MAX(I635-J635,0.000000001),6)</f>
        <v/>
      </c>
      <c r="L635" s="5">
        <f>SUMPRODUCT(('01_Data'!$B635:$AW635&lt;&gt;"")*(1/(1+EXP(-(K635-'03_Lap_b'!$B$15:$AW$15)))))</f>
        <v/>
      </c>
      <c r="M635" s="5">
        <f>SUMPRODUCT(('01_Data'!$B635:$AW635&lt;&gt;"")*(1/(1+EXP(-(K635-'03_Lap_b'!$B$15:$AW$15))))^2)</f>
        <v/>
      </c>
      <c r="N635" s="5">
        <f>MEDIAN(-6,K635+(C635-L635)/MAX(L635-M635,0.000000001),6)</f>
        <v/>
      </c>
      <c r="O635" s="5">
        <f>SUMPRODUCT(('01_Data'!$B635:$AW635&lt;&gt;"")*(1/(1+EXP(-(N635-'03_Lap_b'!$B$20:$AW$20)))))</f>
        <v/>
      </c>
      <c r="P635" s="5">
        <f>SUMPRODUCT(('01_Data'!$B635:$AW635&lt;&gt;"")*(1/(1+EXP(-(N635-'03_Lap_b'!$B$20:$AW$20))))^2)</f>
        <v/>
      </c>
      <c r="Q635" s="5">
        <f>MEDIAN(-6,N635+(C635-O635)/MAX(O635-P635,0.000000001),6)</f>
        <v/>
      </c>
      <c r="R635" s="5">
        <f>SUMPRODUCT(('01_Data'!$B635:$AW635&lt;&gt;"")*(1/(1+EXP(-(Q635-'03_Lap_b'!$B$25:$AW$25)))))</f>
        <v/>
      </c>
      <c r="S635" s="5">
        <f>SUMPRODUCT(('01_Data'!$B635:$AW635&lt;&gt;"")*(1/(1+EXP(-(Q635-'03_Lap_b'!$B$25:$AW$25))))^2)</f>
        <v/>
      </c>
      <c r="T635" s="5">
        <f>MEDIAN(-6,Q635+(C635-R635)/MAX(R635-S635,0.000000001),6)</f>
        <v/>
      </c>
      <c r="U635" s="5">
        <f>SUMPRODUCT(('01_Data'!$B635:$AW635&lt;&gt;"")*(1/(1+EXP(-(T635-'03_Lap_b'!$B$30:$AW$30)))))</f>
        <v/>
      </c>
      <c r="V635" s="5">
        <f>SUMPRODUCT(('01_Data'!$B635:$AW635&lt;&gt;"")*(1/(1+EXP(-(T635-'03_Lap_b'!$B$30:$AW$30))))^2)</f>
        <v/>
      </c>
      <c r="W635" s="5">
        <f>MEDIAN(-6,T635+(C635-U635)/MAX(U635-V635,0.000000001),6)</f>
        <v/>
      </c>
      <c r="X635" s="5">
        <f>SUMPRODUCT(('01_Data'!$B635:$AW635&lt;&gt;"")*(1/(1+EXP(-(W635-'03_Lap_b'!$B$35:$AW$35)))))</f>
        <v/>
      </c>
      <c r="Y635" s="5">
        <f>SUMPRODUCT(('01_Data'!$B635:$AW635&lt;&gt;"")*(1/(1+EXP(-(W635-'03_Lap_b'!$B$35:$AW$35))))^2)</f>
        <v/>
      </c>
      <c r="Z635" s="5">
        <f>MEDIAN(-6,W635+(C635-X635)/MAX(X635-Y635,0.000000001),6)</f>
        <v/>
      </c>
      <c r="AA635" s="5">
        <f>SUMPRODUCT(('01_Data'!$B635:$AW635&lt;&gt;"")*(1/(1+EXP(-(Z635-'03_Lap_b'!$B$40:$AW$40)))))</f>
        <v/>
      </c>
      <c r="AB635" s="5">
        <f>SUMPRODUCT(('01_Data'!$B635:$AW635&lt;&gt;"")*(1/(1+EXP(-(Z635-'03_Lap_b'!$B$40:$AW$40))))^2)</f>
        <v/>
      </c>
      <c r="AC635" s="5">
        <f>MEDIAN(-6,Z635+(C635-AA635)/MAX(AA635-AB635,0.000000001),6)</f>
        <v/>
      </c>
    </row>
    <row r="636">
      <c r="A636" t="n">
        <v>635</v>
      </c>
      <c r="B636">
        <f>'01_Data'!A636</f>
        <v/>
      </c>
      <c r="C636">
        <f>SUM('01_Data'!$B636:$AW636)</f>
        <v/>
      </c>
      <c r="D636">
        <f>COUNT('01_Data'!$B636:$AW636)</f>
        <v/>
      </c>
      <c r="E636" s="5">
        <f>MEDIAN(-6,LN((C636+0.3)/(D636-C636+0.3)),6)</f>
        <v/>
      </c>
      <c r="F636" s="5">
        <f>SUMPRODUCT(('01_Data'!$B636:$AW636&lt;&gt;"")*(1/(1+EXP(-(E636-'03_Lap_b'!$B$5:$AW$5)))))</f>
        <v/>
      </c>
      <c r="G636" s="5">
        <f>SUMPRODUCT(('01_Data'!$B636:$AW636&lt;&gt;"")*(1/(1+EXP(-(E636-'03_Lap_b'!$B$5:$AW$5))))^2)</f>
        <v/>
      </c>
      <c r="H636" s="5">
        <f>MEDIAN(-6,E636+(C636-F636)/MAX(F636-G636,0.000000001),6)</f>
        <v/>
      </c>
      <c r="I636" s="5">
        <f>SUMPRODUCT(('01_Data'!$B636:$AW636&lt;&gt;"")*(1/(1+EXP(-(H636-'03_Lap_b'!$B$10:$AW$10)))))</f>
        <v/>
      </c>
      <c r="J636" s="5">
        <f>SUMPRODUCT(('01_Data'!$B636:$AW636&lt;&gt;"")*(1/(1+EXP(-(H636-'03_Lap_b'!$B$10:$AW$10))))^2)</f>
        <v/>
      </c>
      <c r="K636" s="5">
        <f>MEDIAN(-6,H636+(C636-I636)/MAX(I636-J636,0.000000001),6)</f>
        <v/>
      </c>
      <c r="L636" s="5">
        <f>SUMPRODUCT(('01_Data'!$B636:$AW636&lt;&gt;"")*(1/(1+EXP(-(K636-'03_Lap_b'!$B$15:$AW$15)))))</f>
        <v/>
      </c>
      <c r="M636" s="5">
        <f>SUMPRODUCT(('01_Data'!$B636:$AW636&lt;&gt;"")*(1/(1+EXP(-(K636-'03_Lap_b'!$B$15:$AW$15))))^2)</f>
        <v/>
      </c>
      <c r="N636" s="5">
        <f>MEDIAN(-6,K636+(C636-L636)/MAX(L636-M636,0.000000001),6)</f>
        <v/>
      </c>
      <c r="O636" s="5">
        <f>SUMPRODUCT(('01_Data'!$B636:$AW636&lt;&gt;"")*(1/(1+EXP(-(N636-'03_Lap_b'!$B$20:$AW$20)))))</f>
        <v/>
      </c>
      <c r="P636" s="5">
        <f>SUMPRODUCT(('01_Data'!$B636:$AW636&lt;&gt;"")*(1/(1+EXP(-(N636-'03_Lap_b'!$B$20:$AW$20))))^2)</f>
        <v/>
      </c>
      <c r="Q636" s="5">
        <f>MEDIAN(-6,N636+(C636-O636)/MAX(O636-P636,0.000000001),6)</f>
        <v/>
      </c>
      <c r="R636" s="5">
        <f>SUMPRODUCT(('01_Data'!$B636:$AW636&lt;&gt;"")*(1/(1+EXP(-(Q636-'03_Lap_b'!$B$25:$AW$25)))))</f>
        <v/>
      </c>
      <c r="S636" s="5">
        <f>SUMPRODUCT(('01_Data'!$B636:$AW636&lt;&gt;"")*(1/(1+EXP(-(Q636-'03_Lap_b'!$B$25:$AW$25))))^2)</f>
        <v/>
      </c>
      <c r="T636" s="5">
        <f>MEDIAN(-6,Q636+(C636-R636)/MAX(R636-S636,0.000000001),6)</f>
        <v/>
      </c>
      <c r="U636" s="5">
        <f>SUMPRODUCT(('01_Data'!$B636:$AW636&lt;&gt;"")*(1/(1+EXP(-(T636-'03_Lap_b'!$B$30:$AW$30)))))</f>
        <v/>
      </c>
      <c r="V636" s="5">
        <f>SUMPRODUCT(('01_Data'!$B636:$AW636&lt;&gt;"")*(1/(1+EXP(-(T636-'03_Lap_b'!$B$30:$AW$30))))^2)</f>
        <v/>
      </c>
      <c r="W636" s="5">
        <f>MEDIAN(-6,T636+(C636-U636)/MAX(U636-V636,0.000000001),6)</f>
        <v/>
      </c>
      <c r="X636" s="5">
        <f>SUMPRODUCT(('01_Data'!$B636:$AW636&lt;&gt;"")*(1/(1+EXP(-(W636-'03_Lap_b'!$B$35:$AW$35)))))</f>
        <v/>
      </c>
      <c r="Y636" s="5">
        <f>SUMPRODUCT(('01_Data'!$B636:$AW636&lt;&gt;"")*(1/(1+EXP(-(W636-'03_Lap_b'!$B$35:$AW$35))))^2)</f>
        <v/>
      </c>
      <c r="Z636" s="5">
        <f>MEDIAN(-6,W636+(C636-X636)/MAX(X636-Y636,0.000000001),6)</f>
        <v/>
      </c>
      <c r="AA636" s="5">
        <f>SUMPRODUCT(('01_Data'!$B636:$AW636&lt;&gt;"")*(1/(1+EXP(-(Z636-'03_Lap_b'!$B$40:$AW$40)))))</f>
        <v/>
      </c>
      <c r="AB636" s="5">
        <f>SUMPRODUCT(('01_Data'!$B636:$AW636&lt;&gt;"")*(1/(1+EXP(-(Z636-'03_Lap_b'!$B$40:$AW$40))))^2)</f>
        <v/>
      </c>
      <c r="AC636" s="5">
        <f>MEDIAN(-6,Z636+(C636-AA636)/MAX(AA636-AB636,0.000000001),6)</f>
        <v/>
      </c>
    </row>
    <row r="637">
      <c r="A637" t="n">
        <v>636</v>
      </c>
      <c r="B637">
        <f>'01_Data'!A637</f>
        <v/>
      </c>
      <c r="C637">
        <f>SUM('01_Data'!$B637:$AW637)</f>
        <v/>
      </c>
      <c r="D637">
        <f>COUNT('01_Data'!$B637:$AW637)</f>
        <v/>
      </c>
      <c r="E637" s="5">
        <f>MEDIAN(-6,LN((C637+0.3)/(D637-C637+0.3)),6)</f>
        <v/>
      </c>
      <c r="F637" s="5">
        <f>SUMPRODUCT(('01_Data'!$B637:$AW637&lt;&gt;"")*(1/(1+EXP(-(E637-'03_Lap_b'!$B$5:$AW$5)))))</f>
        <v/>
      </c>
      <c r="G637" s="5">
        <f>SUMPRODUCT(('01_Data'!$B637:$AW637&lt;&gt;"")*(1/(1+EXP(-(E637-'03_Lap_b'!$B$5:$AW$5))))^2)</f>
        <v/>
      </c>
      <c r="H637" s="5">
        <f>MEDIAN(-6,E637+(C637-F637)/MAX(F637-G637,0.000000001),6)</f>
        <v/>
      </c>
      <c r="I637" s="5">
        <f>SUMPRODUCT(('01_Data'!$B637:$AW637&lt;&gt;"")*(1/(1+EXP(-(H637-'03_Lap_b'!$B$10:$AW$10)))))</f>
        <v/>
      </c>
      <c r="J637" s="5">
        <f>SUMPRODUCT(('01_Data'!$B637:$AW637&lt;&gt;"")*(1/(1+EXP(-(H637-'03_Lap_b'!$B$10:$AW$10))))^2)</f>
        <v/>
      </c>
      <c r="K637" s="5">
        <f>MEDIAN(-6,H637+(C637-I637)/MAX(I637-J637,0.000000001),6)</f>
        <v/>
      </c>
      <c r="L637" s="5">
        <f>SUMPRODUCT(('01_Data'!$B637:$AW637&lt;&gt;"")*(1/(1+EXP(-(K637-'03_Lap_b'!$B$15:$AW$15)))))</f>
        <v/>
      </c>
      <c r="M637" s="5">
        <f>SUMPRODUCT(('01_Data'!$B637:$AW637&lt;&gt;"")*(1/(1+EXP(-(K637-'03_Lap_b'!$B$15:$AW$15))))^2)</f>
        <v/>
      </c>
      <c r="N637" s="5">
        <f>MEDIAN(-6,K637+(C637-L637)/MAX(L637-M637,0.000000001),6)</f>
        <v/>
      </c>
      <c r="O637" s="5">
        <f>SUMPRODUCT(('01_Data'!$B637:$AW637&lt;&gt;"")*(1/(1+EXP(-(N637-'03_Lap_b'!$B$20:$AW$20)))))</f>
        <v/>
      </c>
      <c r="P637" s="5">
        <f>SUMPRODUCT(('01_Data'!$B637:$AW637&lt;&gt;"")*(1/(1+EXP(-(N637-'03_Lap_b'!$B$20:$AW$20))))^2)</f>
        <v/>
      </c>
      <c r="Q637" s="5">
        <f>MEDIAN(-6,N637+(C637-O637)/MAX(O637-P637,0.000000001),6)</f>
        <v/>
      </c>
      <c r="R637" s="5">
        <f>SUMPRODUCT(('01_Data'!$B637:$AW637&lt;&gt;"")*(1/(1+EXP(-(Q637-'03_Lap_b'!$B$25:$AW$25)))))</f>
        <v/>
      </c>
      <c r="S637" s="5">
        <f>SUMPRODUCT(('01_Data'!$B637:$AW637&lt;&gt;"")*(1/(1+EXP(-(Q637-'03_Lap_b'!$B$25:$AW$25))))^2)</f>
        <v/>
      </c>
      <c r="T637" s="5">
        <f>MEDIAN(-6,Q637+(C637-R637)/MAX(R637-S637,0.000000001),6)</f>
        <v/>
      </c>
      <c r="U637" s="5">
        <f>SUMPRODUCT(('01_Data'!$B637:$AW637&lt;&gt;"")*(1/(1+EXP(-(T637-'03_Lap_b'!$B$30:$AW$30)))))</f>
        <v/>
      </c>
      <c r="V637" s="5">
        <f>SUMPRODUCT(('01_Data'!$B637:$AW637&lt;&gt;"")*(1/(1+EXP(-(T637-'03_Lap_b'!$B$30:$AW$30))))^2)</f>
        <v/>
      </c>
      <c r="W637" s="5">
        <f>MEDIAN(-6,T637+(C637-U637)/MAX(U637-V637,0.000000001),6)</f>
        <v/>
      </c>
      <c r="X637" s="5">
        <f>SUMPRODUCT(('01_Data'!$B637:$AW637&lt;&gt;"")*(1/(1+EXP(-(W637-'03_Lap_b'!$B$35:$AW$35)))))</f>
        <v/>
      </c>
      <c r="Y637" s="5">
        <f>SUMPRODUCT(('01_Data'!$B637:$AW637&lt;&gt;"")*(1/(1+EXP(-(W637-'03_Lap_b'!$B$35:$AW$35))))^2)</f>
        <v/>
      </c>
      <c r="Z637" s="5">
        <f>MEDIAN(-6,W637+(C637-X637)/MAX(X637-Y637,0.000000001),6)</f>
        <v/>
      </c>
      <c r="AA637" s="5">
        <f>SUMPRODUCT(('01_Data'!$B637:$AW637&lt;&gt;"")*(1/(1+EXP(-(Z637-'03_Lap_b'!$B$40:$AW$40)))))</f>
        <v/>
      </c>
      <c r="AB637" s="5">
        <f>SUMPRODUCT(('01_Data'!$B637:$AW637&lt;&gt;"")*(1/(1+EXP(-(Z637-'03_Lap_b'!$B$40:$AW$40))))^2)</f>
        <v/>
      </c>
      <c r="AC637" s="5">
        <f>MEDIAN(-6,Z637+(C637-AA637)/MAX(AA637-AB637,0.000000001),6)</f>
        <v/>
      </c>
    </row>
    <row r="638">
      <c r="A638" t="n">
        <v>637</v>
      </c>
      <c r="B638">
        <f>'01_Data'!A638</f>
        <v/>
      </c>
      <c r="C638">
        <f>SUM('01_Data'!$B638:$AW638)</f>
        <v/>
      </c>
      <c r="D638">
        <f>COUNT('01_Data'!$B638:$AW638)</f>
        <v/>
      </c>
      <c r="E638" s="5">
        <f>MEDIAN(-6,LN((C638+0.3)/(D638-C638+0.3)),6)</f>
        <v/>
      </c>
      <c r="F638" s="5">
        <f>SUMPRODUCT(('01_Data'!$B638:$AW638&lt;&gt;"")*(1/(1+EXP(-(E638-'03_Lap_b'!$B$5:$AW$5)))))</f>
        <v/>
      </c>
      <c r="G638" s="5">
        <f>SUMPRODUCT(('01_Data'!$B638:$AW638&lt;&gt;"")*(1/(1+EXP(-(E638-'03_Lap_b'!$B$5:$AW$5))))^2)</f>
        <v/>
      </c>
      <c r="H638" s="5">
        <f>MEDIAN(-6,E638+(C638-F638)/MAX(F638-G638,0.000000001),6)</f>
        <v/>
      </c>
      <c r="I638" s="5">
        <f>SUMPRODUCT(('01_Data'!$B638:$AW638&lt;&gt;"")*(1/(1+EXP(-(H638-'03_Lap_b'!$B$10:$AW$10)))))</f>
        <v/>
      </c>
      <c r="J638" s="5">
        <f>SUMPRODUCT(('01_Data'!$B638:$AW638&lt;&gt;"")*(1/(1+EXP(-(H638-'03_Lap_b'!$B$10:$AW$10))))^2)</f>
        <v/>
      </c>
      <c r="K638" s="5">
        <f>MEDIAN(-6,H638+(C638-I638)/MAX(I638-J638,0.000000001),6)</f>
        <v/>
      </c>
      <c r="L638" s="5">
        <f>SUMPRODUCT(('01_Data'!$B638:$AW638&lt;&gt;"")*(1/(1+EXP(-(K638-'03_Lap_b'!$B$15:$AW$15)))))</f>
        <v/>
      </c>
      <c r="M638" s="5">
        <f>SUMPRODUCT(('01_Data'!$B638:$AW638&lt;&gt;"")*(1/(1+EXP(-(K638-'03_Lap_b'!$B$15:$AW$15))))^2)</f>
        <v/>
      </c>
      <c r="N638" s="5">
        <f>MEDIAN(-6,K638+(C638-L638)/MAX(L638-M638,0.000000001),6)</f>
        <v/>
      </c>
      <c r="O638" s="5">
        <f>SUMPRODUCT(('01_Data'!$B638:$AW638&lt;&gt;"")*(1/(1+EXP(-(N638-'03_Lap_b'!$B$20:$AW$20)))))</f>
        <v/>
      </c>
      <c r="P638" s="5">
        <f>SUMPRODUCT(('01_Data'!$B638:$AW638&lt;&gt;"")*(1/(1+EXP(-(N638-'03_Lap_b'!$B$20:$AW$20))))^2)</f>
        <v/>
      </c>
      <c r="Q638" s="5">
        <f>MEDIAN(-6,N638+(C638-O638)/MAX(O638-P638,0.000000001),6)</f>
        <v/>
      </c>
      <c r="R638" s="5">
        <f>SUMPRODUCT(('01_Data'!$B638:$AW638&lt;&gt;"")*(1/(1+EXP(-(Q638-'03_Lap_b'!$B$25:$AW$25)))))</f>
        <v/>
      </c>
      <c r="S638" s="5">
        <f>SUMPRODUCT(('01_Data'!$B638:$AW638&lt;&gt;"")*(1/(1+EXP(-(Q638-'03_Lap_b'!$B$25:$AW$25))))^2)</f>
        <v/>
      </c>
      <c r="T638" s="5">
        <f>MEDIAN(-6,Q638+(C638-R638)/MAX(R638-S638,0.000000001),6)</f>
        <v/>
      </c>
      <c r="U638" s="5">
        <f>SUMPRODUCT(('01_Data'!$B638:$AW638&lt;&gt;"")*(1/(1+EXP(-(T638-'03_Lap_b'!$B$30:$AW$30)))))</f>
        <v/>
      </c>
      <c r="V638" s="5">
        <f>SUMPRODUCT(('01_Data'!$B638:$AW638&lt;&gt;"")*(1/(1+EXP(-(T638-'03_Lap_b'!$B$30:$AW$30))))^2)</f>
        <v/>
      </c>
      <c r="W638" s="5">
        <f>MEDIAN(-6,T638+(C638-U638)/MAX(U638-V638,0.000000001),6)</f>
        <v/>
      </c>
      <c r="X638" s="5">
        <f>SUMPRODUCT(('01_Data'!$B638:$AW638&lt;&gt;"")*(1/(1+EXP(-(W638-'03_Lap_b'!$B$35:$AW$35)))))</f>
        <v/>
      </c>
      <c r="Y638" s="5">
        <f>SUMPRODUCT(('01_Data'!$B638:$AW638&lt;&gt;"")*(1/(1+EXP(-(W638-'03_Lap_b'!$B$35:$AW$35))))^2)</f>
        <v/>
      </c>
      <c r="Z638" s="5">
        <f>MEDIAN(-6,W638+(C638-X638)/MAX(X638-Y638,0.000000001),6)</f>
        <v/>
      </c>
      <c r="AA638" s="5">
        <f>SUMPRODUCT(('01_Data'!$B638:$AW638&lt;&gt;"")*(1/(1+EXP(-(Z638-'03_Lap_b'!$B$40:$AW$40)))))</f>
        <v/>
      </c>
      <c r="AB638" s="5">
        <f>SUMPRODUCT(('01_Data'!$B638:$AW638&lt;&gt;"")*(1/(1+EXP(-(Z638-'03_Lap_b'!$B$40:$AW$40))))^2)</f>
        <v/>
      </c>
      <c r="AC638" s="5">
        <f>MEDIAN(-6,Z638+(C638-AA638)/MAX(AA638-AB638,0.000000001),6)</f>
        <v/>
      </c>
    </row>
    <row r="639">
      <c r="A639" t="n">
        <v>638</v>
      </c>
      <c r="B639">
        <f>'01_Data'!A639</f>
        <v/>
      </c>
      <c r="C639">
        <f>SUM('01_Data'!$B639:$AW639)</f>
        <v/>
      </c>
      <c r="D639">
        <f>COUNT('01_Data'!$B639:$AW639)</f>
        <v/>
      </c>
      <c r="E639" s="5">
        <f>MEDIAN(-6,LN((C639+0.3)/(D639-C639+0.3)),6)</f>
        <v/>
      </c>
      <c r="F639" s="5">
        <f>SUMPRODUCT(('01_Data'!$B639:$AW639&lt;&gt;"")*(1/(1+EXP(-(E639-'03_Lap_b'!$B$5:$AW$5)))))</f>
        <v/>
      </c>
      <c r="G639" s="5">
        <f>SUMPRODUCT(('01_Data'!$B639:$AW639&lt;&gt;"")*(1/(1+EXP(-(E639-'03_Lap_b'!$B$5:$AW$5))))^2)</f>
        <v/>
      </c>
      <c r="H639" s="5">
        <f>MEDIAN(-6,E639+(C639-F639)/MAX(F639-G639,0.000000001),6)</f>
        <v/>
      </c>
      <c r="I639" s="5">
        <f>SUMPRODUCT(('01_Data'!$B639:$AW639&lt;&gt;"")*(1/(1+EXP(-(H639-'03_Lap_b'!$B$10:$AW$10)))))</f>
        <v/>
      </c>
      <c r="J639" s="5">
        <f>SUMPRODUCT(('01_Data'!$B639:$AW639&lt;&gt;"")*(1/(1+EXP(-(H639-'03_Lap_b'!$B$10:$AW$10))))^2)</f>
        <v/>
      </c>
      <c r="K639" s="5">
        <f>MEDIAN(-6,H639+(C639-I639)/MAX(I639-J639,0.000000001),6)</f>
        <v/>
      </c>
      <c r="L639" s="5">
        <f>SUMPRODUCT(('01_Data'!$B639:$AW639&lt;&gt;"")*(1/(1+EXP(-(K639-'03_Lap_b'!$B$15:$AW$15)))))</f>
        <v/>
      </c>
      <c r="M639" s="5">
        <f>SUMPRODUCT(('01_Data'!$B639:$AW639&lt;&gt;"")*(1/(1+EXP(-(K639-'03_Lap_b'!$B$15:$AW$15))))^2)</f>
        <v/>
      </c>
      <c r="N639" s="5">
        <f>MEDIAN(-6,K639+(C639-L639)/MAX(L639-M639,0.000000001),6)</f>
        <v/>
      </c>
      <c r="O639" s="5">
        <f>SUMPRODUCT(('01_Data'!$B639:$AW639&lt;&gt;"")*(1/(1+EXP(-(N639-'03_Lap_b'!$B$20:$AW$20)))))</f>
        <v/>
      </c>
      <c r="P639" s="5">
        <f>SUMPRODUCT(('01_Data'!$B639:$AW639&lt;&gt;"")*(1/(1+EXP(-(N639-'03_Lap_b'!$B$20:$AW$20))))^2)</f>
        <v/>
      </c>
      <c r="Q639" s="5">
        <f>MEDIAN(-6,N639+(C639-O639)/MAX(O639-P639,0.000000001),6)</f>
        <v/>
      </c>
      <c r="R639" s="5">
        <f>SUMPRODUCT(('01_Data'!$B639:$AW639&lt;&gt;"")*(1/(1+EXP(-(Q639-'03_Lap_b'!$B$25:$AW$25)))))</f>
        <v/>
      </c>
      <c r="S639" s="5">
        <f>SUMPRODUCT(('01_Data'!$B639:$AW639&lt;&gt;"")*(1/(1+EXP(-(Q639-'03_Lap_b'!$B$25:$AW$25))))^2)</f>
        <v/>
      </c>
      <c r="T639" s="5">
        <f>MEDIAN(-6,Q639+(C639-R639)/MAX(R639-S639,0.000000001),6)</f>
        <v/>
      </c>
      <c r="U639" s="5">
        <f>SUMPRODUCT(('01_Data'!$B639:$AW639&lt;&gt;"")*(1/(1+EXP(-(T639-'03_Lap_b'!$B$30:$AW$30)))))</f>
        <v/>
      </c>
      <c r="V639" s="5">
        <f>SUMPRODUCT(('01_Data'!$B639:$AW639&lt;&gt;"")*(1/(1+EXP(-(T639-'03_Lap_b'!$B$30:$AW$30))))^2)</f>
        <v/>
      </c>
      <c r="W639" s="5">
        <f>MEDIAN(-6,T639+(C639-U639)/MAX(U639-V639,0.000000001),6)</f>
        <v/>
      </c>
      <c r="X639" s="5">
        <f>SUMPRODUCT(('01_Data'!$B639:$AW639&lt;&gt;"")*(1/(1+EXP(-(W639-'03_Lap_b'!$B$35:$AW$35)))))</f>
        <v/>
      </c>
      <c r="Y639" s="5">
        <f>SUMPRODUCT(('01_Data'!$B639:$AW639&lt;&gt;"")*(1/(1+EXP(-(W639-'03_Lap_b'!$B$35:$AW$35))))^2)</f>
        <v/>
      </c>
      <c r="Z639" s="5">
        <f>MEDIAN(-6,W639+(C639-X639)/MAX(X639-Y639,0.000000001),6)</f>
        <v/>
      </c>
      <c r="AA639" s="5">
        <f>SUMPRODUCT(('01_Data'!$B639:$AW639&lt;&gt;"")*(1/(1+EXP(-(Z639-'03_Lap_b'!$B$40:$AW$40)))))</f>
        <v/>
      </c>
      <c r="AB639" s="5">
        <f>SUMPRODUCT(('01_Data'!$B639:$AW639&lt;&gt;"")*(1/(1+EXP(-(Z639-'03_Lap_b'!$B$40:$AW$40))))^2)</f>
        <v/>
      </c>
      <c r="AC639" s="5">
        <f>MEDIAN(-6,Z639+(C639-AA639)/MAX(AA639-AB639,0.000000001),6)</f>
        <v/>
      </c>
    </row>
    <row r="640">
      <c r="A640" t="n">
        <v>639</v>
      </c>
      <c r="B640">
        <f>'01_Data'!A640</f>
        <v/>
      </c>
      <c r="C640">
        <f>SUM('01_Data'!$B640:$AW640)</f>
        <v/>
      </c>
      <c r="D640">
        <f>COUNT('01_Data'!$B640:$AW640)</f>
        <v/>
      </c>
      <c r="E640" s="5">
        <f>MEDIAN(-6,LN((C640+0.3)/(D640-C640+0.3)),6)</f>
        <v/>
      </c>
      <c r="F640" s="5">
        <f>SUMPRODUCT(('01_Data'!$B640:$AW640&lt;&gt;"")*(1/(1+EXP(-(E640-'03_Lap_b'!$B$5:$AW$5)))))</f>
        <v/>
      </c>
      <c r="G640" s="5">
        <f>SUMPRODUCT(('01_Data'!$B640:$AW640&lt;&gt;"")*(1/(1+EXP(-(E640-'03_Lap_b'!$B$5:$AW$5))))^2)</f>
        <v/>
      </c>
      <c r="H640" s="5">
        <f>MEDIAN(-6,E640+(C640-F640)/MAX(F640-G640,0.000000001),6)</f>
        <v/>
      </c>
      <c r="I640" s="5">
        <f>SUMPRODUCT(('01_Data'!$B640:$AW640&lt;&gt;"")*(1/(1+EXP(-(H640-'03_Lap_b'!$B$10:$AW$10)))))</f>
        <v/>
      </c>
      <c r="J640" s="5">
        <f>SUMPRODUCT(('01_Data'!$B640:$AW640&lt;&gt;"")*(1/(1+EXP(-(H640-'03_Lap_b'!$B$10:$AW$10))))^2)</f>
        <v/>
      </c>
      <c r="K640" s="5">
        <f>MEDIAN(-6,H640+(C640-I640)/MAX(I640-J640,0.000000001),6)</f>
        <v/>
      </c>
      <c r="L640" s="5">
        <f>SUMPRODUCT(('01_Data'!$B640:$AW640&lt;&gt;"")*(1/(1+EXP(-(K640-'03_Lap_b'!$B$15:$AW$15)))))</f>
        <v/>
      </c>
      <c r="M640" s="5">
        <f>SUMPRODUCT(('01_Data'!$B640:$AW640&lt;&gt;"")*(1/(1+EXP(-(K640-'03_Lap_b'!$B$15:$AW$15))))^2)</f>
        <v/>
      </c>
      <c r="N640" s="5">
        <f>MEDIAN(-6,K640+(C640-L640)/MAX(L640-M640,0.000000001),6)</f>
        <v/>
      </c>
      <c r="O640" s="5">
        <f>SUMPRODUCT(('01_Data'!$B640:$AW640&lt;&gt;"")*(1/(1+EXP(-(N640-'03_Lap_b'!$B$20:$AW$20)))))</f>
        <v/>
      </c>
      <c r="P640" s="5">
        <f>SUMPRODUCT(('01_Data'!$B640:$AW640&lt;&gt;"")*(1/(1+EXP(-(N640-'03_Lap_b'!$B$20:$AW$20))))^2)</f>
        <v/>
      </c>
      <c r="Q640" s="5">
        <f>MEDIAN(-6,N640+(C640-O640)/MAX(O640-P640,0.000000001),6)</f>
        <v/>
      </c>
      <c r="R640" s="5">
        <f>SUMPRODUCT(('01_Data'!$B640:$AW640&lt;&gt;"")*(1/(1+EXP(-(Q640-'03_Lap_b'!$B$25:$AW$25)))))</f>
        <v/>
      </c>
      <c r="S640" s="5">
        <f>SUMPRODUCT(('01_Data'!$B640:$AW640&lt;&gt;"")*(1/(1+EXP(-(Q640-'03_Lap_b'!$B$25:$AW$25))))^2)</f>
        <v/>
      </c>
      <c r="T640" s="5">
        <f>MEDIAN(-6,Q640+(C640-R640)/MAX(R640-S640,0.000000001),6)</f>
        <v/>
      </c>
      <c r="U640" s="5">
        <f>SUMPRODUCT(('01_Data'!$B640:$AW640&lt;&gt;"")*(1/(1+EXP(-(T640-'03_Lap_b'!$B$30:$AW$30)))))</f>
        <v/>
      </c>
      <c r="V640" s="5">
        <f>SUMPRODUCT(('01_Data'!$B640:$AW640&lt;&gt;"")*(1/(1+EXP(-(T640-'03_Lap_b'!$B$30:$AW$30))))^2)</f>
        <v/>
      </c>
      <c r="W640" s="5">
        <f>MEDIAN(-6,T640+(C640-U640)/MAX(U640-V640,0.000000001),6)</f>
        <v/>
      </c>
      <c r="X640" s="5">
        <f>SUMPRODUCT(('01_Data'!$B640:$AW640&lt;&gt;"")*(1/(1+EXP(-(W640-'03_Lap_b'!$B$35:$AW$35)))))</f>
        <v/>
      </c>
      <c r="Y640" s="5">
        <f>SUMPRODUCT(('01_Data'!$B640:$AW640&lt;&gt;"")*(1/(1+EXP(-(W640-'03_Lap_b'!$B$35:$AW$35))))^2)</f>
        <v/>
      </c>
      <c r="Z640" s="5">
        <f>MEDIAN(-6,W640+(C640-X640)/MAX(X640-Y640,0.000000001),6)</f>
        <v/>
      </c>
      <c r="AA640" s="5">
        <f>SUMPRODUCT(('01_Data'!$B640:$AW640&lt;&gt;"")*(1/(1+EXP(-(Z640-'03_Lap_b'!$B$40:$AW$40)))))</f>
        <v/>
      </c>
      <c r="AB640" s="5">
        <f>SUMPRODUCT(('01_Data'!$B640:$AW640&lt;&gt;"")*(1/(1+EXP(-(Z640-'03_Lap_b'!$B$40:$AW$40))))^2)</f>
        <v/>
      </c>
      <c r="AC640" s="5">
        <f>MEDIAN(-6,Z640+(C640-AA640)/MAX(AA640-AB640,0.000000001),6)</f>
        <v/>
      </c>
    </row>
    <row r="641">
      <c r="A641" t="n">
        <v>640</v>
      </c>
      <c r="B641">
        <f>'01_Data'!A641</f>
        <v/>
      </c>
      <c r="C641">
        <f>SUM('01_Data'!$B641:$AW641)</f>
        <v/>
      </c>
      <c r="D641">
        <f>COUNT('01_Data'!$B641:$AW641)</f>
        <v/>
      </c>
      <c r="E641" s="5">
        <f>MEDIAN(-6,LN((C641+0.3)/(D641-C641+0.3)),6)</f>
        <v/>
      </c>
      <c r="F641" s="5">
        <f>SUMPRODUCT(('01_Data'!$B641:$AW641&lt;&gt;"")*(1/(1+EXP(-(E641-'03_Lap_b'!$B$5:$AW$5)))))</f>
        <v/>
      </c>
      <c r="G641" s="5">
        <f>SUMPRODUCT(('01_Data'!$B641:$AW641&lt;&gt;"")*(1/(1+EXP(-(E641-'03_Lap_b'!$B$5:$AW$5))))^2)</f>
        <v/>
      </c>
      <c r="H641" s="5">
        <f>MEDIAN(-6,E641+(C641-F641)/MAX(F641-G641,0.000000001),6)</f>
        <v/>
      </c>
      <c r="I641" s="5">
        <f>SUMPRODUCT(('01_Data'!$B641:$AW641&lt;&gt;"")*(1/(1+EXP(-(H641-'03_Lap_b'!$B$10:$AW$10)))))</f>
        <v/>
      </c>
      <c r="J641" s="5">
        <f>SUMPRODUCT(('01_Data'!$B641:$AW641&lt;&gt;"")*(1/(1+EXP(-(H641-'03_Lap_b'!$B$10:$AW$10))))^2)</f>
        <v/>
      </c>
      <c r="K641" s="5">
        <f>MEDIAN(-6,H641+(C641-I641)/MAX(I641-J641,0.000000001),6)</f>
        <v/>
      </c>
      <c r="L641" s="5">
        <f>SUMPRODUCT(('01_Data'!$B641:$AW641&lt;&gt;"")*(1/(1+EXP(-(K641-'03_Lap_b'!$B$15:$AW$15)))))</f>
        <v/>
      </c>
      <c r="M641" s="5">
        <f>SUMPRODUCT(('01_Data'!$B641:$AW641&lt;&gt;"")*(1/(1+EXP(-(K641-'03_Lap_b'!$B$15:$AW$15))))^2)</f>
        <v/>
      </c>
      <c r="N641" s="5">
        <f>MEDIAN(-6,K641+(C641-L641)/MAX(L641-M641,0.000000001),6)</f>
        <v/>
      </c>
      <c r="O641" s="5">
        <f>SUMPRODUCT(('01_Data'!$B641:$AW641&lt;&gt;"")*(1/(1+EXP(-(N641-'03_Lap_b'!$B$20:$AW$20)))))</f>
        <v/>
      </c>
      <c r="P641" s="5">
        <f>SUMPRODUCT(('01_Data'!$B641:$AW641&lt;&gt;"")*(1/(1+EXP(-(N641-'03_Lap_b'!$B$20:$AW$20))))^2)</f>
        <v/>
      </c>
      <c r="Q641" s="5">
        <f>MEDIAN(-6,N641+(C641-O641)/MAX(O641-P641,0.000000001),6)</f>
        <v/>
      </c>
      <c r="R641" s="5">
        <f>SUMPRODUCT(('01_Data'!$B641:$AW641&lt;&gt;"")*(1/(1+EXP(-(Q641-'03_Lap_b'!$B$25:$AW$25)))))</f>
        <v/>
      </c>
      <c r="S641" s="5">
        <f>SUMPRODUCT(('01_Data'!$B641:$AW641&lt;&gt;"")*(1/(1+EXP(-(Q641-'03_Lap_b'!$B$25:$AW$25))))^2)</f>
        <v/>
      </c>
      <c r="T641" s="5">
        <f>MEDIAN(-6,Q641+(C641-R641)/MAX(R641-S641,0.000000001),6)</f>
        <v/>
      </c>
      <c r="U641" s="5">
        <f>SUMPRODUCT(('01_Data'!$B641:$AW641&lt;&gt;"")*(1/(1+EXP(-(T641-'03_Lap_b'!$B$30:$AW$30)))))</f>
        <v/>
      </c>
      <c r="V641" s="5">
        <f>SUMPRODUCT(('01_Data'!$B641:$AW641&lt;&gt;"")*(1/(1+EXP(-(T641-'03_Lap_b'!$B$30:$AW$30))))^2)</f>
        <v/>
      </c>
      <c r="W641" s="5">
        <f>MEDIAN(-6,T641+(C641-U641)/MAX(U641-V641,0.000000001),6)</f>
        <v/>
      </c>
      <c r="X641" s="5">
        <f>SUMPRODUCT(('01_Data'!$B641:$AW641&lt;&gt;"")*(1/(1+EXP(-(W641-'03_Lap_b'!$B$35:$AW$35)))))</f>
        <v/>
      </c>
      <c r="Y641" s="5">
        <f>SUMPRODUCT(('01_Data'!$B641:$AW641&lt;&gt;"")*(1/(1+EXP(-(W641-'03_Lap_b'!$B$35:$AW$35))))^2)</f>
        <v/>
      </c>
      <c r="Z641" s="5">
        <f>MEDIAN(-6,W641+(C641-X641)/MAX(X641-Y641,0.000000001),6)</f>
        <v/>
      </c>
      <c r="AA641" s="5">
        <f>SUMPRODUCT(('01_Data'!$B641:$AW641&lt;&gt;"")*(1/(1+EXP(-(Z641-'03_Lap_b'!$B$40:$AW$40)))))</f>
        <v/>
      </c>
      <c r="AB641" s="5">
        <f>SUMPRODUCT(('01_Data'!$B641:$AW641&lt;&gt;"")*(1/(1+EXP(-(Z641-'03_Lap_b'!$B$40:$AW$40))))^2)</f>
        <v/>
      </c>
      <c r="AC641" s="5">
        <f>MEDIAN(-6,Z641+(C641-AA641)/MAX(AA641-AB641,0.000000001),6)</f>
        <v/>
      </c>
    </row>
    <row r="642">
      <c r="A642" t="n">
        <v>641</v>
      </c>
      <c r="B642">
        <f>'01_Data'!A642</f>
        <v/>
      </c>
      <c r="C642">
        <f>SUM('01_Data'!$B642:$AW642)</f>
        <v/>
      </c>
      <c r="D642">
        <f>COUNT('01_Data'!$B642:$AW642)</f>
        <v/>
      </c>
      <c r="E642" s="5">
        <f>MEDIAN(-6,LN((C642+0.3)/(D642-C642+0.3)),6)</f>
        <v/>
      </c>
      <c r="F642" s="5">
        <f>SUMPRODUCT(('01_Data'!$B642:$AW642&lt;&gt;"")*(1/(1+EXP(-(E642-'03_Lap_b'!$B$5:$AW$5)))))</f>
        <v/>
      </c>
      <c r="G642" s="5">
        <f>SUMPRODUCT(('01_Data'!$B642:$AW642&lt;&gt;"")*(1/(1+EXP(-(E642-'03_Lap_b'!$B$5:$AW$5))))^2)</f>
        <v/>
      </c>
      <c r="H642" s="5">
        <f>MEDIAN(-6,E642+(C642-F642)/MAX(F642-G642,0.000000001),6)</f>
        <v/>
      </c>
      <c r="I642" s="5">
        <f>SUMPRODUCT(('01_Data'!$B642:$AW642&lt;&gt;"")*(1/(1+EXP(-(H642-'03_Lap_b'!$B$10:$AW$10)))))</f>
        <v/>
      </c>
      <c r="J642" s="5">
        <f>SUMPRODUCT(('01_Data'!$B642:$AW642&lt;&gt;"")*(1/(1+EXP(-(H642-'03_Lap_b'!$B$10:$AW$10))))^2)</f>
        <v/>
      </c>
      <c r="K642" s="5">
        <f>MEDIAN(-6,H642+(C642-I642)/MAX(I642-J642,0.000000001),6)</f>
        <v/>
      </c>
      <c r="L642" s="5">
        <f>SUMPRODUCT(('01_Data'!$B642:$AW642&lt;&gt;"")*(1/(1+EXP(-(K642-'03_Lap_b'!$B$15:$AW$15)))))</f>
        <v/>
      </c>
      <c r="M642" s="5">
        <f>SUMPRODUCT(('01_Data'!$B642:$AW642&lt;&gt;"")*(1/(1+EXP(-(K642-'03_Lap_b'!$B$15:$AW$15))))^2)</f>
        <v/>
      </c>
      <c r="N642" s="5">
        <f>MEDIAN(-6,K642+(C642-L642)/MAX(L642-M642,0.000000001),6)</f>
        <v/>
      </c>
      <c r="O642" s="5">
        <f>SUMPRODUCT(('01_Data'!$B642:$AW642&lt;&gt;"")*(1/(1+EXP(-(N642-'03_Lap_b'!$B$20:$AW$20)))))</f>
        <v/>
      </c>
      <c r="P642" s="5">
        <f>SUMPRODUCT(('01_Data'!$B642:$AW642&lt;&gt;"")*(1/(1+EXP(-(N642-'03_Lap_b'!$B$20:$AW$20))))^2)</f>
        <v/>
      </c>
      <c r="Q642" s="5">
        <f>MEDIAN(-6,N642+(C642-O642)/MAX(O642-P642,0.000000001),6)</f>
        <v/>
      </c>
      <c r="R642" s="5">
        <f>SUMPRODUCT(('01_Data'!$B642:$AW642&lt;&gt;"")*(1/(1+EXP(-(Q642-'03_Lap_b'!$B$25:$AW$25)))))</f>
        <v/>
      </c>
      <c r="S642" s="5">
        <f>SUMPRODUCT(('01_Data'!$B642:$AW642&lt;&gt;"")*(1/(1+EXP(-(Q642-'03_Lap_b'!$B$25:$AW$25))))^2)</f>
        <v/>
      </c>
      <c r="T642" s="5">
        <f>MEDIAN(-6,Q642+(C642-R642)/MAX(R642-S642,0.000000001),6)</f>
        <v/>
      </c>
      <c r="U642" s="5">
        <f>SUMPRODUCT(('01_Data'!$B642:$AW642&lt;&gt;"")*(1/(1+EXP(-(T642-'03_Lap_b'!$B$30:$AW$30)))))</f>
        <v/>
      </c>
      <c r="V642" s="5">
        <f>SUMPRODUCT(('01_Data'!$B642:$AW642&lt;&gt;"")*(1/(1+EXP(-(T642-'03_Lap_b'!$B$30:$AW$30))))^2)</f>
        <v/>
      </c>
      <c r="W642" s="5">
        <f>MEDIAN(-6,T642+(C642-U642)/MAX(U642-V642,0.000000001),6)</f>
        <v/>
      </c>
      <c r="X642" s="5">
        <f>SUMPRODUCT(('01_Data'!$B642:$AW642&lt;&gt;"")*(1/(1+EXP(-(W642-'03_Lap_b'!$B$35:$AW$35)))))</f>
        <v/>
      </c>
      <c r="Y642" s="5">
        <f>SUMPRODUCT(('01_Data'!$B642:$AW642&lt;&gt;"")*(1/(1+EXP(-(W642-'03_Lap_b'!$B$35:$AW$35))))^2)</f>
        <v/>
      </c>
      <c r="Z642" s="5">
        <f>MEDIAN(-6,W642+(C642-X642)/MAX(X642-Y642,0.000000001),6)</f>
        <v/>
      </c>
      <c r="AA642" s="5">
        <f>SUMPRODUCT(('01_Data'!$B642:$AW642&lt;&gt;"")*(1/(1+EXP(-(Z642-'03_Lap_b'!$B$40:$AW$40)))))</f>
        <v/>
      </c>
      <c r="AB642" s="5">
        <f>SUMPRODUCT(('01_Data'!$B642:$AW642&lt;&gt;"")*(1/(1+EXP(-(Z642-'03_Lap_b'!$B$40:$AW$40))))^2)</f>
        <v/>
      </c>
      <c r="AC642" s="5">
        <f>MEDIAN(-6,Z642+(C642-AA642)/MAX(AA642-AB642,0.000000001),6)</f>
        <v/>
      </c>
    </row>
    <row r="643">
      <c r="A643" t="n">
        <v>642</v>
      </c>
      <c r="B643">
        <f>'01_Data'!A643</f>
        <v/>
      </c>
      <c r="C643">
        <f>SUM('01_Data'!$B643:$AW643)</f>
        <v/>
      </c>
      <c r="D643">
        <f>COUNT('01_Data'!$B643:$AW643)</f>
        <v/>
      </c>
      <c r="E643" s="5">
        <f>MEDIAN(-6,LN((C643+0.3)/(D643-C643+0.3)),6)</f>
        <v/>
      </c>
      <c r="F643" s="5">
        <f>SUMPRODUCT(('01_Data'!$B643:$AW643&lt;&gt;"")*(1/(1+EXP(-(E643-'03_Lap_b'!$B$5:$AW$5)))))</f>
        <v/>
      </c>
      <c r="G643" s="5">
        <f>SUMPRODUCT(('01_Data'!$B643:$AW643&lt;&gt;"")*(1/(1+EXP(-(E643-'03_Lap_b'!$B$5:$AW$5))))^2)</f>
        <v/>
      </c>
      <c r="H643" s="5">
        <f>MEDIAN(-6,E643+(C643-F643)/MAX(F643-G643,0.000000001),6)</f>
        <v/>
      </c>
      <c r="I643" s="5">
        <f>SUMPRODUCT(('01_Data'!$B643:$AW643&lt;&gt;"")*(1/(1+EXP(-(H643-'03_Lap_b'!$B$10:$AW$10)))))</f>
        <v/>
      </c>
      <c r="J643" s="5">
        <f>SUMPRODUCT(('01_Data'!$B643:$AW643&lt;&gt;"")*(1/(1+EXP(-(H643-'03_Lap_b'!$B$10:$AW$10))))^2)</f>
        <v/>
      </c>
      <c r="K643" s="5">
        <f>MEDIAN(-6,H643+(C643-I643)/MAX(I643-J643,0.000000001),6)</f>
        <v/>
      </c>
      <c r="L643" s="5">
        <f>SUMPRODUCT(('01_Data'!$B643:$AW643&lt;&gt;"")*(1/(1+EXP(-(K643-'03_Lap_b'!$B$15:$AW$15)))))</f>
        <v/>
      </c>
      <c r="M643" s="5">
        <f>SUMPRODUCT(('01_Data'!$B643:$AW643&lt;&gt;"")*(1/(1+EXP(-(K643-'03_Lap_b'!$B$15:$AW$15))))^2)</f>
        <v/>
      </c>
      <c r="N643" s="5">
        <f>MEDIAN(-6,K643+(C643-L643)/MAX(L643-M643,0.000000001),6)</f>
        <v/>
      </c>
      <c r="O643" s="5">
        <f>SUMPRODUCT(('01_Data'!$B643:$AW643&lt;&gt;"")*(1/(1+EXP(-(N643-'03_Lap_b'!$B$20:$AW$20)))))</f>
        <v/>
      </c>
      <c r="P643" s="5">
        <f>SUMPRODUCT(('01_Data'!$B643:$AW643&lt;&gt;"")*(1/(1+EXP(-(N643-'03_Lap_b'!$B$20:$AW$20))))^2)</f>
        <v/>
      </c>
      <c r="Q643" s="5">
        <f>MEDIAN(-6,N643+(C643-O643)/MAX(O643-P643,0.000000001),6)</f>
        <v/>
      </c>
      <c r="R643" s="5">
        <f>SUMPRODUCT(('01_Data'!$B643:$AW643&lt;&gt;"")*(1/(1+EXP(-(Q643-'03_Lap_b'!$B$25:$AW$25)))))</f>
        <v/>
      </c>
      <c r="S643" s="5">
        <f>SUMPRODUCT(('01_Data'!$B643:$AW643&lt;&gt;"")*(1/(1+EXP(-(Q643-'03_Lap_b'!$B$25:$AW$25))))^2)</f>
        <v/>
      </c>
      <c r="T643" s="5">
        <f>MEDIAN(-6,Q643+(C643-R643)/MAX(R643-S643,0.000000001),6)</f>
        <v/>
      </c>
      <c r="U643" s="5">
        <f>SUMPRODUCT(('01_Data'!$B643:$AW643&lt;&gt;"")*(1/(1+EXP(-(T643-'03_Lap_b'!$B$30:$AW$30)))))</f>
        <v/>
      </c>
      <c r="V643" s="5">
        <f>SUMPRODUCT(('01_Data'!$B643:$AW643&lt;&gt;"")*(1/(1+EXP(-(T643-'03_Lap_b'!$B$30:$AW$30))))^2)</f>
        <v/>
      </c>
      <c r="W643" s="5">
        <f>MEDIAN(-6,T643+(C643-U643)/MAX(U643-V643,0.000000001),6)</f>
        <v/>
      </c>
      <c r="X643" s="5">
        <f>SUMPRODUCT(('01_Data'!$B643:$AW643&lt;&gt;"")*(1/(1+EXP(-(W643-'03_Lap_b'!$B$35:$AW$35)))))</f>
        <v/>
      </c>
      <c r="Y643" s="5">
        <f>SUMPRODUCT(('01_Data'!$B643:$AW643&lt;&gt;"")*(1/(1+EXP(-(W643-'03_Lap_b'!$B$35:$AW$35))))^2)</f>
        <v/>
      </c>
      <c r="Z643" s="5">
        <f>MEDIAN(-6,W643+(C643-X643)/MAX(X643-Y643,0.000000001),6)</f>
        <v/>
      </c>
      <c r="AA643" s="5">
        <f>SUMPRODUCT(('01_Data'!$B643:$AW643&lt;&gt;"")*(1/(1+EXP(-(Z643-'03_Lap_b'!$B$40:$AW$40)))))</f>
        <v/>
      </c>
      <c r="AB643" s="5">
        <f>SUMPRODUCT(('01_Data'!$B643:$AW643&lt;&gt;"")*(1/(1+EXP(-(Z643-'03_Lap_b'!$B$40:$AW$40))))^2)</f>
        <v/>
      </c>
      <c r="AC643" s="5">
        <f>MEDIAN(-6,Z643+(C643-AA643)/MAX(AA643-AB643,0.000000001),6)</f>
        <v/>
      </c>
    </row>
    <row r="644">
      <c r="A644" t="n">
        <v>643</v>
      </c>
      <c r="B644">
        <f>'01_Data'!A644</f>
        <v/>
      </c>
      <c r="C644">
        <f>SUM('01_Data'!$B644:$AW644)</f>
        <v/>
      </c>
      <c r="D644">
        <f>COUNT('01_Data'!$B644:$AW644)</f>
        <v/>
      </c>
      <c r="E644" s="5">
        <f>MEDIAN(-6,LN((C644+0.3)/(D644-C644+0.3)),6)</f>
        <v/>
      </c>
      <c r="F644" s="5">
        <f>SUMPRODUCT(('01_Data'!$B644:$AW644&lt;&gt;"")*(1/(1+EXP(-(E644-'03_Lap_b'!$B$5:$AW$5)))))</f>
        <v/>
      </c>
      <c r="G644" s="5">
        <f>SUMPRODUCT(('01_Data'!$B644:$AW644&lt;&gt;"")*(1/(1+EXP(-(E644-'03_Lap_b'!$B$5:$AW$5))))^2)</f>
        <v/>
      </c>
      <c r="H644" s="5">
        <f>MEDIAN(-6,E644+(C644-F644)/MAX(F644-G644,0.000000001),6)</f>
        <v/>
      </c>
      <c r="I644" s="5">
        <f>SUMPRODUCT(('01_Data'!$B644:$AW644&lt;&gt;"")*(1/(1+EXP(-(H644-'03_Lap_b'!$B$10:$AW$10)))))</f>
        <v/>
      </c>
      <c r="J644" s="5">
        <f>SUMPRODUCT(('01_Data'!$B644:$AW644&lt;&gt;"")*(1/(1+EXP(-(H644-'03_Lap_b'!$B$10:$AW$10))))^2)</f>
        <v/>
      </c>
      <c r="K644" s="5">
        <f>MEDIAN(-6,H644+(C644-I644)/MAX(I644-J644,0.000000001),6)</f>
        <v/>
      </c>
      <c r="L644" s="5">
        <f>SUMPRODUCT(('01_Data'!$B644:$AW644&lt;&gt;"")*(1/(1+EXP(-(K644-'03_Lap_b'!$B$15:$AW$15)))))</f>
        <v/>
      </c>
      <c r="M644" s="5">
        <f>SUMPRODUCT(('01_Data'!$B644:$AW644&lt;&gt;"")*(1/(1+EXP(-(K644-'03_Lap_b'!$B$15:$AW$15))))^2)</f>
        <v/>
      </c>
      <c r="N644" s="5">
        <f>MEDIAN(-6,K644+(C644-L644)/MAX(L644-M644,0.000000001),6)</f>
        <v/>
      </c>
      <c r="O644" s="5">
        <f>SUMPRODUCT(('01_Data'!$B644:$AW644&lt;&gt;"")*(1/(1+EXP(-(N644-'03_Lap_b'!$B$20:$AW$20)))))</f>
        <v/>
      </c>
      <c r="P644" s="5">
        <f>SUMPRODUCT(('01_Data'!$B644:$AW644&lt;&gt;"")*(1/(1+EXP(-(N644-'03_Lap_b'!$B$20:$AW$20))))^2)</f>
        <v/>
      </c>
      <c r="Q644" s="5">
        <f>MEDIAN(-6,N644+(C644-O644)/MAX(O644-P644,0.000000001),6)</f>
        <v/>
      </c>
      <c r="R644" s="5">
        <f>SUMPRODUCT(('01_Data'!$B644:$AW644&lt;&gt;"")*(1/(1+EXP(-(Q644-'03_Lap_b'!$B$25:$AW$25)))))</f>
        <v/>
      </c>
      <c r="S644" s="5">
        <f>SUMPRODUCT(('01_Data'!$B644:$AW644&lt;&gt;"")*(1/(1+EXP(-(Q644-'03_Lap_b'!$B$25:$AW$25))))^2)</f>
        <v/>
      </c>
      <c r="T644" s="5">
        <f>MEDIAN(-6,Q644+(C644-R644)/MAX(R644-S644,0.000000001),6)</f>
        <v/>
      </c>
      <c r="U644" s="5">
        <f>SUMPRODUCT(('01_Data'!$B644:$AW644&lt;&gt;"")*(1/(1+EXP(-(T644-'03_Lap_b'!$B$30:$AW$30)))))</f>
        <v/>
      </c>
      <c r="V644" s="5">
        <f>SUMPRODUCT(('01_Data'!$B644:$AW644&lt;&gt;"")*(1/(1+EXP(-(T644-'03_Lap_b'!$B$30:$AW$30))))^2)</f>
        <v/>
      </c>
      <c r="W644" s="5">
        <f>MEDIAN(-6,T644+(C644-U644)/MAX(U644-V644,0.000000001),6)</f>
        <v/>
      </c>
      <c r="X644" s="5">
        <f>SUMPRODUCT(('01_Data'!$B644:$AW644&lt;&gt;"")*(1/(1+EXP(-(W644-'03_Lap_b'!$B$35:$AW$35)))))</f>
        <v/>
      </c>
      <c r="Y644" s="5">
        <f>SUMPRODUCT(('01_Data'!$B644:$AW644&lt;&gt;"")*(1/(1+EXP(-(W644-'03_Lap_b'!$B$35:$AW$35))))^2)</f>
        <v/>
      </c>
      <c r="Z644" s="5">
        <f>MEDIAN(-6,W644+(C644-X644)/MAX(X644-Y644,0.000000001),6)</f>
        <v/>
      </c>
      <c r="AA644" s="5">
        <f>SUMPRODUCT(('01_Data'!$B644:$AW644&lt;&gt;"")*(1/(1+EXP(-(Z644-'03_Lap_b'!$B$40:$AW$40)))))</f>
        <v/>
      </c>
      <c r="AB644" s="5">
        <f>SUMPRODUCT(('01_Data'!$B644:$AW644&lt;&gt;"")*(1/(1+EXP(-(Z644-'03_Lap_b'!$B$40:$AW$40))))^2)</f>
        <v/>
      </c>
      <c r="AC644" s="5">
        <f>MEDIAN(-6,Z644+(C644-AA644)/MAX(AA644-AB644,0.000000001),6)</f>
        <v/>
      </c>
    </row>
    <row r="645">
      <c r="A645" t="n">
        <v>644</v>
      </c>
      <c r="B645">
        <f>'01_Data'!A645</f>
        <v/>
      </c>
      <c r="C645">
        <f>SUM('01_Data'!$B645:$AW645)</f>
        <v/>
      </c>
      <c r="D645">
        <f>COUNT('01_Data'!$B645:$AW645)</f>
        <v/>
      </c>
      <c r="E645" s="5">
        <f>MEDIAN(-6,LN((C645+0.3)/(D645-C645+0.3)),6)</f>
        <v/>
      </c>
      <c r="F645" s="5">
        <f>SUMPRODUCT(('01_Data'!$B645:$AW645&lt;&gt;"")*(1/(1+EXP(-(E645-'03_Lap_b'!$B$5:$AW$5)))))</f>
        <v/>
      </c>
      <c r="G645" s="5">
        <f>SUMPRODUCT(('01_Data'!$B645:$AW645&lt;&gt;"")*(1/(1+EXP(-(E645-'03_Lap_b'!$B$5:$AW$5))))^2)</f>
        <v/>
      </c>
      <c r="H645" s="5">
        <f>MEDIAN(-6,E645+(C645-F645)/MAX(F645-G645,0.000000001),6)</f>
        <v/>
      </c>
      <c r="I645" s="5">
        <f>SUMPRODUCT(('01_Data'!$B645:$AW645&lt;&gt;"")*(1/(1+EXP(-(H645-'03_Lap_b'!$B$10:$AW$10)))))</f>
        <v/>
      </c>
      <c r="J645" s="5">
        <f>SUMPRODUCT(('01_Data'!$B645:$AW645&lt;&gt;"")*(1/(1+EXP(-(H645-'03_Lap_b'!$B$10:$AW$10))))^2)</f>
        <v/>
      </c>
      <c r="K645" s="5">
        <f>MEDIAN(-6,H645+(C645-I645)/MAX(I645-J645,0.000000001),6)</f>
        <v/>
      </c>
      <c r="L645" s="5">
        <f>SUMPRODUCT(('01_Data'!$B645:$AW645&lt;&gt;"")*(1/(1+EXP(-(K645-'03_Lap_b'!$B$15:$AW$15)))))</f>
        <v/>
      </c>
      <c r="M645" s="5">
        <f>SUMPRODUCT(('01_Data'!$B645:$AW645&lt;&gt;"")*(1/(1+EXP(-(K645-'03_Lap_b'!$B$15:$AW$15))))^2)</f>
        <v/>
      </c>
      <c r="N645" s="5">
        <f>MEDIAN(-6,K645+(C645-L645)/MAX(L645-M645,0.000000001),6)</f>
        <v/>
      </c>
      <c r="O645" s="5">
        <f>SUMPRODUCT(('01_Data'!$B645:$AW645&lt;&gt;"")*(1/(1+EXP(-(N645-'03_Lap_b'!$B$20:$AW$20)))))</f>
        <v/>
      </c>
      <c r="P645" s="5">
        <f>SUMPRODUCT(('01_Data'!$B645:$AW645&lt;&gt;"")*(1/(1+EXP(-(N645-'03_Lap_b'!$B$20:$AW$20))))^2)</f>
        <v/>
      </c>
      <c r="Q645" s="5">
        <f>MEDIAN(-6,N645+(C645-O645)/MAX(O645-P645,0.000000001),6)</f>
        <v/>
      </c>
      <c r="R645" s="5">
        <f>SUMPRODUCT(('01_Data'!$B645:$AW645&lt;&gt;"")*(1/(1+EXP(-(Q645-'03_Lap_b'!$B$25:$AW$25)))))</f>
        <v/>
      </c>
      <c r="S645" s="5">
        <f>SUMPRODUCT(('01_Data'!$B645:$AW645&lt;&gt;"")*(1/(1+EXP(-(Q645-'03_Lap_b'!$B$25:$AW$25))))^2)</f>
        <v/>
      </c>
      <c r="T645" s="5">
        <f>MEDIAN(-6,Q645+(C645-R645)/MAX(R645-S645,0.000000001),6)</f>
        <v/>
      </c>
      <c r="U645" s="5">
        <f>SUMPRODUCT(('01_Data'!$B645:$AW645&lt;&gt;"")*(1/(1+EXP(-(T645-'03_Lap_b'!$B$30:$AW$30)))))</f>
        <v/>
      </c>
      <c r="V645" s="5">
        <f>SUMPRODUCT(('01_Data'!$B645:$AW645&lt;&gt;"")*(1/(1+EXP(-(T645-'03_Lap_b'!$B$30:$AW$30))))^2)</f>
        <v/>
      </c>
      <c r="W645" s="5">
        <f>MEDIAN(-6,T645+(C645-U645)/MAX(U645-V645,0.000000001),6)</f>
        <v/>
      </c>
      <c r="X645" s="5">
        <f>SUMPRODUCT(('01_Data'!$B645:$AW645&lt;&gt;"")*(1/(1+EXP(-(W645-'03_Lap_b'!$B$35:$AW$35)))))</f>
        <v/>
      </c>
      <c r="Y645" s="5">
        <f>SUMPRODUCT(('01_Data'!$B645:$AW645&lt;&gt;"")*(1/(1+EXP(-(W645-'03_Lap_b'!$B$35:$AW$35))))^2)</f>
        <v/>
      </c>
      <c r="Z645" s="5">
        <f>MEDIAN(-6,W645+(C645-X645)/MAX(X645-Y645,0.000000001),6)</f>
        <v/>
      </c>
      <c r="AA645" s="5">
        <f>SUMPRODUCT(('01_Data'!$B645:$AW645&lt;&gt;"")*(1/(1+EXP(-(Z645-'03_Lap_b'!$B$40:$AW$40)))))</f>
        <v/>
      </c>
      <c r="AB645" s="5">
        <f>SUMPRODUCT(('01_Data'!$B645:$AW645&lt;&gt;"")*(1/(1+EXP(-(Z645-'03_Lap_b'!$B$40:$AW$40))))^2)</f>
        <v/>
      </c>
      <c r="AC645" s="5">
        <f>MEDIAN(-6,Z645+(C645-AA645)/MAX(AA645-AB645,0.000000001),6)</f>
        <v/>
      </c>
    </row>
    <row r="646">
      <c r="A646" t="n">
        <v>645</v>
      </c>
      <c r="B646">
        <f>'01_Data'!A646</f>
        <v/>
      </c>
      <c r="C646">
        <f>SUM('01_Data'!$B646:$AW646)</f>
        <v/>
      </c>
      <c r="D646">
        <f>COUNT('01_Data'!$B646:$AW646)</f>
        <v/>
      </c>
      <c r="E646" s="5">
        <f>MEDIAN(-6,LN((C646+0.3)/(D646-C646+0.3)),6)</f>
        <v/>
      </c>
      <c r="F646" s="5">
        <f>SUMPRODUCT(('01_Data'!$B646:$AW646&lt;&gt;"")*(1/(1+EXP(-(E646-'03_Lap_b'!$B$5:$AW$5)))))</f>
        <v/>
      </c>
      <c r="G646" s="5">
        <f>SUMPRODUCT(('01_Data'!$B646:$AW646&lt;&gt;"")*(1/(1+EXP(-(E646-'03_Lap_b'!$B$5:$AW$5))))^2)</f>
        <v/>
      </c>
      <c r="H646" s="5">
        <f>MEDIAN(-6,E646+(C646-F646)/MAX(F646-G646,0.000000001),6)</f>
        <v/>
      </c>
      <c r="I646" s="5">
        <f>SUMPRODUCT(('01_Data'!$B646:$AW646&lt;&gt;"")*(1/(1+EXP(-(H646-'03_Lap_b'!$B$10:$AW$10)))))</f>
        <v/>
      </c>
      <c r="J646" s="5">
        <f>SUMPRODUCT(('01_Data'!$B646:$AW646&lt;&gt;"")*(1/(1+EXP(-(H646-'03_Lap_b'!$B$10:$AW$10))))^2)</f>
        <v/>
      </c>
      <c r="K646" s="5">
        <f>MEDIAN(-6,H646+(C646-I646)/MAX(I646-J646,0.000000001),6)</f>
        <v/>
      </c>
      <c r="L646" s="5">
        <f>SUMPRODUCT(('01_Data'!$B646:$AW646&lt;&gt;"")*(1/(1+EXP(-(K646-'03_Lap_b'!$B$15:$AW$15)))))</f>
        <v/>
      </c>
      <c r="M646" s="5">
        <f>SUMPRODUCT(('01_Data'!$B646:$AW646&lt;&gt;"")*(1/(1+EXP(-(K646-'03_Lap_b'!$B$15:$AW$15))))^2)</f>
        <v/>
      </c>
      <c r="N646" s="5">
        <f>MEDIAN(-6,K646+(C646-L646)/MAX(L646-M646,0.000000001),6)</f>
        <v/>
      </c>
      <c r="O646" s="5">
        <f>SUMPRODUCT(('01_Data'!$B646:$AW646&lt;&gt;"")*(1/(1+EXP(-(N646-'03_Lap_b'!$B$20:$AW$20)))))</f>
        <v/>
      </c>
      <c r="P646" s="5">
        <f>SUMPRODUCT(('01_Data'!$B646:$AW646&lt;&gt;"")*(1/(1+EXP(-(N646-'03_Lap_b'!$B$20:$AW$20))))^2)</f>
        <v/>
      </c>
      <c r="Q646" s="5">
        <f>MEDIAN(-6,N646+(C646-O646)/MAX(O646-P646,0.000000001),6)</f>
        <v/>
      </c>
      <c r="R646" s="5">
        <f>SUMPRODUCT(('01_Data'!$B646:$AW646&lt;&gt;"")*(1/(1+EXP(-(Q646-'03_Lap_b'!$B$25:$AW$25)))))</f>
        <v/>
      </c>
      <c r="S646" s="5">
        <f>SUMPRODUCT(('01_Data'!$B646:$AW646&lt;&gt;"")*(1/(1+EXP(-(Q646-'03_Lap_b'!$B$25:$AW$25))))^2)</f>
        <v/>
      </c>
      <c r="T646" s="5">
        <f>MEDIAN(-6,Q646+(C646-R646)/MAX(R646-S646,0.000000001),6)</f>
        <v/>
      </c>
      <c r="U646" s="5">
        <f>SUMPRODUCT(('01_Data'!$B646:$AW646&lt;&gt;"")*(1/(1+EXP(-(T646-'03_Lap_b'!$B$30:$AW$30)))))</f>
        <v/>
      </c>
      <c r="V646" s="5">
        <f>SUMPRODUCT(('01_Data'!$B646:$AW646&lt;&gt;"")*(1/(1+EXP(-(T646-'03_Lap_b'!$B$30:$AW$30))))^2)</f>
        <v/>
      </c>
      <c r="W646" s="5">
        <f>MEDIAN(-6,T646+(C646-U646)/MAX(U646-V646,0.000000001),6)</f>
        <v/>
      </c>
      <c r="X646" s="5">
        <f>SUMPRODUCT(('01_Data'!$B646:$AW646&lt;&gt;"")*(1/(1+EXP(-(W646-'03_Lap_b'!$B$35:$AW$35)))))</f>
        <v/>
      </c>
      <c r="Y646" s="5">
        <f>SUMPRODUCT(('01_Data'!$B646:$AW646&lt;&gt;"")*(1/(1+EXP(-(W646-'03_Lap_b'!$B$35:$AW$35))))^2)</f>
        <v/>
      </c>
      <c r="Z646" s="5">
        <f>MEDIAN(-6,W646+(C646-X646)/MAX(X646-Y646,0.000000001),6)</f>
        <v/>
      </c>
      <c r="AA646" s="5">
        <f>SUMPRODUCT(('01_Data'!$B646:$AW646&lt;&gt;"")*(1/(1+EXP(-(Z646-'03_Lap_b'!$B$40:$AW$40)))))</f>
        <v/>
      </c>
      <c r="AB646" s="5">
        <f>SUMPRODUCT(('01_Data'!$B646:$AW646&lt;&gt;"")*(1/(1+EXP(-(Z646-'03_Lap_b'!$B$40:$AW$40))))^2)</f>
        <v/>
      </c>
      <c r="AC646" s="5">
        <f>MEDIAN(-6,Z646+(C646-AA646)/MAX(AA646-AB646,0.000000001),6)</f>
        <v/>
      </c>
    </row>
    <row r="647">
      <c r="A647" t="n">
        <v>646</v>
      </c>
      <c r="B647">
        <f>'01_Data'!A647</f>
        <v/>
      </c>
      <c r="C647">
        <f>SUM('01_Data'!$B647:$AW647)</f>
        <v/>
      </c>
      <c r="D647">
        <f>COUNT('01_Data'!$B647:$AW647)</f>
        <v/>
      </c>
      <c r="E647" s="5">
        <f>MEDIAN(-6,LN((C647+0.3)/(D647-C647+0.3)),6)</f>
        <v/>
      </c>
      <c r="F647" s="5">
        <f>SUMPRODUCT(('01_Data'!$B647:$AW647&lt;&gt;"")*(1/(1+EXP(-(E647-'03_Lap_b'!$B$5:$AW$5)))))</f>
        <v/>
      </c>
      <c r="G647" s="5">
        <f>SUMPRODUCT(('01_Data'!$B647:$AW647&lt;&gt;"")*(1/(1+EXP(-(E647-'03_Lap_b'!$B$5:$AW$5))))^2)</f>
        <v/>
      </c>
      <c r="H647" s="5">
        <f>MEDIAN(-6,E647+(C647-F647)/MAX(F647-G647,0.000000001),6)</f>
        <v/>
      </c>
      <c r="I647" s="5">
        <f>SUMPRODUCT(('01_Data'!$B647:$AW647&lt;&gt;"")*(1/(1+EXP(-(H647-'03_Lap_b'!$B$10:$AW$10)))))</f>
        <v/>
      </c>
      <c r="J647" s="5">
        <f>SUMPRODUCT(('01_Data'!$B647:$AW647&lt;&gt;"")*(1/(1+EXP(-(H647-'03_Lap_b'!$B$10:$AW$10))))^2)</f>
        <v/>
      </c>
      <c r="K647" s="5">
        <f>MEDIAN(-6,H647+(C647-I647)/MAX(I647-J647,0.000000001),6)</f>
        <v/>
      </c>
      <c r="L647" s="5">
        <f>SUMPRODUCT(('01_Data'!$B647:$AW647&lt;&gt;"")*(1/(1+EXP(-(K647-'03_Lap_b'!$B$15:$AW$15)))))</f>
        <v/>
      </c>
      <c r="M647" s="5">
        <f>SUMPRODUCT(('01_Data'!$B647:$AW647&lt;&gt;"")*(1/(1+EXP(-(K647-'03_Lap_b'!$B$15:$AW$15))))^2)</f>
        <v/>
      </c>
      <c r="N647" s="5">
        <f>MEDIAN(-6,K647+(C647-L647)/MAX(L647-M647,0.000000001),6)</f>
        <v/>
      </c>
      <c r="O647" s="5">
        <f>SUMPRODUCT(('01_Data'!$B647:$AW647&lt;&gt;"")*(1/(1+EXP(-(N647-'03_Lap_b'!$B$20:$AW$20)))))</f>
        <v/>
      </c>
      <c r="P647" s="5">
        <f>SUMPRODUCT(('01_Data'!$B647:$AW647&lt;&gt;"")*(1/(1+EXP(-(N647-'03_Lap_b'!$B$20:$AW$20))))^2)</f>
        <v/>
      </c>
      <c r="Q647" s="5">
        <f>MEDIAN(-6,N647+(C647-O647)/MAX(O647-P647,0.000000001),6)</f>
        <v/>
      </c>
      <c r="R647" s="5">
        <f>SUMPRODUCT(('01_Data'!$B647:$AW647&lt;&gt;"")*(1/(1+EXP(-(Q647-'03_Lap_b'!$B$25:$AW$25)))))</f>
        <v/>
      </c>
      <c r="S647" s="5">
        <f>SUMPRODUCT(('01_Data'!$B647:$AW647&lt;&gt;"")*(1/(1+EXP(-(Q647-'03_Lap_b'!$B$25:$AW$25))))^2)</f>
        <v/>
      </c>
      <c r="T647" s="5">
        <f>MEDIAN(-6,Q647+(C647-R647)/MAX(R647-S647,0.000000001),6)</f>
        <v/>
      </c>
      <c r="U647" s="5">
        <f>SUMPRODUCT(('01_Data'!$B647:$AW647&lt;&gt;"")*(1/(1+EXP(-(T647-'03_Lap_b'!$B$30:$AW$30)))))</f>
        <v/>
      </c>
      <c r="V647" s="5">
        <f>SUMPRODUCT(('01_Data'!$B647:$AW647&lt;&gt;"")*(1/(1+EXP(-(T647-'03_Lap_b'!$B$30:$AW$30))))^2)</f>
        <v/>
      </c>
      <c r="W647" s="5">
        <f>MEDIAN(-6,T647+(C647-U647)/MAX(U647-V647,0.000000001),6)</f>
        <v/>
      </c>
      <c r="X647" s="5">
        <f>SUMPRODUCT(('01_Data'!$B647:$AW647&lt;&gt;"")*(1/(1+EXP(-(W647-'03_Lap_b'!$B$35:$AW$35)))))</f>
        <v/>
      </c>
      <c r="Y647" s="5">
        <f>SUMPRODUCT(('01_Data'!$B647:$AW647&lt;&gt;"")*(1/(1+EXP(-(W647-'03_Lap_b'!$B$35:$AW$35))))^2)</f>
        <v/>
      </c>
      <c r="Z647" s="5">
        <f>MEDIAN(-6,W647+(C647-X647)/MAX(X647-Y647,0.000000001),6)</f>
        <v/>
      </c>
      <c r="AA647" s="5">
        <f>SUMPRODUCT(('01_Data'!$B647:$AW647&lt;&gt;"")*(1/(1+EXP(-(Z647-'03_Lap_b'!$B$40:$AW$40)))))</f>
        <v/>
      </c>
      <c r="AB647" s="5">
        <f>SUMPRODUCT(('01_Data'!$B647:$AW647&lt;&gt;"")*(1/(1+EXP(-(Z647-'03_Lap_b'!$B$40:$AW$40))))^2)</f>
        <v/>
      </c>
      <c r="AC647" s="5">
        <f>MEDIAN(-6,Z647+(C647-AA647)/MAX(AA647-AB647,0.000000001),6)</f>
        <v/>
      </c>
    </row>
    <row r="648">
      <c r="A648" t="n">
        <v>647</v>
      </c>
      <c r="B648">
        <f>'01_Data'!A648</f>
        <v/>
      </c>
      <c r="C648">
        <f>SUM('01_Data'!$B648:$AW648)</f>
        <v/>
      </c>
      <c r="D648">
        <f>COUNT('01_Data'!$B648:$AW648)</f>
        <v/>
      </c>
      <c r="E648" s="5">
        <f>MEDIAN(-6,LN((C648+0.3)/(D648-C648+0.3)),6)</f>
        <v/>
      </c>
      <c r="F648" s="5">
        <f>SUMPRODUCT(('01_Data'!$B648:$AW648&lt;&gt;"")*(1/(1+EXP(-(E648-'03_Lap_b'!$B$5:$AW$5)))))</f>
        <v/>
      </c>
      <c r="G648" s="5">
        <f>SUMPRODUCT(('01_Data'!$B648:$AW648&lt;&gt;"")*(1/(1+EXP(-(E648-'03_Lap_b'!$B$5:$AW$5))))^2)</f>
        <v/>
      </c>
      <c r="H648" s="5">
        <f>MEDIAN(-6,E648+(C648-F648)/MAX(F648-G648,0.000000001),6)</f>
        <v/>
      </c>
      <c r="I648" s="5">
        <f>SUMPRODUCT(('01_Data'!$B648:$AW648&lt;&gt;"")*(1/(1+EXP(-(H648-'03_Lap_b'!$B$10:$AW$10)))))</f>
        <v/>
      </c>
      <c r="J648" s="5">
        <f>SUMPRODUCT(('01_Data'!$B648:$AW648&lt;&gt;"")*(1/(1+EXP(-(H648-'03_Lap_b'!$B$10:$AW$10))))^2)</f>
        <v/>
      </c>
      <c r="K648" s="5">
        <f>MEDIAN(-6,H648+(C648-I648)/MAX(I648-J648,0.000000001),6)</f>
        <v/>
      </c>
      <c r="L648" s="5">
        <f>SUMPRODUCT(('01_Data'!$B648:$AW648&lt;&gt;"")*(1/(1+EXP(-(K648-'03_Lap_b'!$B$15:$AW$15)))))</f>
        <v/>
      </c>
      <c r="M648" s="5">
        <f>SUMPRODUCT(('01_Data'!$B648:$AW648&lt;&gt;"")*(1/(1+EXP(-(K648-'03_Lap_b'!$B$15:$AW$15))))^2)</f>
        <v/>
      </c>
      <c r="N648" s="5">
        <f>MEDIAN(-6,K648+(C648-L648)/MAX(L648-M648,0.000000001),6)</f>
        <v/>
      </c>
      <c r="O648" s="5">
        <f>SUMPRODUCT(('01_Data'!$B648:$AW648&lt;&gt;"")*(1/(1+EXP(-(N648-'03_Lap_b'!$B$20:$AW$20)))))</f>
        <v/>
      </c>
      <c r="P648" s="5">
        <f>SUMPRODUCT(('01_Data'!$B648:$AW648&lt;&gt;"")*(1/(1+EXP(-(N648-'03_Lap_b'!$B$20:$AW$20))))^2)</f>
        <v/>
      </c>
      <c r="Q648" s="5">
        <f>MEDIAN(-6,N648+(C648-O648)/MAX(O648-P648,0.000000001),6)</f>
        <v/>
      </c>
      <c r="R648" s="5">
        <f>SUMPRODUCT(('01_Data'!$B648:$AW648&lt;&gt;"")*(1/(1+EXP(-(Q648-'03_Lap_b'!$B$25:$AW$25)))))</f>
        <v/>
      </c>
      <c r="S648" s="5">
        <f>SUMPRODUCT(('01_Data'!$B648:$AW648&lt;&gt;"")*(1/(1+EXP(-(Q648-'03_Lap_b'!$B$25:$AW$25))))^2)</f>
        <v/>
      </c>
      <c r="T648" s="5">
        <f>MEDIAN(-6,Q648+(C648-R648)/MAX(R648-S648,0.000000001),6)</f>
        <v/>
      </c>
      <c r="U648" s="5">
        <f>SUMPRODUCT(('01_Data'!$B648:$AW648&lt;&gt;"")*(1/(1+EXP(-(T648-'03_Lap_b'!$B$30:$AW$30)))))</f>
        <v/>
      </c>
      <c r="V648" s="5">
        <f>SUMPRODUCT(('01_Data'!$B648:$AW648&lt;&gt;"")*(1/(1+EXP(-(T648-'03_Lap_b'!$B$30:$AW$30))))^2)</f>
        <v/>
      </c>
      <c r="W648" s="5">
        <f>MEDIAN(-6,T648+(C648-U648)/MAX(U648-V648,0.000000001),6)</f>
        <v/>
      </c>
      <c r="X648" s="5">
        <f>SUMPRODUCT(('01_Data'!$B648:$AW648&lt;&gt;"")*(1/(1+EXP(-(W648-'03_Lap_b'!$B$35:$AW$35)))))</f>
        <v/>
      </c>
      <c r="Y648" s="5">
        <f>SUMPRODUCT(('01_Data'!$B648:$AW648&lt;&gt;"")*(1/(1+EXP(-(W648-'03_Lap_b'!$B$35:$AW$35))))^2)</f>
        <v/>
      </c>
      <c r="Z648" s="5">
        <f>MEDIAN(-6,W648+(C648-X648)/MAX(X648-Y648,0.000000001),6)</f>
        <v/>
      </c>
      <c r="AA648" s="5">
        <f>SUMPRODUCT(('01_Data'!$B648:$AW648&lt;&gt;"")*(1/(1+EXP(-(Z648-'03_Lap_b'!$B$40:$AW$40)))))</f>
        <v/>
      </c>
      <c r="AB648" s="5">
        <f>SUMPRODUCT(('01_Data'!$B648:$AW648&lt;&gt;"")*(1/(1+EXP(-(Z648-'03_Lap_b'!$B$40:$AW$40))))^2)</f>
        <v/>
      </c>
      <c r="AC648" s="5">
        <f>MEDIAN(-6,Z648+(C648-AA648)/MAX(AA648-AB648,0.000000001),6)</f>
        <v/>
      </c>
    </row>
    <row r="649">
      <c r="A649" t="n">
        <v>648</v>
      </c>
      <c r="B649">
        <f>'01_Data'!A649</f>
        <v/>
      </c>
      <c r="C649">
        <f>SUM('01_Data'!$B649:$AW649)</f>
        <v/>
      </c>
      <c r="D649">
        <f>COUNT('01_Data'!$B649:$AW649)</f>
        <v/>
      </c>
      <c r="E649" s="5">
        <f>MEDIAN(-6,LN((C649+0.3)/(D649-C649+0.3)),6)</f>
        <v/>
      </c>
      <c r="F649" s="5">
        <f>SUMPRODUCT(('01_Data'!$B649:$AW649&lt;&gt;"")*(1/(1+EXP(-(E649-'03_Lap_b'!$B$5:$AW$5)))))</f>
        <v/>
      </c>
      <c r="G649" s="5">
        <f>SUMPRODUCT(('01_Data'!$B649:$AW649&lt;&gt;"")*(1/(1+EXP(-(E649-'03_Lap_b'!$B$5:$AW$5))))^2)</f>
        <v/>
      </c>
      <c r="H649" s="5">
        <f>MEDIAN(-6,E649+(C649-F649)/MAX(F649-G649,0.000000001),6)</f>
        <v/>
      </c>
      <c r="I649" s="5">
        <f>SUMPRODUCT(('01_Data'!$B649:$AW649&lt;&gt;"")*(1/(1+EXP(-(H649-'03_Lap_b'!$B$10:$AW$10)))))</f>
        <v/>
      </c>
      <c r="J649" s="5">
        <f>SUMPRODUCT(('01_Data'!$B649:$AW649&lt;&gt;"")*(1/(1+EXP(-(H649-'03_Lap_b'!$B$10:$AW$10))))^2)</f>
        <v/>
      </c>
      <c r="K649" s="5">
        <f>MEDIAN(-6,H649+(C649-I649)/MAX(I649-J649,0.000000001),6)</f>
        <v/>
      </c>
      <c r="L649" s="5">
        <f>SUMPRODUCT(('01_Data'!$B649:$AW649&lt;&gt;"")*(1/(1+EXP(-(K649-'03_Lap_b'!$B$15:$AW$15)))))</f>
        <v/>
      </c>
      <c r="M649" s="5">
        <f>SUMPRODUCT(('01_Data'!$B649:$AW649&lt;&gt;"")*(1/(1+EXP(-(K649-'03_Lap_b'!$B$15:$AW$15))))^2)</f>
        <v/>
      </c>
      <c r="N649" s="5">
        <f>MEDIAN(-6,K649+(C649-L649)/MAX(L649-M649,0.000000001),6)</f>
        <v/>
      </c>
      <c r="O649" s="5">
        <f>SUMPRODUCT(('01_Data'!$B649:$AW649&lt;&gt;"")*(1/(1+EXP(-(N649-'03_Lap_b'!$B$20:$AW$20)))))</f>
        <v/>
      </c>
      <c r="P649" s="5">
        <f>SUMPRODUCT(('01_Data'!$B649:$AW649&lt;&gt;"")*(1/(1+EXP(-(N649-'03_Lap_b'!$B$20:$AW$20))))^2)</f>
        <v/>
      </c>
      <c r="Q649" s="5">
        <f>MEDIAN(-6,N649+(C649-O649)/MAX(O649-P649,0.000000001),6)</f>
        <v/>
      </c>
      <c r="R649" s="5">
        <f>SUMPRODUCT(('01_Data'!$B649:$AW649&lt;&gt;"")*(1/(1+EXP(-(Q649-'03_Lap_b'!$B$25:$AW$25)))))</f>
        <v/>
      </c>
      <c r="S649" s="5">
        <f>SUMPRODUCT(('01_Data'!$B649:$AW649&lt;&gt;"")*(1/(1+EXP(-(Q649-'03_Lap_b'!$B$25:$AW$25))))^2)</f>
        <v/>
      </c>
      <c r="T649" s="5">
        <f>MEDIAN(-6,Q649+(C649-R649)/MAX(R649-S649,0.000000001),6)</f>
        <v/>
      </c>
      <c r="U649" s="5">
        <f>SUMPRODUCT(('01_Data'!$B649:$AW649&lt;&gt;"")*(1/(1+EXP(-(T649-'03_Lap_b'!$B$30:$AW$30)))))</f>
        <v/>
      </c>
      <c r="V649" s="5">
        <f>SUMPRODUCT(('01_Data'!$B649:$AW649&lt;&gt;"")*(1/(1+EXP(-(T649-'03_Lap_b'!$B$30:$AW$30))))^2)</f>
        <v/>
      </c>
      <c r="W649" s="5">
        <f>MEDIAN(-6,T649+(C649-U649)/MAX(U649-V649,0.000000001),6)</f>
        <v/>
      </c>
      <c r="X649" s="5">
        <f>SUMPRODUCT(('01_Data'!$B649:$AW649&lt;&gt;"")*(1/(1+EXP(-(W649-'03_Lap_b'!$B$35:$AW$35)))))</f>
        <v/>
      </c>
      <c r="Y649" s="5">
        <f>SUMPRODUCT(('01_Data'!$B649:$AW649&lt;&gt;"")*(1/(1+EXP(-(W649-'03_Lap_b'!$B$35:$AW$35))))^2)</f>
        <v/>
      </c>
      <c r="Z649" s="5">
        <f>MEDIAN(-6,W649+(C649-X649)/MAX(X649-Y649,0.000000001),6)</f>
        <v/>
      </c>
      <c r="AA649" s="5">
        <f>SUMPRODUCT(('01_Data'!$B649:$AW649&lt;&gt;"")*(1/(1+EXP(-(Z649-'03_Lap_b'!$B$40:$AW$40)))))</f>
        <v/>
      </c>
      <c r="AB649" s="5">
        <f>SUMPRODUCT(('01_Data'!$B649:$AW649&lt;&gt;"")*(1/(1+EXP(-(Z649-'03_Lap_b'!$B$40:$AW$40))))^2)</f>
        <v/>
      </c>
      <c r="AC649" s="5">
        <f>MEDIAN(-6,Z649+(C649-AA649)/MAX(AA649-AB649,0.000000001),6)</f>
        <v/>
      </c>
    </row>
    <row r="650">
      <c r="A650" t="n">
        <v>649</v>
      </c>
      <c r="B650">
        <f>'01_Data'!A650</f>
        <v/>
      </c>
      <c r="C650">
        <f>SUM('01_Data'!$B650:$AW650)</f>
        <v/>
      </c>
      <c r="D650">
        <f>COUNT('01_Data'!$B650:$AW650)</f>
        <v/>
      </c>
      <c r="E650" s="5">
        <f>MEDIAN(-6,LN((C650+0.3)/(D650-C650+0.3)),6)</f>
        <v/>
      </c>
      <c r="F650" s="5">
        <f>SUMPRODUCT(('01_Data'!$B650:$AW650&lt;&gt;"")*(1/(1+EXP(-(E650-'03_Lap_b'!$B$5:$AW$5)))))</f>
        <v/>
      </c>
      <c r="G650" s="5">
        <f>SUMPRODUCT(('01_Data'!$B650:$AW650&lt;&gt;"")*(1/(1+EXP(-(E650-'03_Lap_b'!$B$5:$AW$5))))^2)</f>
        <v/>
      </c>
      <c r="H650" s="5">
        <f>MEDIAN(-6,E650+(C650-F650)/MAX(F650-G650,0.000000001),6)</f>
        <v/>
      </c>
      <c r="I650" s="5">
        <f>SUMPRODUCT(('01_Data'!$B650:$AW650&lt;&gt;"")*(1/(1+EXP(-(H650-'03_Lap_b'!$B$10:$AW$10)))))</f>
        <v/>
      </c>
      <c r="J650" s="5">
        <f>SUMPRODUCT(('01_Data'!$B650:$AW650&lt;&gt;"")*(1/(1+EXP(-(H650-'03_Lap_b'!$B$10:$AW$10))))^2)</f>
        <v/>
      </c>
      <c r="K650" s="5">
        <f>MEDIAN(-6,H650+(C650-I650)/MAX(I650-J650,0.000000001),6)</f>
        <v/>
      </c>
      <c r="L650" s="5">
        <f>SUMPRODUCT(('01_Data'!$B650:$AW650&lt;&gt;"")*(1/(1+EXP(-(K650-'03_Lap_b'!$B$15:$AW$15)))))</f>
        <v/>
      </c>
      <c r="M650" s="5">
        <f>SUMPRODUCT(('01_Data'!$B650:$AW650&lt;&gt;"")*(1/(1+EXP(-(K650-'03_Lap_b'!$B$15:$AW$15))))^2)</f>
        <v/>
      </c>
      <c r="N650" s="5">
        <f>MEDIAN(-6,K650+(C650-L650)/MAX(L650-M650,0.000000001),6)</f>
        <v/>
      </c>
      <c r="O650" s="5">
        <f>SUMPRODUCT(('01_Data'!$B650:$AW650&lt;&gt;"")*(1/(1+EXP(-(N650-'03_Lap_b'!$B$20:$AW$20)))))</f>
        <v/>
      </c>
      <c r="P650" s="5">
        <f>SUMPRODUCT(('01_Data'!$B650:$AW650&lt;&gt;"")*(1/(1+EXP(-(N650-'03_Lap_b'!$B$20:$AW$20))))^2)</f>
        <v/>
      </c>
      <c r="Q650" s="5">
        <f>MEDIAN(-6,N650+(C650-O650)/MAX(O650-P650,0.000000001),6)</f>
        <v/>
      </c>
      <c r="R650" s="5">
        <f>SUMPRODUCT(('01_Data'!$B650:$AW650&lt;&gt;"")*(1/(1+EXP(-(Q650-'03_Lap_b'!$B$25:$AW$25)))))</f>
        <v/>
      </c>
      <c r="S650" s="5">
        <f>SUMPRODUCT(('01_Data'!$B650:$AW650&lt;&gt;"")*(1/(1+EXP(-(Q650-'03_Lap_b'!$B$25:$AW$25))))^2)</f>
        <v/>
      </c>
      <c r="T650" s="5">
        <f>MEDIAN(-6,Q650+(C650-R650)/MAX(R650-S650,0.000000001),6)</f>
        <v/>
      </c>
      <c r="U650" s="5">
        <f>SUMPRODUCT(('01_Data'!$B650:$AW650&lt;&gt;"")*(1/(1+EXP(-(T650-'03_Lap_b'!$B$30:$AW$30)))))</f>
        <v/>
      </c>
      <c r="V650" s="5">
        <f>SUMPRODUCT(('01_Data'!$B650:$AW650&lt;&gt;"")*(1/(1+EXP(-(T650-'03_Lap_b'!$B$30:$AW$30))))^2)</f>
        <v/>
      </c>
      <c r="W650" s="5">
        <f>MEDIAN(-6,T650+(C650-U650)/MAX(U650-V650,0.000000001),6)</f>
        <v/>
      </c>
      <c r="X650" s="5">
        <f>SUMPRODUCT(('01_Data'!$B650:$AW650&lt;&gt;"")*(1/(1+EXP(-(W650-'03_Lap_b'!$B$35:$AW$35)))))</f>
        <v/>
      </c>
      <c r="Y650" s="5">
        <f>SUMPRODUCT(('01_Data'!$B650:$AW650&lt;&gt;"")*(1/(1+EXP(-(W650-'03_Lap_b'!$B$35:$AW$35))))^2)</f>
        <v/>
      </c>
      <c r="Z650" s="5">
        <f>MEDIAN(-6,W650+(C650-X650)/MAX(X650-Y650,0.000000001),6)</f>
        <v/>
      </c>
      <c r="AA650" s="5">
        <f>SUMPRODUCT(('01_Data'!$B650:$AW650&lt;&gt;"")*(1/(1+EXP(-(Z650-'03_Lap_b'!$B$40:$AW$40)))))</f>
        <v/>
      </c>
      <c r="AB650" s="5">
        <f>SUMPRODUCT(('01_Data'!$B650:$AW650&lt;&gt;"")*(1/(1+EXP(-(Z650-'03_Lap_b'!$B$40:$AW$40))))^2)</f>
        <v/>
      </c>
      <c r="AC650" s="5">
        <f>MEDIAN(-6,Z650+(C650-AA650)/MAX(AA650-AB650,0.000000001),6)</f>
        <v/>
      </c>
    </row>
    <row r="651">
      <c r="A651" t="n">
        <v>650</v>
      </c>
      <c r="B651">
        <f>'01_Data'!A651</f>
        <v/>
      </c>
      <c r="C651">
        <f>SUM('01_Data'!$B651:$AW651)</f>
        <v/>
      </c>
      <c r="D651">
        <f>COUNT('01_Data'!$B651:$AW651)</f>
        <v/>
      </c>
      <c r="E651" s="5">
        <f>MEDIAN(-6,LN((C651+0.3)/(D651-C651+0.3)),6)</f>
        <v/>
      </c>
      <c r="F651" s="5">
        <f>SUMPRODUCT(('01_Data'!$B651:$AW651&lt;&gt;"")*(1/(1+EXP(-(E651-'03_Lap_b'!$B$5:$AW$5)))))</f>
        <v/>
      </c>
      <c r="G651" s="5">
        <f>SUMPRODUCT(('01_Data'!$B651:$AW651&lt;&gt;"")*(1/(1+EXP(-(E651-'03_Lap_b'!$B$5:$AW$5))))^2)</f>
        <v/>
      </c>
      <c r="H651" s="5">
        <f>MEDIAN(-6,E651+(C651-F651)/MAX(F651-G651,0.000000001),6)</f>
        <v/>
      </c>
      <c r="I651" s="5">
        <f>SUMPRODUCT(('01_Data'!$B651:$AW651&lt;&gt;"")*(1/(1+EXP(-(H651-'03_Lap_b'!$B$10:$AW$10)))))</f>
        <v/>
      </c>
      <c r="J651" s="5">
        <f>SUMPRODUCT(('01_Data'!$B651:$AW651&lt;&gt;"")*(1/(1+EXP(-(H651-'03_Lap_b'!$B$10:$AW$10))))^2)</f>
        <v/>
      </c>
      <c r="K651" s="5">
        <f>MEDIAN(-6,H651+(C651-I651)/MAX(I651-J651,0.000000001),6)</f>
        <v/>
      </c>
      <c r="L651" s="5">
        <f>SUMPRODUCT(('01_Data'!$B651:$AW651&lt;&gt;"")*(1/(1+EXP(-(K651-'03_Lap_b'!$B$15:$AW$15)))))</f>
        <v/>
      </c>
      <c r="M651" s="5">
        <f>SUMPRODUCT(('01_Data'!$B651:$AW651&lt;&gt;"")*(1/(1+EXP(-(K651-'03_Lap_b'!$B$15:$AW$15))))^2)</f>
        <v/>
      </c>
      <c r="N651" s="5">
        <f>MEDIAN(-6,K651+(C651-L651)/MAX(L651-M651,0.000000001),6)</f>
        <v/>
      </c>
      <c r="O651" s="5">
        <f>SUMPRODUCT(('01_Data'!$B651:$AW651&lt;&gt;"")*(1/(1+EXP(-(N651-'03_Lap_b'!$B$20:$AW$20)))))</f>
        <v/>
      </c>
      <c r="P651" s="5">
        <f>SUMPRODUCT(('01_Data'!$B651:$AW651&lt;&gt;"")*(1/(1+EXP(-(N651-'03_Lap_b'!$B$20:$AW$20))))^2)</f>
        <v/>
      </c>
      <c r="Q651" s="5">
        <f>MEDIAN(-6,N651+(C651-O651)/MAX(O651-P651,0.000000001),6)</f>
        <v/>
      </c>
      <c r="R651" s="5">
        <f>SUMPRODUCT(('01_Data'!$B651:$AW651&lt;&gt;"")*(1/(1+EXP(-(Q651-'03_Lap_b'!$B$25:$AW$25)))))</f>
        <v/>
      </c>
      <c r="S651" s="5">
        <f>SUMPRODUCT(('01_Data'!$B651:$AW651&lt;&gt;"")*(1/(1+EXP(-(Q651-'03_Lap_b'!$B$25:$AW$25))))^2)</f>
        <v/>
      </c>
      <c r="T651" s="5">
        <f>MEDIAN(-6,Q651+(C651-R651)/MAX(R651-S651,0.000000001),6)</f>
        <v/>
      </c>
      <c r="U651" s="5">
        <f>SUMPRODUCT(('01_Data'!$B651:$AW651&lt;&gt;"")*(1/(1+EXP(-(T651-'03_Lap_b'!$B$30:$AW$30)))))</f>
        <v/>
      </c>
      <c r="V651" s="5">
        <f>SUMPRODUCT(('01_Data'!$B651:$AW651&lt;&gt;"")*(1/(1+EXP(-(T651-'03_Lap_b'!$B$30:$AW$30))))^2)</f>
        <v/>
      </c>
      <c r="W651" s="5">
        <f>MEDIAN(-6,T651+(C651-U651)/MAX(U651-V651,0.000000001),6)</f>
        <v/>
      </c>
      <c r="X651" s="5">
        <f>SUMPRODUCT(('01_Data'!$B651:$AW651&lt;&gt;"")*(1/(1+EXP(-(W651-'03_Lap_b'!$B$35:$AW$35)))))</f>
        <v/>
      </c>
      <c r="Y651" s="5">
        <f>SUMPRODUCT(('01_Data'!$B651:$AW651&lt;&gt;"")*(1/(1+EXP(-(W651-'03_Lap_b'!$B$35:$AW$35))))^2)</f>
        <v/>
      </c>
      <c r="Z651" s="5">
        <f>MEDIAN(-6,W651+(C651-X651)/MAX(X651-Y651,0.000000001),6)</f>
        <v/>
      </c>
      <c r="AA651" s="5">
        <f>SUMPRODUCT(('01_Data'!$B651:$AW651&lt;&gt;"")*(1/(1+EXP(-(Z651-'03_Lap_b'!$B$40:$AW$40)))))</f>
        <v/>
      </c>
      <c r="AB651" s="5">
        <f>SUMPRODUCT(('01_Data'!$B651:$AW651&lt;&gt;"")*(1/(1+EXP(-(Z651-'03_Lap_b'!$B$40:$AW$40))))^2)</f>
        <v/>
      </c>
      <c r="AC651" s="5">
        <f>MEDIAN(-6,Z651+(C651-AA651)/MAX(AA651-AB651,0.000000001),6)</f>
        <v/>
      </c>
    </row>
    <row r="652">
      <c r="A652" t="n">
        <v>651</v>
      </c>
      <c r="B652">
        <f>'01_Data'!A652</f>
        <v/>
      </c>
      <c r="C652">
        <f>SUM('01_Data'!$B652:$AW652)</f>
        <v/>
      </c>
      <c r="D652">
        <f>COUNT('01_Data'!$B652:$AW652)</f>
        <v/>
      </c>
      <c r="E652" s="5">
        <f>MEDIAN(-6,LN((C652+0.3)/(D652-C652+0.3)),6)</f>
        <v/>
      </c>
      <c r="F652" s="5">
        <f>SUMPRODUCT(('01_Data'!$B652:$AW652&lt;&gt;"")*(1/(1+EXP(-(E652-'03_Lap_b'!$B$5:$AW$5)))))</f>
        <v/>
      </c>
      <c r="G652" s="5">
        <f>SUMPRODUCT(('01_Data'!$B652:$AW652&lt;&gt;"")*(1/(1+EXP(-(E652-'03_Lap_b'!$B$5:$AW$5))))^2)</f>
        <v/>
      </c>
      <c r="H652" s="5">
        <f>MEDIAN(-6,E652+(C652-F652)/MAX(F652-G652,0.000000001),6)</f>
        <v/>
      </c>
      <c r="I652" s="5">
        <f>SUMPRODUCT(('01_Data'!$B652:$AW652&lt;&gt;"")*(1/(1+EXP(-(H652-'03_Lap_b'!$B$10:$AW$10)))))</f>
        <v/>
      </c>
      <c r="J652" s="5">
        <f>SUMPRODUCT(('01_Data'!$B652:$AW652&lt;&gt;"")*(1/(1+EXP(-(H652-'03_Lap_b'!$B$10:$AW$10))))^2)</f>
        <v/>
      </c>
      <c r="K652" s="5">
        <f>MEDIAN(-6,H652+(C652-I652)/MAX(I652-J652,0.000000001),6)</f>
        <v/>
      </c>
      <c r="L652" s="5">
        <f>SUMPRODUCT(('01_Data'!$B652:$AW652&lt;&gt;"")*(1/(1+EXP(-(K652-'03_Lap_b'!$B$15:$AW$15)))))</f>
        <v/>
      </c>
      <c r="M652" s="5">
        <f>SUMPRODUCT(('01_Data'!$B652:$AW652&lt;&gt;"")*(1/(1+EXP(-(K652-'03_Lap_b'!$B$15:$AW$15))))^2)</f>
        <v/>
      </c>
      <c r="N652" s="5">
        <f>MEDIAN(-6,K652+(C652-L652)/MAX(L652-M652,0.000000001),6)</f>
        <v/>
      </c>
      <c r="O652" s="5">
        <f>SUMPRODUCT(('01_Data'!$B652:$AW652&lt;&gt;"")*(1/(1+EXP(-(N652-'03_Lap_b'!$B$20:$AW$20)))))</f>
        <v/>
      </c>
      <c r="P652" s="5">
        <f>SUMPRODUCT(('01_Data'!$B652:$AW652&lt;&gt;"")*(1/(1+EXP(-(N652-'03_Lap_b'!$B$20:$AW$20))))^2)</f>
        <v/>
      </c>
      <c r="Q652" s="5">
        <f>MEDIAN(-6,N652+(C652-O652)/MAX(O652-P652,0.000000001),6)</f>
        <v/>
      </c>
      <c r="R652" s="5">
        <f>SUMPRODUCT(('01_Data'!$B652:$AW652&lt;&gt;"")*(1/(1+EXP(-(Q652-'03_Lap_b'!$B$25:$AW$25)))))</f>
        <v/>
      </c>
      <c r="S652" s="5">
        <f>SUMPRODUCT(('01_Data'!$B652:$AW652&lt;&gt;"")*(1/(1+EXP(-(Q652-'03_Lap_b'!$B$25:$AW$25))))^2)</f>
        <v/>
      </c>
      <c r="T652" s="5">
        <f>MEDIAN(-6,Q652+(C652-R652)/MAX(R652-S652,0.000000001),6)</f>
        <v/>
      </c>
      <c r="U652" s="5">
        <f>SUMPRODUCT(('01_Data'!$B652:$AW652&lt;&gt;"")*(1/(1+EXP(-(T652-'03_Lap_b'!$B$30:$AW$30)))))</f>
        <v/>
      </c>
      <c r="V652" s="5">
        <f>SUMPRODUCT(('01_Data'!$B652:$AW652&lt;&gt;"")*(1/(1+EXP(-(T652-'03_Lap_b'!$B$30:$AW$30))))^2)</f>
        <v/>
      </c>
      <c r="W652" s="5">
        <f>MEDIAN(-6,T652+(C652-U652)/MAX(U652-V652,0.000000001),6)</f>
        <v/>
      </c>
      <c r="X652" s="5">
        <f>SUMPRODUCT(('01_Data'!$B652:$AW652&lt;&gt;"")*(1/(1+EXP(-(W652-'03_Lap_b'!$B$35:$AW$35)))))</f>
        <v/>
      </c>
      <c r="Y652" s="5">
        <f>SUMPRODUCT(('01_Data'!$B652:$AW652&lt;&gt;"")*(1/(1+EXP(-(W652-'03_Lap_b'!$B$35:$AW$35))))^2)</f>
        <v/>
      </c>
      <c r="Z652" s="5">
        <f>MEDIAN(-6,W652+(C652-X652)/MAX(X652-Y652,0.000000001),6)</f>
        <v/>
      </c>
      <c r="AA652" s="5">
        <f>SUMPRODUCT(('01_Data'!$B652:$AW652&lt;&gt;"")*(1/(1+EXP(-(Z652-'03_Lap_b'!$B$40:$AW$40)))))</f>
        <v/>
      </c>
      <c r="AB652" s="5">
        <f>SUMPRODUCT(('01_Data'!$B652:$AW652&lt;&gt;"")*(1/(1+EXP(-(Z652-'03_Lap_b'!$B$40:$AW$40))))^2)</f>
        <v/>
      </c>
      <c r="AC652" s="5">
        <f>MEDIAN(-6,Z652+(C652-AA652)/MAX(AA652-AB652,0.000000001),6)</f>
        <v/>
      </c>
    </row>
    <row r="653">
      <c r="A653" t="n">
        <v>652</v>
      </c>
      <c r="B653">
        <f>'01_Data'!A653</f>
        <v/>
      </c>
      <c r="C653">
        <f>SUM('01_Data'!$B653:$AW653)</f>
        <v/>
      </c>
      <c r="D653">
        <f>COUNT('01_Data'!$B653:$AW653)</f>
        <v/>
      </c>
      <c r="E653" s="5">
        <f>MEDIAN(-6,LN((C653+0.3)/(D653-C653+0.3)),6)</f>
        <v/>
      </c>
      <c r="F653" s="5">
        <f>SUMPRODUCT(('01_Data'!$B653:$AW653&lt;&gt;"")*(1/(1+EXP(-(E653-'03_Lap_b'!$B$5:$AW$5)))))</f>
        <v/>
      </c>
      <c r="G653" s="5">
        <f>SUMPRODUCT(('01_Data'!$B653:$AW653&lt;&gt;"")*(1/(1+EXP(-(E653-'03_Lap_b'!$B$5:$AW$5))))^2)</f>
        <v/>
      </c>
      <c r="H653" s="5">
        <f>MEDIAN(-6,E653+(C653-F653)/MAX(F653-G653,0.000000001),6)</f>
        <v/>
      </c>
      <c r="I653" s="5">
        <f>SUMPRODUCT(('01_Data'!$B653:$AW653&lt;&gt;"")*(1/(1+EXP(-(H653-'03_Lap_b'!$B$10:$AW$10)))))</f>
        <v/>
      </c>
      <c r="J653" s="5">
        <f>SUMPRODUCT(('01_Data'!$B653:$AW653&lt;&gt;"")*(1/(1+EXP(-(H653-'03_Lap_b'!$B$10:$AW$10))))^2)</f>
        <v/>
      </c>
      <c r="K653" s="5">
        <f>MEDIAN(-6,H653+(C653-I653)/MAX(I653-J653,0.000000001),6)</f>
        <v/>
      </c>
      <c r="L653" s="5">
        <f>SUMPRODUCT(('01_Data'!$B653:$AW653&lt;&gt;"")*(1/(1+EXP(-(K653-'03_Lap_b'!$B$15:$AW$15)))))</f>
        <v/>
      </c>
      <c r="M653" s="5">
        <f>SUMPRODUCT(('01_Data'!$B653:$AW653&lt;&gt;"")*(1/(1+EXP(-(K653-'03_Lap_b'!$B$15:$AW$15))))^2)</f>
        <v/>
      </c>
      <c r="N653" s="5">
        <f>MEDIAN(-6,K653+(C653-L653)/MAX(L653-M653,0.000000001),6)</f>
        <v/>
      </c>
      <c r="O653" s="5">
        <f>SUMPRODUCT(('01_Data'!$B653:$AW653&lt;&gt;"")*(1/(1+EXP(-(N653-'03_Lap_b'!$B$20:$AW$20)))))</f>
        <v/>
      </c>
      <c r="P653" s="5">
        <f>SUMPRODUCT(('01_Data'!$B653:$AW653&lt;&gt;"")*(1/(1+EXP(-(N653-'03_Lap_b'!$B$20:$AW$20))))^2)</f>
        <v/>
      </c>
      <c r="Q653" s="5">
        <f>MEDIAN(-6,N653+(C653-O653)/MAX(O653-P653,0.000000001),6)</f>
        <v/>
      </c>
      <c r="R653" s="5">
        <f>SUMPRODUCT(('01_Data'!$B653:$AW653&lt;&gt;"")*(1/(1+EXP(-(Q653-'03_Lap_b'!$B$25:$AW$25)))))</f>
        <v/>
      </c>
      <c r="S653" s="5">
        <f>SUMPRODUCT(('01_Data'!$B653:$AW653&lt;&gt;"")*(1/(1+EXP(-(Q653-'03_Lap_b'!$B$25:$AW$25))))^2)</f>
        <v/>
      </c>
      <c r="T653" s="5">
        <f>MEDIAN(-6,Q653+(C653-R653)/MAX(R653-S653,0.000000001),6)</f>
        <v/>
      </c>
      <c r="U653" s="5">
        <f>SUMPRODUCT(('01_Data'!$B653:$AW653&lt;&gt;"")*(1/(1+EXP(-(T653-'03_Lap_b'!$B$30:$AW$30)))))</f>
        <v/>
      </c>
      <c r="V653" s="5">
        <f>SUMPRODUCT(('01_Data'!$B653:$AW653&lt;&gt;"")*(1/(1+EXP(-(T653-'03_Lap_b'!$B$30:$AW$30))))^2)</f>
        <v/>
      </c>
      <c r="W653" s="5">
        <f>MEDIAN(-6,T653+(C653-U653)/MAX(U653-V653,0.000000001),6)</f>
        <v/>
      </c>
      <c r="X653" s="5">
        <f>SUMPRODUCT(('01_Data'!$B653:$AW653&lt;&gt;"")*(1/(1+EXP(-(W653-'03_Lap_b'!$B$35:$AW$35)))))</f>
        <v/>
      </c>
      <c r="Y653" s="5">
        <f>SUMPRODUCT(('01_Data'!$B653:$AW653&lt;&gt;"")*(1/(1+EXP(-(W653-'03_Lap_b'!$B$35:$AW$35))))^2)</f>
        <v/>
      </c>
      <c r="Z653" s="5">
        <f>MEDIAN(-6,W653+(C653-X653)/MAX(X653-Y653,0.000000001),6)</f>
        <v/>
      </c>
      <c r="AA653" s="5">
        <f>SUMPRODUCT(('01_Data'!$B653:$AW653&lt;&gt;"")*(1/(1+EXP(-(Z653-'03_Lap_b'!$B$40:$AW$40)))))</f>
        <v/>
      </c>
      <c r="AB653" s="5">
        <f>SUMPRODUCT(('01_Data'!$B653:$AW653&lt;&gt;"")*(1/(1+EXP(-(Z653-'03_Lap_b'!$B$40:$AW$40))))^2)</f>
        <v/>
      </c>
      <c r="AC653" s="5">
        <f>MEDIAN(-6,Z653+(C653-AA653)/MAX(AA653-AB653,0.000000001),6)</f>
        <v/>
      </c>
    </row>
    <row r="654">
      <c r="A654" t="n">
        <v>653</v>
      </c>
      <c r="B654">
        <f>'01_Data'!A654</f>
        <v/>
      </c>
      <c r="C654">
        <f>SUM('01_Data'!$B654:$AW654)</f>
        <v/>
      </c>
      <c r="D654">
        <f>COUNT('01_Data'!$B654:$AW654)</f>
        <v/>
      </c>
      <c r="E654" s="5">
        <f>MEDIAN(-6,LN((C654+0.3)/(D654-C654+0.3)),6)</f>
        <v/>
      </c>
      <c r="F654" s="5">
        <f>SUMPRODUCT(('01_Data'!$B654:$AW654&lt;&gt;"")*(1/(1+EXP(-(E654-'03_Lap_b'!$B$5:$AW$5)))))</f>
        <v/>
      </c>
      <c r="G654" s="5">
        <f>SUMPRODUCT(('01_Data'!$B654:$AW654&lt;&gt;"")*(1/(1+EXP(-(E654-'03_Lap_b'!$B$5:$AW$5))))^2)</f>
        <v/>
      </c>
      <c r="H654" s="5">
        <f>MEDIAN(-6,E654+(C654-F654)/MAX(F654-G654,0.000000001),6)</f>
        <v/>
      </c>
      <c r="I654" s="5">
        <f>SUMPRODUCT(('01_Data'!$B654:$AW654&lt;&gt;"")*(1/(1+EXP(-(H654-'03_Lap_b'!$B$10:$AW$10)))))</f>
        <v/>
      </c>
      <c r="J654" s="5">
        <f>SUMPRODUCT(('01_Data'!$B654:$AW654&lt;&gt;"")*(1/(1+EXP(-(H654-'03_Lap_b'!$B$10:$AW$10))))^2)</f>
        <v/>
      </c>
      <c r="K654" s="5">
        <f>MEDIAN(-6,H654+(C654-I654)/MAX(I654-J654,0.000000001),6)</f>
        <v/>
      </c>
      <c r="L654" s="5">
        <f>SUMPRODUCT(('01_Data'!$B654:$AW654&lt;&gt;"")*(1/(1+EXP(-(K654-'03_Lap_b'!$B$15:$AW$15)))))</f>
        <v/>
      </c>
      <c r="M654" s="5">
        <f>SUMPRODUCT(('01_Data'!$B654:$AW654&lt;&gt;"")*(1/(1+EXP(-(K654-'03_Lap_b'!$B$15:$AW$15))))^2)</f>
        <v/>
      </c>
      <c r="N654" s="5">
        <f>MEDIAN(-6,K654+(C654-L654)/MAX(L654-M654,0.000000001),6)</f>
        <v/>
      </c>
      <c r="O654" s="5">
        <f>SUMPRODUCT(('01_Data'!$B654:$AW654&lt;&gt;"")*(1/(1+EXP(-(N654-'03_Lap_b'!$B$20:$AW$20)))))</f>
        <v/>
      </c>
      <c r="P654" s="5">
        <f>SUMPRODUCT(('01_Data'!$B654:$AW654&lt;&gt;"")*(1/(1+EXP(-(N654-'03_Lap_b'!$B$20:$AW$20))))^2)</f>
        <v/>
      </c>
      <c r="Q654" s="5">
        <f>MEDIAN(-6,N654+(C654-O654)/MAX(O654-P654,0.000000001),6)</f>
        <v/>
      </c>
      <c r="R654" s="5">
        <f>SUMPRODUCT(('01_Data'!$B654:$AW654&lt;&gt;"")*(1/(1+EXP(-(Q654-'03_Lap_b'!$B$25:$AW$25)))))</f>
        <v/>
      </c>
      <c r="S654" s="5">
        <f>SUMPRODUCT(('01_Data'!$B654:$AW654&lt;&gt;"")*(1/(1+EXP(-(Q654-'03_Lap_b'!$B$25:$AW$25))))^2)</f>
        <v/>
      </c>
      <c r="T654" s="5">
        <f>MEDIAN(-6,Q654+(C654-R654)/MAX(R654-S654,0.000000001),6)</f>
        <v/>
      </c>
      <c r="U654" s="5">
        <f>SUMPRODUCT(('01_Data'!$B654:$AW654&lt;&gt;"")*(1/(1+EXP(-(T654-'03_Lap_b'!$B$30:$AW$30)))))</f>
        <v/>
      </c>
      <c r="V654" s="5">
        <f>SUMPRODUCT(('01_Data'!$B654:$AW654&lt;&gt;"")*(1/(1+EXP(-(T654-'03_Lap_b'!$B$30:$AW$30))))^2)</f>
        <v/>
      </c>
      <c r="W654" s="5">
        <f>MEDIAN(-6,T654+(C654-U654)/MAX(U654-V654,0.000000001),6)</f>
        <v/>
      </c>
      <c r="X654" s="5">
        <f>SUMPRODUCT(('01_Data'!$B654:$AW654&lt;&gt;"")*(1/(1+EXP(-(W654-'03_Lap_b'!$B$35:$AW$35)))))</f>
        <v/>
      </c>
      <c r="Y654" s="5">
        <f>SUMPRODUCT(('01_Data'!$B654:$AW654&lt;&gt;"")*(1/(1+EXP(-(W654-'03_Lap_b'!$B$35:$AW$35))))^2)</f>
        <v/>
      </c>
      <c r="Z654" s="5">
        <f>MEDIAN(-6,W654+(C654-X654)/MAX(X654-Y654,0.000000001),6)</f>
        <v/>
      </c>
      <c r="AA654" s="5">
        <f>SUMPRODUCT(('01_Data'!$B654:$AW654&lt;&gt;"")*(1/(1+EXP(-(Z654-'03_Lap_b'!$B$40:$AW$40)))))</f>
        <v/>
      </c>
      <c r="AB654" s="5">
        <f>SUMPRODUCT(('01_Data'!$B654:$AW654&lt;&gt;"")*(1/(1+EXP(-(Z654-'03_Lap_b'!$B$40:$AW$40))))^2)</f>
        <v/>
      </c>
      <c r="AC654" s="5">
        <f>MEDIAN(-6,Z654+(C654-AA654)/MAX(AA654-AB654,0.000000001),6)</f>
        <v/>
      </c>
    </row>
    <row r="655">
      <c r="A655" t="n">
        <v>654</v>
      </c>
      <c r="B655">
        <f>'01_Data'!A655</f>
        <v/>
      </c>
      <c r="C655">
        <f>SUM('01_Data'!$B655:$AW655)</f>
        <v/>
      </c>
      <c r="D655">
        <f>COUNT('01_Data'!$B655:$AW655)</f>
        <v/>
      </c>
      <c r="E655" s="5">
        <f>MEDIAN(-6,LN((C655+0.3)/(D655-C655+0.3)),6)</f>
        <v/>
      </c>
      <c r="F655" s="5">
        <f>SUMPRODUCT(('01_Data'!$B655:$AW655&lt;&gt;"")*(1/(1+EXP(-(E655-'03_Lap_b'!$B$5:$AW$5)))))</f>
        <v/>
      </c>
      <c r="G655" s="5">
        <f>SUMPRODUCT(('01_Data'!$B655:$AW655&lt;&gt;"")*(1/(1+EXP(-(E655-'03_Lap_b'!$B$5:$AW$5))))^2)</f>
        <v/>
      </c>
      <c r="H655" s="5">
        <f>MEDIAN(-6,E655+(C655-F655)/MAX(F655-G655,0.000000001),6)</f>
        <v/>
      </c>
      <c r="I655" s="5">
        <f>SUMPRODUCT(('01_Data'!$B655:$AW655&lt;&gt;"")*(1/(1+EXP(-(H655-'03_Lap_b'!$B$10:$AW$10)))))</f>
        <v/>
      </c>
      <c r="J655" s="5">
        <f>SUMPRODUCT(('01_Data'!$B655:$AW655&lt;&gt;"")*(1/(1+EXP(-(H655-'03_Lap_b'!$B$10:$AW$10))))^2)</f>
        <v/>
      </c>
      <c r="K655" s="5">
        <f>MEDIAN(-6,H655+(C655-I655)/MAX(I655-J655,0.000000001),6)</f>
        <v/>
      </c>
      <c r="L655" s="5">
        <f>SUMPRODUCT(('01_Data'!$B655:$AW655&lt;&gt;"")*(1/(1+EXP(-(K655-'03_Lap_b'!$B$15:$AW$15)))))</f>
        <v/>
      </c>
      <c r="M655" s="5">
        <f>SUMPRODUCT(('01_Data'!$B655:$AW655&lt;&gt;"")*(1/(1+EXP(-(K655-'03_Lap_b'!$B$15:$AW$15))))^2)</f>
        <v/>
      </c>
      <c r="N655" s="5">
        <f>MEDIAN(-6,K655+(C655-L655)/MAX(L655-M655,0.000000001),6)</f>
        <v/>
      </c>
      <c r="O655" s="5">
        <f>SUMPRODUCT(('01_Data'!$B655:$AW655&lt;&gt;"")*(1/(1+EXP(-(N655-'03_Lap_b'!$B$20:$AW$20)))))</f>
        <v/>
      </c>
      <c r="P655" s="5">
        <f>SUMPRODUCT(('01_Data'!$B655:$AW655&lt;&gt;"")*(1/(1+EXP(-(N655-'03_Lap_b'!$B$20:$AW$20))))^2)</f>
        <v/>
      </c>
      <c r="Q655" s="5">
        <f>MEDIAN(-6,N655+(C655-O655)/MAX(O655-P655,0.000000001),6)</f>
        <v/>
      </c>
      <c r="R655" s="5">
        <f>SUMPRODUCT(('01_Data'!$B655:$AW655&lt;&gt;"")*(1/(1+EXP(-(Q655-'03_Lap_b'!$B$25:$AW$25)))))</f>
        <v/>
      </c>
      <c r="S655" s="5">
        <f>SUMPRODUCT(('01_Data'!$B655:$AW655&lt;&gt;"")*(1/(1+EXP(-(Q655-'03_Lap_b'!$B$25:$AW$25))))^2)</f>
        <v/>
      </c>
      <c r="T655" s="5">
        <f>MEDIAN(-6,Q655+(C655-R655)/MAX(R655-S655,0.000000001),6)</f>
        <v/>
      </c>
      <c r="U655" s="5">
        <f>SUMPRODUCT(('01_Data'!$B655:$AW655&lt;&gt;"")*(1/(1+EXP(-(T655-'03_Lap_b'!$B$30:$AW$30)))))</f>
        <v/>
      </c>
      <c r="V655" s="5">
        <f>SUMPRODUCT(('01_Data'!$B655:$AW655&lt;&gt;"")*(1/(1+EXP(-(T655-'03_Lap_b'!$B$30:$AW$30))))^2)</f>
        <v/>
      </c>
      <c r="W655" s="5">
        <f>MEDIAN(-6,T655+(C655-U655)/MAX(U655-V655,0.000000001),6)</f>
        <v/>
      </c>
      <c r="X655" s="5">
        <f>SUMPRODUCT(('01_Data'!$B655:$AW655&lt;&gt;"")*(1/(1+EXP(-(W655-'03_Lap_b'!$B$35:$AW$35)))))</f>
        <v/>
      </c>
      <c r="Y655" s="5">
        <f>SUMPRODUCT(('01_Data'!$B655:$AW655&lt;&gt;"")*(1/(1+EXP(-(W655-'03_Lap_b'!$B$35:$AW$35))))^2)</f>
        <v/>
      </c>
      <c r="Z655" s="5">
        <f>MEDIAN(-6,W655+(C655-X655)/MAX(X655-Y655,0.000000001),6)</f>
        <v/>
      </c>
      <c r="AA655" s="5">
        <f>SUMPRODUCT(('01_Data'!$B655:$AW655&lt;&gt;"")*(1/(1+EXP(-(Z655-'03_Lap_b'!$B$40:$AW$40)))))</f>
        <v/>
      </c>
      <c r="AB655" s="5">
        <f>SUMPRODUCT(('01_Data'!$B655:$AW655&lt;&gt;"")*(1/(1+EXP(-(Z655-'03_Lap_b'!$B$40:$AW$40))))^2)</f>
        <v/>
      </c>
      <c r="AC655" s="5">
        <f>MEDIAN(-6,Z655+(C655-AA655)/MAX(AA655-AB655,0.000000001),6)</f>
        <v/>
      </c>
    </row>
    <row r="656">
      <c r="A656" t="n">
        <v>655</v>
      </c>
      <c r="B656">
        <f>'01_Data'!A656</f>
        <v/>
      </c>
      <c r="C656">
        <f>SUM('01_Data'!$B656:$AW656)</f>
        <v/>
      </c>
      <c r="D656">
        <f>COUNT('01_Data'!$B656:$AW656)</f>
        <v/>
      </c>
      <c r="E656" s="5">
        <f>MEDIAN(-6,LN((C656+0.3)/(D656-C656+0.3)),6)</f>
        <v/>
      </c>
      <c r="F656" s="5">
        <f>SUMPRODUCT(('01_Data'!$B656:$AW656&lt;&gt;"")*(1/(1+EXP(-(E656-'03_Lap_b'!$B$5:$AW$5)))))</f>
        <v/>
      </c>
      <c r="G656" s="5">
        <f>SUMPRODUCT(('01_Data'!$B656:$AW656&lt;&gt;"")*(1/(1+EXP(-(E656-'03_Lap_b'!$B$5:$AW$5))))^2)</f>
        <v/>
      </c>
      <c r="H656" s="5">
        <f>MEDIAN(-6,E656+(C656-F656)/MAX(F656-G656,0.000000001),6)</f>
        <v/>
      </c>
      <c r="I656" s="5">
        <f>SUMPRODUCT(('01_Data'!$B656:$AW656&lt;&gt;"")*(1/(1+EXP(-(H656-'03_Lap_b'!$B$10:$AW$10)))))</f>
        <v/>
      </c>
      <c r="J656" s="5">
        <f>SUMPRODUCT(('01_Data'!$B656:$AW656&lt;&gt;"")*(1/(1+EXP(-(H656-'03_Lap_b'!$B$10:$AW$10))))^2)</f>
        <v/>
      </c>
      <c r="K656" s="5">
        <f>MEDIAN(-6,H656+(C656-I656)/MAX(I656-J656,0.000000001),6)</f>
        <v/>
      </c>
      <c r="L656" s="5">
        <f>SUMPRODUCT(('01_Data'!$B656:$AW656&lt;&gt;"")*(1/(1+EXP(-(K656-'03_Lap_b'!$B$15:$AW$15)))))</f>
        <v/>
      </c>
      <c r="M656" s="5">
        <f>SUMPRODUCT(('01_Data'!$B656:$AW656&lt;&gt;"")*(1/(1+EXP(-(K656-'03_Lap_b'!$B$15:$AW$15))))^2)</f>
        <v/>
      </c>
      <c r="N656" s="5">
        <f>MEDIAN(-6,K656+(C656-L656)/MAX(L656-M656,0.000000001),6)</f>
        <v/>
      </c>
      <c r="O656" s="5">
        <f>SUMPRODUCT(('01_Data'!$B656:$AW656&lt;&gt;"")*(1/(1+EXP(-(N656-'03_Lap_b'!$B$20:$AW$20)))))</f>
        <v/>
      </c>
      <c r="P656" s="5">
        <f>SUMPRODUCT(('01_Data'!$B656:$AW656&lt;&gt;"")*(1/(1+EXP(-(N656-'03_Lap_b'!$B$20:$AW$20))))^2)</f>
        <v/>
      </c>
      <c r="Q656" s="5">
        <f>MEDIAN(-6,N656+(C656-O656)/MAX(O656-P656,0.000000001),6)</f>
        <v/>
      </c>
      <c r="R656" s="5">
        <f>SUMPRODUCT(('01_Data'!$B656:$AW656&lt;&gt;"")*(1/(1+EXP(-(Q656-'03_Lap_b'!$B$25:$AW$25)))))</f>
        <v/>
      </c>
      <c r="S656" s="5">
        <f>SUMPRODUCT(('01_Data'!$B656:$AW656&lt;&gt;"")*(1/(1+EXP(-(Q656-'03_Lap_b'!$B$25:$AW$25))))^2)</f>
        <v/>
      </c>
      <c r="T656" s="5">
        <f>MEDIAN(-6,Q656+(C656-R656)/MAX(R656-S656,0.000000001),6)</f>
        <v/>
      </c>
      <c r="U656" s="5">
        <f>SUMPRODUCT(('01_Data'!$B656:$AW656&lt;&gt;"")*(1/(1+EXP(-(T656-'03_Lap_b'!$B$30:$AW$30)))))</f>
        <v/>
      </c>
      <c r="V656" s="5">
        <f>SUMPRODUCT(('01_Data'!$B656:$AW656&lt;&gt;"")*(1/(1+EXP(-(T656-'03_Lap_b'!$B$30:$AW$30))))^2)</f>
        <v/>
      </c>
      <c r="W656" s="5">
        <f>MEDIAN(-6,T656+(C656-U656)/MAX(U656-V656,0.000000001),6)</f>
        <v/>
      </c>
      <c r="X656" s="5">
        <f>SUMPRODUCT(('01_Data'!$B656:$AW656&lt;&gt;"")*(1/(1+EXP(-(W656-'03_Lap_b'!$B$35:$AW$35)))))</f>
        <v/>
      </c>
      <c r="Y656" s="5">
        <f>SUMPRODUCT(('01_Data'!$B656:$AW656&lt;&gt;"")*(1/(1+EXP(-(W656-'03_Lap_b'!$B$35:$AW$35))))^2)</f>
        <v/>
      </c>
      <c r="Z656" s="5">
        <f>MEDIAN(-6,W656+(C656-X656)/MAX(X656-Y656,0.000000001),6)</f>
        <v/>
      </c>
      <c r="AA656" s="5">
        <f>SUMPRODUCT(('01_Data'!$B656:$AW656&lt;&gt;"")*(1/(1+EXP(-(Z656-'03_Lap_b'!$B$40:$AW$40)))))</f>
        <v/>
      </c>
      <c r="AB656" s="5">
        <f>SUMPRODUCT(('01_Data'!$B656:$AW656&lt;&gt;"")*(1/(1+EXP(-(Z656-'03_Lap_b'!$B$40:$AW$40))))^2)</f>
        <v/>
      </c>
      <c r="AC656" s="5">
        <f>MEDIAN(-6,Z656+(C656-AA656)/MAX(AA656-AB656,0.000000001),6)</f>
        <v/>
      </c>
    </row>
    <row r="657">
      <c r="A657" t="n">
        <v>656</v>
      </c>
      <c r="B657">
        <f>'01_Data'!A657</f>
        <v/>
      </c>
      <c r="C657">
        <f>SUM('01_Data'!$B657:$AW657)</f>
        <v/>
      </c>
      <c r="D657">
        <f>COUNT('01_Data'!$B657:$AW657)</f>
        <v/>
      </c>
      <c r="E657" s="5">
        <f>MEDIAN(-6,LN((C657+0.3)/(D657-C657+0.3)),6)</f>
        <v/>
      </c>
      <c r="F657" s="5">
        <f>SUMPRODUCT(('01_Data'!$B657:$AW657&lt;&gt;"")*(1/(1+EXP(-(E657-'03_Lap_b'!$B$5:$AW$5)))))</f>
        <v/>
      </c>
      <c r="G657" s="5">
        <f>SUMPRODUCT(('01_Data'!$B657:$AW657&lt;&gt;"")*(1/(1+EXP(-(E657-'03_Lap_b'!$B$5:$AW$5))))^2)</f>
        <v/>
      </c>
      <c r="H657" s="5">
        <f>MEDIAN(-6,E657+(C657-F657)/MAX(F657-G657,0.000000001),6)</f>
        <v/>
      </c>
      <c r="I657" s="5">
        <f>SUMPRODUCT(('01_Data'!$B657:$AW657&lt;&gt;"")*(1/(1+EXP(-(H657-'03_Lap_b'!$B$10:$AW$10)))))</f>
        <v/>
      </c>
      <c r="J657" s="5">
        <f>SUMPRODUCT(('01_Data'!$B657:$AW657&lt;&gt;"")*(1/(1+EXP(-(H657-'03_Lap_b'!$B$10:$AW$10))))^2)</f>
        <v/>
      </c>
      <c r="K657" s="5">
        <f>MEDIAN(-6,H657+(C657-I657)/MAX(I657-J657,0.000000001),6)</f>
        <v/>
      </c>
      <c r="L657" s="5">
        <f>SUMPRODUCT(('01_Data'!$B657:$AW657&lt;&gt;"")*(1/(1+EXP(-(K657-'03_Lap_b'!$B$15:$AW$15)))))</f>
        <v/>
      </c>
      <c r="M657" s="5">
        <f>SUMPRODUCT(('01_Data'!$B657:$AW657&lt;&gt;"")*(1/(1+EXP(-(K657-'03_Lap_b'!$B$15:$AW$15))))^2)</f>
        <v/>
      </c>
      <c r="N657" s="5">
        <f>MEDIAN(-6,K657+(C657-L657)/MAX(L657-M657,0.000000001),6)</f>
        <v/>
      </c>
      <c r="O657" s="5">
        <f>SUMPRODUCT(('01_Data'!$B657:$AW657&lt;&gt;"")*(1/(1+EXP(-(N657-'03_Lap_b'!$B$20:$AW$20)))))</f>
        <v/>
      </c>
      <c r="P657" s="5">
        <f>SUMPRODUCT(('01_Data'!$B657:$AW657&lt;&gt;"")*(1/(1+EXP(-(N657-'03_Lap_b'!$B$20:$AW$20))))^2)</f>
        <v/>
      </c>
      <c r="Q657" s="5">
        <f>MEDIAN(-6,N657+(C657-O657)/MAX(O657-P657,0.000000001),6)</f>
        <v/>
      </c>
      <c r="R657" s="5">
        <f>SUMPRODUCT(('01_Data'!$B657:$AW657&lt;&gt;"")*(1/(1+EXP(-(Q657-'03_Lap_b'!$B$25:$AW$25)))))</f>
        <v/>
      </c>
      <c r="S657" s="5">
        <f>SUMPRODUCT(('01_Data'!$B657:$AW657&lt;&gt;"")*(1/(1+EXP(-(Q657-'03_Lap_b'!$B$25:$AW$25))))^2)</f>
        <v/>
      </c>
      <c r="T657" s="5">
        <f>MEDIAN(-6,Q657+(C657-R657)/MAX(R657-S657,0.000000001),6)</f>
        <v/>
      </c>
      <c r="U657" s="5">
        <f>SUMPRODUCT(('01_Data'!$B657:$AW657&lt;&gt;"")*(1/(1+EXP(-(T657-'03_Lap_b'!$B$30:$AW$30)))))</f>
        <v/>
      </c>
      <c r="V657" s="5">
        <f>SUMPRODUCT(('01_Data'!$B657:$AW657&lt;&gt;"")*(1/(1+EXP(-(T657-'03_Lap_b'!$B$30:$AW$30))))^2)</f>
        <v/>
      </c>
      <c r="W657" s="5">
        <f>MEDIAN(-6,T657+(C657-U657)/MAX(U657-V657,0.000000001),6)</f>
        <v/>
      </c>
      <c r="X657" s="5">
        <f>SUMPRODUCT(('01_Data'!$B657:$AW657&lt;&gt;"")*(1/(1+EXP(-(W657-'03_Lap_b'!$B$35:$AW$35)))))</f>
        <v/>
      </c>
      <c r="Y657" s="5">
        <f>SUMPRODUCT(('01_Data'!$B657:$AW657&lt;&gt;"")*(1/(1+EXP(-(W657-'03_Lap_b'!$B$35:$AW$35))))^2)</f>
        <v/>
      </c>
      <c r="Z657" s="5">
        <f>MEDIAN(-6,W657+(C657-X657)/MAX(X657-Y657,0.000000001),6)</f>
        <v/>
      </c>
      <c r="AA657" s="5">
        <f>SUMPRODUCT(('01_Data'!$B657:$AW657&lt;&gt;"")*(1/(1+EXP(-(Z657-'03_Lap_b'!$B$40:$AW$40)))))</f>
        <v/>
      </c>
      <c r="AB657" s="5">
        <f>SUMPRODUCT(('01_Data'!$B657:$AW657&lt;&gt;"")*(1/(1+EXP(-(Z657-'03_Lap_b'!$B$40:$AW$40))))^2)</f>
        <v/>
      </c>
      <c r="AC657" s="5">
        <f>MEDIAN(-6,Z657+(C657-AA657)/MAX(AA657-AB657,0.000000001),6)</f>
        <v/>
      </c>
    </row>
    <row r="658">
      <c r="A658" t="n">
        <v>657</v>
      </c>
      <c r="B658">
        <f>'01_Data'!A658</f>
        <v/>
      </c>
      <c r="C658">
        <f>SUM('01_Data'!$B658:$AW658)</f>
        <v/>
      </c>
      <c r="D658">
        <f>COUNT('01_Data'!$B658:$AW658)</f>
        <v/>
      </c>
      <c r="E658" s="5">
        <f>MEDIAN(-6,LN((C658+0.3)/(D658-C658+0.3)),6)</f>
        <v/>
      </c>
      <c r="F658" s="5">
        <f>SUMPRODUCT(('01_Data'!$B658:$AW658&lt;&gt;"")*(1/(1+EXP(-(E658-'03_Lap_b'!$B$5:$AW$5)))))</f>
        <v/>
      </c>
      <c r="G658" s="5">
        <f>SUMPRODUCT(('01_Data'!$B658:$AW658&lt;&gt;"")*(1/(1+EXP(-(E658-'03_Lap_b'!$B$5:$AW$5))))^2)</f>
        <v/>
      </c>
      <c r="H658" s="5">
        <f>MEDIAN(-6,E658+(C658-F658)/MAX(F658-G658,0.000000001),6)</f>
        <v/>
      </c>
      <c r="I658" s="5">
        <f>SUMPRODUCT(('01_Data'!$B658:$AW658&lt;&gt;"")*(1/(1+EXP(-(H658-'03_Lap_b'!$B$10:$AW$10)))))</f>
        <v/>
      </c>
      <c r="J658" s="5">
        <f>SUMPRODUCT(('01_Data'!$B658:$AW658&lt;&gt;"")*(1/(1+EXP(-(H658-'03_Lap_b'!$B$10:$AW$10))))^2)</f>
        <v/>
      </c>
      <c r="K658" s="5">
        <f>MEDIAN(-6,H658+(C658-I658)/MAX(I658-J658,0.000000001),6)</f>
        <v/>
      </c>
      <c r="L658" s="5">
        <f>SUMPRODUCT(('01_Data'!$B658:$AW658&lt;&gt;"")*(1/(1+EXP(-(K658-'03_Lap_b'!$B$15:$AW$15)))))</f>
        <v/>
      </c>
      <c r="M658" s="5">
        <f>SUMPRODUCT(('01_Data'!$B658:$AW658&lt;&gt;"")*(1/(1+EXP(-(K658-'03_Lap_b'!$B$15:$AW$15))))^2)</f>
        <v/>
      </c>
      <c r="N658" s="5">
        <f>MEDIAN(-6,K658+(C658-L658)/MAX(L658-M658,0.000000001),6)</f>
        <v/>
      </c>
      <c r="O658" s="5">
        <f>SUMPRODUCT(('01_Data'!$B658:$AW658&lt;&gt;"")*(1/(1+EXP(-(N658-'03_Lap_b'!$B$20:$AW$20)))))</f>
        <v/>
      </c>
      <c r="P658" s="5">
        <f>SUMPRODUCT(('01_Data'!$B658:$AW658&lt;&gt;"")*(1/(1+EXP(-(N658-'03_Lap_b'!$B$20:$AW$20))))^2)</f>
        <v/>
      </c>
      <c r="Q658" s="5">
        <f>MEDIAN(-6,N658+(C658-O658)/MAX(O658-P658,0.000000001),6)</f>
        <v/>
      </c>
      <c r="R658" s="5">
        <f>SUMPRODUCT(('01_Data'!$B658:$AW658&lt;&gt;"")*(1/(1+EXP(-(Q658-'03_Lap_b'!$B$25:$AW$25)))))</f>
        <v/>
      </c>
      <c r="S658" s="5">
        <f>SUMPRODUCT(('01_Data'!$B658:$AW658&lt;&gt;"")*(1/(1+EXP(-(Q658-'03_Lap_b'!$B$25:$AW$25))))^2)</f>
        <v/>
      </c>
      <c r="T658" s="5">
        <f>MEDIAN(-6,Q658+(C658-R658)/MAX(R658-S658,0.000000001),6)</f>
        <v/>
      </c>
      <c r="U658" s="5">
        <f>SUMPRODUCT(('01_Data'!$B658:$AW658&lt;&gt;"")*(1/(1+EXP(-(T658-'03_Lap_b'!$B$30:$AW$30)))))</f>
        <v/>
      </c>
      <c r="V658" s="5">
        <f>SUMPRODUCT(('01_Data'!$B658:$AW658&lt;&gt;"")*(1/(1+EXP(-(T658-'03_Lap_b'!$B$30:$AW$30))))^2)</f>
        <v/>
      </c>
      <c r="W658" s="5">
        <f>MEDIAN(-6,T658+(C658-U658)/MAX(U658-V658,0.000000001),6)</f>
        <v/>
      </c>
      <c r="X658" s="5">
        <f>SUMPRODUCT(('01_Data'!$B658:$AW658&lt;&gt;"")*(1/(1+EXP(-(W658-'03_Lap_b'!$B$35:$AW$35)))))</f>
        <v/>
      </c>
      <c r="Y658" s="5">
        <f>SUMPRODUCT(('01_Data'!$B658:$AW658&lt;&gt;"")*(1/(1+EXP(-(W658-'03_Lap_b'!$B$35:$AW$35))))^2)</f>
        <v/>
      </c>
      <c r="Z658" s="5">
        <f>MEDIAN(-6,W658+(C658-X658)/MAX(X658-Y658,0.000000001),6)</f>
        <v/>
      </c>
      <c r="AA658" s="5">
        <f>SUMPRODUCT(('01_Data'!$B658:$AW658&lt;&gt;"")*(1/(1+EXP(-(Z658-'03_Lap_b'!$B$40:$AW$40)))))</f>
        <v/>
      </c>
      <c r="AB658" s="5">
        <f>SUMPRODUCT(('01_Data'!$B658:$AW658&lt;&gt;"")*(1/(1+EXP(-(Z658-'03_Lap_b'!$B$40:$AW$40))))^2)</f>
        <v/>
      </c>
      <c r="AC658" s="5">
        <f>MEDIAN(-6,Z658+(C658-AA658)/MAX(AA658-AB658,0.000000001),6)</f>
        <v/>
      </c>
    </row>
    <row r="659">
      <c r="A659" t="n">
        <v>658</v>
      </c>
      <c r="B659">
        <f>'01_Data'!A659</f>
        <v/>
      </c>
      <c r="C659">
        <f>SUM('01_Data'!$B659:$AW659)</f>
        <v/>
      </c>
      <c r="D659">
        <f>COUNT('01_Data'!$B659:$AW659)</f>
        <v/>
      </c>
      <c r="E659" s="5">
        <f>MEDIAN(-6,LN((C659+0.3)/(D659-C659+0.3)),6)</f>
        <v/>
      </c>
      <c r="F659" s="5">
        <f>SUMPRODUCT(('01_Data'!$B659:$AW659&lt;&gt;"")*(1/(1+EXP(-(E659-'03_Lap_b'!$B$5:$AW$5)))))</f>
        <v/>
      </c>
      <c r="G659" s="5">
        <f>SUMPRODUCT(('01_Data'!$B659:$AW659&lt;&gt;"")*(1/(1+EXP(-(E659-'03_Lap_b'!$B$5:$AW$5))))^2)</f>
        <v/>
      </c>
      <c r="H659" s="5">
        <f>MEDIAN(-6,E659+(C659-F659)/MAX(F659-G659,0.000000001),6)</f>
        <v/>
      </c>
      <c r="I659" s="5">
        <f>SUMPRODUCT(('01_Data'!$B659:$AW659&lt;&gt;"")*(1/(1+EXP(-(H659-'03_Lap_b'!$B$10:$AW$10)))))</f>
        <v/>
      </c>
      <c r="J659" s="5">
        <f>SUMPRODUCT(('01_Data'!$B659:$AW659&lt;&gt;"")*(1/(1+EXP(-(H659-'03_Lap_b'!$B$10:$AW$10))))^2)</f>
        <v/>
      </c>
      <c r="K659" s="5">
        <f>MEDIAN(-6,H659+(C659-I659)/MAX(I659-J659,0.000000001),6)</f>
        <v/>
      </c>
      <c r="L659" s="5">
        <f>SUMPRODUCT(('01_Data'!$B659:$AW659&lt;&gt;"")*(1/(1+EXP(-(K659-'03_Lap_b'!$B$15:$AW$15)))))</f>
        <v/>
      </c>
      <c r="M659" s="5">
        <f>SUMPRODUCT(('01_Data'!$B659:$AW659&lt;&gt;"")*(1/(1+EXP(-(K659-'03_Lap_b'!$B$15:$AW$15))))^2)</f>
        <v/>
      </c>
      <c r="N659" s="5">
        <f>MEDIAN(-6,K659+(C659-L659)/MAX(L659-M659,0.000000001),6)</f>
        <v/>
      </c>
      <c r="O659" s="5">
        <f>SUMPRODUCT(('01_Data'!$B659:$AW659&lt;&gt;"")*(1/(1+EXP(-(N659-'03_Lap_b'!$B$20:$AW$20)))))</f>
        <v/>
      </c>
      <c r="P659" s="5">
        <f>SUMPRODUCT(('01_Data'!$B659:$AW659&lt;&gt;"")*(1/(1+EXP(-(N659-'03_Lap_b'!$B$20:$AW$20))))^2)</f>
        <v/>
      </c>
      <c r="Q659" s="5">
        <f>MEDIAN(-6,N659+(C659-O659)/MAX(O659-P659,0.000000001),6)</f>
        <v/>
      </c>
      <c r="R659" s="5">
        <f>SUMPRODUCT(('01_Data'!$B659:$AW659&lt;&gt;"")*(1/(1+EXP(-(Q659-'03_Lap_b'!$B$25:$AW$25)))))</f>
        <v/>
      </c>
      <c r="S659" s="5">
        <f>SUMPRODUCT(('01_Data'!$B659:$AW659&lt;&gt;"")*(1/(1+EXP(-(Q659-'03_Lap_b'!$B$25:$AW$25))))^2)</f>
        <v/>
      </c>
      <c r="T659" s="5">
        <f>MEDIAN(-6,Q659+(C659-R659)/MAX(R659-S659,0.000000001),6)</f>
        <v/>
      </c>
      <c r="U659" s="5">
        <f>SUMPRODUCT(('01_Data'!$B659:$AW659&lt;&gt;"")*(1/(1+EXP(-(T659-'03_Lap_b'!$B$30:$AW$30)))))</f>
        <v/>
      </c>
      <c r="V659" s="5">
        <f>SUMPRODUCT(('01_Data'!$B659:$AW659&lt;&gt;"")*(1/(1+EXP(-(T659-'03_Lap_b'!$B$30:$AW$30))))^2)</f>
        <v/>
      </c>
      <c r="W659" s="5">
        <f>MEDIAN(-6,T659+(C659-U659)/MAX(U659-V659,0.000000001),6)</f>
        <v/>
      </c>
      <c r="X659" s="5">
        <f>SUMPRODUCT(('01_Data'!$B659:$AW659&lt;&gt;"")*(1/(1+EXP(-(W659-'03_Lap_b'!$B$35:$AW$35)))))</f>
        <v/>
      </c>
      <c r="Y659" s="5">
        <f>SUMPRODUCT(('01_Data'!$B659:$AW659&lt;&gt;"")*(1/(1+EXP(-(W659-'03_Lap_b'!$B$35:$AW$35))))^2)</f>
        <v/>
      </c>
      <c r="Z659" s="5">
        <f>MEDIAN(-6,W659+(C659-X659)/MAX(X659-Y659,0.000000001),6)</f>
        <v/>
      </c>
      <c r="AA659" s="5">
        <f>SUMPRODUCT(('01_Data'!$B659:$AW659&lt;&gt;"")*(1/(1+EXP(-(Z659-'03_Lap_b'!$B$40:$AW$40)))))</f>
        <v/>
      </c>
      <c r="AB659" s="5">
        <f>SUMPRODUCT(('01_Data'!$B659:$AW659&lt;&gt;"")*(1/(1+EXP(-(Z659-'03_Lap_b'!$B$40:$AW$40))))^2)</f>
        <v/>
      </c>
      <c r="AC659" s="5">
        <f>MEDIAN(-6,Z659+(C659-AA659)/MAX(AA659-AB659,0.000000001),6)</f>
        <v/>
      </c>
    </row>
    <row r="660">
      <c r="A660" t="n">
        <v>659</v>
      </c>
      <c r="B660">
        <f>'01_Data'!A660</f>
        <v/>
      </c>
      <c r="C660">
        <f>SUM('01_Data'!$B660:$AW660)</f>
        <v/>
      </c>
      <c r="D660">
        <f>COUNT('01_Data'!$B660:$AW660)</f>
        <v/>
      </c>
      <c r="E660" s="5">
        <f>MEDIAN(-6,LN((C660+0.3)/(D660-C660+0.3)),6)</f>
        <v/>
      </c>
      <c r="F660" s="5">
        <f>SUMPRODUCT(('01_Data'!$B660:$AW660&lt;&gt;"")*(1/(1+EXP(-(E660-'03_Lap_b'!$B$5:$AW$5)))))</f>
        <v/>
      </c>
      <c r="G660" s="5">
        <f>SUMPRODUCT(('01_Data'!$B660:$AW660&lt;&gt;"")*(1/(1+EXP(-(E660-'03_Lap_b'!$B$5:$AW$5))))^2)</f>
        <v/>
      </c>
      <c r="H660" s="5">
        <f>MEDIAN(-6,E660+(C660-F660)/MAX(F660-G660,0.000000001),6)</f>
        <v/>
      </c>
      <c r="I660" s="5">
        <f>SUMPRODUCT(('01_Data'!$B660:$AW660&lt;&gt;"")*(1/(1+EXP(-(H660-'03_Lap_b'!$B$10:$AW$10)))))</f>
        <v/>
      </c>
      <c r="J660" s="5">
        <f>SUMPRODUCT(('01_Data'!$B660:$AW660&lt;&gt;"")*(1/(1+EXP(-(H660-'03_Lap_b'!$B$10:$AW$10))))^2)</f>
        <v/>
      </c>
      <c r="K660" s="5">
        <f>MEDIAN(-6,H660+(C660-I660)/MAX(I660-J660,0.000000001),6)</f>
        <v/>
      </c>
      <c r="L660" s="5">
        <f>SUMPRODUCT(('01_Data'!$B660:$AW660&lt;&gt;"")*(1/(1+EXP(-(K660-'03_Lap_b'!$B$15:$AW$15)))))</f>
        <v/>
      </c>
      <c r="M660" s="5">
        <f>SUMPRODUCT(('01_Data'!$B660:$AW660&lt;&gt;"")*(1/(1+EXP(-(K660-'03_Lap_b'!$B$15:$AW$15))))^2)</f>
        <v/>
      </c>
      <c r="N660" s="5">
        <f>MEDIAN(-6,K660+(C660-L660)/MAX(L660-M660,0.000000001),6)</f>
        <v/>
      </c>
      <c r="O660" s="5">
        <f>SUMPRODUCT(('01_Data'!$B660:$AW660&lt;&gt;"")*(1/(1+EXP(-(N660-'03_Lap_b'!$B$20:$AW$20)))))</f>
        <v/>
      </c>
      <c r="P660" s="5">
        <f>SUMPRODUCT(('01_Data'!$B660:$AW660&lt;&gt;"")*(1/(1+EXP(-(N660-'03_Lap_b'!$B$20:$AW$20))))^2)</f>
        <v/>
      </c>
      <c r="Q660" s="5">
        <f>MEDIAN(-6,N660+(C660-O660)/MAX(O660-P660,0.000000001),6)</f>
        <v/>
      </c>
      <c r="R660" s="5">
        <f>SUMPRODUCT(('01_Data'!$B660:$AW660&lt;&gt;"")*(1/(1+EXP(-(Q660-'03_Lap_b'!$B$25:$AW$25)))))</f>
        <v/>
      </c>
      <c r="S660" s="5">
        <f>SUMPRODUCT(('01_Data'!$B660:$AW660&lt;&gt;"")*(1/(1+EXP(-(Q660-'03_Lap_b'!$B$25:$AW$25))))^2)</f>
        <v/>
      </c>
      <c r="T660" s="5">
        <f>MEDIAN(-6,Q660+(C660-R660)/MAX(R660-S660,0.000000001),6)</f>
        <v/>
      </c>
      <c r="U660" s="5">
        <f>SUMPRODUCT(('01_Data'!$B660:$AW660&lt;&gt;"")*(1/(1+EXP(-(T660-'03_Lap_b'!$B$30:$AW$30)))))</f>
        <v/>
      </c>
      <c r="V660" s="5">
        <f>SUMPRODUCT(('01_Data'!$B660:$AW660&lt;&gt;"")*(1/(1+EXP(-(T660-'03_Lap_b'!$B$30:$AW$30))))^2)</f>
        <v/>
      </c>
      <c r="W660" s="5">
        <f>MEDIAN(-6,T660+(C660-U660)/MAX(U660-V660,0.000000001),6)</f>
        <v/>
      </c>
      <c r="X660" s="5">
        <f>SUMPRODUCT(('01_Data'!$B660:$AW660&lt;&gt;"")*(1/(1+EXP(-(W660-'03_Lap_b'!$B$35:$AW$35)))))</f>
        <v/>
      </c>
      <c r="Y660" s="5">
        <f>SUMPRODUCT(('01_Data'!$B660:$AW660&lt;&gt;"")*(1/(1+EXP(-(W660-'03_Lap_b'!$B$35:$AW$35))))^2)</f>
        <v/>
      </c>
      <c r="Z660" s="5">
        <f>MEDIAN(-6,W660+(C660-X660)/MAX(X660-Y660,0.000000001),6)</f>
        <v/>
      </c>
      <c r="AA660" s="5">
        <f>SUMPRODUCT(('01_Data'!$B660:$AW660&lt;&gt;"")*(1/(1+EXP(-(Z660-'03_Lap_b'!$B$40:$AW$40)))))</f>
        <v/>
      </c>
      <c r="AB660" s="5">
        <f>SUMPRODUCT(('01_Data'!$B660:$AW660&lt;&gt;"")*(1/(1+EXP(-(Z660-'03_Lap_b'!$B$40:$AW$40))))^2)</f>
        <v/>
      </c>
      <c r="AC660" s="5">
        <f>MEDIAN(-6,Z660+(C660-AA660)/MAX(AA660-AB660,0.000000001),6)</f>
        <v/>
      </c>
    </row>
    <row r="661">
      <c r="A661" t="n">
        <v>660</v>
      </c>
      <c r="B661">
        <f>'01_Data'!A661</f>
        <v/>
      </c>
      <c r="C661">
        <f>SUM('01_Data'!$B661:$AW661)</f>
        <v/>
      </c>
      <c r="D661">
        <f>COUNT('01_Data'!$B661:$AW661)</f>
        <v/>
      </c>
      <c r="E661" s="5">
        <f>MEDIAN(-6,LN((C661+0.3)/(D661-C661+0.3)),6)</f>
        <v/>
      </c>
      <c r="F661" s="5">
        <f>SUMPRODUCT(('01_Data'!$B661:$AW661&lt;&gt;"")*(1/(1+EXP(-(E661-'03_Lap_b'!$B$5:$AW$5)))))</f>
        <v/>
      </c>
      <c r="G661" s="5">
        <f>SUMPRODUCT(('01_Data'!$B661:$AW661&lt;&gt;"")*(1/(1+EXP(-(E661-'03_Lap_b'!$B$5:$AW$5))))^2)</f>
        <v/>
      </c>
      <c r="H661" s="5">
        <f>MEDIAN(-6,E661+(C661-F661)/MAX(F661-G661,0.000000001),6)</f>
        <v/>
      </c>
      <c r="I661" s="5">
        <f>SUMPRODUCT(('01_Data'!$B661:$AW661&lt;&gt;"")*(1/(1+EXP(-(H661-'03_Lap_b'!$B$10:$AW$10)))))</f>
        <v/>
      </c>
      <c r="J661" s="5">
        <f>SUMPRODUCT(('01_Data'!$B661:$AW661&lt;&gt;"")*(1/(1+EXP(-(H661-'03_Lap_b'!$B$10:$AW$10))))^2)</f>
        <v/>
      </c>
      <c r="K661" s="5">
        <f>MEDIAN(-6,H661+(C661-I661)/MAX(I661-J661,0.000000001),6)</f>
        <v/>
      </c>
      <c r="L661" s="5">
        <f>SUMPRODUCT(('01_Data'!$B661:$AW661&lt;&gt;"")*(1/(1+EXP(-(K661-'03_Lap_b'!$B$15:$AW$15)))))</f>
        <v/>
      </c>
      <c r="M661" s="5">
        <f>SUMPRODUCT(('01_Data'!$B661:$AW661&lt;&gt;"")*(1/(1+EXP(-(K661-'03_Lap_b'!$B$15:$AW$15))))^2)</f>
        <v/>
      </c>
      <c r="N661" s="5">
        <f>MEDIAN(-6,K661+(C661-L661)/MAX(L661-M661,0.000000001),6)</f>
        <v/>
      </c>
      <c r="O661" s="5">
        <f>SUMPRODUCT(('01_Data'!$B661:$AW661&lt;&gt;"")*(1/(1+EXP(-(N661-'03_Lap_b'!$B$20:$AW$20)))))</f>
        <v/>
      </c>
      <c r="P661" s="5">
        <f>SUMPRODUCT(('01_Data'!$B661:$AW661&lt;&gt;"")*(1/(1+EXP(-(N661-'03_Lap_b'!$B$20:$AW$20))))^2)</f>
        <v/>
      </c>
      <c r="Q661" s="5">
        <f>MEDIAN(-6,N661+(C661-O661)/MAX(O661-P661,0.000000001),6)</f>
        <v/>
      </c>
      <c r="R661" s="5">
        <f>SUMPRODUCT(('01_Data'!$B661:$AW661&lt;&gt;"")*(1/(1+EXP(-(Q661-'03_Lap_b'!$B$25:$AW$25)))))</f>
        <v/>
      </c>
      <c r="S661" s="5">
        <f>SUMPRODUCT(('01_Data'!$B661:$AW661&lt;&gt;"")*(1/(1+EXP(-(Q661-'03_Lap_b'!$B$25:$AW$25))))^2)</f>
        <v/>
      </c>
      <c r="T661" s="5">
        <f>MEDIAN(-6,Q661+(C661-R661)/MAX(R661-S661,0.000000001),6)</f>
        <v/>
      </c>
      <c r="U661" s="5">
        <f>SUMPRODUCT(('01_Data'!$B661:$AW661&lt;&gt;"")*(1/(1+EXP(-(T661-'03_Lap_b'!$B$30:$AW$30)))))</f>
        <v/>
      </c>
      <c r="V661" s="5">
        <f>SUMPRODUCT(('01_Data'!$B661:$AW661&lt;&gt;"")*(1/(1+EXP(-(T661-'03_Lap_b'!$B$30:$AW$30))))^2)</f>
        <v/>
      </c>
      <c r="W661" s="5">
        <f>MEDIAN(-6,T661+(C661-U661)/MAX(U661-V661,0.000000001),6)</f>
        <v/>
      </c>
      <c r="X661" s="5">
        <f>SUMPRODUCT(('01_Data'!$B661:$AW661&lt;&gt;"")*(1/(1+EXP(-(W661-'03_Lap_b'!$B$35:$AW$35)))))</f>
        <v/>
      </c>
      <c r="Y661" s="5">
        <f>SUMPRODUCT(('01_Data'!$B661:$AW661&lt;&gt;"")*(1/(1+EXP(-(W661-'03_Lap_b'!$B$35:$AW$35))))^2)</f>
        <v/>
      </c>
      <c r="Z661" s="5">
        <f>MEDIAN(-6,W661+(C661-X661)/MAX(X661-Y661,0.000000001),6)</f>
        <v/>
      </c>
      <c r="AA661" s="5">
        <f>SUMPRODUCT(('01_Data'!$B661:$AW661&lt;&gt;"")*(1/(1+EXP(-(Z661-'03_Lap_b'!$B$40:$AW$40)))))</f>
        <v/>
      </c>
      <c r="AB661" s="5">
        <f>SUMPRODUCT(('01_Data'!$B661:$AW661&lt;&gt;"")*(1/(1+EXP(-(Z661-'03_Lap_b'!$B$40:$AW$40))))^2)</f>
        <v/>
      </c>
      <c r="AC661" s="5">
        <f>MEDIAN(-6,Z661+(C661-AA661)/MAX(AA661-AB661,0.000000001),6)</f>
        <v/>
      </c>
    </row>
    <row r="662">
      <c r="A662" t="n">
        <v>661</v>
      </c>
      <c r="B662">
        <f>'01_Data'!A662</f>
        <v/>
      </c>
      <c r="C662">
        <f>SUM('01_Data'!$B662:$AW662)</f>
        <v/>
      </c>
      <c r="D662">
        <f>COUNT('01_Data'!$B662:$AW662)</f>
        <v/>
      </c>
      <c r="E662" s="5">
        <f>MEDIAN(-6,LN((C662+0.3)/(D662-C662+0.3)),6)</f>
        <v/>
      </c>
      <c r="F662" s="5">
        <f>SUMPRODUCT(('01_Data'!$B662:$AW662&lt;&gt;"")*(1/(1+EXP(-(E662-'03_Lap_b'!$B$5:$AW$5)))))</f>
        <v/>
      </c>
      <c r="G662" s="5">
        <f>SUMPRODUCT(('01_Data'!$B662:$AW662&lt;&gt;"")*(1/(1+EXP(-(E662-'03_Lap_b'!$B$5:$AW$5))))^2)</f>
        <v/>
      </c>
      <c r="H662" s="5">
        <f>MEDIAN(-6,E662+(C662-F662)/MAX(F662-G662,0.000000001),6)</f>
        <v/>
      </c>
      <c r="I662" s="5">
        <f>SUMPRODUCT(('01_Data'!$B662:$AW662&lt;&gt;"")*(1/(1+EXP(-(H662-'03_Lap_b'!$B$10:$AW$10)))))</f>
        <v/>
      </c>
      <c r="J662" s="5">
        <f>SUMPRODUCT(('01_Data'!$B662:$AW662&lt;&gt;"")*(1/(1+EXP(-(H662-'03_Lap_b'!$B$10:$AW$10))))^2)</f>
        <v/>
      </c>
      <c r="K662" s="5">
        <f>MEDIAN(-6,H662+(C662-I662)/MAX(I662-J662,0.000000001),6)</f>
        <v/>
      </c>
      <c r="L662" s="5">
        <f>SUMPRODUCT(('01_Data'!$B662:$AW662&lt;&gt;"")*(1/(1+EXP(-(K662-'03_Lap_b'!$B$15:$AW$15)))))</f>
        <v/>
      </c>
      <c r="M662" s="5">
        <f>SUMPRODUCT(('01_Data'!$B662:$AW662&lt;&gt;"")*(1/(1+EXP(-(K662-'03_Lap_b'!$B$15:$AW$15))))^2)</f>
        <v/>
      </c>
      <c r="N662" s="5">
        <f>MEDIAN(-6,K662+(C662-L662)/MAX(L662-M662,0.000000001),6)</f>
        <v/>
      </c>
      <c r="O662" s="5">
        <f>SUMPRODUCT(('01_Data'!$B662:$AW662&lt;&gt;"")*(1/(1+EXP(-(N662-'03_Lap_b'!$B$20:$AW$20)))))</f>
        <v/>
      </c>
      <c r="P662" s="5">
        <f>SUMPRODUCT(('01_Data'!$B662:$AW662&lt;&gt;"")*(1/(1+EXP(-(N662-'03_Lap_b'!$B$20:$AW$20))))^2)</f>
        <v/>
      </c>
      <c r="Q662" s="5">
        <f>MEDIAN(-6,N662+(C662-O662)/MAX(O662-P662,0.000000001),6)</f>
        <v/>
      </c>
      <c r="R662" s="5">
        <f>SUMPRODUCT(('01_Data'!$B662:$AW662&lt;&gt;"")*(1/(1+EXP(-(Q662-'03_Lap_b'!$B$25:$AW$25)))))</f>
        <v/>
      </c>
      <c r="S662" s="5">
        <f>SUMPRODUCT(('01_Data'!$B662:$AW662&lt;&gt;"")*(1/(1+EXP(-(Q662-'03_Lap_b'!$B$25:$AW$25))))^2)</f>
        <v/>
      </c>
      <c r="T662" s="5">
        <f>MEDIAN(-6,Q662+(C662-R662)/MAX(R662-S662,0.000000001),6)</f>
        <v/>
      </c>
      <c r="U662" s="5">
        <f>SUMPRODUCT(('01_Data'!$B662:$AW662&lt;&gt;"")*(1/(1+EXP(-(T662-'03_Lap_b'!$B$30:$AW$30)))))</f>
        <v/>
      </c>
      <c r="V662" s="5">
        <f>SUMPRODUCT(('01_Data'!$B662:$AW662&lt;&gt;"")*(1/(1+EXP(-(T662-'03_Lap_b'!$B$30:$AW$30))))^2)</f>
        <v/>
      </c>
      <c r="W662" s="5">
        <f>MEDIAN(-6,T662+(C662-U662)/MAX(U662-V662,0.000000001),6)</f>
        <v/>
      </c>
      <c r="X662" s="5">
        <f>SUMPRODUCT(('01_Data'!$B662:$AW662&lt;&gt;"")*(1/(1+EXP(-(W662-'03_Lap_b'!$B$35:$AW$35)))))</f>
        <v/>
      </c>
      <c r="Y662" s="5">
        <f>SUMPRODUCT(('01_Data'!$B662:$AW662&lt;&gt;"")*(1/(1+EXP(-(W662-'03_Lap_b'!$B$35:$AW$35))))^2)</f>
        <v/>
      </c>
      <c r="Z662" s="5">
        <f>MEDIAN(-6,W662+(C662-X662)/MAX(X662-Y662,0.000000001),6)</f>
        <v/>
      </c>
      <c r="AA662" s="5">
        <f>SUMPRODUCT(('01_Data'!$B662:$AW662&lt;&gt;"")*(1/(1+EXP(-(Z662-'03_Lap_b'!$B$40:$AW$40)))))</f>
        <v/>
      </c>
      <c r="AB662" s="5">
        <f>SUMPRODUCT(('01_Data'!$B662:$AW662&lt;&gt;"")*(1/(1+EXP(-(Z662-'03_Lap_b'!$B$40:$AW$40))))^2)</f>
        <v/>
      </c>
      <c r="AC662" s="5">
        <f>MEDIAN(-6,Z662+(C662-AA662)/MAX(AA662-AB662,0.000000001),6)</f>
        <v/>
      </c>
    </row>
    <row r="663">
      <c r="A663" t="n">
        <v>662</v>
      </c>
      <c r="B663">
        <f>'01_Data'!A663</f>
        <v/>
      </c>
      <c r="C663">
        <f>SUM('01_Data'!$B663:$AW663)</f>
        <v/>
      </c>
      <c r="D663">
        <f>COUNT('01_Data'!$B663:$AW663)</f>
        <v/>
      </c>
      <c r="E663" s="5">
        <f>MEDIAN(-6,LN((C663+0.3)/(D663-C663+0.3)),6)</f>
        <v/>
      </c>
      <c r="F663" s="5">
        <f>SUMPRODUCT(('01_Data'!$B663:$AW663&lt;&gt;"")*(1/(1+EXP(-(E663-'03_Lap_b'!$B$5:$AW$5)))))</f>
        <v/>
      </c>
      <c r="G663" s="5">
        <f>SUMPRODUCT(('01_Data'!$B663:$AW663&lt;&gt;"")*(1/(1+EXP(-(E663-'03_Lap_b'!$B$5:$AW$5))))^2)</f>
        <v/>
      </c>
      <c r="H663" s="5">
        <f>MEDIAN(-6,E663+(C663-F663)/MAX(F663-G663,0.000000001),6)</f>
        <v/>
      </c>
      <c r="I663" s="5">
        <f>SUMPRODUCT(('01_Data'!$B663:$AW663&lt;&gt;"")*(1/(1+EXP(-(H663-'03_Lap_b'!$B$10:$AW$10)))))</f>
        <v/>
      </c>
      <c r="J663" s="5">
        <f>SUMPRODUCT(('01_Data'!$B663:$AW663&lt;&gt;"")*(1/(1+EXP(-(H663-'03_Lap_b'!$B$10:$AW$10))))^2)</f>
        <v/>
      </c>
      <c r="K663" s="5">
        <f>MEDIAN(-6,H663+(C663-I663)/MAX(I663-J663,0.000000001),6)</f>
        <v/>
      </c>
      <c r="L663" s="5">
        <f>SUMPRODUCT(('01_Data'!$B663:$AW663&lt;&gt;"")*(1/(1+EXP(-(K663-'03_Lap_b'!$B$15:$AW$15)))))</f>
        <v/>
      </c>
      <c r="M663" s="5">
        <f>SUMPRODUCT(('01_Data'!$B663:$AW663&lt;&gt;"")*(1/(1+EXP(-(K663-'03_Lap_b'!$B$15:$AW$15))))^2)</f>
        <v/>
      </c>
      <c r="N663" s="5">
        <f>MEDIAN(-6,K663+(C663-L663)/MAX(L663-M663,0.000000001),6)</f>
        <v/>
      </c>
      <c r="O663" s="5">
        <f>SUMPRODUCT(('01_Data'!$B663:$AW663&lt;&gt;"")*(1/(1+EXP(-(N663-'03_Lap_b'!$B$20:$AW$20)))))</f>
        <v/>
      </c>
      <c r="P663" s="5">
        <f>SUMPRODUCT(('01_Data'!$B663:$AW663&lt;&gt;"")*(1/(1+EXP(-(N663-'03_Lap_b'!$B$20:$AW$20))))^2)</f>
        <v/>
      </c>
      <c r="Q663" s="5">
        <f>MEDIAN(-6,N663+(C663-O663)/MAX(O663-P663,0.000000001),6)</f>
        <v/>
      </c>
      <c r="R663" s="5">
        <f>SUMPRODUCT(('01_Data'!$B663:$AW663&lt;&gt;"")*(1/(1+EXP(-(Q663-'03_Lap_b'!$B$25:$AW$25)))))</f>
        <v/>
      </c>
      <c r="S663" s="5">
        <f>SUMPRODUCT(('01_Data'!$B663:$AW663&lt;&gt;"")*(1/(1+EXP(-(Q663-'03_Lap_b'!$B$25:$AW$25))))^2)</f>
        <v/>
      </c>
      <c r="T663" s="5">
        <f>MEDIAN(-6,Q663+(C663-R663)/MAX(R663-S663,0.000000001),6)</f>
        <v/>
      </c>
      <c r="U663" s="5">
        <f>SUMPRODUCT(('01_Data'!$B663:$AW663&lt;&gt;"")*(1/(1+EXP(-(T663-'03_Lap_b'!$B$30:$AW$30)))))</f>
        <v/>
      </c>
      <c r="V663" s="5">
        <f>SUMPRODUCT(('01_Data'!$B663:$AW663&lt;&gt;"")*(1/(1+EXP(-(T663-'03_Lap_b'!$B$30:$AW$30))))^2)</f>
        <v/>
      </c>
      <c r="W663" s="5">
        <f>MEDIAN(-6,T663+(C663-U663)/MAX(U663-V663,0.000000001),6)</f>
        <v/>
      </c>
      <c r="X663" s="5">
        <f>SUMPRODUCT(('01_Data'!$B663:$AW663&lt;&gt;"")*(1/(1+EXP(-(W663-'03_Lap_b'!$B$35:$AW$35)))))</f>
        <v/>
      </c>
      <c r="Y663" s="5">
        <f>SUMPRODUCT(('01_Data'!$B663:$AW663&lt;&gt;"")*(1/(1+EXP(-(W663-'03_Lap_b'!$B$35:$AW$35))))^2)</f>
        <v/>
      </c>
      <c r="Z663" s="5">
        <f>MEDIAN(-6,W663+(C663-X663)/MAX(X663-Y663,0.000000001),6)</f>
        <v/>
      </c>
      <c r="AA663" s="5">
        <f>SUMPRODUCT(('01_Data'!$B663:$AW663&lt;&gt;"")*(1/(1+EXP(-(Z663-'03_Lap_b'!$B$40:$AW$40)))))</f>
        <v/>
      </c>
      <c r="AB663" s="5">
        <f>SUMPRODUCT(('01_Data'!$B663:$AW663&lt;&gt;"")*(1/(1+EXP(-(Z663-'03_Lap_b'!$B$40:$AW$40))))^2)</f>
        <v/>
      </c>
      <c r="AC663" s="5">
        <f>MEDIAN(-6,Z663+(C663-AA663)/MAX(AA663-AB663,0.000000001),6)</f>
        <v/>
      </c>
    </row>
    <row r="664">
      <c r="A664" t="n">
        <v>663</v>
      </c>
      <c r="B664">
        <f>'01_Data'!A664</f>
        <v/>
      </c>
      <c r="C664">
        <f>SUM('01_Data'!$B664:$AW664)</f>
        <v/>
      </c>
      <c r="D664">
        <f>COUNT('01_Data'!$B664:$AW664)</f>
        <v/>
      </c>
      <c r="E664" s="5">
        <f>MEDIAN(-6,LN((C664+0.3)/(D664-C664+0.3)),6)</f>
        <v/>
      </c>
      <c r="F664" s="5">
        <f>SUMPRODUCT(('01_Data'!$B664:$AW664&lt;&gt;"")*(1/(1+EXP(-(E664-'03_Lap_b'!$B$5:$AW$5)))))</f>
        <v/>
      </c>
      <c r="G664" s="5">
        <f>SUMPRODUCT(('01_Data'!$B664:$AW664&lt;&gt;"")*(1/(1+EXP(-(E664-'03_Lap_b'!$B$5:$AW$5))))^2)</f>
        <v/>
      </c>
      <c r="H664" s="5">
        <f>MEDIAN(-6,E664+(C664-F664)/MAX(F664-G664,0.000000001),6)</f>
        <v/>
      </c>
      <c r="I664" s="5">
        <f>SUMPRODUCT(('01_Data'!$B664:$AW664&lt;&gt;"")*(1/(1+EXP(-(H664-'03_Lap_b'!$B$10:$AW$10)))))</f>
        <v/>
      </c>
      <c r="J664" s="5">
        <f>SUMPRODUCT(('01_Data'!$B664:$AW664&lt;&gt;"")*(1/(1+EXP(-(H664-'03_Lap_b'!$B$10:$AW$10))))^2)</f>
        <v/>
      </c>
      <c r="K664" s="5">
        <f>MEDIAN(-6,H664+(C664-I664)/MAX(I664-J664,0.000000001),6)</f>
        <v/>
      </c>
      <c r="L664" s="5">
        <f>SUMPRODUCT(('01_Data'!$B664:$AW664&lt;&gt;"")*(1/(1+EXP(-(K664-'03_Lap_b'!$B$15:$AW$15)))))</f>
        <v/>
      </c>
      <c r="M664" s="5">
        <f>SUMPRODUCT(('01_Data'!$B664:$AW664&lt;&gt;"")*(1/(1+EXP(-(K664-'03_Lap_b'!$B$15:$AW$15))))^2)</f>
        <v/>
      </c>
      <c r="N664" s="5">
        <f>MEDIAN(-6,K664+(C664-L664)/MAX(L664-M664,0.000000001),6)</f>
        <v/>
      </c>
      <c r="O664" s="5">
        <f>SUMPRODUCT(('01_Data'!$B664:$AW664&lt;&gt;"")*(1/(1+EXP(-(N664-'03_Lap_b'!$B$20:$AW$20)))))</f>
        <v/>
      </c>
      <c r="P664" s="5">
        <f>SUMPRODUCT(('01_Data'!$B664:$AW664&lt;&gt;"")*(1/(1+EXP(-(N664-'03_Lap_b'!$B$20:$AW$20))))^2)</f>
        <v/>
      </c>
      <c r="Q664" s="5">
        <f>MEDIAN(-6,N664+(C664-O664)/MAX(O664-P664,0.000000001),6)</f>
        <v/>
      </c>
      <c r="R664" s="5">
        <f>SUMPRODUCT(('01_Data'!$B664:$AW664&lt;&gt;"")*(1/(1+EXP(-(Q664-'03_Lap_b'!$B$25:$AW$25)))))</f>
        <v/>
      </c>
      <c r="S664" s="5">
        <f>SUMPRODUCT(('01_Data'!$B664:$AW664&lt;&gt;"")*(1/(1+EXP(-(Q664-'03_Lap_b'!$B$25:$AW$25))))^2)</f>
        <v/>
      </c>
      <c r="T664" s="5">
        <f>MEDIAN(-6,Q664+(C664-R664)/MAX(R664-S664,0.000000001),6)</f>
        <v/>
      </c>
      <c r="U664" s="5">
        <f>SUMPRODUCT(('01_Data'!$B664:$AW664&lt;&gt;"")*(1/(1+EXP(-(T664-'03_Lap_b'!$B$30:$AW$30)))))</f>
        <v/>
      </c>
      <c r="V664" s="5">
        <f>SUMPRODUCT(('01_Data'!$B664:$AW664&lt;&gt;"")*(1/(1+EXP(-(T664-'03_Lap_b'!$B$30:$AW$30))))^2)</f>
        <v/>
      </c>
      <c r="W664" s="5">
        <f>MEDIAN(-6,T664+(C664-U664)/MAX(U664-V664,0.000000001),6)</f>
        <v/>
      </c>
      <c r="X664" s="5">
        <f>SUMPRODUCT(('01_Data'!$B664:$AW664&lt;&gt;"")*(1/(1+EXP(-(W664-'03_Lap_b'!$B$35:$AW$35)))))</f>
        <v/>
      </c>
      <c r="Y664" s="5">
        <f>SUMPRODUCT(('01_Data'!$B664:$AW664&lt;&gt;"")*(1/(1+EXP(-(W664-'03_Lap_b'!$B$35:$AW$35))))^2)</f>
        <v/>
      </c>
      <c r="Z664" s="5">
        <f>MEDIAN(-6,W664+(C664-X664)/MAX(X664-Y664,0.000000001),6)</f>
        <v/>
      </c>
      <c r="AA664" s="5">
        <f>SUMPRODUCT(('01_Data'!$B664:$AW664&lt;&gt;"")*(1/(1+EXP(-(Z664-'03_Lap_b'!$B$40:$AW$40)))))</f>
        <v/>
      </c>
      <c r="AB664" s="5">
        <f>SUMPRODUCT(('01_Data'!$B664:$AW664&lt;&gt;"")*(1/(1+EXP(-(Z664-'03_Lap_b'!$B$40:$AW$40))))^2)</f>
        <v/>
      </c>
      <c r="AC664" s="5">
        <f>MEDIAN(-6,Z664+(C664-AA664)/MAX(AA664-AB664,0.000000001),6)</f>
        <v/>
      </c>
    </row>
    <row r="665">
      <c r="A665" t="n">
        <v>664</v>
      </c>
      <c r="B665">
        <f>'01_Data'!A665</f>
        <v/>
      </c>
      <c r="C665">
        <f>SUM('01_Data'!$B665:$AW665)</f>
        <v/>
      </c>
      <c r="D665">
        <f>COUNT('01_Data'!$B665:$AW665)</f>
        <v/>
      </c>
      <c r="E665" s="5">
        <f>MEDIAN(-6,LN((C665+0.3)/(D665-C665+0.3)),6)</f>
        <v/>
      </c>
      <c r="F665" s="5">
        <f>SUMPRODUCT(('01_Data'!$B665:$AW665&lt;&gt;"")*(1/(1+EXP(-(E665-'03_Lap_b'!$B$5:$AW$5)))))</f>
        <v/>
      </c>
      <c r="G665" s="5">
        <f>SUMPRODUCT(('01_Data'!$B665:$AW665&lt;&gt;"")*(1/(1+EXP(-(E665-'03_Lap_b'!$B$5:$AW$5))))^2)</f>
        <v/>
      </c>
      <c r="H665" s="5">
        <f>MEDIAN(-6,E665+(C665-F665)/MAX(F665-G665,0.000000001),6)</f>
        <v/>
      </c>
      <c r="I665" s="5">
        <f>SUMPRODUCT(('01_Data'!$B665:$AW665&lt;&gt;"")*(1/(1+EXP(-(H665-'03_Lap_b'!$B$10:$AW$10)))))</f>
        <v/>
      </c>
      <c r="J665" s="5">
        <f>SUMPRODUCT(('01_Data'!$B665:$AW665&lt;&gt;"")*(1/(1+EXP(-(H665-'03_Lap_b'!$B$10:$AW$10))))^2)</f>
        <v/>
      </c>
      <c r="K665" s="5">
        <f>MEDIAN(-6,H665+(C665-I665)/MAX(I665-J665,0.000000001),6)</f>
        <v/>
      </c>
      <c r="L665" s="5">
        <f>SUMPRODUCT(('01_Data'!$B665:$AW665&lt;&gt;"")*(1/(1+EXP(-(K665-'03_Lap_b'!$B$15:$AW$15)))))</f>
        <v/>
      </c>
      <c r="M665" s="5">
        <f>SUMPRODUCT(('01_Data'!$B665:$AW665&lt;&gt;"")*(1/(1+EXP(-(K665-'03_Lap_b'!$B$15:$AW$15))))^2)</f>
        <v/>
      </c>
      <c r="N665" s="5">
        <f>MEDIAN(-6,K665+(C665-L665)/MAX(L665-M665,0.000000001),6)</f>
        <v/>
      </c>
      <c r="O665" s="5">
        <f>SUMPRODUCT(('01_Data'!$B665:$AW665&lt;&gt;"")*(1/(1+EXP(-(N665-'03_Lap_b'!$B$20:$AW$20)))))</f>
        <v/>
      </c>
      <c r="P665" s="5">
        <f>SUMPRODUCT(('01_Data'!$B665:$AW665&lt;&gt;"")*(1/(1+EXP(-(N665-'03_Lap_b'!$B$20:$AW$20))))^2)</f>
        <v/>
      </c>
      <c r="Q665" s="5">
        <f>MEDIAN(-6,N665+(C665-O665)/MAX(O665-P665,0.000000001),6)</f>
        <v/>
      </c>
      <c r="R665" s="5">
        <f>SUMPRODUCT(('01_Data'!$B665:$AW665&lt;&gt;"")*(1/(1+EXP(-(Q665-'03_Lap_b'!$B$25:$AW$25)))))</f>
        <v/>
      </c>
      <c r="S665" s="5">
        <f>SUMPRODUCT(('01_Data'!$B665:$AW665&lt;&gt;"")*(1/(1+EXP(-(Q665-'03_Lap_b'!$B$25:$AW$25))))^2)</f>
        <v/>
      </c>
      <c r="T665" s="5">
        <f>MEDIAN(-6,Q665+(C665-R665)/MAX(R665-S665,0.000000001),6)</f>
        <v/>
      </c>
      <c r="U665" s="5">
        <f>SUMPRODUCT(('01_Data'!$B665:$AW665&lt;&gt;"")*(1/(1+EXP(-(T665-'03_Lap_b'!$B$30:$AW$30)))))</f>
        <v/>
      </c>
      <c r="V665" s="5">
        <f>SUMPRODUCT(('01_Data'!$B665:$AW665&lt;&gt;"")*(1/(1+EXP(-(T665-'03_Lap_b'!$B$30:$AW$30))))^2)</f>
        <v/>
      </c>
      <c r="W665" s="5">
        <f>MEDIAN(-6,T665+(C665-U665)/MAX(U665-V665,0.000000001),6)</f>
        <v/>
      </c>
      <c r="X665" s="5">
        <f>SUMPRODUCT(('01_Data'!$B665:$AW665&lt;&gt;"")*(1/(1+EXP(-(W665-'03_Lap_b'!$B$35:$AW$35)))))</f>
        <v/>
      </c>
      <c r="Y665" s="5">
        <f>SUMPRODUCT(('01_Data'!$B665:$AW665&lt;&gt;"")*(1/(1+EXP(-(W665-'03_Lap_b'!$B$35:$AW$35))))^2)</f>
        <v/>
      </c>
      <c r="Z665" s="5">
        <f>MEDIAN(-6,W665+(C665-X665)/MAX(X665-Y665,0.000000001),6)</f>
        <v/>
      </c>
      <c r="AA665" s="5">
        <f>SUMPRODUCT(('01_Data'!$B665:$AW665&lt;&gt;"")*(1/(1+EXP(-(Z665-'03_Lap_b'!$B$40:$AW$40)))))</f>
        <v/>
      </c>
      <c r="AB665" s="5">
        <f>SUMPRODUCT(('01_Data'!$B665:$AW665&lt;&gt;"")*(1/(1+EXP(-(Z665-'03_Lap_b'!$B$40:$AW$40))))^2)</f>
        <v/>
      </c>
      <c r="AC665" s="5">
        <f>MEDIAN(-6,Z665+(C665-AA665)/MAX(AA665-AB665,0.000000001),6)</f>
        <v/>
      </c>
    </row>
    <row r="666">
      <c r="A666" t="n">
        <v>665</v>
      </c>
      <c r="B666">
        <f>'01_Data'!A666</f>
        <v/>
      </c>
      <c r="C666">
        <f>SUM('01_Data'!$B666:$AW666)</f>
        <v/>
      </c>
      <c r="D666">
        <f>COUNT('01_Data'!$B666:$AW666)</f>
        <v/>
      </c>
      <c r="E666" s="5">
        <f>MEDIAN(-6,LN((C666+0.3)/(D666-C666+0.3)),6)</f>
        <v/>
      </c>
      <c r="F666" s="5">
        <f>SUMPRODUCT(('01_Data'!$B666:$AW666&lt;&gt;"")*(1/(1+EXP(-(E666-'03_Lap_b'!$B$5:$AW$5)))))</f>
        <v/>
      </c>
      <c r="G666" s="5">
        <f>SUMPRODUCT(('01_Data'!$B666:$AW666&lt;&gt;"")*(1/(1+EXP(-(E666-'03_Lap_b'!$B$5:$AW$5))))^2)</f>
        <v/>
      </c>
      <c r="H666" s="5">
        <f>MEDIAN(-6,E666+(C666-F666)/MAX(F666-G666,0.000000001),6)</f>
        <v/>
      </c>
      <c r="I666" s="5">
        <f>SUMPRODUCT(('01_Data'!$B666:$AW666&lt;&gt;"")*(1/(1+EXP(-(H666-'03_Lap_b'!$B$10:$AW$10)))))</f>
        <v/>
      </c>
      <c r="J666" s="5">
        <f>SUMPRODUCT(('01_Data'!$B666:$AW666&lt;&gt;"")*(1/(1+EXP(-(H666-'03_Lap_b'!$B$10:$AW$10))))^2)</f>
        <v/>
      </c>
      <c r="K666" s="5">
        <f>MEDIAN(-6,H666+(C666-I666)/MAX(I666-J666,0.000000001),6)</f>
        <v/>
      </c>
      <c r="L666" s="5">
        <f>SUMPRODUCT(('01_Data'!$B666:$AW666&lt;&gt;"")*(1/(1+EXP(-(K666-'03_Lap_b'!$B$15:$AW$15)))))</f>
        <v/>
      </c>
      <c r="M666" s="5">
        <f>SUMPRODUCT(('01_Data'!$B666:$AW666&lt;&gt;"")*(1/(1+EXP(-(K666-'03_Lap_b'!$B$15:$AW$15))))^2)</f>
        <v/>
      </c>
      <c r="N666" s="5">
        <f>MEDIAN(-6,K666+(C666-L666)/MAX(L666-M666,0.000000001),6)</f>
        <v/>
      </c>
      <c r="O666" s="5">
        <f>SUMPRODUCT(('01_Data'!$B666:$AW666&lt;&gt;"")*(1/(1+EXP(-(N666-'03_Lap_b'!$B$20:$AW$20)))))</f>
        <v/>
      </c>
      <c r="P666" s="5">
        <f>SUMPRODUCT(('01_Data'!$B666:$AW666&lt;&gt;"")*(1/(1+EXP(-(N666-'03_Lap_b'!$B$20:$AW$20))))^2)</f>
        <v/>
      </c>
      <c r="Q666" s="5">
        <f>MEDIAN(-6,N666+(C666-O666)/MAX(O666-P666,0.000000001),6)</f>
        <v/>
      </c>
      <c r="R666" s="5">
        <f>SUMPRODUCT(('01_Data'!$B666:$AW666&lt;&gt;"")*(1/(1+EXP(-(Q666-'03_Lap_b'!$B$25:$AW$25)))))</f>
        <v/>
      </c>
      <c r="S666" s="5">
        <f>SUMPRODUCT(('01_Data'!$B666:$AW666&lt;&gt;"")*(1/(1+EXP(-(Q666-'03_Lap_b'!$B$25:$AW$25))))^2)</f>
        <v/>
      </c>
      <c r="T666" s="5">
        <f>MEDIAN(-6,Q666+(C666-R666)/MAX(R666-S666,0.000000001),6)</f>
        <v/>
      </c>
      <c r="U666" s="5">
        <f>SUMPRODUCT(('01_Data'!$B666:$AW666&lt;&gt;"")*(1/(1+EXP(-(T666-'03_Lap_b'!$B$30:$AW$30)))))</f>
        <v/>
      </c>
      <c r="V666" s="5">
        <f>SUMPRODUCT(('01_Data'!$B666:$AW666&lt;&gt;"")*(1/(1+EXP(-(T666-'03_Lap_b'!$B$30:$AW$30))))^2)</f>
        <v/>
      </c>
      <c r="W666" s="5">
        <f>MEDIAN(-6,T666+(C666-U666)/MAX(U666-V666,0.000000001),6)</f>
        <v/>
      </c>
      <c r="X666" s="5">
        <f>SUMPRODUCT(('01_Data'!$B666:$AW666&lt;&gt;"")*(1/(1+EXP(-(W666-'03_Lap_b'!$B$35:$AW$35)))))</f>
        <v/>
      </c>
      <c r="Y666" s="5">
        <f>SUMPRODUCT(('01_Data'!$B666:$AW666&lt;&gt;"")*(1/(1+EXP(-(W666-'03_Lap_b'!$B$35:$AW$35))))^2)</f>
        <v/>
      </c>
      <c r="Z666" s="5">
        <f>MEDIAN(-6,W666+(C666-X666)/MAX(X666-Y666,0.000000001),6)</f>
        <v/>
      </c>
      <c r="AA666" s="5">
        <f>SUMPRODUCT(('01_Data'!$B666:$AW666&lt;&gt;"")*(1/(1+EXP(-(Z666-'03_Lap_b'!$B$40:$AW$40)))))</f>
        <v/>
      </c>
      <c r="AB666" s="5">
        <f>SUMPRODUCT(('01_Data'!$B666:$AW666&lt;&gt;"")*(1/(1+EXP(-(Z666-'03_Lap_b'!$B$40:$AW$40))))^2)</f>
        <v/>
      </c>
      <c r="AC666" s="5">
        <f>MEDIAN(-6,Z666+(C666-AA666)/MAX(AA666-AB666,0.000000001),6)</f>
        <v/>
      </c>
    </row>
    <row r="667">
      <c r="A667" t="n">
        <v>666</v>
      </c>
      <c r="B667">
        <f>'01_Data'!A667</f>
        <v/>
      </c>
      <c r="C667">
        <f>SUM('01_Data'!$B667:$AW667)</f>
        <v/>
      </c>
      <c r="D667">
        <f>COUNT('01_Data'!$B667:$AW667)</f>
        <v/>
      </c>
      <c r="E667" s="5">
        <f>MEDIAN(-6,LN((C667+0.3)/(D667-C667+0.3)),6)</f>
        <v/>
      </c>
      <c r="F667" s="5">
        <f>SUMPRODUCT(('01_Data'!$B667:$AW667&lt;&gt;"")*(1/(1+EXP(-(E667-'03_Lap_b'!$B$5:$AW$5)))))</f>
        <v/>
      </c>
      <c r="G667" s="5">
        <f>SUMPRODUCT(('01_Data'!$B667:$AW667&lt;&gt;"")*(1/(1+EXP(-(E667-'03_Lap_b'!$B$5:$AW$5))))^2)</f>
        <v/>
      </c>
      <c r="H667" s="5">
        <f>MEDIAN(-6,E667+(C667-F667)/MAX(F667-G667,0.000000001),6)</f>
        <v/>
      </c>
      <c r="I667" s="5">
        <f>SUMPRODUCT(('01_Data'!$B667:$AW667&lt;&gt;"")*(1/(1+EXP(-(H667-'03_Lap_b'!$B$10:$AW$10)))))</f>
        <v/>
      </c>
      <c r="J667" s="5">
        <f>SUMPRODUCT(('01_Data'!$B667:$AW667&lt;&gt;"")*(1/(1+EXP(-(H667-'03_Lap_b'!$B$10:$AW$10))))^2)</f>
        <v/>
      </c>
      <c r="K667" s="5">
        <f>MEDIAN(-6,H667+(C667-I667)/MAX(I667-J667,0.000000001),6)</f>
        <v/>
      </c>
      <c r="L667" s="5">
        <f>SUMPRODUCT(('01_Data'!$B667:$AW667&lt;&gt;"")*(1/(1+EXP(-(K667-'03_Lap_b'!$B$15:$AW$15)))))</f>
        <v/>
      </c>
      <c r="M667" s="5">
        <f>SUMPRODUCT(('01_Data'!$B667:$AW667&lt;&gt;"")*(1/(1+EXP(-(K667-'03_Lap_b'!$B$15:$AW$15))))^2)</f>
        <v/>
      </c>
      <c r="N667" s="5">
        <f>MEDIAN(-6,K667+(C667-L667)/MAX(L667-M667,0.000000001),6)</f>
        <v/>
      </c>
      <c r="O667" s="5">
        <f>SUMPRODUCT(('01_Data'!$B667:$AW667&lt;&gt;"")*(1/(1+EXP(-(N667-'03_Lap_b'!$B$20:$AW$20)))))</f>
        <v/>
      </c>
      <c r="P667" s="5">
        <f>SUMPRODUCT(('01_Data'!$B667:$AW667&lt;&gt;"")*(1/(1+EXP(-(N667-'03_Lap_b'!$B$20:$AW$20))))^2)</f>
        <v/>
      </c>
      <c r="Q667" s="5">
        <f>MEDIAN(-6,N667+(C667-O667)/MAX(O667-P667,0.000000001),6)</f>
        <v/>
      </c>
      <c r="R667" s="5">
        <f>SUMPRODUCT(('01_Data'!$B667:$AW667&lt;&gt;"")*(1/(1+EXP(-(Q667-'03_Lap_b'!$B$25:$AW$25)))))</f>
        <v/>
      </c>
      <c r="S667" s="5">
        <f>SUMPRODUCT(('01_Data'!$B667:$AW667&lt;&gt;"")*(1/(1+EXP(-(Q667-'03_Lap_b'!$B$25:$AW$25))))^2)</f>
        <v/>
      </c>
      <c r="T667" s="5">
        <f>MEDIAN(-6,Q667+(C667-R667)/MAX(R667-S667,0.000000001),6)</f>
        <v/>
      </c>
      <c r="U667" s="5">
        <f>SUMPRODUCT(('01_Data'!$B667:$AW667&lt;&gt;"")*(1/(1+EXP(-(T667-'03_Lap_b'!$B$30:$AW$30)))))</f>
        <v/>
      </c>
      <c r="V667" s="5">
        <f>SUMPRODUCT(('01_Data'!$B667:$AW667&lt;&gt;"")*(1/(1+EXP(-(T667-'03_Lap_b'!$B$30:$AW$30))))^2)</f>
        <v/>
      </c>
      <c r="W667" s="5">
        <f>MEDIAN(-6,T667+(C667-U667)/MAX(U667-V667,0.000000001),6)</f>
        <v/>
      </c>
      <c r="X667" s="5">
        <f>SUMPRODUCT(('01_Data'!$B667:$AW667&lt;&gt;"")*(1/(1+EXP(-(W667-'03_Lap_b'!$B$35:$AW$35)))))</f>
        <v/>
      </c>
      <c r="Y667" s="5">
        <f>SUMPRODUCT(('01_Data'!$B667:$AW667&lt;&gt;"")*(1/(1+EXP(-(W667-'03_Lap_b'!$B$35:$AW$35))))^2)</f>
        <v/>
      </c>
      <c r="Z667" s="5">
        <f>MEDIAN(-6,W667+(C667-X667)/MAX(X667-Y667,0.000000001),6)</f>
        <v/>
      </c>
      <c r="AA667" s="5">
        <f>SUMPRODUCT(('01_Data'!$B667:$AW667&lt;&gt;"")*(1/(1+EXP(-(Z667-'03_Lap_b'!$B$40:$AW$40)))))</f>
        <v/>
      </c>
      <c r="AB667" s="5">
        <f>SUMPRODUCT(('01_Data'!$B667:$AW667&lt;&gt;"")*(1/(1+EXP(-(Z667-'03_Lap_b'!$B$40:$AW$40))))^2)</f>
        <v/>
      </c>
      <c r="AC667" s="5">
        <f>MEDIAN(-6,Z667+(C667-AA667)/MAX(AA667-AB667,0.000000001),6)</f>
        <v/>
      </c>
    </row>
    <row r="668">
      <c r="A668" t="n">
        <v>667</v>
      </c>
      <c r="B668">
        <f>'01_Data'!A668</f>
        <v/>
      </c>
      <c r="C668">
        <f>SUM('01_Data'!$B668:$AW668)</f>
        <v/>
      </c>
      <c r="D668">
        <f>COUNT('01_Data'!$B668:$AW668)</f>
        <v/>
      </c>
      <c r="E668" s="5">
        <f>MEDIAN(-6,LN((C668+0.3)/(D668-C668+0.3)),6)</f>
        <v/>
      </c>
      <c r="F668" s="5">
        <f>SUMPRODUCT(('01_Data'!$B668:$AW668&lt;&gt;"")*(1/(1+EXP(-(E668-'03_Lap_b'!$B$5:$AW$5)))))</f>
        <v/>
      </c>
      <c r="G668" s="5">
        <f>SUMPRODUCT(('01_Data'!$B668:$AW668&lt;&gt;"")*(1/(1+EXP(-(E668-'03_Lap_b'!$B$5:$AW$5))))^2)</f>
        <v/>
      </c>
      <c r="H668" s="5">
        <f>MEDIAN(-6,E668+(C668-F668)/MAX(F668-G668,0.000000001),6)</f>
        <v/>
      </c>
      <c r="I668" s="5">
        <f>SUMPRODUCT(('01_Data'!$B668:$AW668&lt;&gt;"")*(1/(1+EXP(-(H668-'03_Lap_b'!$B$10:$AW$10)))))</f>
        <v/>
      </c>
      <c r="J668" s="5">
        <f>SUMPRODUCT(('01_Data'!$B668:$AW668&lt;&gt;"")*(1/(1+EXP(-(H668-'03_Lap_b'!$B$10:$AW$10))))^2)</f>
        <v/>
      </c>
      <c r="K668" s="5">
        <f>MEDIAN(-6,H668+(C668-I668)/MAX(I668-J668,0.000000001),6)</f>
        <v/>
      </c>
      <c r="L668" s="5">
        <f>SUMPRODUCT(('01_Data'!$B668:$AW668&lt;&gt;"")*(1/(1+EXP(-(K668-'03_Lap_b'!$B$15:$AW$15)))))</f>
        <v/>
      </c>
      <c r="M668" s="5">
        <f>SUMPRODUCT(('01_Data'!$B668:$AW668&lt;&gt;"")*(1/(1+EXP(-(K668-'03_Lap_b'!$B$15:$AW$15))))^2)</f>
        <v/>
      </c>
      <c r="N668" s="5">
        <f>MEDIAN(-6,K668+(C668-L668)/MAX(L668-M668,0.000000001),6)</f>
        <v/>
      </c>
      <c r="O668" s="5">
        <f>SUMPRODUCT(('01_Data'!$B668:$AW668&lt;&gt;"")*(1/(1+EXP(-(N668-'03_Lap_b'!$B$20:$AW$20)))))</f>
        <v/>
      </c>
      <c r="P668" s="5">
        <f>SUMPRODUCT(('01_Data'!$B668:$AW668&lt;&gt;"")*(1/(1+EXP(-(N668-'03_Lap_b'!$B$20:$AW$20))))^2)</f>
        <v/>
      </c>
      <c r="Q668" s="5">
        <f>MEDIAN(-6,N668+(C668-O668)/MAX(O668-P668,0.000000001),6)</f>
        <v/>
      </c>
      <c r="R668" s="5">
        <f>SUMPRODUCT(('01_Data'!$B668:$AW668&lt;&gt;"")*(1/(1+EXP(-(Q668-'03_Lap_b'!$B$25:$AW$25)))))</f>
        <v/>
      </c>
      <c r="S668" s="5">
        <f>SUMPRODUCT(('01_Data'!$B668:$AW668&lt;&gt;"")*(1/(1+EXP(-(Q668-'03_Lap_b'!$B$25:$AW$25))))^2)</f>
        <v/>
      </c>
      <c r="T668" s="5">
        <f>MEDIAN(-6,Q668+(C668-R668)/MAX(R668-S668,0.000000001),6)</f>
        <v/>
      </c>
      <c r="U668" s="5">
        <f>SUMPRODUCT(('01_Data'!$B668:$AW668&lt;&gt;"")*(1/(1+EXP(-(T668-'03_Lap_b'!$B$30:$AW$30)))))</f>
        <v/>
      </c>
      <c r="V668" s="5">
        <f>SUMPRODUCT(('01_Data'!$B668:$AW668&lt;&gt;"")*(1/(1+EXP(-(T668-'03_Lap_b'!$B$30:$AW$30))))^2)</f>
        <v/>
      </c>
      <c r="W668" s="5">
        <f>MEDIAN(-6,T668+(C668-U668)/MAX(U668-V668,0.000000001),6)</f>
        <v/>
      </c>
      <c r="X668" s="5">
        <f>SUMPRODUCT(('01_Data'!$B668:$AW668&lt;&gt;"")*(1/(1+EXP(-(W668-'03_Lap_b'!$B$35:$AW$35)))))</f>
        <v/>
      </c>
      <c r="Y668" s="5">
        <f>SUMPRODUCT(('01_Data'!$B668:$AW668&lt;&gt;"")*(1/(1+EXP(-(W668-'03_Lap_b'!$B$35:$AW$35))))^2)</f>
        <v/>
      </c>
      <c r="Z668" s="5">
        <f>MEDIAN(-6,W668+(C668-X668)/MAX(X668-Y668,0.000000001),6)</f>
        <v/>
      </c>
      <c r="AA668" s="5">
        <f>SUMPRODUCT(('01_Data'!$B668:$AW668&lt;&gt;"")*(1/(1+EXP(-(Z668-'03_Lap_b'!$B$40:$AW$40)))))</f>
        <v/>
      </c>
      <c r="AB668" s="5">
        <f>SUMPRODUCT(('01_Data'!$B668:$AW668&lt;&gt;"")*(1/(1+EXP(-(Z668-'03_Lap_b'!$B$40:$AW$40))))^2)</f>
        <v/>
      </c>
      <c r="AC668" s="5">
        <f>MEDIAN(-6,Z668+(C668-AA668)/MAX(AA668-AB668,0.000000001),6)</f>
        <v/>
      </c>
    </row>
    <row r="669">
      <c r="A669" t="n">
        <v>668</v>
      </c>
      <c r="B669">
        <f>'01_Data'!A669</f>
        <v/>
      </c>
      <c r="C669">
        <f>SUM('01_Data'!$B669:$AW669)</f>
        <v/>
      </c>
      <c r="D669">
        <f>COUNT('01_Data'!$B669:$AW669)</f>
        <v/>
      </c>
      <c r="E669" s="5">
        <f>MEDIAN(-6,LN((C669+0.3)/(D669-C669+0.3)),6)</f>
        <v/>
      </c>
      <c r="F669" s="5">
        <f>SUMPRODUCT(('01_Data'!$B669:$AW669&lt;&gt;"")*(1/(1+EXP(-(E669-'03_Lap_b'!$B$5:$AW$5)))))</f>
        <v/>
      </c>
      <c r="G669" s="5">
        <f>SUMPRODUCT(('01_Data'!$B669:$AW669&lt;&gt;"")*(1/(1+EXP(-(E669-'03_Lap_b'!$B$5:$AW$5))))^2)</f>
        <v/>
      </c>
      <c r="H669" s="5">
        <f>MEDIAN(-6,E669+(C669-F669)/MAX(F669-G669,0.000000001),6)</f>
        <v/>
      </c>
      <c r="I669" s="5">
        <f>SUMPRODUCT(('01_Data'!$B669:$AW669&lt;&gt;"")*(1/(1+EXP(-(H669-'03_Lap_b'!$B$10:$AW$10)))))</f>
        <v/>
      </c>
      <c r="J669" s="5">
        <f>SUMPRODUCT(('01_Data'!$B669:$AW669&lt;&gt;"")*(1/(1+EXP(-(H669-'03_Lap_b'!$B$10:$AW$10))))^2)</f>
        <v/>
      </c>
      <c r="K669" s="5">
        <f>MEDIAN(-6,H669+(C669-I669)/MAX(I669-J669,0.000000001),6)</f>
        <v/>
      </c>
      <c r="L669" s="5">
        <f>SUMPRODUCT(('01_Data'!$B669:$AW669&lt;&gt;"")*(1/(1+EXP(-(K669-'03_Lap_b'!$B$15:$AW$15)))))</f>
        <v/>
      </c>
      <c r="M669" s="5">
        <f>SUMPRODUCT(('01_Data'!$B669:$AW669&lt;&gt;"")*(1/(1+EXP(-(K669-'03_Lap_b'!$B$15:$AW$15))))^2)</f>
        <v/>
      </c>
      <c r="N669" s="5">
        <f>MEDIAN(-6,K669+(C669-L669)/MAX(L669-M669,0.000000001),6)</f>
        <v/>
      </c>
      <c r="O669" s="5">
        <f>SUMPRODUCT(('01_Data'!$B669:$AW669&lt;&gt;"")*(1/(1+EXP(-(N669-'03_Lap_b'!$B$20:$AW$20)))))</f>
        <v/>
      </c>
      <c r="P669" s="5">
        <f>SUMPRODUCT(('01_Data'!$B669:$AW669&lt;&gt;"")*(1/(1+EXP(-(N669-'03_Lap_b'!$B$20:$AW$20))))^2)</f>
        <v/>
      </c>
      <c r="Q669" s="5">
        <f>MEDIAN(-6,N669+(C669-O669)/MAX(O669-P669,0.000000001),6)</f>
        <v/>
      </c>
      <c r="R669" s="5">
        <f>SUMPRODUCT(('01_Data'!$B669:$AW669&lt;&gt;"")*(1/(1+EXP(-(Q669-'03_Lap_b'!$B$25:$AW$25)))))</f>
        <v/>
      </c>
      <c r="S669" s="5">
        <f>SUMPRODUCT(('01_Data'!$B669:$AW669&lt;&gt;"")*(1/(1+EXP(-(Q669-'03_Lap_b'!$B$25:$AW$25))))^2)</f>
        <v/>
      </c>
      <c r="T669" s="5">
        <f>MEDIAN(-6,Q669+(C669-R669)/MAX(R669-S669,0.000000001),6)</f>
        <v/>
      </c>
      <c r="U669" s="5">
        <f>SUMPRODUCT(('01_Data'!$B669:$AW669&lt;&gt;"")*(1/(1+EXP(-(T669-'03_Lap_b'!$B$30:$AW$30)))))</f>
        <v/>
      </c>
      <c r="V669" s="5">
        <f>SUMPRODUCT(('01_Data'!$B669:$AW669&lt;&gt;"")*(1/(1+EXP(-(T669-'03_Lap_b'!$B$30:$AW$30))))^2)</f>
        <v/>
      </c>
      <c r="W669" s="5">
        <f>MEDIAN(-6,T669+(C669-U669)/MAX(U669-V669,0.000000001),6)</f>
        <v/>
      </c>
      <c r="X669" s="5">
        <f>SUMPRODUCT(('01_Data'!$B669:$AW669&lt;&gt;"")*(1/(1+EXP(-(W669-'03_Lap_b'!$B$35:$AW$35)))))</f>
        <v/>
      </c>
      <c r="Y669" s="5">
        <f>SUMPRODUCT(('01_Data'!$B669:$AW669&lt;&gt;"")*(1/(1+EXP(-(W669-'03_Lap_b'!$B$35:$AW$35))))^2)</f>
        <v/>
      </c>
      <c r="Z669" s="5">
        <f>MEDIAN(-6,W669+(C669-X669)/MAX(X669-Y669,0.000000001),6)</f>
        <v/>
      </c>
      <c r="AA669" s="5">
        <f>SUMPRODUCT(('01_Data'!$B669:$AW669&lt;&gt;"")*(1/(1+EXP(-(Z669-'03_Lap_b'!$B$40:$AW$40)))))</f>
        <v/>
      </c>
      <c r="AB669" s="5">
        <f>SUMPRODUCT(('01_Data'!$B669:$AW669&lt;&gt;"")*(1/(1+EXP(-(Z669-'03_Lap_b'!$B$40:$AW$40))))^2)</f>
        <v/>
      </c>
      <c r="AC669" s="5">
        <f>MEDIAN(-6,Z669+(C669-AA669)/MAX(AA669-AB669,0.000000001),6)</f>
        <v/>
      </c>
    </row>
    <row r="670">
      <c r="A670" t="n">
        <v>669</v>
      </c>
      <c r="B670">
        <f>'01_Data'!A670</f>
        <v/>
      </c>
      <c r="C670">
        <f>SUM('01_Data'!$B670:$AW670)</f>
        <v/>
      </c>
      <c r="D670">
        <f>COUNT('01_Data'!$B670:$AW670)</f>
        <v/>
      </c>
      <c r="E670" s="5">
        <f>MEDIAN(-6,LN((C670+0.3)/(D670-C670+0.3)),6)</f>
        <v/>
      </c>
      <c r="F670" s="5">
        <f>SUMPRODUCT(('01_Data'!$B670:$AW670&lt;&gt;"")*(1/(1+EXP(-(E670-'03_Lap_b'!$B$5:$AW$5)))))</f>
        <v/>
      </c>
      <c r="G670" s="5">
        <f>SUMPRODUCT(('01_Data'!$B670:$AW670&lt;&gt;"")*(1/(1+EXP(-(E670-'03_Lap_b'!$B$5:$AW$5))))^2)</f>
        <v/>
      </c>
      <c r="H670" s="5">
        <f>MEDIAN(-6,E670+(C670-F670)/MAX(F670-G670,0.000000001),6)</f>
        <v/>
      </c>
      <c r="I670" s="5">
        <f>SUMPRODUCT(('01_Data'!$B670:$AW670&lt;&gt;"")*(1/(1+EXP(-(H670-'03_Lap_b'!$B$10:$AW$10)))))</f>
        <v/>
      </c>
      <c r="J670" s="5">
        <f>SUMPRODUCT(('01_Data'!$B670:$AW670&lt;&gt;"")*(1/(1+EXP(-(H670-'03_Lap_b'!$B$10:$AW$10))))^2)</f>
        <v/>
      </c>
      <c r="K670" s="5">
        <f>MEDIAN(-6,H670+(C670-I670)/MAX(I670-J670,0.000000001),6)</f>
        <v/>
      </c>
      <c r="L670" s="5">
        <f>SUMPRODUCT(('01_Data'!$B670:$AW670&lt;&gt;"")*(1/(1+EXP(-(K670-'03_Lap_b'!$B$15:$AW$15)))))</f>
        <v/>
      </c>
      <c r="M670" s="5">
        <f>SUMPRODUCT(('01_Data'!$B670:$AW670&lt;&gt;"")*(1/(1+EXP(-(K670-'03_Lap_b'!$B$15:$AW$15))))^2)</f>
        <v/>
      </c>
      <c r="N670" s="5">
        <f>MEDIAN(-6,K670+(C670-L670)/MAX(L670-M670,0.000000001),6)</f>
        <v/>
      </c>
      <c r="O670" s="5">
        <f>SUMPRODUCT(('01_Data'!$B670:$AW670&lt;&gt;"")*(1/(1+EXP(-(N670-'03_Lap_b'!$B$20:$AW$20)))))</f>
        <v/>
      </c>
      <c r="P670" s="5">
        <f>SUMPRODUCT(('01_Data'!$B670:$AW670&lt;&gt;"")*(1/(1+EXP(-(N670-'03_Lap_b'!$B$20:$AW$20))))^2)</f>
        <v/>
      </c>
      <c r="Q670" s="5">
        <f>MEDIAN(-6,N670+(C670-O670)/MAX(O670-P670,0.000000001),6)</f>
        <v/>
      </c>
      <c r="R670" s="5">
        <f>SUMPRODUCT(('01_Data'!$B670:$AW670&lt;&gt;"")*(1/(1+EXP(-(Q670-'03_Lap_b'!$B$25:$AW$25)))))</f>
        <v/>
      </c>
      <c r="S670" s="5">
        <f>SUMPRODUCT(('01_Data'!$B670:$AW670&lt;&gt;"")*(1/(1+EXP(-(Q670-'03_Lap_b'!$B$25:$AW$25))))^2)</f>
        <v/>
      </c>
      <c r="T670" s="5">
        <f>MEDIAN(-6,Q670+(C670-R670)/MAX(R670-S670,0.000000001),6)</f>
        <v/>
      </c>
      <c r="U670" s="5">
        <f>SUMPRODUCT(('01_Data'!$B670:$AW670&lt;&gt;"")*(1/(1+EXP(-(T670-'03_Lap_b'!$B$30:$AW$30)))))</f>
        <v/>
      </c>
      <c r="V670" s="5">
        <f>SUMPRODUCT(('01_Data'!$B670:$AW670&lt;&gt;"")*(1/(1+EXP(-(T670-'03_Lap_b'!$B$30:$AW$30))))^2)</f>
        <v/>
      </c>
      <c r="W670" s="5">
        <f>MEDIAN(-6,T670+(C670-U670)/MAX(U670-V670,0.000000001),6)</f>
        <v/>
      </c>
      <c r="X670" s="5">
        <f>SUMPRODUCT(('01_Data'!$B670:$AW670&lt;&gt;"")*(1/(1+EXP(-(W670-'03_Lap_b'!$B$35:$AW$35)))))</f>
        <v/>
      </c>
      <c r="Y670" s="5">
        <f>SUMPRODUCT(('01_Data'!$B670:$AW670&lt;&gt;"")*(1/(1+EXP(-(W670-'03_Lap_b'!$B$35:$AW$35))))^2)</f>
        <v/>
      </c>
      <c r="Z670" s="5">
        <f>MEDIAN(-6,W670+(C670-X670)/MAX(X670-Y670,0.000000001),6)</f>
        <v/>
      </c>
      <c r="AA670" s="5">
        <f>SUMPRODUCT(('01_Data'!$B670:$AW670&lt;&gt;"")*(1/(1+EXP(-(Z670-'03_Lap_b'!$B$40:$AW$40)))))</f>
        <v/>
      </c>
      <c r="AB670" s="5">
        <f>SUMPRODUCT(('01_Data'!$B670:$AW670&lt;&gt;"")*(1/(1+EXP(-(Z670-'03_Lap_b'!$B$40:$AW$40))))^2)</f>
        <v/>
      </c>
      <c r="AC670" s="5">
        <f>MEDIAN(-6,Z670+(C670-AA670)/MAX(AA670-AB670,0.000000001),6)</f>
        <v/>
      </c>
    </row>
    <row r="671">
      <c r="A671" t="n">
        <v>670</v>
      </c>
      <c r="B671">
        <f>'01_Data'!A671</f>
        <v/>
      </c>
      <c r="C671">
        <f>SUM('01_Data'!$B671:$AW671)</f>
        <v/>
      </c>
      <c r="D671">
        <f>COUNT('01_Data'!$B671:$AW671)</f>
        <v/>
      </c>
      <c r="E671" s="5">
        <f>MEDIAN(-6,LN((C671+0.3)/(D671-C671+0.3)),6)</f>
        <v/>
      </c>
      <c r="F671" s="5">
        <f>SUMPRODUCT(('01_Data'!$B671:$AW671&lt;&gt;"")*(1/(1+EXP(-(E671-'03_Lap_b'!$B$5:$AW$5)))))</f>
        <v/>
      </c>
      <c r="G671" s="5">
        <f>SUMPRODUCT(('01_Data'!$B671:$AW671&lt;&gt;"")*(1/(1+EXP(-(E671-'03_Lap_b'!$B$5:$AW$5))))^2)</f>
        <v/>
      </c>
      <c r="H671" s="5">
        <f>MEDIAN(-6,E671+(C671-F671)/MAX(F671-G671,0.000000001),6)</f>
        <v/>
      </c>
      <c r="I671" s="5">
        <f>SUMPRODUCT(('01_Data'!$B671:$AW671&lt;&gt;"")*(1/(1+EXP(-(H671-'03_Lap_b'!$B$10:$AW$10)))))</f>
        <v/>
      </c>
      <c r="J671" s="5">
        <f>SUMPRODUCT(('01_Data'!$B671:$AW671&lt;&gt;"")*(1/(1+EXP(-(H671-'03_Lap_b'!$B$10:$AW$10))))^2)</f>
        <v/>
      </c>
      <c r="K671" s="5">
        <f>MEDIAN(-6,H671+(C671-I671)/MAX(I671-J671,0.000000001),6)</f>
        <v/>
      </c>
      <c r="L671" s="5">
        <f>SUMPRODUCT(('01_Data'!$B671:$AW671&lt;&gt;"")*(1/(1+EXP(-(K671-'03_Lap_b'!$B$15:$AW$15)))))</f>
        <v/>
      </c>
      <c r="M671" s="5">
        <f>SUMPRODUCT(('01_Data'!$B671:$AW671&lt;&gt;"")*(1/(1+EXP(-(K671-'03_Lap_b'!$B$15:$AW$15))))^2)</f>
        <v/>
      </c>
      <c r="N671" s="5">
        <f>MEDIAN(-6,K671+(C671-L671)/MAX(L671-M671,0.000000001),6)</f>
        <v/>
      </c>
      <c r="O671" s="5">
        <f>SUMPRODUCT(('01_Data'!$B671:$AW671&lt;&gt;"")*(1/(1+EXP(-(N671-'03_Lap_b'!$B$20:$AW$20)))))</f>
        <v/>
      </c>
      <c r="P671" s="5">
        <f>SUMPRODUCT(('01_Data'!$B671:$AW671&lt;&gt;"")*(1/(1+EXP(-(N671-'03_Lap_b'!$B$20:$AW$20))))^2)</f>
        <v/>
      </c>
      <c r="Q671" s="5">
        <f>MEDIAN(-6,N671+(C671-O671)/MAX(O671-P671,0.000000001),6)</f>
        <v/>
      </c>
      <c r="R671" s="5">
        <f>SUMPRODUCT(('01_Data'!$B671:$AW671&lt;&gt;"")*(1/(1+EXP(-(Q671-'03_Lap_b'!$B$25:$AW$25)))))</f>
        <v/>
      </c>
      <c r="S671" s="5">
        <f>SUMPRODUCT(('01_Data'!$B671:$AW671&lt;&gt;"")*(1/(1+EXP(-(Q671-'03_Lap_b'!$B$25:$AW$25))))^2)</f>
        <v/>
      </c>
      <c r="T671" s="5">
        <f>MEDIAN(-6,Q671+(C671-R671)/MAX(R671-S671,0.000000001),6)</f>
        <v/>
      </c>
      <c r="U671" s="5">
        <f>SUMPRODUCT(('01_Data'!$B671:$AW671&lt;&gt;"")*(1/(1+EXP(-(T671-'03_Lap_b'!$B$30:$AW$30)))))</f>
        <v/>
      </c>
      <c r="V671" s="5">
        <f>SUMPRODUCT(('01_Data'!$B671:$AW671&lt;&gt;"")*(1/(1+EXP(-(T671-'03_Lap_b'!$B$30:$AW$30))))^2)</f>
        <v/>
      </c>
      <c r="W671" s="5">
        <f>MEDIAN(-6,T671+(C671-U671)/MAX(U671-V671,0.000000001),6)</f>
        <v/>
      </c>
      <c r="X671" s="5">
        <f>SUMPRODUCT(('01_Data'!$B671:$AW671&lt;&gt;"")*(1/(1+EXP(-(W671-'03_Lap_b'!$B$35:$AW$35)))))</f>
        <v/>
      </c>
      <c r="Y671" s="5">
        <f>SUMPRODUCT(('01_Data'!$B671:$AW671&lt;&gt;"")*(1/(1+EXP(-(W671-'03_Lap_b'!$B$35:$AW$35))))^2)</f>
        <v/>
      </c>
      <c r="Z671" s="5">
        <f>MEDIAN(-6,W671+(C671-X671)/MAX(X671-Y671,0.000000001),6)</f>
        <v/>
      </c>
      <c r="AA671" s="5">
        <f>SUMPRODUCT(('01_Data'!$B671:$AW671&lt;&gt;"")*(1/(1+EXP(-(Z671-'03_Lap_b'!$B$40:$AW$40)))))</f>
        <v/>
      </c>
      <c r="AB671" s="5">
        <f>SUMPRODUCT(('01_Data'!$B671:$AW671&lt;&gt;"")*(1/(1+EXP(-(Z671-'03_Lap_b'!$B$40:$AW$40))))^2)</f>
        <v/>
      </c>
      <c r="AC671" s="5">
        <f>MEDIAN(-6,Z671+(C671-AA671)/MAX(AA671-AB671,0.000000001),6)</f>
        <v/>
      </c>
    </row>
    <row r="672">
      <c r="A672" t="n">
        <v>671</v>
      </c>
      <c r="B672">
        <f>'01_Data'!A672</f>
        <v/>
      </c>
      <c r="C672">
        <f>SUM('01_Data'!$B672:$AW672)</f>
        <v/>
      </c>
      <c r="D672">
        <f>COUNT('01_Data'!$B672:$AW672)</f>
        <v/>
      </c>
      <c r="E672" s="5">
        <f>MEDIAN(-6,LN((C672+0.3)/(D672-C672+0.3)),6)</f>
        <v/>
      </c>
      <c r="F672" s="5">
        <f>SUMPRODUCT(('01_Data'!$B672:$AW672&lt;&gt;"")*(1/(1+EXP(-(E672-'03_Lap_b'!$B$5:$AW$5)))))</f>
        <v/>
      </c>
      <c r="G672" s="5">
        <f>SUMPRODUCT(('01_Data'!$B672:$AW672&lt;&gt;"")*(1/(1+EXP(-(E672-'03_Lap_b'!$B$5:$AW$5))))^2)</f>
        <v/>
      </c>
      <c r="H672" s="5">
        <f>MEDIAN(-6,E672+(C672-F672)/MAX(F672-G672,0.000000001),6)</f>
        <v/>
      </c>
      <c r="I672" s="5">
        <f>SUMPRODUCT(('01_Data'!$B672:$AW672&lt;&gt;"")*(1/(1+EXP(-(H672-'03_Lap_b'!$B$10:$AW$10)))))</f>
        <v/>
      </c>
      <c r="J672" s="5">
        <f>SUMPRODUCT(('01_Data'!$B672:$AW672&lt;&gt;"")*(1/(1+EXP(-(H672-'03_Lap_b'!$B$10:$AW$10))))^2)</f>
        <v/>
      </c>
      <c r="K672" s="5">
        <f>MEDIAN(-6,H672+(C672-I672)/MAX(I672-J672,0.000000001),6)</f>
        <v/>
      </c>
      <c r="L672" s="5">
        <f>SUMPRODUCT(('01_Data'!$B672:$AW672&lt;&gt;"")*(1/(1+EXP(-(K672-'03_Lap_b'!$B$15:$AW$15)))))</f>
        <v/>
      </c>
      <c r="M672" s="5">
        <f>SUMPRODUCT(('01_Data'!$B672:$AW672&lt;&gt;"")*(1/(1+EXP(-(K672-'03_Lap_b'!$B$15:$AW$15))))^2)</f>
        <v/>
      </c>
      <c r="N672" s="5">
        <f>MEDIAN(-6,K672+(C672-L672)/MAX(L672-M672,0.000000001),6)</f>
        <v/>
      </c>
      <c r="O672" s="5">
        <f>SUMPRODUCT(('01_Data'!$B672:$AW672&lt;&gt;"")*(1/(1+EXP(-(N672-'03_Lap_b'!$B$20:$AW$20)))))</f>
        <v/>
      </c>
      <c r="P672" s="5">
        <f>SUMPRODUCT(('01_Data'!$B672:$AW672&lt;&gt;"")*(1/(1+EXP(-(N672-'03_Lap_b'!$B$20:$AW$20))))^2)</f>
        <v/>
      </c>
      <c r="Q672" s="5">
        <f>MEDIAN(-6,N672+(C672-O672)/MAX(O672-P672,0.000000001),6)</f>
        <v/>
      </c>
      <c r="R672" s="5">
        <f>SUMPRODUCT(('01_Data'!$B672:$AW672&lt;&gt;"")*(1/(1+EXP(-(Q672-'03_Lap_b'!$B$25:$AW$25)))))</f>
        <v/>
      </c>
      <c r="S672" s="5">
        <f>SUMPRODUCT(('01_Data'!$B672:$AW672&lt;&gt;"")*(1/(1+EXP(-(Q672-'03_Lap_b'!$B$25:$AW$25))))^2)</f>
        <v/>
      </c>
      <c r="T672" s="5">
        <f>MEDIAN(-6,Q672+(C672-R672)/MAX(R672-S672,0.000000001),6)</f>
        <v/>
      </c>
      <c r="U672" s="5">
        <f>SUMPRODUCT(('01_Data'!$B672:$AW672&lt;&gt;"")*(1/(1+EXP(-(T672-'03_Lap_b'!$B$30:$AW$30)))))</f>
        <v/>
      </c>
      <c r="V672" s="5">
        <f>SUMPRODUCT(('01_Data'!$B672:$AW672&lt;&gt;"")*(1/(1+EXP(-(T672-'03_Lap_b'!$B$30:$AW$30))))^2)</f>
        <v/>
      </c>
      <c r="W672" s="5">
        <f>MEDIAN(-6,T672+(C672-U672)/MAX(U672-V672,0.000000001),6)</f>
        <v/>
      </c>
      <c r="X672" s="5">
        <f>SUMPRODUCT(('01_Data'!$B672:$AW672&lt;&gt;"")*(1/(1+EXP(-(W672-'03_Lap_b'!$B$35:$AW$35)))))</f>
        <v/>
      </c>
      <c r="Y672" s="5">
        <f>SUMPRODUCT(('01_Data'!$B672:$AW672&lt;&gt;"")*(1/(1+EXP(-(W672-'03_Lap_b'!$B$35:$AW$35))))^2)</f>
        <v/>
      </c>
      <c r="Z672" s="5">
        <f>MEDIAN(-6,W672+(C672-X672)/MAX(X672-Y672,0.000000001),6)</f>
        <v/>
      </c>
      <c r="AA672" s="5">
        <f>SUMPRODUCT(('01_Data'!$B672:$AW672&lt;&gt;"")*(1/(1+EXP(-(Z672-'03_Lap_b'!$B$40:$AW$40)))))</f>
        <v/>
      </c>
      <c r="AB672" s="5">
        <f>SUMPRODUCT(('01_Data'!$B672:$AW672&lt;&gt;"")*(1/(1+EXP(-(Z672-'03_Lap_b'!$B$40:$AW$40))))^2)</f>
        <v/>
      </c>
      <c r="AC672" s="5">
        <f>MEDIAN(-6,Z672+(C672-AA672)/MAX(AA672-AB672,0.000000001),6)</f>
        <v/>
      </c>
    </row>
    <row r="673">
      <c r="A673" t="n">
        <v>672</v>
      </c>
      <c r="B673">
        <f>'01_Data'!A673</f>
        <v/>
      </c>
      <c r="C673">
        <f>SUM('01_Data'!$B673:$AW673)</f>
        <v/>
      </c>
      <c r="D673">
        <f>COUNT('01_Data'!$B673:$AW673)</f>
        <v/>
      </c>
      <c r="E673" s="5">
        <f>MEDIAN(-6,LN((C673+0.3)/(D673-C673+0.3)),6)</f>
        <v/>
      </c>
      <c r="F673" s="5">
        <f>SUMPRODUCT(('01_Data'!$B673:$AW673&lt;&gt;"")*(1/(1+EXP(-(E673-'03_Lap_b'!$B$5:$AW$5)))))</f>
        <v/>
      </c>
      <c r="G673" s="5">
        <f>SUMPRODUCT(('01_Data'!$B673:$AW673&lt;&gt;"")*(1/(1+EXP(-(E673-'03_Lap_b'!$B$5:$AW$5))))^2)</f>
        <v/>
      </c>
      <c r="H673" s="5">
        <f>MEDIAN(-6,E673+(C673-F673)/MAX(F673-G673,0.000000001),6)</f>
        <v/>
      </c>
      <c r="I673" s="5">
        <f>SUMPRODUCT(('01_Data'!$B673:$AW673&lt;&gt;"")*(1/(1+EXP(-(H673-'03_Lap_b'!$B$10:$AW$10)))))</f>
        <v/>
      </c>
      <c r="J673" s="5">
        <f>SUMPRODUCT(('01_Data'!$B673:$AW673&lt;&gt;"")*(1/(1+EXP(-(H673-'03_Lap_b'!$B$10:$AW$10))))^2)</f>
        <v/>
      </c>
      <c r="K673" s="5">
        <f>MEDIAN(-6,H673+(C673-I673)/MAX(I673-J673,0.000000001),6)</f>
        <v/>
      </c>
      <c r="L673" s="5">
        <f>SUMPRODUCT(('01_Data'!$B673:$AW673&lt;&gt;"")*(1/(1+EXP(-(K673-'03_Lap_b'!$B$15:$AW$15)))))</f>
        <v/>
      </c>
      <c r="M673" s="5">
        <f>SUMPRODUCT(('01_Data'!$B673:$AW673&lt;&gt;"")*(1/(1+EXP(-(K673-'03_Lap_b'!$B$15:$AW$15))))^2)</f>
        <v/>
      </c>
      <c r="N673" s="5">
        <f>MEDIAN(-6,K673+(C673-L673)/MAX(L673-M673,0.000000001),6)</f>
        <v/>
      </c>
      <c r="O673" s="5">
        <f>SUMPRODUCT(('01_Data'!$B673:$AW673&lt;&gt;"")*(1/(1+EXP(-(N673-'03_Lap_b'!$B$20:$AW$20)))))</f>
        <v/>
      </c>
      <c r="P673" s="5">
        <f>SUMPRODUCT(('01_Data'!$B673:$AW673&lt;&gt;"")*(1/(1+EXP(-(N673-'03_Lap_b'!$B$20:$AW$20))))^2)</f>
        <v/>
      </c>
      <c r="Q673" s="5">
        <f>MEDIAN(-6,N673+(C673-O673)/MAX(O673-P673,0.000000001),6)</f>
        <v/>
      </c>
      <c r="R673" s="5">
        <f>SUMPRODUCT(('01_Data'!$B673:$AW673&lt;&gt;"")*(1/(1+EXP(-(Q673-'03_Lap_b'!$B$25:$AW$25)))))</f>
        <v/>
      </c>
      <c r="S673" s="5">
        <f>SUMPRODUCT(('01_Data'!$B673:$AW673&lt;&gt;"")*(1/(1+EXP(-(Q673-'03_Lap_b'!$B$25:$AW$25))))^2)</f>
        <v/>
      </c>
      <c r="T673" s="5">
        <f>MEDIAN(-6,Q673+(C673-R673)/MAX(R673-S673,0.000000001),6)</f>
        <v/>
      </c>
      <c r="U673" s="5">
        <f>SUMPRODUCT(('01_Data'!$B673:$AW673&lt;&gt;"")*(1/(1+EXP(-(T673-'03_Lap_b'!$B$30:$AW$30)))))</f>
        <v/>
      </c>
      <c r="V673" s="5">
        <f>SUMPRODUCT(('01_Data'!$B673:$AW673&lt;&gt;"")*(1/(1+EXP(-(T673-'03_Lap_b'!$B$30:$AW$30))))^2)</f>
        <v/>
      </c>
      <c r="W673" s="5">
        <f>MEDIAN(-6,T673+(C673-U673)/MAX(U673-V673,0.000000001),6)</f>
        <v/>
      </c>
      <c r="X673" s="5">
        <f>SUMPRODUCT(('01_Data'!$B673:$AW673&lt;&gt;"")*(1/(1+EXP(-(W673-'03_Lap_b'!$B$35:$AW$35)))))</f>
        <v/>
      </c>
      <c r="Y673" s="5">
        <f>SUMPRODUCT(('01_Data'!$B673:$AW673&lt;&gt;"")*(1/(1+EXP(-(W673-'03_Lap_b'!$B$35:$AW$35))))^2)</f>
        <v/>
      </c>
      <c r="Z673" s="5">
        <f>MEDIAN(-6,W673+(C673-X673)/MAX(X673-Y673,0.000000001),6)</f>
        <v/>
      </c>
      <c r="AA673" s="5">
        <f>SUMPRODUCT(('01_Data'!$B673:$AW673&lt;&gt;"")*(1/(1+EXP(-(Z673-'03_Lap_b'!$B$40:$AW$40)))))</f>
        <v/>
      </c>
      <c r="AB673" s="5">
        <f>SUMPRODUCT(('01_Data'!$B673:$AW673&lt;&gt;"")*(1/(1+EXP(-(Z673-'03_Lap_b'!$B$40:$AW$40))))^2)</f>
        <v/>
      </c>
      <c r="AC673" s="5">
        <f>MEDIAN(-6,Z673+(C673-AA673)/MAX(AA673-AB673,0.000000001),6)</f>
        <v/>
      </c>
    </row>
    <row r="674">
      <c r="A674" t="n">
        <v>673</v>
      </c>
      <c r="B674">
        <f>'01_Data'!A674</f>
        <v/>
      </c>
      <c r="C674">
        <f>SUM('01_Data'!$B674:$AW674)</f>
        <v/>
      </c>
      <c r="D674">
        <f>COUNT('01_Data'!$B674:$AW674)</f>
        <v/>
      </c>
      <c r="E674" s="5">
        <f>MEDIAN(-6,LN((C674+0.3)/(D674-C674+0.3)),6)</f>
        <v/>
      </c>
      <c r="F674" s="5">
        <f>SUMPRODUCT(('01_Data'!$B674:$AW674&lt;&gt;"")*(1/(1+EXP(-(E674-'03_Lap_b'!$B$5:$AW$5)))))</f>
        <v/>
      </c>
      <c r="G674" s="5">
        <f>SUMPRODUCT(('01_Data'!$B674:$AW674&lt;&gt;"")*(1/(1+EXP(-(E674-'03_Lap_b'!$B$5:$AW$5))))^2)</f>
        <v/>
      </c>
      <c r="H674" s="5">
        <f>MEDIAN(-6,E674+(C674-F674)/MAX(F674-G674,0.000000001),6)</f>
        <v/>
      </c>
      <c r="I674" s="5">
        <f>SUMPRODUCT(('01_Data'!$B674:$AW674&lt;&gt;"")*(1/(1+EXP(-(H674-'03_Lap_b'!$B$10:$AW$10)))))</f>
        <v/>
      </c>
      <c r="J674" s="5">
        <f>SUMPRODUCT(('01_Data'!$B674:$AW674&lt;&gt;"")*(1/(1+EXP(-(H674-'03_Lap_b'!$B$10:$AW$10))))^2)</f>
        <v/>
      </c>
      <c r="K674" s="5">
        <f>MEDIAN(-6,H674+(C674-I674)/MAX(I674-J674,0.000000001),6)</f>
        <v/>
      </c>
      <c r="L674" s="5">
        <f>SUMPRODUCT(('01_Data'!$B674:$AW674&lt;&gt;"")*(1/(1+EXP(-(K674-'03_Lap_b'!$B$15:$AW$15)))))</f>
        <v/>
      </c>
      <c r="M674" s="5">
        <f>SUMPRODUCT(('01_Data'!$B674:$AW674&lt;&gt;"")*(1/(1+EXP(-(K674-'03_Lap_b'!$B$15:$AW$15))))^2)</f>
        <v/>
      </c>
      <c r="N674" s="5">
        <f>MEDIAN(-6,K674+(C674-L674)/MAX(L674-M674,0.000000001),6)</f>
        <v/>
      </c>
      <c r="O674" s="5">
        <f>SUMPRODUCT(('01_Data'!$B674:$AW674&lt;&gt;"")*(1/(1+EXP(-(N674-'03_Lap_b'!$B$20:$AW$20)))))</f>
        <v/>
      </c>
      <c r="P674" s="5">
        <f>SUMPRODUCT(('01_Data'!$B674:$AW674&lt;&gt;"")*(1/(1+EXP(-(N674-'03_Lap_b'!$B$20:$AW$20))))^2)</f>
        <v/>
      </c>
      <c r="Q674" s="5">
        <f>MEDIAN(-6,N674+(C674-O674)/MAX(O674-P674,0.000000001),6)</f>
        <v/>
      </c>
      <c r="R674" s="5">
        <f>SUMPRODUCT(('01_Data'!$B674:$AW674&lt;&gt;"")*(1/(1+EXP(-(Q674-'03_Lap_b'!$B$25:$AW$25)))))</f>
        <v/>
      </c>
      <c r="S674" s="5">
        <f>SUMPRODUCT(('01_Data'!$B674:$AW674&lt;&gt;"")*(1/(1+EXP(-(Q674-'03_Lap_b'!$B$25:$AW$25))))^2)</f>
        <v/>
      </c>
      <c r="T674" s="5">
        <f>MEDIAN(-6,Q674+(C674-R674)/MAX(R674-S674,0.000000001),6)</f>
        <v/>
      </c>
      <c r="U674" s="5">
        <f>SUMPRODUCT(('01_Data'!$B674:$AW674&lt;&gt;"")*(1/(1+EXP(-(T674-'03_Lap_b'!$B$30:$AW$30)))))</f>
        <v/>
      </c>
      <c r="V674" s="5">
        <f>SUMPRODUCT(('01_Data'!$B674:$AW674&lt;&gt;"")*(1/(1+EXP(-(T674-'03_Lap_b'!$B$30:$AW$30))))^2)</f>
        <v/>
      </c>
      <c r="W674" s="5">
        <f>MEDIAN(-6,T674+(C674-U674)/MAX(U674-V674,0.000000001),6)</f>
        <v/>
      </c>
      <c r="X674" s="5">
        <f>SUMPRODUCT(('01_Data'!$B674:$AW674&lt;&gt;"")*(1/(1+EXP(-(W674-'03_Lap_b'!$B$35:$AW$35)))))</f>
        <v/>
      </c>
      <c r="Y674" s="5">
        <f>SUMPRODUCT(('01_Data'!$B674:$AW674&lt;&gt;"")*(1/(1+EXP(-(W674-'03_Lap_b'!$B$35:$AW$35))))^2)</f>
        <v/>
      </c>
      <c r="Z674" s="5">
        <f>MEDIAN(-6,W674+(C674-X674)/MAX(X674-Y674,0.000000001),6)</f>
        <v/>
      </c>
      <c r="AA674" s="5">
        <f>SUMPRODUCT(('01_Data'!$B674:$AW674&lt;&gt;"")*(1/(1+EXP(-(Z674-'03_Lap_b'!$B$40:$AW$40)))))</f>
        <v/>
      </c>
      <c r="AB674" s="5">
        <f>SUMPRODUCT(('01_Data'!$B674:$AW674&lt;&gt;"")*(1/(1+EXP(-(Z674-'03_Lap_b'!$B$40:$AW$40))))^2)</f>
        <v/>
      </c>
      <c r="AC674" s="5">
        <f>MEDIAN(-6,Z674+(C674-AA674)/MAX(AA674-AB674,0.000000001),6)</f>
        <v/>
      </c>
    </row>
    <row r="675">
      <c r="A675" t="n">
        <v>674</v>
      </c>
      <c r="B675">
        <f>'01_Data'!A675</f>
        <v/>
      </c>
      <c r="C675">
        <f>SUM('01_Data'!$B675:$AW675)</f>
        <v/>
      </c>
      <c r="D675">
        <f>COUNT('01_Data'!$B675:$AW675)</f>
        <v/>
      </c>
      <c r="E675" s="5">
        <f>MEDIAN(-6,LN((C675+0.3)/(D675-C675+0.3)),6)</f>
        <v/>
      </c>
      <c r="F675" s="5">
        <f>SUMPRODUCT(('01_Data'!$B675:$AW675&lt;&gt;"")*(1/(1+EXP(-(E675-'03_Lap_b'!$B$5:$AW$5)))))</f>
        <v/>
      </c>
      <c r="G675" s="5">
        <f>SUMPRODUCT(('01_Data'!$B675:$AW675&lt;&gt;"")*(1/(1+EXP(-(E675-'03_Lap_b'!$B$5:$AW$5))))^2)</f>
        <v/>
      </c>
      <c r="H675" s="5">
        <f>MEDIAN(-6,E675+(C675-F675)/MAX(F675-G675,0.000000001),6)</f>
        <v/>
      </c>
      <c r="I675" s="5">
        <f>SUMPRODUCT(('01_Data'!$B675:$AW675&lt;&gt;"")*(1/(1+EXP(-(H675-'03_Lap_b'!$B$10:$AW$10)))))</f>
        <v/>
      </c>
      <c r="J675" s="5">
        <f>SUMPRODUCT(('01_Data'!$B675:$AW675&lt;&gt;"")*(1/(1+EXP(-(H675-'03_Lap_b'!$B$10:$AW$10))))^2)</f>
        <v/>
      </c>
      <c r="K675" s="5">
        <f>MEDIAN(-6,H675+(C675-I675)/MAX(I675-J675,0.000000001),6)</f>
        <v/>
      </c>
      <c r="L675" s="5">
        <f>SUMPRODUCT(('01_Data'!$B675:$AW675&lt;&gt;"")*(1/(1+EXP(-(K675-'03_Lap_b'!$B$15:$AW$15)))))</f>
        <v/>
      </c>
      <c r="M675" s="5">
        <f>SUMPRODUCT(('01_Data'!$B675:$AW675&lt;&gt;"")*(1/(1+EXP(-(K675-'03_Lap_b'!$B$15:$AW$15))))^2)</f>
        <v/>
      </c>
      <c r="N675" s="5">
        <f>MEDIAN(-6,K675+(C675-L675)/MAX(L675-M675,0.000000001),6)</f>
        <v/>
      </c>
      <c r="O675" s="5">
        <f>SUMPRODUCT(('01_Data'!$B675:$AW675&lt;&gt;"")*(1/(1+EXP(-(N675-'03_Lap_b'!$B$20:$AW$20)))))</f>
        <v/>
      </c>
      <c r="P675" s="5">
        <f>SUMPRODUCT(('01_Data'!$B675:$AW675&lt;&gt;"")*(1/(1+EXP(-(N675-'03_Lap_b'!$B$20:$AW$20))))^2)</f>
        <v/>
      </c>
      <c r="Q675" s="5">
        <f>MEDIAN(-6,N675+(C675-O675)/MAX(O675-P675,0.000000001),6)</f>
        <v/>
      </c>
      <c r="R675" s="5">
        <f>SUMPRODUCT(('01_Data'!$B675:$AW675&lt;&gt;"")*(1/(1+EXP(-(Q675-'03_Lap_b'!$B$25:$AW$25)))))</f>
        <v/>
      </c>
      <c r="S675" s="5">
        <f>SUMPRODUCT(('01_Data'!$B675:$AW675&lt;&gt;"")*(1/(1+EXP(-(Q675-'03_Lap_b'!$B$25:$AW$25))))^2)</f>
        <v/>
      </c>
      <c r="T675" s="5">
        <f>MEDIAN(-6,Q675+(C675-R675)/MAX(R675-S675,0.000000001),6)</f>
        <v/>
      </c>
      <c r="U675" s="5">
        <f>SUMPRODUCT(('01_Data'!$B675:$AW675&lt;&gt;"")*(1/(1+EXP(-(T675-'03_Lap_b'!$B$30:$AW$30)))))</f>
        <v/>
      </c>
      <c r="V675" s="5">
        <f>SUMPRODUCT(('01_Data'!$B675:$AW675&lt;&gt;"")*(1/(1+EXP(-(T675-'03_Lap_b'!$B$30:$AW$30))))^2)</f>
        <v/>
      </c>
      <c r="W675" s="5">
        <f>MEDIAN(-6,T675+(C675-U675)/MAX(U675-V675,0.000000001),6)</f>
        <v/>
      </c>
      <c r="X675" s="5">
        <f>SUMPRODUCT(('01_Data'!$B675:$AW675&lt;&gt;"")*(1/(1+EXP(-(W675-'03_Lap_b'!$B$35:$AW$35)))))</f>
        <v/>
      </c>
      <c r="Y675" s="5">
        <f>SUMPRODUCT(('01_Data'!$B675:$AW675&lt;&gt;"")*(1/(1+EXP(-(W675-'03_Lap_b'!$B$35:$AW$35))))^2)</f>
        <v/>
      </c>
      <c r="Z675" s="5">
        <f>MEDIAN(-6,W675+(C675-X675)/MAX(X675-Y675,0.000000001),6)</f>
        <v/>
      </c>
      <c r="AA675" s="5">
        <f>SUMPRODUCT(('01_Data'!$B675:$AW675&lt;&gt;"")*(1/(1+EXP(-(Z675-'03_Lap_b'!$B$40:$AW$40)))))</f>
        <v/>
      </c>
      <c r="AB675" s="5">
        <f>SUMPRODUCT(('01_Data'!$B675:$AW675&lt;&gt;"")*(1/(1+EXP(-(Z675-'03_Lap_b'!$B$40:$AW$40))))^2)</f>
        <v/>
      </c>
      <c r="AC675" s="5">
        <f>MEDIAN(-6,Z675+(C675-AA675)/MAX(AA675-AB675,0.000000001),6)</f>
        <v/>
      </c>
    </row>
    <row r="676">
      <c r="A676" t="n">
        <v>675</v>
      </c>
      <c r="B676">
        <f>'01_Data'!A676</f>
        <v/>
      </c>
      <c r="C676">
        <f>SUM('01_Data'!$B676:$AW676)</f>
        <v/>
      </c>
      <c r="D676">
        <f>COUNT('01_Data'!$B676:$AW676)</f>
        <v/>
      </c>
      <c r="E676" s="5">
        <f>MEDIAN(-6,LN((C676+0.3)/(D676-C676+0.3)),6)</f>
        <v/>
      </c>
      <c r="F676" s="5">
        <f>SUMPRODUCT(('01_Data'!$B676:$AW676&lt;&gt;"")*(1/(1+EXP(-(E676-'03_Lap_b'!$B$5:$AW$5)))))</f>
        <v/>
      </c>
      <c r="G676" s="5">
        <f>SUMPRODUCT(('01_Data'!$B676:$AW676&lt;&gt;"")*(1/(1+EXP(-(E676-'03_Lap_b'!$B$5:$AW$5))))^2)</f>
        <v/>
      </c>
      <c r="H676" s="5">
        <f>MEDIAN(-6,E676+(C676-F676)/MAX(F676-G676,0.000000001),6)</f>
        <v/>
      </c>
      <c r="I676" s="5">
        <f>SUMPRODUCT(('01_Data'!$B676:$AW676&lt;&gt;"")*(1/(1+EXP(-(H676-'03_Lap_b'!$B$10:$AW$10)))))</f>
        <v/>
      </c>
      <c r="J676" s="5">
        <f>SUMPRODUCT(('01_Data'!$B676:$AW676&lt;&gt;"")*(1/(1+EXP(-(H676-'03_Lap_b'!$B$10:$AW$10))))^2)</f>
        <v/>
      </c>
      <c r="K676" s="5">
        <f>MEDIAN(-6,H676+(C676-I676)/MAX(I676-J676,0.000000001),6)</f>
        <v/>
      </c>
      <c r="L676" s="5">
        <f>SUMPRODUCT(('01_Data'!$B676:$AW676&lt;&gt;"")*(1/(1+EXP(-(K676-'03_Lap_b'!$B$15:$AW$15)))))</f>
        <v/>
      </c>
      <c r="M676" s="5">
        <f>SUMPRODUCT(('01_Data'!$B676:$AW676&lt;&gt;"")*(1/(1+EXP(-(K676-'03_Lap_b'!$B$15:$AW$15))))^2)</f>
        <v/>
      </c>
      <c r="N676" s="5">
        <f>MEDIAN(-6,K676+(C676-L676)/MAX(L676-M676,0.000000001),6)</f>
        <v/>
      </c>
      <c r="O676" s="5">
        <f>SUMPRODUCT(('01_Data'!$B676:$AW676&lt;&gt;"")*(1/(1+EXP(-(N676-'03_Lap_b'!$B$20:$AW$20)))))</f>
        <v/>
      </c>
      <c r="P676" s="5">
        <f>SUMPRODUCT(('01_Data'!$B676:$AW676&lt;&gt;"")*(1/(1+EXP(-(N676-'03_Lap_b'!$B$20:$AW$20))))^2)</f>
        <v/>
      </c>
      <c r="Q676" s="5">
        <f>MEDIAN(-6,N676+(C676-O676)/MAX(O676-P676,0.000000001),6)</f>
        <v/>
      </c>
      <c r="R676" s="5">
        <f>SUMPRODUCT(('01_Data'!$B676:$AW676&lt;&gt;"")*(1/(1+EXP(-(Q676-'03_Lap_b'!$B$25:$AW$25)))))</f>
        <v/>
      </c>
      <c r="S676" s="5">
        <f>SUMPRODUCT(('01_Data'!$B676:$AW676&lt;&gt;"")*(1/(1+EXP(-(Q676-'03_Lap_b'!$B$25:$AW$25))))^2)</f>
        <v/>
      </c>
      <c r="T676" s="5">
        <f>MEDIAN(-6,Q676+(C676-R676)/MAX(R676-S676,0.000000001),6)</f>
        <v/>
      </c>
      <c r="U676" s="5">
        <f>SUMPRODUCT(('01_Data'!$B676:$AW676&lt;&gt;"")*(1/(1+EXP(-(T676-'03_Lap_b'!$B$30:$AW$30)))))</f>
        <v/>
      </c>
      <c r="V676" s="5">
        <f>SUMPRODUCT(('01_Data'!$B676:$AW676&lt;&gt;"")*(1/(1+EXP(-(T676-'03_Lap_b'!$B$30:$AW$30))))^2)</f>
        <v/>
      </c>
      <c r="W676" s="5">
        <f>MEDIAN(-6,T676+(C676-U676)/MAX(U676-V676,0.000000001),6)</f>
        <v/>
      </c>
      <c r="X676" s="5">
        <f>SUMPRODUCT(('01_Data'!$B676:$AW676&lt;&gt;"")*(1/(1+EXP(-(W676-'03_Lap_b'!$B$35:$AW$35)))))</f>
        <v/>
      </c>
      <c r="Y676" s="5">
        <f>SUMPRODUCT(('01_Data'!$B676:$AW676&lt;&gt;"")*(1/(1+EXP(-(W676-'03_Lap_b'!$B$35:$AW$35))))^2)</f>
        <v/>
      </c>
      <c r="Z676" s="5">
        <f>MEDIAN(-6,W676+(C676-X676)/MAX(X676-Y676,0.000000001),6)</f>
        <v/>
      </c>
      <c r="AA676" s="5">
        <f>SUMPRODUCT(('01_Data'!$B676:$AW676&lt;&gt;"")*(1/(1+EXP(-(Z676-'03_Lap_b'!$B$40:$AW$40)))))</f>
        <v/>
      </c>
      <c r="AB676" s="5">
        <f>SUMPRODUCT(('01_Data'!$B676:$AW676&lt;&gt;"")*(1/(1+EXP(-(Z676-'03_Lap_b'!$B$40:$AW$40))))^2)</f>
        <v/>
      </c>
      <c r="AC676" s="5">
        <f>MEDIAN(-6,Z676+(C676-AA676)/MAX(AA676-AB676,0.000000001),6)</f>
        <v/>
      </c>
    </row>
    <row r="677">
      <c r="A677" t="n">
        <v>676</v>
      </c>
      <c r="B677">
        <f>'01_Data'!A677</f>
        <v/>
      </c>
      <c r="C677">
        <f>SUM('01_Data'!$B677:$AW677)</f>
        <v/>
      </c>
      <c r="D677">
        <f>COUNT('01_Data'!$B677:$AW677)</f>
        <v/>
      </c>
      <c r="E677" s="5">
        <f>MEDIAN(-6,LN((C677+0.3)/(D677-C677+0.3)),6)</f>
        <v/>
      </c>
      <c r="F677" s="5">
        <f>SUMPRODUCT(('01_Data'!$B677:$AW677&lt;&gt;"")*(1/(1+EXP(-(E677-'03_Lap_b'!$B$5:$AW$5)))))</f>
        <v/>
      </c>
      <c r="G677" s="5">
        <f>SUMPRODUCT(('01_Data'!$B677:$AW677&lt;&gt;"")*(1/(1+EXP(-(E677-'03_Lap_b'!$B$5:$AW$5))))^2)</f>
        <v/>
      </c>
      <c r="H677" s="5">
        <f>MEDIAN(-6,E677+(C677-F677)/MAX(F677-G677,0.000000001),6)</f>
        <v/>
      </c>
      <c r="I677" s="5">
        <f>SUMPRODUCT(('01_Data'!$B677:$AW677&lt;&gt;"")*(1/(1+EXP(-(H677-'03_Lap_b'!$B$10:$AW$10)))))</f>
        <v/>
      </c>
      <c r="J677" s="5">
        <f>SUMPRODUCT(('01_Data'!$B677:$AW677&lt;&gt;"")*(1/(1+EXP(-(H677-'03_Lap_b'!$B$10:$AW$10))))^2)</f>
        <v/>
      </c>
      <c r="K677" s="5">
        <f>MEDIAN(-6,H677+(C677-I677)/MAX(I677-J677,0.000000001),6)</f>
        <v/>
      </c>
      <c r="L677" s="5">
        <f>SUMPRODUCT(('01_Data'!$B677:$AW677&lt;&gt;"")*(1/(1+EXP(-(K677-'03_Lap_b'!$B$15:$AW$15)))))</f>
        <v/>
      </c>
      <c r="M677" s="5">
        <f>SUMPRODUCT(('01_Data'!$B677:$AW677&lt;&gt;"")*(1/(1+EXP(-(K677-'03_Lap_b'!$B$15:$AW$15))))^2)</f>
        <v/>
      </c>
      <c r="N677" s="5">
        <f>MEDIAN(-6,K677+(C677-L677)/MAX(L677-M677,0.000000001),6)</f>
        <v/>
      </c>
      <c r="O677" s="5">
        <f>SUMPRODUCT(('01_Data'!$B677:$AW677&lt;&gt;"")*(1/(1+EXP(-(N677-'03_Lap_b'!$B$20:$AW$20)))))</f>
        <v/>
      </c>
      <c r="P677" s="5">
        <f>SUMPRODUCT(('01_Data'!$B677:$AW677&lt;&gt;"")*(1/(1+EXP(-(N677-'03_Lap_b'!$B$20:$AW$20))))^2)</f>
        <v/>
      </c>
      <c r="Q677" s="5">
        <f>MEDIAN(-6,N677+(C677-O677)/MAX(O677-P677,0.000000001),6)</f>
        <v/>
      </c>
      <c r="R677" s="5">
        <f>SUMPRODUCT(('01_Data'!$B677:$AW677&lt;&gt;"")*(1/(1+EXP(-(Q677-'03_Lap_b'!$B$25:$AW$25)))))</f>
        <v/>
      </c>
      <c r="S677" s="5">
        <f>SUMPRODUCT(('01_Data'!$B677:$AW677&lt;&gt;"")*(1/(1+EXP(-(Q677-'03_Lap_b'!$B$25:$AW$25))))^2)</f>
        <v/>
      </c>
      <c r="T677" s="5">
        <f>MEDIAN(-6,Q677+(C677-R677)/MAX(R677-S677,0.000000001),6)</f>
        <v/>
      </c>
      <c r="U677" s="5">
        <f>SUMPRODUCT(('01_Data'!$B677:$AW677&lt;&gt;"")*(1/(1+EXP(-(T677-'03_Lap_b'!$B$30:$AW$30)))))</f>
        <v/>
      </c>
      <c r="V677" s="5">
        <f>SUMPRODUCT(('01_Data'!$B677:$AW677&lt;&gt;"")*(1/(1+EXP(-(T677-'03_Lap_b'!$B$30:$AW$30))))^2)</f>
        <v/>
      </c>
      <c r="W677" s="5">
        <f>MEDIAN(-6,T677+(C677-U677)/MAX(U677-V677,0.000000001),6)</f>
        <v/>
      </c>
      <c r="X677" s="5">
        <f>SUMPRODUCT(('01_Data'!$B677:$AW677&lt;&gt;"")*(1/(1+EXP(-(W677-'03_Lap_b'!$B$35:$AW$35)))))</f>
        <v/>
      </c>
      <c r="Y677" s="5">
        <f>SUMPRODUCT(('01_Data'!$B677:$AW677&lt;&gt;"")*(1/(1+EXP(-(W677-'03_Lap_b'!$B$35:$AW$35))))^2)</f>
        <v/>
      </c>
      <c r="Z677" s="5">
        <f>MEDIAN(-6,W677+(C677-X677)/MAX(X677-Y677,0.000000001),6)</f>
        <v/>
      </c>
      <c r="AA677" s="5">
        <f>SUMPRODUCT(('01_Data'!$B677:$AW677&lt;&gt;"")*(1/(1+EXP(-(Z677-'03_Lap_b'!$B$40:$AW$40)))))</f>
        <v/>
      </c>
      <c r="AB677" s="5">
        <f>SUMPRODUCT(('01_Data'!$B677:$AW677&lt;&gt;"")*(1/(1+EXP(-(Z677-'03_Lap_b'!$B$40:$AW$40))))^2)</f>
        <v/>
      </c>
      <c r="AC677" s="5">
        <f>MEDIAN(-6,Z677+(C677-AA677)/MAX(AA677-AB677,0.000000001),6)</f>
        <v/>
      </c>
    </row>
    <row r="678">
      <c r="A678" t="n">
        <v>677</v>
      </c>
      <c r="B678">
        <f>'01_Data'!A678</f>
        <v/>
      </c>
      <c r="C678">
        <f>SUM('01_Data'!$B678:$AW678)</f>
        <v/>
      </c>
      <c r="D678">
        <f>COUNT('01_Data'!$B678:$AW678)</f>
        <v/>
      </c>
      <c r="E678" s="5">
        <f>MEDIAN(-6,LN((C678+0.3)/(D678-C678+0.3)),6)</f>
        <v/>
      </c>
      <c r="F678" s="5">
        <f>SUMPRODUCT(('01_Data'!$B678:$AW678&lt;&gt;"")*(1/(1+EXP(-(E678-'03_Lap_b'!$B$5:$AW$5)))))</f>
        <v/>
      </c>
      <c r="G678" s="5">
        <f>SUMPRODUCT(('01_Data'!$B678:$AW678&lt;&gt;"")*(1/(1+EXP(-(E678-'03_Lap_b'!$B$5:$AW$5))))^2)</f>
        <v/>
      </c>
      <c r="H678" s="5">
        <f>MEDIAN(-6,E678+(C678-F678)/MAX(F678-G678,0.000000001),6)</f>
        <v/>
      </c>
      <c r="I678" s="5">
        <f>SUMPRODUCT(('01_Data'!$B678:$AW678&lt;&gt;"")*(1/(1+EXP(-(H678-'03_Lap_b'!$B$10:$AW$10)))))</f>
        <v/>
      </c>
      <c r="J678" s="5">
        <f>SUMPRODUCT(('01_Data'!$B678:$AW678&lt;&gt;"")*(1/(1+EXP(-(H678-'03_Lap_b'!$B$10:$AW$10))))^2)</f>
        <v/>
      </c>
      <c r="K678" s="5">
        <f>MEDIAN(-6,H678+(C678-I678)/MAX(I678-J678,0.000000001),6)</f>
        <v/>
      </c>
      <c r="L678" s="5">
        <f>SUMPRODUCT(('01_Data'!$B678:$AW678&lt;&gt;"")*(1/(1+EXP(-(K678-'03_Lap_b'!$B$15:$AW$15)))))</f>
        <v/>
      </c>
      <c r="M678" s="5">
        <f>SUMPRODUCT(('01_Data'!$B678:$AW678&lt;&gt;"")*(1/(1+EXP(-(K678-'03_Lap_b'!$B$15:$AW$15))))^2)</f>
        <v/>
      </c>
      <c r="N678" s="5">
        <f>MEDIAN(-6,K678+(C678-L678)/MAX(L678-M678,0.000000001),6)</f>
        <v/>
      </c>
      <c r="O678" s="5">
        <f>SUMPRODUCT(('01_Data'!$B678:$AW678&lt;&gt;"")*(1/(1+EXP(-(N678-'03_Lap_b'!$B$20:$AW$20)))))</f>
        <v/>
      </c>
      <c r="P678" s="5">
        <f>SUMPRODUCT(('01_Data'!$B678:$AW678&lt;&gt;"")*(1/(1+EXP(-(N678-'03_Lap_b'!$B$20:$AW$20))))^2)</f>
        <v/>
      </c>
      <c r="Q678" s="5">
        <f>MEDIAN(-6,N678+(C678-O678)/MAX(O678-P678,0.000000001),6)</f>
        <v/>
      </c>
      <c r="R678" s="5">
        <f>SUMPRODUCT(('01_Data'!$B678:$AW678&lt;&gt;"")*(1/(1+EXP(-(Q678-'03_Lap_b'!$B$25:$AW$25)))))</f>
        <v/>
      </c>
      <c r="S678" s="5">
        <f>SUMPRODUCT(('01_Data'!$B678:$AW678&lt;&gt;"")*(1/(1+EXP(-(Q678-'03_Lap_b'!$B$25:$AW$25))))^2)</f>
        <v/>
      </c>
      <c r="T678" s="5">
        <f>MEDIAN(-6,Q678+(C678-R678)/MAX(R678-S678,0.000000001),6)</f>
        <v/>
      </c>
      <c r="U678" s="5">
        <f>SUMPRODUCT(('01_Data'!$B678:$AW678&lt;&gt;"")*(1/(1+EXP(-(T678-'03_Lap_b'!$B$30:$AW$30)))))</f>
        <v/>
      </c>
      <c r="V678" s="5">
        <f>SUMPRODUCT(('01_Data'!$B678:$AW678&lt;&gt;"")*(1/(1+EXP(-(T678-'03_Lap_b'!$B$30:$AW$30))))^2)</f>
        <v/>
      </c>
      <c r="W678" s="5">
        <f>MEDIAN(-6,T678+(C678-U678)/MAX(U678-V678,0.000000001),6)</f>
        <v/>
      </c>
      <c r="X678" s="5">
        <f>SUMPRODUCT(('01_Data'!$B678:$AW678&lt;&gt;"")*(1/(1+EXP(-(W678-'03_Lap_b'!$B$35:$AW$35)))))</f>
        <v/>
      </c>
      <c r="Y678" s="5">
        <f>SUMPRODUCT(('01_Data'!$B678:$AW678&lt;&gt;"")*(1/(1+EXP(-(W678-'03_Lap_b'!$B$35:$AW$35))))^2)</f>
        <v/>
      </c>
      <c r="Z678" s="5">
        <f>MEDIAN(-6,W678+(C678-X678)/MAX(X678-Y678,0.000000001),6)</f>
        <v/>
      </c>
      <c r="AA678" s="5">
        <f>SUMPRODUCT(('01_Data'!$B678:$AW678&lt;&gt;"")*(1/(1+EXP(-(Z678-'03_Lap_b'!$B$40:$AW$40)))))</f>
        <v/>
      </c>
      <c r="AB678" s="5">
        <f>SUMPRODUCT(('01_Data'!$B678:$AW678&lt;&gt;"")*(1/(1+EXP(-(Z678-'03_Lap_b'!$B$40:$AW$40))))^2)</f>
        <v/>
      </c>
      <c r="AC678" s="5">
        <f>MEDIAN(-6,Z678+(C678-AA678)/MAX(AA678-AB678,0.000000001),6)</f>
        <v/>
      </c>
    </row>
    <row r="679">
      <c r="A679" t="n">
        <v>678</v>
      </c>
      <c r="B679">
        <f>'01_Data'!A679</f>
        <v/>
      </c>
      <c r="C679">
        <f>SUM('01_Data'!$B679:$AW679)</f>
        <v/>
      </c>
      <c r="D679">
        <f>COUNT('01_Data'!$B679:$AW679)</f>
        <v/>
      </c>
      <c r="E679" s="5">
        <f>MEDIAN(-6,LN((C679+0.3)/(D679-C679+0.3)),6)</f>
        <v/>
      </c>
      <c r="F679" s="5">
        <f>SUMPRODUCT(('01_Data'!$B679:$AW679&lt;&gt;"")*(1/(1+EXP(-(E679-'03_Lap_b'!$B$5:$AW$5)))))</f>
        <v/>
      </c>
      <c r="G679" s="5">
        <f>SUMPRODUCT(('01_Data'!$B679:$AW679&lt;&gt;"")*(1/(1+EXP(-(E679-'03_Lap_b'!$B$5:$AW$5))))^2)</f>
        <v/>
      </c>
      <c r="H679" s="5">
        <f>MEDIAN(-6,E679+(C679-F679)/MAX(F679-G679,0.000000001),6)</f>
        <v/>
      </c>
      <c r="I679" s="5">
        <f>SUMPRODUCT(('01_Data'!$B679:$AW679&lt;&gt;"")*(1/(1+EXP(-(H679-'03_Lap_b'!$B$10:$AW$10)))))</f>
        <v/>
      </c>
      <c r="J679" s="5">
        <f>SUMPRODUCT(('01_Data'!$B679:$AW679&lt;&gt;"")*(1/(1+EXP(-(H679-'03_Lap_b'!$B$10:$AW$10))))^2)</f>
        <v/>
      </c>
      <c r="K679" s="5">
        <f>MEDIAN(-6,H679+(C679-I679)/MAX(I679-J679,0.000000001),6)</f>
        <v/>
      </c>
      <c r="L679" s="5">
        <f>SUMPRODUCT(('01_Data'!$B679:$AW679&lt;&gt;"")*(1/(1+EXP(-(K679-'03_Lap_b'!$B$15:$AW$15)))))</f>
        <v/>
      </c>
      <c r="M679" s="5">
        <f>SUMPRODUCT(('01_Data'!$B679:$AW679&lt;&gt;"")*(1/(1+EXP(-(K679-'03_Lap_b'!$B$15:$AW$15))))^2)</f>
        <v/>
      </c>
      <c r="N679" s="5">
        <f>MEDIAN(-6,K679+(C679-L679)/MAX(L679-M679,0.000000001),6)</f>
        <v/>
      </c>
      <c r="O679" s="5">
        <f>SUMPRODUCT(('01_Data'!$B679:$AW679&lt;&gt;"")*(1/(1+EXP(-(N679-'03_Lap_b'!$B$20:$AW$20)))))</f>
        <v/>
      </c>
      <c r="P679" s="5">
        <f>SUMPRODUCT(('01_Data'!$B679:$AW679&lt;&gt;"")*(1/(1+EXP(-(N679-'03_Lap_b'!$B$20:$AW$20))))^2)</f>
        <v/>
      </c>
      <c r="Q679" s="5">
        <f>MEDIAN(-6,N679+(C679-O679)/MAX(O679-P679,0.000000001),6)</f>
        <v/>
      </c>
      <c r="R679" s="5">
        <f>SUMPRODUCT(('01_Data'!$B679:$AW679&lt;&gt;"")*(1/(1+EXP(-(Q679-'03_Lap_b'!$B$25:$AW$25)))))</f>
        <v/>
      </c>
      <c r="S679" s="5">
        <f>SUMPRODUCT(('01_Data'!$B679:$AW679&lt;&gt;"")*(1/(1+EXP(-(Q679-'03_Lap_b'!$B$25:$AW$25))))^2)</f>
        <v/>
      </c>
      <c r="T679" s="5">
        <f>MEDIAN(-6,Q679+(C679-R679)/MAX(R679-S679,0.000000001),6)</f>
        <v/>
      </c>
      <c r="U679" s="5">
        <f>SUMPRODUCT(('01_Data'!$B679:$AW679&lt;&gt;"")*(1/(1+EXP(-(T679-'03_Lap_b'!$B$30:$AW$30)))))</f>
        <v/>
      </c>
      <c r="V679" s="5">
        <f>SUMPRODUCT(('01_Data'!$B679:$AW679&lt;&gt;"")*(1/(1+EXP(-(T679-'03_Lap_b'!$B$30:$AW$30))))^2)</f>
        <v/>
      </c>
      <c r="W679" s="5">
        <f>MEDIAN(-6,T679+(C679-U679)/MAX(U679-V679,0.000000001),6)</f>
        <v/>
      </c>
      <c r="X679" s="5">
        <f>SUMPRODUCT(('01_Data'!$B679:$AW679&lt;&gt;"")*(1/(1+EXP(-(W679-'03_Lap_b'!$B$35:$AW$35)))))</f>
        <v/>
      </c>
      <c r="Y679" s="5">
        <f>SUMPRODUCT(('01_Data'!$B679:$AW679&lt;&gt;"")*(1/(1+EXP(-(W679-'03_Lap_b'!$B$35:$AW$35))))^2)</f>
        <v/>
      </c>
      <c r="Z679" s="5">
        <f>MEDIAN(-6,W679+(C679-X679)/MAX(X679-Y679,0.000000001),6)</f>
        <v/>
      </c>
      <c r="AA679" s="5">
        <f>SUMPRODUCT(('01_Data'!$B679:$AW679&lt;&gt;"")*(1/(1+EXP(-(Z679-'03_Lap_b'!$B$40:$AW$40)))))</f>
        <v/>
      </c>
      <c r="AB679" s="5">
        <f>SUMPRODUCT(('01_Data'!$B679:$AW679&lt;&gt;"")*(1/(1+EXP(-(Z679-'03_Lap_b'!$B$40:$AW$40))))^2)</f>
        <v/>
      </c>
      <c r="AC679" s="5">
        <f>MEDIAN(-6,Z679+(C679-AA679)/MAX(AA679-AB679,0.000000001),6)</f>
        <v/>
      </c>
    </row>
    <row r="680">
      <c r="A680" t="n">
        <v>679</v>
      </c>
      <c r="B680">
        <f>'01_Data'!A680</f>
        <v/>
      </c>
      <c r="C680">
        <f>SUM('01_Data'!$B680:$AW680)</f>
        <v/>
      </c>
      <c r="D680">
        <f>COUNT('01_Data'!$B680:$AW680)</f>
        <v/>
      </c>
      <c r="E680" s="5">
        <f>MEDIAN(-6,LN((C680+0.3)/(D680-C680+0.3)),6)</f>
        <v/>
      </c>
      <c r="F680" s="5">
        <f>SUMPRODUCT(('01_Data'!$B680:$AW680&lt;&gt;"")*(1/(1+EXP(-(E680-'03_Lap_b'!$B$5:$AW$5)))))</f>
        <v/>
      </c>
      <c r="G680" s="5">
        <f>SUMPRODUCT(('01_Data'!$B680:$AW680&lt;&gt;"")*(1/(1+EXP(-(E680-'03_Lap_b'!$B$5:$AW$5))))^2)</f>
        <v/>
      </c>
      <c r="H680" s="5">
        <f>MEDIAN(-6,E680+(C680-F680)/MAX(F680-G680,0.000000001),6)</f>
        <v/>
      </c>
      <c r="I680" s="5">
        <f>SUMPRODUCT(('01_Data'!$B680:$AW680&lt;&gt;"")*(1/(1+EXP(-(H680-'03_Lap_b'!$B$10:$AW$10)))))</f>
        <v/>
      </c>
      <c r="J680" s="5">
        <f>SUMPRODUCT(('01_Data'!$B680:$AW680&lt;&gt;"")*(1/(1+EXP(-(H680-'03_Lap_b'!$B$10:$AW$10))))^2)</f>
        <v/>
      </c>
      <c r="K680" s="5">
        <f>MEDIAN(-6,H680+(C680-I680)/MAX(I680-J680,0.000000001),6)</f>
        <v/>
      </c>
      <c r="L680" s="5">
        <f>SUMPRODUCT(('01_Data'!$B680:$AW680&lt;&gt;"")*(1/(1+EXP(-(K680-'03_Lap_b'!$B$15:$AW$15)))))</f>
        <v/>
      </c>
      <c r="M680" s="5">
        <f>SUMPRODUCT(('01_Data'!$B680:$AW680&lt;&gt;"")*(1/(1+EXP(-(K680-'03_Lap_b'!$B$15:$AW$15))))^2)</f>
        <v/>
      </c>
      <c r="N680" s="5">
        <f>MEDIAN(-6,K680+(C680-L680)/MAX(L680-M680,0.000000001),6)</f>
        <v/>
      </c>
      <c r="O680" s="5">
        <f>SUMPRODUCT(('01_Data'!$B680:$AW680&lt;&gt;"")*(1/(1+EXP(-(N680-'03_Lap_b'!$B$20:$AW$20)))))</f>
        <v/>
      </c>
      <c r="P680" s="5">
        <f>SUMPRODUCT(('01_Data'!$B680:$AW680&lt;&gt;"")*(1/(1+EXP(-(N680-'03_Lap_b'!$B$20:$AW$20))))^2)</f>
        <v/>
      </c>
      <c r="Q680" s="5">
        <f>MEDIAN(-6,N680+(C680-O680)/MAX(O680-P680,0.000000001),6)</f>
        <v/>
      </c>
      <c r="R680" s="5">
        <f>SUMPRODUCT(('01_Data'!$B680:$AW680&lt;&gt;"")*(1/(1+EXP(-(Q680-'03_Lap_b'!$B$25:$AW$25)))))</f>
        <v/>
      </c>
      <c r="S680" s="5">
        <f>SUMPRODUCT(('01_Data'!$B680:$AW680&lt;&gt;"")*(1/(1+EXP(-(Q680-'03_Lap_b'!$B$25:$AW$25))))^2)</f>
        <v/>
      </c>
      <c r="T680" s="5">
        <f>MEDIAN(-6,Q680+(C680-R680)/MAX(R680-S680,0.000000001),6)</f>
        <v/>
      </c>
      <c r="U680" s="5">
        <f>SUMPRODUCT(('01_Data'!$B680:$AW680&lt;&gt;"")*(1/(1+EXP(-(T680-'03_Lap_b'!$B$30:$AW$30)))))</f>
        <v/>
      </c>
      <c r="V680" s="5">
        <f>SUMPRODUCT(('01_Data'!$B680:$AW680&lt;&gt;"")*(1/(1+EXP(-(T680-'03_Lap_b'!$B$30:$AW$30))))^2)</f>
        <v/>
      </c>
      <c r="W680" s="5">
        <f>MEDIAN(-6,T680+(C680-U680)/MAX(U680-V680,0.000000001),6)</f>
        <v/>
      </c>
      <c r="X680" s="5">
        <f>SUMPRODUCT(('01_Data'!$B680:$AW680&lt;&gt;"")*(1/(1+EXP(-(W680-'03_Lap_b'!$B$35:$AW$35)))))</f>
        <v/>
      </c>
      <c r="Y680" s="5">
        <f>SUMPRODUCT(('01_Data'!$B680:$AW680&lt;&gt;"")*(1/(1+EXP(-(W680-'03_Lap_b'!$B$35:$AW$35))))^2)</f>
        <v/>
      </c>
      <c r="Z680" s="5">
        <f>MEDIAN(-6,W680+(C680-X680)/MAX(X680-Y680,0.000000001),6)</f>
        <v/>
      </c>
      <c r="AA680" s="5">
        <f>SUMPRODUCT(('01_Data'!$B680:$AW680&lt;&gt;"")*(1/(1+EXP(-(Z680-'03_Lap_b'!$B$40:$AW$40)))))</f>
        <v/>
      </c>
      <c r="AB680" s="5">
        <f>SUMPRODUCT(('01_Data'!$B680:$AW680&lt;&gt;"")*(1/(1+EXP(-(Z680-'03_Lap_b'!$B$40:$AW$40))))^2)</f>
        <v/>
      </c>
      <c r="AC680" s="5">
        <f>MEDIAN(-6,Z680+(C680-AA680)/MAX(AA680-AB680,0.000000001),6)</f>
        <v/>
      </c>
    </row>
    <row r="681">
      <c r="A681" t="n">
        <v>680</v>
      </c>
      <c r="B681">
        <f>'01_Data'!A681</f>
        <v/>
      </c>
      <c r="C681">
        <f>SUM('01_Data'!$B681:$AW681)</f>
        <v/>
      </c>
      <c r="D681">
        <f>COUNT('01_Data'!$B681:$AW681)</f>
        <v/>
      </c>
      <c r="E681" s="5">
        <f>MEDIAN(-6,LN((C681+0.3)/(D681-C681+0.3)),6)</f>
        <v/>
      </c>
      <c r="F681" s="5">
        <f>SUMPRODUCT(('01_Data'!$B681:$AW681&lt;&gt;"")*(1/(1+EXP(-(E681-'03_Lap_b'!$B$5:$AW$5)))))</f>
        <v/>
      </c>
      <c r="G681" s="5">
        <f>SUMPRODUCT(('01_Data'!$B681:$AW681&lt;&gt;"")*(1/(1+EXP(-(E681-'03_Lap_b'!$B$5:$AW$5))))^2)</f>
        <v/>
      </c>
      <c r="H681" s="5">
        <f>MEDIAN(-6,E681+(C681-F681)/MAX(F681-G681,0.000000001),6)</f>
        <v/>
      </c>
      <c r="I681" s="5">
        <f>SUMPRODUCT(('01_Data'!$B681:$AW681&lt;&gt;"")*(1/(1+EXP(-(H681-'03_Lap_b'!$B$10:$AW$10)))))</f>
        <v/>
      </c>
      <c r="J681" s="5">
        <f>SUMPRODUCT(('01_Data'!$B681:$AW681&lt;&gt;"")*(1/(1+EXP(-(H681-'03_Lap_b'!$B$10:$AW$10))))^2)</f>
        <v/>
      </c>
      <c r="K681" s="5">
        <f>MEDIAN(-6,H681+(C681-I681)/MAX(I681-J681,0.000000001),6)</f>
        <v/>
      </c>
      <c r="L681" s="5">
        <f>SUMPRODUCT(('01_Data'!$B681:$AW681&lt;&gt;"")*(1/(1+EXP(-(K681-'03_Lap_b'!$B$15:$AW$15)))))</f>
        <v/>
      </c>
      <c r="M681" s="5">
        <f>SUMPRODUCT(('01_Data'!$B681:$AW681&lt;&gt;"")*(1/(1+EXP(-(K681-'03_Lap_b'!$B$15:$AW$15))))^2)</f>
        <v/>
      </c>
      <c r="N681" s="5">
        <f>MEDIAN(-6,K681+(C681-L681)/MAX(L681-M681,0.000000001),6)</f>
        <v/>
      </c>
      <c r="O681" s="5">
        <f>SUMPRODUCT(('01_Data'!$B681:$AW681&lt;&gt;"")*(1/(1+EXP(-(N681-'03_Lap_b'!$B$20:$AW$20)))))</f>
        <v/>
      </c>
      <c r="P681" s="5">
        <f>SUMPRODUCT(('01_Data'!$B681:$AW681&lt;&gt;"")*(1/(1+EXP(-(N681-'03_Lap_b'!$B$20:$AW$20))))^2)</f>
        <v/>
      </c>
      <c r="Q681" s="5">
        <f>MEDIAN(-6,N681+(C681-O681)/MAX(O681-P681,0.000000001),6)</f>
        <v/>
      </c>
      <c r="R681" s="5">
        <f>SUMPRODUCT(('01_Data'!$B681:$AW681&lt;&gt;"")*(1/(1+EXP(-(Q681-'03_Lap_b'!$B$25:$AW$25)))))</f>
        <v/>
      </c>
      <c r="S681" s="5">
        <f>SUMPRODUCT(('01_Data'!$B681:$AW681&lt;&gt;"")*(1/(1+EXP(-(Q681-'03_Lap_b'!$B$25:$AW$25))))^2)</f>
        <v/>
      </c>
      <c r="T681" s="5">
        <f>MEDIAN(-6,Q681+(C681-R681)/MAX(R681-S681,0.000000001),6)</f>
        <v/>
      </c>
      <c r="U681" s="5">
        <f>SUMPRODUCT(('01_Data'!$B681:$AW681&lt;&gt;"")*(1/(1+EXP(-(T681-'03_Lap_b'!$B$30:$AW$30)))))</f>
        <v/>
      </c>
      <c r="V681" s="5">
        <f>SUMPRODUCT(('01_Data'!$B681:$AW681&lt;&gt;"")*(1/(1+EXP(-(T681-'03_Lap_b'!$B$30:$AW$30))))^2)</f>
        <v/>
      </c>
      <c r="W681" s="5">
        <f>MEDIAN(-6,T681+(C681-U681)/MAX(U681-V681,0.000000001),6)</f>
        <v/>
      </c>
      <c r="X681" s="5">
        <f>SUMPRODUCT(('01_Data'!$B681:$AW681&lt;&gt;"")*(1/(1+EXP(-(W681-'03_Lap_b'!$B$35:$AW$35)))))</f>
        <v/>
      </c>
      <c r="Y681" s="5">
        <f>SUMPRODUCT(('01_Data'!$B681:$AW681&lt;&gt;"")*(1/(1+EXP(-(W681-'03_Lap_b'!$B$35:$AW$35))))^2)</f>
        <v/>
      </c>
      <c r="Z681" s="5">
        <f>MEDIAN(-6,W681+(C681-X681)/MAX(X681-Y681,0.000000001),6)</f>
        <v/>
      </c>
      <c r="AA681" s="5">
        <f>SUMPRODUCT(('01_Data'!$B681:$AW681&lt;&gt;"")*(1/(1+EXP(-(Z681-'03_Lap_b'!$B$40:$AW$40)))))</f>
        <v/>
      </c>
      <c r="AB681" s="5">
        <f>SUMPRODUCT(('01_Data'!$B681:$AW681&lt;&gt;"")*(1/(1+EXP(-(Z681-'03_Lap_b'!$B$40:$AW$40))))^2)</f>
        <v/>
      </c>
      <c r="AC681" s="5">
        <f>MEDIAN(-6,Z681+(C681-AA681)/MAX(AA681-AB681,0.000000001),6)</f>
        <v/>
      </c>
    </row>
    <row r="682">
      <c r="A682" t="n">
        <v>681</v>
      </c>
      <c r="B682">
        <f>'01_Data'!A682</f>
        <v/>
      </c>
      <c r="C682">
        <f>SUM('01_Data'!$B682:$AW682)</f>
        <v/>
      </c>
      <c r="D682">
        <f>COUNT('01_Data'!$B682:$AW682)</f>
        <v/>
      </c>
      <c r="E682" s="5">
        <f>MEDIAN(-6,LN((C682+0.3)/(D682-C682+0.3)),6)</f>
        <v/>
      </c>
      <c r="F682" s="5">
        <f>SUMPRODUCT(('01_Data'!$B682:$AW682&lt;&gt;"")*(1/(1+EXP(-(E682-'03_Lap_b'!$B$5:$AW$5)))))</f>
        <v/>
      </c>
      <c r="G682" s="5">
        <f>SUMPRODUCT(('01_Data'!$B682:$AW682&lt;&gt;"")*(1/(1+EXP(-(E682-'03_Lap_b'!$B$5:$AW$5))))^2)</f>
        <v/>
      </c>
      <c r="H682" s="5">
        <f>MEDIAN(-6,E682+(C682-F682)/MAX(F682-G682,0.000000001),6)</f>
        <v/>
      </c>
      <c r="I682" s="5">
        <f>SUMPRODUCT(('01_Data'!$B682:$AW682&lt;&gt;"")*(1/(1+EXP(-(H682-'03_Lap_b'!$B$10:$AW$10)))))</f>
        <v/>
      </c>
      <c r="J682" s="5">
        <f>SUMPRODUCT(('01_Data'!$B682:$AW682&lt;&gt;"")*(1/(1+EXP(-(H682-'03_Lap_b'!$B$10:$AW$10))))^2)</f>
        <v/>
      </c>
      <c r="K682" s="5">
        <f>MEDIAN(-6,H682+(C682-I682)/MAX(I682-J682,0.000000001),6)</f>
        <v/>
      </c>
      <c r="L682" s="5">
        <f>SUMPRODUCT(('01_Data'!$B682:$AW682&lt;&gt;"")*(1/(1+EXP(-(K682-'03_Lap_b'!$B$15:$AW$15)))))</f>
        <v/>
      </c>
      <c r="M682" s="5">
        <f>SUMPRODUCT(('01_Data'!$B682:$AW682&lt;&gt;"")*(1/(1+EXP(-(K682-'03_Lap_b'!$B$15:$AW$15))))^2)</f>
        <v/>
      </c>
      <c r="N682" s="5">
        <f>MEDIAN(-6,K682+(C682-L682)/MAX(L682-M682,0.000000001),6)</f>
        <v/>
      </c>
      <c r="O682" s="5">
        <f>SUMPRODUCT(('01_Data'!$B682:$AW682&lt;&gt;"")*(1/(1+EXP(-(N682-'03_Lap_b'!$B$20:$AW$20)))))</f>
        <v/>
      </c>
      <c r="P682" s="5">
        <f>SUMPRODUCT(('01_Data'!$B682:$AW682&lt;&gt;"")*(1/(1+EXP(-(N682-'03_Lap_b'!$B$20:$AW$20))))^2)</f>
        <v/>
      </c>
      <c r="Q682" s="5">
        <f>MEDIAN(-6,N682+(C682-O682)/MAX(O682-P682,0.000000001),6)</f>
        <v/>
      </c>
      <c r="R682" s="5">
        <f>SUMPRODUCT(('01_Data'!$B682:$AW682&lt;&gt;"")*(1/(1+EXP(-(Q682-'03_Lap_b'!$B$25:$AW$25)))))</f>
        <v/>
      </c>
      <c r="S682" s="5">
        <f>SUMPRODUCT(('01_Data'!$B682:$AW682&lt;&gt;"")*(1/(1+EXP(-(Q682-'03_Lap_b'!$B$25:$AW$25))))^2)</f>
        <v/>
      </c>
      <c r="T682" s="5">
        <f>MEDIAN(-6,Q682+(C682-R682)/MAX(R682-S682,0.000000001),6)</f>
        <v/>
      </c>
      <c r="U682" s="5">
        <f>SUMPRODUCT(('01_Data'!$B682:$AW682&lt;&gt;"")*(1/(1+EXP(-(T682-'03_Lap_b'!$B$30:$AW$30)))))</f>
        <v/>
      </c>
      <c r="V682" s="5">
        <f>SUMPRODUCT(('01_Data'!$B682:$AW682&lt;&gt;"")*(1/(1+EXP(-(T682-'03_Lap_b'!$B$30:$AW$30))))^2)</f>
        <v/>
      </c>
      <c r="W682" s="5">
        <f>MEDIAN(-6,T682+(C682-U682)/MAX(U682-V682,0.000000001),6)</f>
        <v/>
      </c>
      <c r="X682" s="5">
        <f>SUMPRODUCT(('01_Data'!$B682:$AW682&lt;&gt;"")*(1/(1+EXP(-(W682-'03_Lap_b'!$B$35:$AW$35)))))</f>
        <v/>
      </c>
      <c r="Y682" s="5">
        <f>SUMPRODUCT(('01_Data'!$B682:$AW682&lt;&gt;"")*(1/(1+EXP(-(W682-'03_Lap_b'!$B$35:$AW$35))))^2)</f>
        <v/>
      </c>
      <c r="Z682" s="5">
        <f>MEDIAN(-6,W682+(C682-X682)/MAX(X682-Y682,0.000000001),6)</f>
        <v/>
      </c>
      <c r="AA682" s="5">
        <f>SUMPRODUCT(('01_Data'!$B682:$AW682&lt;&gt;"")*(1/(1+EXP(-(Z682-'03_Lap_b'!$B$40:$AW$40)))))</f>
        <v/>
      </c>
      <c r="AB682" s="5">
        <f>SUMPRODUCT(('01_Data'!$B682:$AW682&lt;&gt;"")*(1/(1+EXP(-(Z682-'03_Lap_b'!$B$40:$AW$40))))^2)</f>
        <v/>
      </c>
      <c r="AC682" s="5">
        <f>MEDIAN(-6,Z682+(C682-AA682)/MAX(AA682-AB682,0.000000001),6)</f>
        <v/>
      </c>
    </row>
    <row r="683">
      <c r="A683" t="n">
        <v>682</v>
      </c>
      <c r="B683">
        <f>'01_Data'!A683</f>
        <v/>
      </c>
      <c r="C683">
        <f>SUM('01_Data'!$B683:$AW683)</f>
        <v/>
      </c>
      <c r="D683">
        <f>COUNT('01_Data'!$B683:$AW683)</f>
        <v/>
      </c>
      <c r="E683" s="5">
        <f>MEDIAN(-6,LN((C683+0.3)/(D683-C683+0.3)),6)</f>
        <v/>
      </c>
      <c r="F683" s="5">
        <f>SUMPRODUCT(('01_Data'!$B683:$AW683&lt;&gt;"")*(1/(1+EXP(-(E683-'03_Lap_b'!$B$5:$AW$5)))))</f>
        <v/>
      </c>
      <c r="G683" s="5">
        <f>SUMPRODUCT(('01_Data'!$B683:$AW683&lt;&gt;"")*(1/(1+EXP(-(E683-'03_Lap_b'!$B$5:$AW$5))))^2)</f>
        <v/>
      </c>
      <c r="H683" s="5">
        <f>MEDIAN(-6,E683+(C683-F683)/MAX(F683-G683,0.000000001),6)</f>
        <v/>
      </c>
      <c r="I683" s="5">
        <f>SUMPRODUCT(('01_Data'!$B683:$AW683&lt;&gt;"")*(1/(1+EXP(-(H683-'03_Lap_b'!$B$10:$AW$10)))))</f>
        <v/>
      </c>
      <c r="J683" s="5">
        <f>SUMPRODUCT(('01_Data'!$B683:$AW683&lt;&gt;"")*(1/(1+EXP(-(H683-'03_Lap_b'!$B$10:$AW$10))))^2)</f>
        <v/>
      </c>
      <c r="K683" s="5">
        <f>MEDIAN(-6,H683+(C683-I683)/MAX(I683-J683,0.000000001),6)</f>
        <v/>
      </c>
      <c r="L683" s="5">
        <f>SUMPRODUCT(('01_Data'!$B683:$AW683&lt;&gt;"")*(1/(1+EXP(-(K683-'03_Lap_b'!$B$15:$AW$15)))))</f>
        <v/>
      </c>
      <c r="M683" s="5">
        <f>SUMPRODUCT(('01_Data'!$B683:$AW683&lt;&gt;"")*(1/(1+EXP(-(K683-'03_Lap_b'!$B$15:$AW$15))))^2)</f>
        <v/>
      </c>
      <c r="N683" s="5">
        <f>MEDIAN(-6,K683+(C683-L683)/MAX(L683-M683,0.000000001),6)</f>
        <v/>
      </c>
      <c r="O683" s="5">
        <f>SUMPRODUCT(('01_Data'!$B683:$AW683&lt;&gt;"")*(1/(1+EXP(-(N683-'03_Lap_b'!$B$20:$AW$20)))))</f>
        <v/>
      </c>
      <c r="P683" s="5">
        <f>SUMPRODUCT(('01_Data'!$B683:$AW683&lt;&gt;"")*(1/(1+EXP(-(N683-'03_Lap_b'!$B$20:$AW$20))))^2)</f>
        <v/>
      </c>
      <c r="Q683" s="5">
        <f>MEDIAN(-6,N683+(C683-O683)/MAX(O683-P683,0.000000001),6)</f>
        <v/>
      </c>
      <c r="R683" s="5">
        <f>SUMPRODUCT(('01_Data'!$B683:$AW683&lt;&gt;"")*(1/(1+EXP(-(Q683-'03_Lap_b'!$B$25:$AW$25)))))</f>
        <v/>
      </c>
      <c r="S683" s="5">
        <f>SUMPRODUCT(('01_Data'!$B683:$AW683&lt;&gt;"")*(1/(1+EXP(-(Q683-'03_Lap_b'!$B$25:$AW$25))))^2)</f>
        <v/>
      </c>
      <c r="T683" s="5">
        <f>MEDIAN(-6,Q683+(C683-R683)/MAX(R683-S683,0.000000001),6)</f>
        <v/>
      </c>
      <c r="U683" s="5">
        <f>SUMPRODUCT(('01_Data'!$B683:$AW683&lt;&gt;"")*(1/(1+EXP(-(T683-'03_Lap_b'!$B$30:$AW$30)))))</f>
        <v/>
      </c>
      <c r="V683" s="5">
        <f>SUMPRODUCT(('01_Data'!$B683:$AW683&lt;&gt;"")*(1/(1+EXP(-(T683-'03_Lap_b'!$B$30:$AW$30))))^2)</f>
        <v/>
      </c>
      <c r="W683" s="5">
        <f>MEDIAN(-6,T683+(C683-U683)/MAX(U683-V683,0.000000001),6)</f>
        <v/>
      </c>
      <c r="X683" s="5">
        <f>SUMPRODUCT(('01_Data'!$B683:$AW683&lt;&gt;"")*(1/(1+EXP(-(W683-'03_Lap_b'!$B$35:$AW$35)))))</f>
        <v/>
      </c>
      <c r="Y683" s="5">
        <f>SUMPRODUCT(('01_Data'!$B683:$AW683&lt;&gt;"")*(1/(1+EXP(-(W683-'03_Lap_b'!$B$35:$AW$35))))^2)</f>
        <v/>
      </c>
      <c r="Z683" s="5">
        <f>MEDIAN(-6,W683+(C683-X683)/MAX(X683-Y683,0.000000001),6)</f>
        <v/>
      </c>
      <c r="AA683" s="5">
        <f>SUMPRODUCT(('01_Data'!$B683:$AW683&lt;&gt;"")*(1/(1+EXP(-(Z683-'03_Lap_b'!$B$40:$AW$40)))))</f>
        <v/>
      </c>
      <c r="AB683" s="5">
        <f>SUMPRODUCT(('01_Data'!$B683:$AW683&lt;&gt;"")*(1/(1+EXP(-(Z683-'03_Lap_b'!$B$40:$AW$40))))^2)</f>
        <v/>
      </c>
      <c r="AC683" s="5">
        <f>MEDIAN(-6,Z683+(C683-AA683)/MAX(AA683-AB683,0.000000001),6)</f>
        <v/>
      </c>
    </row>
    <row r="684">
      <c r="A684" t="n">
        <v>683</v>
      </c>
      <c r="B684">
        <f>'01_Data'!A684</f>
        <v/>
      </c>
      <c r="C684">
        <f>SUM('01_Data'!$B684:$AW684)</f>
        <v/>
      </c>
      <c r="D684">
        <f>COUNT('01_Data'!$B684:$AW684)</f>
        <v/>
      </c>
      <c r="E684" s="5">
        <f>MEDIAN(-6,LN((C684+0.3)/(D684-C684+0.3)),6)</f>
        <v/>
      </c>
      <c r="F684" s="5">
        <f>SUMPRODUCT(('01_Data'!$B684:$AW684&lt;&gt;"")*(1/(1+EXP(-(E684-'03_Lap_b'!$B$5:$AW$5)))))</f>
        <v/>
      </c>
      <c r="G684" s="5">
        <f>SUMPRODUCT(('01_Data'!$B684:$AW684&lt;&gt;"")*(1/(1+EXP(-(E684-'03_Lap_b'!$B$5:$AW$5))))^2)</f>
        <v/>
      </c>
      <c r="H684" s="5">
        <f>MEDIAN(-6,E684+(C684-F684)/MAX(F684-G684,0.000000001),6)</f>
        <v/>
      </c>
      <c r="I684" s="5">
        <f>SUMPRODUCT(('01_Data'!$B684:$AW684&lt;&gt;"")*(1/(1+EXP(-(H684-'03_Lap_b'!$B$10:$AW$10)))))</f>
        <v/>
      </c>
      <c r="J684" s="5">
        <f>SUMPRODUCT(('01_Data'!$B684:$AW684&lt;&gt;"")*(1/(1+EXP(-(H684-'03_Lap_b'!$B$10:$AW$10))))^2)</f>
        <v/>
      </c>
      <c r="K684" s="5">
        <f>MEDIAN(-6,H684+(C684-I684)/MAX(I684-J684,0.000000001),6)</f>
        <v/>
      </c>
      <c r="L684" s="5">
        <f>SUMPRODUCT(('01_Data'!$B684:$AW684&lt;&gt;"")*(1/(1+EXP(-(K684-'03_Lap_b'!$B$15:$AW$15)))))</f>
        <v/>
      </c>
      <c r="M684" s="5">
        <f>SUMPRODUCT(('01_Data'!$B684:$AW684&lt;&gt;"")*(1/(1+EXP(-(K684-'03_Lap_b'!$B$15:$AW$15))))^2)</f>
        <v/>
      </c>
      <c r="N684" s="5">
        <f>MEDIAN(-6,K684+(C684-L684)/MAX(L684-M684,0.000000001),6)</f>
        <v/>
      </c>
      <c r="O684" s="5">
        <f>SUMPRODUCT(('01_Data'!$B684:$AW684&lt;&gt;"")*(1/(1+EXP(-(N684-'03_Lap_b'!$B$20:$AW$20)))))</f>
        <v/>
      </c>
      <c r="P684" s="5">
        <f>SUMPRODUCT(('01_Data'!$B684:$AW684&lt;&gt;"")*(1/(1+EXP(-(N684-'03_Lap_b'!$B$20:$AW$20))))^2)</f>
        <v/>
      </c>
      <c r="Q684" s="5">
        <f>MEDIAN(-6,N684+(C684-O684)/MAX(O684-P684,0.000000001),6)</f>
        <v/>
      </c>
      <c r="R684" s="5">
        <f>SUMPRODUCT(('01_Data'!$B684:$AW684&lt;&gt;"")*(1/(1+EXP(-(Q684-'03_Lap_b'!$B$25:$AW$25)))))</f>
        <v/>
      </c>
      <c r="S684" s="5">
        <f>SUMPRODUCT(('01_Data'!$B684:$AW684&lt;&gt;"")*(1/(1+EXP(-(Q684-'03_Lap_b'!$B$25:$AW$25))))^2)</f>
        <v/>
      </c>
      <c r="T684" s="5">
        <f>MEDIAN(-6,Q684+(C684-R684)/MAX(R684-S684,0.000000001),6)</f>
        <v/>
      </c>
      <c r="U684" s="5">
        <f>SUMPRODUCT(('01_Data'!$B684:$AW684&lt;&gt;"")*(1/(1+EXP(-(T684-'03_Lap_b'!$B$30:$AW$30)))))</f>
        <v/>
      </c>
      <c r="V684" s="5">
        <f>SUMPRODUCT(('01_Data'!$B684:$AW684&lt;&gt;"")*(1/(1+EXP(-(T684-'03_Lap_b'!$B$30:$AW$30))))^2)</f>
        <v/>
      </c>
      <c r="W684" s="5">
        <f>MEDIAN(-6,T684+(C684-U684)/MAX(U684-V684,0.000000001),6)</f>
        <v/>
      </c>
      <c r="X684" s="5">
        <f>SUMPRODUCT(('01_Data'!$B684:$AW684&lt;&gt;"")*(1/(1+EXP(-(W684-'03_Lap_b'!$B$35:$AW$35)))))</f>
        <v/>
      </c>
      <c r="Y684" s="5">
        <f>SUMPRODUCT(('01_Data'!$B684:$AW684&lt;&gt;"")*(1/(1+EXP(-(W684-'03_Lap_b'!$B$35:$AW$35))))^2)</f>
        <v/>
      </c>
      <c r="Z684" s="5">
        <f>MEDIAN(-6,W684+(C684-X684)/MAX(X684-Y684,0.000000001),6)</f>
        <v/>
      </c>
      <c r="AA684" s="5">
        <f>SUMPRODUCT(('01_Data'!$B684:$AW684&lt;&gt;"")*(1/(1+EXP(-(Z684-'03_Lap_b'!$B$40:$AW$40)))))</f>
        <v/>
      </c>
      <c r="AB684" s="5">
        <f>SUMPRODUCT(('01_Data'!$B684:$AW684&lt;&gt;"")*(1/(1+EXP(-(Z684-'03_Lap_b'!$B$40:$AW$40))))^2)</f>
        <v/>
      </c>
      <c r="AC684" s="5">
        <f>MEDIAN(-6,Z684+(C684-AA684)/MAX(AA684-AB684,0.000000001),6)</f>
        <v/>
      </c>
    </row>
    <row r="685">
      <c r="A685" t="n">
        <v>684</v>
      </c>
      <c r="B685">
        <f>'01_Data'!A685</f>
        <v/>
      </c>
      <c r="C685">
        <f>SUM('01_Data'!$B685:$AW685)</f>
        <v/>
      </c>
      <c r="D685">
        <f>COUNT('01_Data'!$B685:$AW685)</f>
        <v/>
      </c>
      <c r="E685" s="5">
        <f>MEDIAN(-6,LN((C685+0.3)/(D685-C685+0.3)),6)</f>
        <v/>
      </c>
      <c r="F685" s="5">
        <f>SUMPRODUCT(('01_Data'!$B685:$AW685&lt;&gt;"")*(1/(1+EXP(-(E685-'03_Lap_b'!$B$5:$AW$5)))))</f>
        <v/>
      </c>
      <c r="G685" s="5">
        <f>SUMPRODUCT(('01_Data'!$B685:$AW685&lt;&gt;"")*(1/(1+EXP(-(E685-'03_Lap_b'!$B$5:$AW$5))))^2)</f>
        <v/>
      </c>
      <c r="H685" s="5">
        <f>MEDIAN(-6,E685+(C685-F685)/MAX(F685-G685,0.000000001),6)</f>
        <v/>
      </c>
      <c r="I685" s="5">
        <f>SUMPRODUCT(('01_Data'!$B685:$AW685&lt;&gt;"")*(1/(1+EXP(-(H685-'03_Lap_b'!$B$10:$AW$10)))))</f>
        <v/>
      </c>
      <c r="J685" s="5">
        <f>SUMPRODUCT(('01_Data'!$B685:$AW685&lt;&gt;"")*(1/(1+EXP(-(H685-'03_Lap_b'!$B$10:$AW$10))))^2)</f>
        <v/>
      </c>
      <c r="K685" s="5">
        <f>MEDIAN(-6,H685+(C685-I685)/MAX(I685-J685,0.000000001),6)</f>
        <v/>
      </c>
      <c r="L685" s="5">
        <f>SUMPRODUCT(('01_Data'!$B685:$AW685&lt;&gt;"")*(1/(1+EXP(-(K685-'03_Lap_b'!$B$15:$AW$15)))))</f>
        <v/>
      </c>
      <c r="M685" s="5">
        <f>SUMPRODUCT(('01_Data'!$B685:$AW685&lt;&gt;"")*(1/(1+EXP(-(K685-'03_Lap_b'!$B$15:$AW$15))))^2)</f>
        <v/>
      </c>
      <c r="N685" s="5">
        <f>MEDIAN(-6,K685+(C685-L685)/MAX(L685-M685,0.000000001),6)</f>
        <v/>
      </c>
      <c r="O685" s="5">
        <f>SUMPRODUCT(('01_Data'!$B685:$AW685&lt;&gt;"")*(1/(1+EXP(-(N685-'03_Lap_b'!$B$20:$AW$20)))))</f>
        <v/>
      </c>
      <c r="P685" s="5">
        <f>SUMPRODUCT(('01_Data'!$B685:$AW685&lt;&gt;"")*(1/(1+EXP(-(N685-'03_Lap_b'!$B$20:$AW$20))))^2)</f>
        <v/>
      </c>
      <c r="Q685" s="5">
        <f>MEDIAN(-6,N685+(C685-O685)/MAX(O685-P685,0.000000001),6)</f>
        <v/>
      </c>
      <c r="R685" s="5">
        <f>SUMPRODUCT(('01_Data'!$B685:$AW685&lt;&gt;"")*(1/(1+EXP(-(Q685-'03_Lap_b'!$B$25:$AW$25)))))</f>
        <v/>
      </c>
      <c r="S685" s="5">
        <f>SUMPRODUCT(('01_Data'!$B685:$AW685&lt;&gt;"")*(1/(1+EXP(-(Q685-'03_Lap_b'!$B$25:$AW$25))))^2)</f>
        <v/>
      </c>
      <c r="T685" s="5">
        <f>MEDIAN(-6,Q685+(C685-R685)/MAX(R685-S685,0.000000001),6)</f>
        <v/>
      </c>
      <c r="U685" s="5">
        <f>SUMPRODUCT(('01_Data'!$B685:$AW685&lt;&gt;"")*(1/(1+EXP(-(T685-'03_Lap_b'!$B$30:$AW$30)))))</f>
        <v/>
      </c>
      <c r="V685" s="5">
        <f>SUMPRODUCT(('01_Data'!$B685:$AW685&lt;&gt;"")*(1/(1+EXP(-(T685-'03_Lap_b'!$B$30:$AW$30))))^2)</f>
        <v/>
      </c>
      <c r="W685" s="5">
        <f>MEDIAN(-6,T685+(C685-U685)/MAX(U685-V685,0.000000001),6)</f>
        <v/>
      </c>
      <c r="X685" s="5">
        <f>SUMPRODUCT(('01_Data'!$B685:$AW685&lt;&gt;"")*(1/(1+EXP(-(W685-'03_Lap_b'!$B$35:$AW$35)))))</f>
        <v/>
      </c>
      <c r="Y685" s="5">
        <f>SUMPRODUCT(('01_Data'!$B685:$AW685&lt;&gt;"")*(1/(1+EXP(-(W685-'03_Lap_b'!$B$35:$AW$35))))^2)</f>
        <v/>
      </c>
      <c r="Z685" s="5">
        <f>MEDIAN(-6,W685+(C685-X685)/MAX(X685-Y685,0.000000001),6)</f>
        <v/>
      </c>
      <c r="AA685" s="5">
        <f>SUMPRODUCT(('01_Data'!$B685:$AW685&lt;&gt;"")*(1/(1+EXP(-(Z685-'03_Lap_b'!$B$40:$AW$40)))))</f>
        <v/>
      </c>
      <c r="AB685" s="5">
        <f>SUMPRODUCT(('01_Data'!$B685:$AW685&lt;&gt;"")*(1/(1+EXP(-(Z685-'03_Lap_b'!$B$40:$AW$40))))^2)</f>
        <v/>
      </c>
      <c r="AC685" s="5">
        <f>MEDIAN(-6,Z685+(C685-AA685)/MAX(AA685-AB685,0.000000001),6)</f>
        <v/>
      </c>
    </row>
    <row r="686">
      <c r="A686" t="n">
        <v>685</v>
      </c>
      <c r="B686">
        <f>'01_Data'!A686</f>
        <v/>
      </c>
      <c r="C686">
        <f>SUM('01_Data'!$B686:$AW686)</f>
        <v/>
      </c>
      <c r="D686">
        <f>COUNT('01_Data'!$B686:$AW686)</f>
        <v/>
      </c>
      <c r="E686" s="5">
        <f>MEDIAN(-6,LN((C686+0.3)/(D686-C686+0.3)),6)</f>
        <v/>
      </c>
      <c r="F686" s="5">
        <f>SUMPRODUCT(('01_Data'!$B686:$AW686&lt;&gt;"")*(1/(1+EXP(-(E686-'03_Lap_b'!$B$5:$AW$5)))))</f>
        <v/>
      </c>
      <c r="G686" s="5">
        <f>SUMPRODUCT(('01_Data'!$B686:$AW686&lt;&gt;"")*(1/(1+EXP(-(E686-'03_Lap_b'!$B$5:$AW$5))))^2)</f>
        <v/>
      </c>
      <c r="H686" s="5">
        <f>MEDIAN(-6,E686+(C686-F686)/MAX(F686-G686,0.000000001),6)</f>
        <v/>
      </c>
      <c r="I686" s="5">
        <f>SUMPRODUCT(('01_Data'!$B686:$AW686&lt;&gt;"")*(1/(1+EXP(-(H686-'03_Lap_b'!$B$10:$AW$10)))))</f>
        <v/>
      </c>
      <c r="J686" s="5">
        <f>SUMPRODUCT(('01_Data'!$B686:$AW686&lt;&gt;"")*(1/(1+EXP(-(H686-'03_Lap_b'!$B$10:$AW$10))))^2)</f>
        <v/>
      </c>
      <c r="K686" s="5">
        <f>MEDIAN(-6,H686+(C686-I686)/MAX(I686-J686,0.000000001),6)</f>
        <v/>
      </c>
      <c r="L686" s="5">
        <f>SUMPRODUCT(('01_Data'!$B686:$AW686&lt;&gt;"")*(1/(1+EXP(-(K686-'03_Lap_b'!$B$15:$AW$15)))))</f>
        <v/>
      </c>
      <c r="M686" s="5">
        <f>SUMPRODUCT(('01_Data'!$B686:$AW686&lt;&gt;"")*(1/(1+EXP(-(K686-'03_Lap_b'!$B$15:$AW$15))))^2)</f>
        <v/>
      </c>
      <c r="N686" s="5">
        <f>MEDIAN(-6,K686+(C686-L686)/MAX(L686-M686,0.000000001),6)</f>
        <v/>
      </c>
      <c r="O686" s="5">
        <f>SUMPRODUCT(('01_Data'!$B686:$AW686&lt;&gt;"")*(1/(1+EXP(-(N686-'03_Lap_b'!$B$20:$AW$20)))))</f>
        <v/>
      </c>
      <c r="P686" s="5">
        <f>SUMPRODUCT(('01_Data'!$B686:$AW686&lt;&gt;"")*(1/(1+EXP(-(N686-'03_Lap_b'!$B$20:$AW$20))))^2)</f>
        <v/>
      </c>
      <c r="Q686" s="5">
        <f>MEDIAN(-6,N686+(C686-O686)/MAX(O686-P686,0.000000001),6)</f>
        <v/>
      </c>
      <c r="R686" s="5">
        <f>SUMPRODUCT(('01_Data'!$B686:$AW686&lt;&gt;"")*(1/(1+EXP(-(Q686-'03_Lap_b'!$B$25:$AW$25)))))</f>
        <v/>
      </c>
      <c r="S686" s="5">
        <f>SUMPRODUCT(('01_Data'!$B686:$AW686&lt;&gt;"")*(1/(1+EXP(-(Q686-'03_Lap_b'!$B$25:$AW$25))))^2)</f>
        <v/>
      </c>
      <c r="T686" s="5">
        <f>MEDIAN(-6,Q686+(C686-R686)/MAX(R686-S686,0.000000001),6)</f>
        <v/>
      </c>
      <c r="U686" s="5">
        <f>SUMPRODUCT(('01_Data'!$B686:$AW686&lt;&gt;"")*(1/(1+EXP(-(T686-'03_Lap_b'!$B$30:$AW$30)))))</f>
        <v/>
      </c>
      <c r="V686" s="5">
        <f>SUMPRODUCT(('01_Data'!$B686:$AW686&lt;&gt;"")*(1/(1+EXP(-(T686-'03_Lap_b'!$B$30:$AW$30))))^2)</f>
        <v/>
      </c>
      <c r="W686" s="5">
        <f>MEDIAN(-6,T686+(C686-U686)/MAX(U686-V686,0.000000001),6)</f>
        <v/>
      </c>
      <c r="X686" s="5">
        <f>SUMPRODUCT(('01_Data'!$B686:$AW686&lt;&gt;"")*(1/(1+EXP(-(W686-'03_Lap_b'!$B$35:$AW$35)))))</f>
        <v/>
      </c>
      <c r="Y686" s="5">
        <f>SUMPRODUCT(('01_Data'!$B686:$AW686&lt;&gt;"")*(1/(1+EXP(-(W686-'03_Lap_b'!$B$35:$AW$35))))^2)</f>
        <v/>
      </c>
      <c r="Z686" s="5">
        <f>MEDIAN(-6,W686+(C686-X686)/MAX(X686-Y686,0.000000001),6)</f>
        <v/>
      </c>
      <c r="AA686" s="5">
        <f>SUMPRODUCT(('01_Data'!$B686:$AW686&lt;&gt;"")*(1/(1+EXP(-(Z686-'03_Lap_b'!$B$40:$AW$40)))))</f>
        <v/>
      </c>
      <c r="AB686" s="5">
        <f>SUMPRODUCT(('01_Data'!$B686:$AW686&lt;&gt;"")*(1/(1+EXP(-(Z686-'03_Lap_b'!$B$40:$AW$40))))^2)</f>
        <v/>
      </c>
      <c r="AC686" s="5">
        <f>MEDIAN(-6,Z686+(C686-AA686)/MAX(AA686-AB686,0.000000001),6)</f>
        <v/>
      </c>
    </row>
    <row r="687">
      <c r="A687" t="n">
        <v>686</v>
      </c>
      <c r="B687">
        <f>'01_Data'!A687</f>
        <v/>
      </c>
      <c r="C687">
        <f>SUM('01_Data'!$B687:$AW687)</f>
        <v/>
      </c>
      <c r="D687">
        <f>COUNT('01_Data'!$B687:$AW687)</f>
        <v/>
      </c>
      <c r="E687" s="5">
        <f>MEDIAN(-6,LN((C687+0.3)/(D687-C687+0.3)),6)</f>
        <v/>
      </c>
      <c r="F687" s="5">
        <f>SUMPRODUCT(('01_Data'!$B687:$AW687&lt;&gt;"")*(1/(1+EXP(-(E687-'03_Lap_b'!$B$5:$AW$5)))))</f>
        <v/>
      </c>
      <c r="G687" s="5">
        <f>SUMPRODUCT(('01_Data'!$B687:$AW687&lt;&gt;"")*(1/(1+EXP(-(E687-'03_Lap_b'!$B$5:$AW$5))))^2)</f>
        <v/>
      </c>
      <c r="H687" s="5">
        <f>MEDIAN(-6,E687+(C687-F687)/MAX(F687-G687,0.000000001),6)</f>
        <v/>
      </c>
      <c r="I687" s="5">
        <f>SUMPRODUCT(('01_Data'!$B687:$AW687&lt;&gt;"")*(1/(1+EXP(-(H687-'03_Lap_b'!$B$10:$AW$10)))))</f>
        <v/>
      </c>
      <c r="J687" s="5">
        <f>SUMPRODUCT(('01_Data'!$B687:$AW687&lt;&gt;"")*(1/(1+EXP(-(H687-'03_Lap_b'!$B$10:$AW$10))))^2)</f>
        <v/>
      </c>
      <c r="K687" s="5">
        <f>MEDIAN(-6,H687+(C687-I687)/MAX(I687-J687,0.000000001),6)</f>
        <v/>
      </c>
      <c r="L687" s="5">
        <f>SUMPRODUCT(('01_Data'!$B687:$AW687&lt;&gt;"")*(1/(1+EXP(-(K687-'03_Lap_b'!$B$15:$AW$15)))))</f>
        <v/>
      </c>
      <c r="M687" s="5">
        <f>SUMPRODUCT(('01_Data'!$B687:$AW687&lt;&gt;"")*(1/(1+EXP(-(K687-'03_Lap_b'!$B$15:$AW$15))))^2)</f>
        <v/>
      </c>
      <c r="N687" s="5">
        <f>MEDIAN(-6,K687+(C687-L687)/MAX(L687-M687,0.000000001),6)</f>
        <v/>
      </c>
      <c r="O687" s="5">
        <f>SUMPRODUCT(('01_Data'!$B687:$AW687&lt;&gt;"")*(1/(1+EXP(-(N687-'03_Lap_b'!$B$20:$AW$20)))))</f>
        <v/>
      </c>
      <c r="P687" s="5">
        <f>SUMPRODUCT(('01_Data'!$B687:$AW687&lt;&gt;"")*(1/(1+EXP(-(N687-'03_Lap_b'!$B$20:$AW$20))))^2)</f>
        <v/>
      </c>
      <c r="Q687" s="5">
        <f>MEDIAN(-6,N687+(C687-O687)/MAX(O687-P687,0.000000001),6)</f>
        <v/>
      </c>
      <c r="R687" s="5">
        <f>SUMPRODUCT(('01_Data'!$B687:$AW687&lt;&gt;"")*(1/(1+EXP(-(Q687-'03_Lap_b'!$B$25:$AW$25)))))</f>
        <v/>
      </c>
      <c r="S687" s="5">
        <f>SUMPRODUCT(('01_Data'!$B687:$AW687&lt;&gt;"")*(1/(1+EXP(-(Q687-'03_Lap_b'!$B$25:$AW$25))))^2)</f>
        <v/>
      </c>
      <c r="T687" s="5">
        <f>MEDIAN(-6,Q687+(C687-R687)/MAX(R687-S687,0.000000001),6)</f>
        <v/>
      </c>
      <c r="U687" s="5">
        <f>SUMPRODUCT(('01_Data'!$B687:$AW687&lt;&gt;"")*(1/(1+EXP(-(T687-'03_Lap_b'!$B$30:$AW$30)))))</f>
        <v/>
      </c>
      <c r="V687" s="5">
        <f>SUMPRODUCT(('01_Data'!$B687:$AW687&lt;&gt;"")*(1/(1+EXP(-(T687-'03_Lap_b'!$B$30:$AW$30))))^2)</f>
        <v/>
      </c>
      <c r="W687" s="5">
        <f>MEDIAN(-6,T687+(C687-U687)/MAX(U687-V687,0.000000001),6)</f>
        <v/>
      </c>
      <c r="X687" s="5">
        <f>SUMPRODUCT(('01_Data'!$B687:$AW687&lt;&gt;"")*(1/(1+EXP(-(W687-'03_Lap_b'!$B$35:$AW$35)))))</f>
        <v/>
      </c>
      <c r="Y687" s="5">
        <f>SUMPRODUCT(('01_Data'!$B687:$AW687&lt;&gt;"")*(1/(1+EXP(-(W687-'03_Lap_b'!$B$35:$AW$35))))^2)</f>
        <v/>
      </c>
      <c r="Z687" s="5">
        <f>MEDIAN(-6,W687+(C687-X687)/MAX(X687-Y687,0.000000001),6)</f>
        <v/>
      </c>
      <c r="AA687" s="5">
        <f>SUMPRODUCT(('01_Data'!$B687:$AW687&lt;&gt;"")*(1/(1+EXP(-(Z687-'03_Lap_b'!$B$40:$AW$40)))))</f>
        <v/>
      </c>
      <c r="AB687" s="5">
        <f>SUMPRODUCT(('01_Data'!$B687:$AW687&lt;&gt;"")*(1/(1+EXP(-(Z687-'03_Lap_b'!$B$40:$AW$40))))^2)</f>
        <v/>
      </c>
      <c r="AC687" s="5">
        <f>MEDIAN(-6,Z687+(C687-AA687)/MAX(AA687-AB687,0.000000001),6)</f>
        <v/>
      </c>
    </row>
    <row r="688">
      <c r="A688" t="n">
        <v>687</v>
      </c>
      <c r="B688">
        <f>'01_Data'!A688</f>
        <v/>
      </c>
      <c r="C688">
        <f>SUM('01_Data'!$B688:$AW688)</f>
        <v/>
      </c>
      <c r="D688">
        <f>COUNT('01_Data'!$B688:$AW688)</f>
        <v/>
      </c>
      <c r="E688" s="5">
        <f>MEDIAN(-6,LN((C688+0.3)/(D688-C688+0.3)),6)</f>
        <v/>
      </c>
      <c r="F688" s="5">
        <f>SUMPRODUCT(('01_Data'!$B688:$AW688&lt;&gt;"")*(1/(1+EXP(-(E688-'03_Lap_b'!$B$5:$AW$5)))))</f>
        <v/>
      </c>
      <c r="G688" s="5">
        <f>SUMPRODUCT(('01_Data'!$B688:$AW688&lt;&gt;"")*(1/(1+EXP(-(E688-'03_Lap_b'!$B$5:$AW$5))))^2)</f>
        <v/>
      </c>
      <c r="H688" s="5">
        <f>MEDIAN(-6,E688+(C688-F688)/MAX(F688-G688,0.000000001),6)</f>
        <v/>
      </c>
      <c r="I688" s="5">
        <f>SUMPRODUCT(('01_Data'!$B688:$AW688&lt;&gt;"")*(1/(1+EXP(-(H688-'03_Lap_b'!$B$10:$AW$10)))))</f>
        <v/>
      </c>
      <c r="J688" s="5">
        <f>SUMPRODUCT(('01_Data'!$B688:$AW688&lt;&gt;"")*(1/(1+EXP(-(H688-'03_Lap_b'!$B$10:$AW$10))))^2)</f>
        <v/>
      </c>
      <c r="K688" s="5">
        <f>MEDIAN(-6,H688+(C688-I688)/MAX(I688-J688,0.000000001),6)</f>
        <v/>
      </c>
      <c r="L688" s="5">
        <f>SUMPRODUCT(('01_Data'!$B688:$AW688&lt;&gt;"")*(1/(1+EXP(-(K688-'03_Lap_b'!$B$15:$AW$15)))))</f>
        <v/>
      </c>
      <c r="M688" s="5">
        <f>SUMPRODUCT(('01_Data'!$B688:$AW688&lt;&gt;"")*(1/(1+EXP(-(K688-'03_Lap_b'!$B$15:$AW$15))))^2)</f>
        <v/>
      </c>
      <c r="N688" s="5">
        <f>MEDIAN(-6,K688+(C688-L688)/MAX(L688-M688,0.000000001),6)</f>
        <v/>
      </c>
      <c r="O688" s="5">
        <f>SUMPRODUCT(('01_Data'!$B688:$AW688&lt;&gt;"")*(1/(1+EXP(-(N688-'03_Lap_b'!$B$20:$AW$20)))))</f>
        <v/>
      </c>
      <c r="P688" s="5">
        <f>SUMPRODUCT(('01_Data'!$B688:$AW688&lt;&gt;"")*(1/(1+EXP(-(N688-'03_Lap_b'!$B$20:$AW$20))))^2)</f>
        <v/>
      </c>
      <c r="Q688" s="5">
        <f>MEDIAN(-6,N688+(C688-O688)/MAX(O688-P688,0.000000001),6)</f>
        <v/>
      </c>
      <c r="R688" s="5">
        <f>SUMPRODUCT(('01_Data'!$B688:$AW688&lt;&gt;"")*(1/(1+EXP(-(Q688-'03_Lap_b'!$B$25:$AW$25)))))</f>
        <v/>
      </c>
      <c r="S688" s="5">
        <f>SUMPRODUCT(('01_Data'!$B688:$AW688&lt;&gt;"")*(1/(1+EXP(-(Q688-'03_Lap_b'!$B$25:$AW$25))))^2)</f>
        <v/>
      </c>
      <c r="T688" s="5">
        <f>MEDIAN(-6,Q688+(C688-R688)/MAX(R688-S688,0.000000001),6)</f>
        <v/>
      </c>
      <c r="U688" s="5">
        <f>SUMPRODUCT(('01_Data'!$B688:$AW688&lt;&gt;"")*(1/(1+EXP(-(T688-'03_Lap_b'!$B$30:$AW$30)))))</f>
        <v/>
      </c>
      <c r="V688" s="5">
        <f>SUMPRODUCT(('01_Data'!$B688:$AW688&lt;&gt;"")*(1/(1+EXP(-(T688-'03_Lap_b'!$B$30:$AW$30))))^2)</f>
        <v/>
      </c>
      <c r="W688" s="5">
        <f>MEDIAN(-6,T688+(C688-U688)/MAX(U688-V688,0.000000001),6)</f>
        <v/>
      </c>
      <c r="X688" s="5">
        <f>SUMPRODUCT(('01_Data'!$B688:$AW688&lt;&gt;"")*(1/(1+EXP(-(W688-'03_Lap_b'!$B$35:$AW$35)))))</f>
        <v/>
      </c>
      <c r="Y688" s="5">
        <f>SUMPRODUCT(('01_Data'!$B688:$AW688&lt;&gt;"")*(1/(1+EXP(-(W688-'03_Lap_b'!$B$35:$AW$35))))^2)</f>
        <v/>
      </c>
      <c r="Z688" s="5">
        <f>MEDIAN(-6,W688+(C688-X688)/MAX(X688-Y688,0.000000001),6)</f>
        <v/>
      </c>
      <c r="AA688" s="5">
        <f>SUMPRODUCT(('01_Data'!$B688:$AW688&lt;&gt;"")*(1/(1+EXP(-(Z688-'03_Lap_b'!$B$40:$AW$40)))))</f>
        <v/>
      </c>
      <c r="AB688" s="5">
        <f>SUMPRODUCT(('01_Data'!$B688:$AW688&lt;&gt;"")*(1/(1+EXP(-(Z688-'03_Lap_b'!$B$40:$AW$40))))^2)</f>
        <v/>
      </c>
      <c r="AC688" s="5">
        <f>MEDIAN(-6,Z688+(C688-AA688)/MAX(AA688-AB688,0.000000001),6)</f>
        <v/>
      </c>
    </row>
    <row r="689">
      <c r="A689" t="n">
        <v>688</v>
      </c>
      <c r="B689">
        <f>'01_Data'!A689</f>
        <v/>
      </c>
      <c r="C689">
        <f>SUM('01_Data'!$B689:$AW689)</f>
        <v/>
      </c>
      <c r="D689">
        <f>COUNT('01_Data'!$B689:$AW689)</f>
        <v/>
      </c>
      <c r="E689" s="5">
        <f>MEDIAN(-6,LN((C689+0.3)/(D689-C689+0.3)),6)</f>
        <v/>
      </c>
      <c r="F689" s="5">
        <f>SUMPRODUCT(('01_Data'!$B689:$AW689&lt;&gt;"")*(1/(1+EXP(-(E689-'03_Lap_b'!$B$5:$AW$5)))))</f>
        <v/>
      </c>
      <c r="G689" s="5">
        <f>SUMPRODUCT(('01_Data'!$B689:$AW689&lt;&gt;"")*(1/(1+EXP(-(E689-'03_Lap_b'!$B$5:$AW$5))))^2)</f>
        <v/>
      </c>
      <c r="H689" s="5">
        <f>MEDIAN(-6,E689+(C689-F689)/MAX(F689-G689,0.000000001),6)</f>
        <v/>
      </c>
      <c r="I689" s="5">
        <f>SUMPRODUCT(('01_Data'!$B689:$AW689&lt;&gt;"")*(1/(1+EXP(-(H689-'03_Lap_b'!$B$10:$AW$10)))))</f>
        <v/>
      </c>
      <c r="J689" s="5">
        <f>SUMPRODUCT(('01_Data'!$B689:$AW689&lt;&gt;"")*(1/(1+EXP(-(H689-'03_Lap_b'!$B$10:$AW$10))))^2)</f>
        <v/>
      </c>
      <c r="K689" s="5">
        <f>MEDIAN(-6,H689+(C689-I689)/MAX(I689-J689,0.000000001),6)</f>
        <v/>
      </c>
      <c r="L689" s="5">
        <f>SUMPRODUCT(('01_Data'!$B689:$AW689&lt;&gt;"")*(1/(1+EXP(-(K689-'03_Lap_b'!$B$15:$AW$15)))))</f>
        <v/>
      </c>
      <c r="M689" s="5">
        <f>SUMPRODUCT(('01_Data'!$B689:$AW689&lt;&gt;"")*(1/(1+EXP(-(K689-'03_Lap_b'!$B$15:$AW$15))))^2)</f>
        <v/>
      </c>
      <c r="N689" s="5">
        <f>MEDIAN(-6,K689+(C689-L689)/MAX(L689-M689,0.000000001),6)</f>
        <v/>
      </c>
      <c r="O689" s="5">
        <f>SUMPRODUCT(('01_Data'!$B689:$AW689&lt;&gt;"")*(1/(1+EXP(-(N689-'03_Lap_b'!$B$20:$AW$20)))))</f>
        <v/>
      </c>
      <c r="P689" s="5">
        <f>SUMPRODUCT(('01_Data'!$B689:$AW689&lt;&gt;"")*(1/(1+EXP(-(N689-'03_Lap_b'!$B$20:$AW$20))))^2)</f>
        <v/>
      </c>
      <c r="Q689" s="5">
        <f>MEDIAN(-6,N689+(C689-O689)/MAX(O689-P689,0.000000001),6)</f>
        <v/>
      </c>
      <c r="R689" s="5">
        <f>SUMPRODUCT(('01_Data'!$B689:$AW689&lt;&gt;"")*(1/(1+EXP(-(Q689-'03_Lap_b'!$B$25:$AW$25)))))</f>
        <v/>
      </c>
      <c r="S689" s="5">
        <f>SUMPRODUCT(('01_Data'!$B689:$AW689&lt;&gt;"")*(1/(1+EXP(-(Q689-'03_Lap_b'!$B$25:$AW$25))))^2)</f>
        <v/>
      </c>
      <c r="T689" s="5">
        <f>MEDIAN(-6,Q689+(C689-R689)/MAX(R689-S689,0.000000001),6)</f>
        <v/>
      </c>
      <c r="U689" s="5">
        <f>SUMPRODUCT(('01_Data'!$B689:$AW689&lt;&gt;"")*(1/(1+EXP(-(T689-'03_Lap_b'!$B$30:$AW$30)))))</f>
        <v/>
      </c>
      <c r="V689" s="5">
        <f>SUMPRODUCT(('01_Data'!$B689:$AW689&lt;&gt;"")*(1/(1+EXP(-(T689-'03_Lap_b'!$B$30:$AW$30))))^2)</f>
        <v/>
      </c>
      <c r="W689" s="5">
        <f>MEDIAN(-6,T689+(C689-U689)/MAX(U689-V689,0.000000001),6)</f>
        <v/>
      </c>
      <c r="X689" s="5">
        <f>SUMPRODUCT(('01_Data'!$B689:$AW689&lt;&gt;"")*(1/(1+EXP(-(W689-'03_Lap_b'!$B$35:$AW$35)))))</f>
        <v/>
      </c>
      <c r="Y689" s="5">
        <f>SUMPRODUCT(('01_Data'!$B689:$AW689&lt;&gt;"")*(1/(1+EXP(-(W689-'03_Lap_b'!$B$35:$AW$35))))^2)</f>
        <v/>
      </c>
      <c r="Z689" s="5">
        <f>MEDIAN(-6,W689+(C689-X689)/MAX(X689-Y689,0.000000001),6)</f>
        <v/>
      </c>
      <c r="AA689" s="5">
        <f>SUMPRODUCT(('01_Data'!$B689:$AW689&lt;&gt;"")*(1/(1+EXP(-(Z689-'03_Lap_b'!$B$40:$AW$40)))))</f>
        <v/>
      </c>
      <c r="AB689" s="5">
        <f>SUMPRODUCT(('01_Data'!$B689:$AW689&lt;&gt;"")*(1/(1+EXP(-(Z689-'03_Lap_b'!$B$40:$AW$40))))^2)</f>
        <v/>
      </c>
      <c r="AC689" s="5">
        <f>MEDIAN(-6,Z689+(C689-AA689)/MAX(AA689-AB689,0.000000001),6)</f>
        <v/>
      </c>
    </row>
    <row r="690">
      <c r="A690" t="n">
        <v>689</v>
      </c>
      <c r="B690">
        <f>'01_Data'!A690</f>
        <v/>
      </c>
      <c r="C690">
        <f>SUM('01_Data'!$B690:$AW690)</f>
        <v/>
      </c>
      <c r="D690">
        <f>COUNT('01_Data'!$B690:$AW690)</f>
        <v/>
      </c>
      <c r="E690" s="5">
        <f>MEDIAN(-6,LN((C690+0.3)/(D690-C690+0.3)),6)</f>
        <v/>
      </c>
      <c r="F690" s="5">
        <f>SUMPRODUCT(('01_Data'!$B690:$AW690&lt;&gt;"")*(1/(1+EXP(-(E690-'03_Lap_b'!$B$5:$AW$5)))))</f>
        <v/>
      </c>
      <c r="G690" s="5">
        <f>SUMPRODUCT(('01_Data'!$B690:$AW690&lt;&gt;"")*(1/(1+EXP(-(E690-'03_Lap_b'!$B$5:$AW$5))))^2)</f>
        <v/>
      </c>
      <c r="H690" s="5">
        <f>MEDIAN(-6,E690+(C690-F690)/MAX(F690-G690,0.000000001),6)</f>
        <v/>
      </c>
      <c r="I690" s="5">
        <f>SUMPRODUCT(('01_Data'!$B690:$AW690&lt;&gt;"")*(1/(1+EXP(-(H690-'03_Lap_b'!$B$10:$AW$10)))))</f>
        <v/>
      </c>
      <c r="J690" s="5">
        <f>SUMPRODUCT(('01_Data'!$B690:$AW690&lt;&gt;"")*(1/(1+EXP(-(H690-'03_Lap_b'!$B$10:$AW$10))))^2)</f>
        <v/>
      </c>
      <c r="K690" s="5">
        <f>MEDIAN(-6,H690+(C690-I690)/MAX(I690-J690,0.000000001),6)</f>
        <v/>
      </c>
      <c r="L690" s="5">
        <f>SUMPRODUCT(('01_Data'!$B690:$AW690&lt;&gt;"")*(1/(1+EXP(-(K690-'03_Lap_b'!$B$15:$AW$15)))))</f>
        <v/>
      </c>
      <c r="M690" s="5">
        <f>SUMPRODUCT(('01_Data'!$B690:$AW690&lt;&gt;"")*(1/(1+EXP(-(K690-'03_Lap_b'!$B$15:$AW$15))))^2)</f>
        <v/>
      </c>
      <c r="N690" s="5">
        <f>MEDIAN(-6,K690+(C690-L690)/MAX(L690-M690,0.000000001),6)</f>
        <v/>
      </c>
      <c r="O690" s="5">
        <f>SUMPRODUCT(('01_Data'!$B690:$AW690&lt;&gt;"")*(1/(1+EXP(-(N690-'03_Lap_b'!$B$20:$AW$20)))))</f>
        <v/>
      </c>
      <c r="P690" s="5">
        <f>SUMPRODUCT(('01_Data'!$B690:$AW690&lt;&gt;"")*(1/(1+EXP(-(N690-'03_Lap_b'!$B$20:$AW$20))))^2)</f>
        <v/>
      </c>
      <c r="Q690" s="5">
        <f>MEDIAN(-6,N690+(C690-O690)/MAX(O690-P690,0.000000001),6)</f>
        <v/>
      </c>
      <c r="R690" s="5">
        <f>SUMPRODUCT(('01_Data'!$B690:$AW690&lt;&gt;"")*(1/(1+EXP(-(Q690-'03_Lap_b'!$B$25:$AW$25)))))</f>
        <v/>
      </c>
      <c r="S690" s="5">
        <f>SUMPRODUCT(('01_Data'!$B690:$AW690&lt;&gt;"")*(1/(1+EXP(-(Q690-'03_Lap_b'!$B$25:$AW$25))))^2)</f>
        <v/>
      </c>
      <c r="T690" s="5">
        <f>MEDIAN(-6,Q690+(C690-R690)/MAX(R690-S690,0.000000001),6)</f>
        <v/>
      </c>
      <c r="U690" s="5">
        <f>SUMPRODUCT(('01_Data'!$B690:$AW690&lt;&gt;"")*(1/(1+EXP(-(T690-'03_Lap_b'!$B$30:$AW$30)))))</f>
        <v/>
      </c>
      <c r="V690" s="5">
        <f>SUMPRODUCT(('01_Data'!$B690:$AW690&lt;&gt;"")*(1/(1+EXP(-(T690-'03_Lap_b'!$B$30:$AW$30))))^2)</f>
        <v/>
      </c>
      <c r="W690" s="5">
        <f>MEDIAN(-6,T690+(C690-U690)/MAX(U690-V690,0.000000001),6)</f>
        <v/>
      </c>
      <c r="X690" s="5">
        <f>SUMPRODUCT(('01_Data'!$B690:$AW690&lt;&gt;"")*(1/(1+EXP(-(W690-'03_Lap_b'!$B$35:$AW$35)))))</f>
        <v/>
      </c>
      <c r="Y690" s="5">
        <f>SUMPRODUCT(('01_Data'!$B690:$AW690&lt;&gt;"")*(1/(1+EXP(-(W690-'03_Lap_b'!$B$35:$AW$35))))^2)</f>
        <v/>
      </c>
      <c r="Z690" s="5">
        <f>MEDIAN(-6,W690+(C690-X690)/MAX(X690-Y690,0.000000001),6)</f>
        <v/>
      </c>
      <c r="AA690" s="5">
        <f>SUMPRODUCT(('01_Data'!$B690:$AW690&lt;&gt;"")*(1/(1+EXP(-(Z690-'03_Lap_b'!$B$40:$AW$40)))))</f>
        <v/>
      </c>
      <c r="AB690" s="5">
        <f>SUMPRODUCT(('01_Data'!$B690:$AW690&lt;&gt;"")*(1/(1+EXP(-(Z690-'03_Lap_b'!$B$40:$AW$40))))^2)</f>
        <v/>
      </c>
      <c r="AC690" s="5">
        <f>MEDIAN(-6,Z690+(C690-AA690)/MAX(AA690-AB690,0.000000001),6)</f>
        <v/>
      </c>
    </row>
    <row r="691">
      <c r="A691" t="n">
        <v>690</v>
      </c>
      <c r="B691">
        <f>'01_Data'!A691</f>
        <v/>
      </c>
      <c r="C691">
        <f>SUM('01_Data'!$B691:$AW691)</f>
        <v/>
      </c>
      <c r="D691">
        <f>COUNT('01_Data'!$B691:$AW691)</f>
        <v/>
      </c>
      <c r="E691" s="5">
        <f>MEDIAN(-6,LN((C691+0.3)/(D691-C691+0.3)),6)</f>
        <v/>
      </c>
      <c r="F691" s="5">
        <f>SUMPRODUCT(('01_Data'!$B691:$AW691&lt;&gt;"")*(1/(1+EXP(-(E691-'03_Lap_b'!$B$5:$AW$5)))))</f>
        <v/>
      </c>
      <c r="G691" s="5">
        <f>SUMPRODUCT(('01_Data'!$B691:$AW691&lt;&gt;"")*(1/(1+EXP(-(E691-'03_Lap_b'!$B$5:$AW$5))))^2)</f>
        <v/>
      </c>
      <c r="H691" s="5">
        <f>MEDIAN(-6,E691+(C691-F691)/MAX(F691-G691,0.000000001),6)</f>
        <v/>
      </c>
      <c r="I691" s="5">
        <f>SUMPRODUCT(('01_Data'!$B691:$AW691&lt;&gt;"")*(1/(1+EXP(-(H691-'03_Lap_b'!$B$10:$AW$10)))))</f>
        <v/>
      </c>
      <c r="J691" s="5">
        <f>SUMPRODUCT(('01_Data'!$B691:$AW691&lt;&gt;"")*(1/(1+EXP(-(H691-'03_Lap_b'!$B$10:$AW$10))))^2)</f>
        <v/>
      </c>
      <c r="K691" s="5">
        <f>MEDIAN(-6,H691+(C691-I691)/MAX(I691-J691,0.000000001),6)</f>
        <v/>
      </c>
      <c r="L691" s="5">
        <f>SUMPRODUCT(('01_Data'!$B691:$AW691&lt;&gt;"")*(1/(1+EXP(-(K691-'03_Lap_b'!$B$15:$AW$15)))))</f>
        <v/>
      </c>
      <c r="M691" s="5">
        <f>SUMPRODUCT(('01_Data'!$B691:$AW691&lt;&gt;"")*(1/(1+EXP(-(K691-'03_Lap_b'!$B$15:$AW$15))))^2)</f>
        <v/>
      </c>
      <c r="N691" s="5">
        <f>MEDIAN(-6,K691+(C691-L691)/MAX(L691-M691,0.000000001),6)</f>
        <v/>
      </c>
      <c r="O691" s="5">
        <f>SUMPRODUCT(('01_Data'!$B691:$AW691&lt;&gt;"")*(1/(1+EXP(-(N691-'03_Lap_b'!$B$20:$AW$20)))))</f>
        <v/>
      </c>
      <c r="P691" s="5">
        <f>SUMPRODUCT(('01_Data'!$B691:$AW691&lt;&gt;"")*(1/(1+EXP(-(N691-'03_Lap_b'!$B$20:$AW$20))))^2)</f>
        <v/>
      </c>
      <c r="Q691" s="5">
        <f>MEDIAN(-6,N691+(C691-O691)/MAX(O691-P691,0.000000001),6)</f>
        <v/>
      </c>
      <c r="R691" s="5">
        <f>SUMPRODUCT(('01_Data'!$B691:$AW691&lt;&gt;"")*(1/(1+EXP(-(Q691-'03_Lap_b'!$B$25:$AW$25)))))</f>
        <v/>
      </c>
      <c r="S691" s="5">
        <f>SUMPRODUCT(('01_Data'!$B691:$AW691&lt;&gt;"")*(1/(1+EXP(-(Q691-'03_Lap_b'!$B$25:$AW$25))))^2)</f>
        <v/>
      </c>
      <c r="T691" s="5">
        <f>MEDIAN(-6,Q691+(C691-R691)/MAX(R691-S691,0.000000001),6)</f>
        <v/>
      </c>
      <c r="U691" s="5">
        <f>SUMPRODUCT(('01_Data'!$B691:$AW691&lt;&gt;"")*(1/(1+EXP(-(T691-'03_Lap_b'!$B$30:$AW$30)))))</f>
        <v/>
      </c>
      <c r="V691" s="5">
        <f>SUMPRODUCT(('01_Data'!$B691:$AW691&lt;&gt;"")*(1/(1+EXP(-(T691-'03_Lap_b'!$B$30:$AW$30))))^2)</f>
        <v/>
      </c>
      <c r="W691" s="5">
        <f>MEDIAN(-6,T691+(C691-U691)/MAX(U691-V691,0.000000001),6)</f>
        <v/>
      </c>
      <c r="X691" s="5">
        <f>SUMPRODUCT(('01_Data'!$B691:$AW691&lt;&gt;"")*(1/(1+EXP(-(W691-'03_Lap_b'!$B$35:$AW$35)))))</f>
        <v/>
      </c>
      <c r="Y691" s="5">
        <f>SUMPRODUCT(('01_Data'!$B691:$AW691&lt;&gt;"")*(1/(1+EXP(-(W691-'03_Lap_b'!$B$35:$AW$35))))^2)</f>
        <v/>
      </c>
      <c r="Z691" s="5">
        <f>MEDIAN(-6,W691+(C691-X691)/MAX(X691-Y691,0.000000001),6)</f>
        <v/>
      </c>
      <c r="AA691" s="5">
        <f>SUMPRODUCT(('01_Data'!$B691:$AW691&lt;&gt;"")*(1/(1+EXP(-(Z691-'03_Lap_b'!$B$40:$AW$40)))))</f>
        <v/>
      </c>
      <c r="AB691" s="5">
        <f>SUMPRODUCT(('01_Data'!$B691:$AW691&lt;&gt;"")*(1/(1+EXP(-(Z691-'03_Lap_b'!$B$40:$AW$40))))^2)</f>
        <v/>
      </c>
      <c r="AC691" s="5">
        <f>MEDIAN(-6,Z691+(C691-AA691)/MAX(AA691-AB691,0.000000001),6)</f>
        <v/>
      </c>
    </row>
    <row r="692">
      <c r="A692" t="n">
        <v>691</v>
      </c>
      <c r="B692">
        <f>'01_Data'!A692</f>
        <v/>
      </c>
      <c r="C692">
        <f>SUM('01_Data'!$B692:$AW692)</f>
        <v/>
      </c>
      <c r="D692">
        <f>COUNT('01_Data'!$B692:$AW692)</f>
        <v/>
      </c>
      <c r="E692" s="5">
        <f>MEDIAN(-6,LN((C692+0.3)/(D692-C692+0.3)),6)</f>
        <v/>
      </c>
      <c r="F692" s="5">
        <f>SUMPRODUCT(('01_Data'!$B692:$AW692&lt;&gt;"")*(1/(1+EXP(-(E692-'03_Lap_b'!$B$5:$AW$5)))))</f>
        <v/>
      </c>
      <c r="G692" s="5">
        <f>SUMPRODUCT(('01_Data'!$B692:$AW692&lt;&gt;"")*(1/(1+EXP(-(E692-'03_Lap_b'!$B$5:$AW$5))))^2)</f>
        <v/>
      </c>
      <c r="H692" s="5">
        <f>MEDIAN(-6,E692+(C692-F692)/MAX(F692-G692,0.000000001),6)</f>
        <v/>
      </c>
      <c r="I692" s="5">
        <f>SUMPRODUCT(('01_Data'!$B692:$AW692&lt;&gt;"")*(1/(1+EXP(-(H692-'03_Lap_b'!$B$10:$AW$10)))))</f>
        <v/>
      </c>
      <c r="J692" s="5">
        <f>SUMPRODUCT(('01_Data'!$B692:$AW692&lt;&gt;"")*(1/(1+EXP(-(H692-'03_Lap_b'!$B$10:$AW$10))))^2)</f>
        <v/>
      </c>
      <c r="K692" s="5">
        <f>MEDIAN(-6,H692+(C692-I692)/MAX(I692-J692,0.000000001),6)</f>
        <v/>
      </c>
      <c r="L692" s="5">
        <f>SUMPRODUCT(('01_Data'!$B692:$AW692&lt;&gt;"")*(1/(1+EXP(-(K692-'03_Lap_b'!$B$15:$AW$15)))))</f>
        <v/>
      </c>
      <c r="M692" s="5">
        <f>SUMPRODUCT(('01_Data'!$B692:$AW692&lt;&gt;"")*(1/(1+EXP(-(K692-'03_Lap_b'!$B$15:$AW$15))))^2)</f>
        <v/>
      </c>
      <c r="N692" s="5">
        <f>MEDIAN(-6,K692+(C692-L692)/MAX(L692-M692,0.000000001),6)</f>
        <v/>
      </c>
      <c r="O692" s="5">
        <f>SUMPRODUCT(('01_Data'!$B692:$AW692&lt;&gt;"")*(1/(1+EXP(-(N692-'03_Lap_b'!$B$20:$AW$20)))))</f>
        <v/>
      </c>
      <c r="P692" s="5">
        <f>SUMPRODUCT(('01_Data'!$B692:$AW692&lt;&gt;"")*(1/(1+EXP(-(N692-'03_Lap_b'!$B$20:$AW$20))))^2)</f>
        <v/>
      </c>
      <c r="Q692" s="5">
        <f>MEDIAN(-6,N692+(C692-O692)/MAX(O692-P692,0.000000001),6)</f>
        <v/>
      </c>
      <c r="R692" s="5">
        <f>SUMPRODUCT(('01_Data'!$B692:$AW692&lt;&gt;"")*(1/(1+EXP(-(Q692-'03_Lap_b'!$B$25:$AW$25)))))</f>
        <v/>
      </c>
      <c r="S692" s="5">
        <f>SUMPRODUCT(('01_Data'!$B692:$AW692&lt;&gt;"")*(1/(1+EXP(-(Q692-'03_Lap_b'!$B$25:$AW$25))))^2)</f>
        <v/>
      </c>
      <c r="T692" s="5">
        <f>MEDIAN(-6,Q692+(C692-R692)/MAX(R692-S692,0.000000001),6)</f>
        <v/>
      </c>
      <c r="U692" s="5">
        <f>SUMPRODUCT(('01_Data'!$B692:$AW692&lt;&gt;"")*(1/(1+EXP(-(T692-'03_Lap_b'!$B$30:$AW$30)))))</f>
        <v/>
      </c>
      <c r="V692" s="5">
        <f>SUMPRODUCT(('01_Data'!$B692:$AW692&lt;&gt;"")*(1/(1+EXP(-(T692-'03_Lap_b'!$B$30:$AW$30))))^2)</f>
        <v/>
      </c>
      <c r="W692" s="5">
        <f>MEDIAN(-6,T692+(C692-U692)/MAX(U692-V692,0.000000001),6)</f>
        <v/>
      </c>
      <c r="X692" s="5">
        <f>SUMPRODUCT(('01_Data'!$B692:$AW692&lt;&gt;"")*(1/(1+EXP(-(W692-'03_Lap_b'!$B$35:$AW$35)))))</f>
        <v/>
      </c>
      <c r="Y692" s="5">
        <f>SUMPRODUCT(('01_Data'!$B692:$AW692&lt;&gt;"")*(1/(1+EXP(-(W692-'03_Lap_b'!$B$35:$AW$35))))^2)</f>
        <v/>
      </c>
      <c r="Z692" s="5">
        <f>MEDIAN(-6,W692+(C692-X692)/MAX(X692-Y692,0.000000001),6)</f>
        <v/>
      </c>
      <c r="AA692" s="5">
        <f>SUMPRODUCT(('01_Data'!$B692:$AW692&lt;&gt;"")*(1/(1+EXP(-(Z692-'03_Lap_b'!$B$40:$AW$40)))))</f>
        <v/>
      </c>
      <c r="AB692" s="5">
        <f>SUMPRODUCT(('01_Data'!$B692:$AW692&lt;&gt;"")*(1/(1+EXP(-(Z692-'03_Lap_b'!$B$40:$AW$40))))^2)</f>
        <v/>
      </c>
      <c r="AC692" s="5">
        <f>MEDIAN(-6,Z692+(C692-AA692)/MAX(AA692-AB692,0.000000001),6)</f>
        <v/>
      </c>
    </row>
    <row r="693">
      <c r="A693" t="n">
        <v>692</v>
      </c>
      <c r="B693">
        <f>'01_Data'!A693</f>
        <v/>
      </c>
      <c r="C693">
        <f>SUM('01_Data'!$B693:$AW693)</f>
        <v/>
      </c>
      <c r="D693">
        <f>COUNT('01_Data'!$B693:$AW693)</f>
        <v/>
      </c>
      <c r="E693" s="5">
        <f>MEDIAN(-6,LN((C693+0.3)/(D693-C693+0.3)),6)</f>
        <v/>
      </c>
      <c r="F693" s="5">
        <f>SUMPRODUCT(('01_Data'!$B693:$AW693&lt;&gt;"")*(1/(1+EXP(-(E693-'03_Lap_b'!$B$5:$AW$5)))))</f>
        <v/>
      </c>
      <c r="G693" s="5">
        <f>SUMPRODUCT(('01_Data'!$B693:$AW693&lt;&gt;"")*(1/(1+EXP(-(E693-'03_Lap_b'!$B$5:$AW$5))))^2)</f>
        <v/>
      </c>
      <c r="H693" s="5">
        <f>MEDIAN(-6,E693+(C693-F693)/MAX(F693-G693,0.000000001),6)</f>
        <v/>
      </c>
      <c r="I693" s="5">
        <f>SUMPRODUCT(('01_Data'!$B693:$AW693&lt;&gt;"")*(1/(1+EXP(-(H693-'03_Lap_b'!$B$10:$AW$10)))))</f>
        <v/>
      </c>
      <c r="J693" s="5">
        <f>SUMPRODUCT(('01_Data'!$B693:$AW693&lt;&gt;"")*(1/(1+EXP(-(H693-'03_Lap_b'!$B$10:$AW$10))))^2)</f>
        <v/>
      </c>
      <c r="K693" s="5">
        <f>MEDIAN(-6,H693+(C693-I693)/MAX(I693-J693,0.000000001),6)</f>
        <v/>
      </c>
      <c r="L693" s="5">
        <f>SUMPRODUCT(('01_Data'!$B693:$AW693&lt;&gt;"")*(1/(1+EXP(-(K693-'03_Lap_b'!$B$15:$AW$15)))))</f>
        <v/>
      </c>
      <c r="M693" s="5">
        <f>SUMPRODUCT(('01_Data'!$B693:$AW693&lt;&gt;"")*(1/(1+EXP(-(K693-'03_Lap_b'!$B$15:$AW$15))))^2)</f>
        <v/>
      </c>
      <c r="N693" s="5">
        <f>MEDIAN(-6,K693+(C693-L693)/MAX(L693-M693,0.000000001),6)</f>
        <v/>
      </c>
      <c r="O693" s="5">
        <f>SUMPRODUCT(('01_Data'!$B693:$AW693&lt;&gt;"")*(1/(1+EXP(-(N693-'03_Lap_b'!$B$20:$AW$20)))))</f>
        <v/>
      </c>
      <c r="P693" s="5">
        <f>SUMPRODUCT(('01_Data'!$B693:$AW693&lt;&gt;"")*(1/(1+EXP(-(N693-'03_Lap_b'!$B$20:$AW$20))))^2)</f>
        <v/>
      </c>
      <c r="Q693" s="5">
        <f>MEDIAN(-6,N693+(C693-O693)/MAX(O693-P693,0.000000001),6)</f>
        <v/>
      </c>
      <c r="R693" s="5">
        <f>SUMPRODUCT(('01_Data'!$B693:$AW693&lt;&gt;"")*(1/(1+EXP(-(Q693-'03_Lap_b'!$B$25:$AW$25)))))</f>
        <v/>
      </c>
      <c r="S693" s="5">
        <f>SUMPRODUCT(('01_Data'!$B693:$AW693&lt;&gt;"")*(1/(1+EXP(-(Q693-'03_Lap_b'!$B$25:$AW$25))))^2)</f>
        <v/>
      </c>
      <c r="T693" s="5">
        <f>MEDIAN(-6,Q693+(C693-R693)/MAX(R693-S693,0.000000001),6)</f>
        <v/>
      </c>
      <c r="U693" s="5">
        <f>SUMPRODUCT(('01_Data'!$B693:$AW693&lt;&gt;"")*(1/(1+EXP(-(T693-'03_Lap_b'!$B$30:$AW$30)))))</f>
        <v/>
      </c>
      <c r="V693" s="5">
        <f>SUMPRODUCT(('01_Data'!$B693:$AW693&lt;&gt;"")*(1/(1+EXP(-(T693-'03_Lap_b'!$B$30:$AW$30))))^2)</f>
        <v/>
      </c>
      <c r="W693" s="5">
        <f>MEDIAN(-6,T693+(C693-U693)/MAX(U693-V693,0.000000001),6)</f>
        <v/>
      </c>
      <c r="X693" s="5">
        <f>SUMPRODUCT(('01_Data'!$B693:$AW693&lt;&gt;"")*(1/(1+EXP(-(W693-'03_Lap_b'!$B$35:$AW$35)))))</f>
        <v/>
      </c>
      <c r="Y693" s="5">
        <f>SUMPRODUCT(('01_Data'!$B693:$AW693&lt;&gt;"")*(1/(1+EXP(-(W693-'03_Lap_b'!$B$35:$AW$35))))^2)</f>
        <v/>
      </c>
      <c r="Z693" s="5">
        <f>MEDIAN(-6,W693+(C693-X693)/MAX(X693-Y693,0.000000001),6)</f>
        <v/>
      </c>
      <c r="AA693" s="5">
        <f>SUMPRODUCT(('01_Data'!$B693:$AW693&lt;&gt;"")*(1/(1+EXP(-(Z693-'03_Lap_b'!$B$40:$AW$40)))))</f>
        <v/>
      </c>
      <c r="AB693" s="5">
        <f>SUMPRODUCT(('01_Data'!$B693:$AW693&lt;&gt;"")*(1/(1+EXP(-(Z693-'03_Lap_b'!$B$40:$AW$40))))^2)</f>
        <v/>
      </c>
      <c r="AC693" s="5">
        <f>MEDIAN(-6,Z693+(C693-AA693)/MAX(AA693-AB693,0.000000001),6)</f>
        <v/>
      </c>
    </row>
    <row r="694">
      <c r="A694" t="n">
        <v>693</v>
      </c>
      <c r="B694">
        <f>'01_Data'!A694</f>
        <v/>
      </c>
      <c r="C694">
        <f>SUM('01_Data'!$B694:$AW694)</f>
        <v/>
      </c>
      <c r="D694">
        <f>COUNT('01_Data'!$B694:$AW694)</f>
        <v/>
      </c>
      <c r="E694" s="5">
        <f>MEDIAN(-6,LN((C694+0.3)/(D694-C694+0.3)),6)</f>
        <v/>
      </c>
      <c r="F694" s="5">
        <f>SUMPRODUCT(('01_Data'!$B694:$AW694&lt;&gt;"")*(1/(1+EXP(-(E694-'03_Lap_b'!$B$5:$AW$5)))))</f>
        <v/>
      </c>
      <c r="G694" s="5">
        <f>SUMPRODUCT(('01_Data'!$B694:$AW694&lt;&gt;"")*(1/(1+EXP(-(E694-'03_Lap_b'!$B$5:$AW$5))))^2)</f>
        <v/>
      </c>
      <c r="H694" s="5">
        <f>MEDIAN(-6,E694+(C694-F694)/MAX(F694-G694,0.000000001),6)</f>
        <v/>
      </c>
      <c r="I694" s="5">
        <f>SUMPRODUCT(('01_Data'!$B694:$AW694&lt;&gt;"")*(1/(1+EXP(-(H694-'03_Lap_b'!$B$10:$AW$10)))))</f>
        <v/>
      </c>
      <c r="J694" s="5">
        <f>SUMPRODUCT(('01_Data'!$B694:$AW694&lt;&gt;"")*(1/(1+EXP(-(H694-'03_Lap_b'!$B$10:$AW$10))))^2)</f>
        <v/>
      </c>
      <c r="K694" s="5">
        <f>MEDIAN(-6,H694+(C694-I694)/MAX(I694-J694,0.000000001),6)</f>
        <v/>
      </c>
      <c r="L694" s="5">
        <f>SUMPRODUCT(('01_Data'!$B694:$AW694&lt;&gt;"")*(1/(1+EXP(-(K694-'03_Lap_b'!$B$15:$AW$15)))))</f>
        <v/>
      </c>
      <c r="M694" s="5">
        <f>SUMPRODUCT(('01_Data'!$B694:$AW694&lt;&gt;"")*(1/(1+EXP(-(K694-'03_Lap_b'!$B$15:$AW$15))))^2)</f>
        <v/>
      </c>
      <c r="N694" s="5">
        <f>MEDIAN(-6,K694+(C694-L694)/MAX(L694-M694,0.000000001),6)</f>
        <v/>
      </c>
      <c r="O694" s="5">
        <f>SUMPRODUCT(('01_Data'!$B694:$AW694&lt;&gt;"")*(1/(1+EXP(-(N694-'03_Lap_b'!$B$20:$AW$20)))))</f>
        <v/>
      </c>
      <c r="P694" s="5">
        <f>SUMPRODUCT(('01_Data'!$B694:$AW694&lt;&gt;"")*(1/(1+EXP(-(N694-'03_Lap_b'!$B$20:$AW$20))))^2)</f>
        <v/>
      </c>
      <c r="Q694" s="5">
        <f>MEDIAN(-6,N694+(C694-O694)/MAX(O694-P694,0.000000001),6)</f>
        <v/>
      </c>
      <c r="R694" s="5">
        <f>SUMPRODUCT(('01_Data'!$B694:$AW694&lt;&gt;"")*(1/(1+EXP(-(Q694-'03_Lap_b'!$B$25:$AW$25)))))</f>
        <v/>
      </c>
      <c r="S694" s="5">
        <f>SUMPRODUCT(('01_Data'!$B694:$AW694&lt;&gt;"")*(1/(1+EXP(-(Q694-'03_Lap_b'!$B$25:$AW$25))))^2)</f>
        <v/>
      </c>
      <c r="T694" s="5">
        <f>MEDIAN(-6,Q694+(C694-R694)/MAX(R694-S694,0.000000001),6)</f>
        <v/>
      </c>
      <c r="U694" s="5">
        <f>SUMPRODUCT(('01_Data'!$B694:$AW694&lt;&gt;"")*(1/(1+EXP(-(T694-'03_Lap_b'!$B$30:$AW$30)))))</f>
        <v/>
      </c>
      <c r="V694" s="5">
        <f>SUMPRODUCT(('01_Data'!$B694:$AW694&lt;&gt;"")*(1/(1+EXP(-(T694-'03_Lap_b'!$B$30:$AW$30))))^2)</f>
        <v/>
      </c>
      <c r="W694" s="5">
        <f>MEDIAN(-6,T694+(C694-U694)/MAX(U694-V694,0.000000001),6)</f>
        <v/>
      </c>
      <c r="X694" s="5">
        <f>SUMPRODUCT(('01_Data'!$B694:$AW694&lt;&gt;"")*(1/(1+EXP(-(W694-'03_Lap_b'!$B$35:$AW$35)))))</f>
        <v/>
      </c>
      <c r="Y694" s="5">
        <f>SUMPRODUCT(('01_Data'!$B694:$AW694&lt;&gt;"")*(1/(1+EXP(-(W694-'03_Lap_b'!$B$35:$AW$35))))^2)</f>
        <v/>
      </c>
      <c r="Z694" s="5">
        <f>MEDIAN(-6,W694+(C694-X694)/MAX(X694-Y694,0.000000001),6)</f>
        <v/>
      </c>
      <c r="AA694" s="5">
        <f>SUMPRODUCT(('01_Data'!$B694:$AW694&lt;&gt;"")*(1/(1+EXP(-(Z694-'03_Lap_b'!$B$40:$AW$40)))))</f>
        <v/>
      </c>
      <c r="AB694" s="5">
        <f>SUMPRODUCT(('01_Data'!$B694:$AW694&lt;&gt;"")*(1/(1+EXP(-(Z694-'03_Lap_b'!$B$40:$AW$40))))^2)</f>
        <v/>
      </c>
      <c r="AC694" s="5">
        <f>MEDIAN(-6,Z694+(C694-AA694)/MAX(AA694-AB694,0.000000001),6)</f>
        <v/>
      </c>
    </row>
    <row r="695">
      <c r="A695" t="n">
        <v>694</v>
      </c>
      <c r="B695">
        <f>'01_Data'!A695</f>
        <v/>
      </c>
      <c r="C695">
        <f>SUM('01_Data'!$B695:$AW695)</f>
        <v/>
      </c>
      <c r="D695">
        <f>COUNT('01_Data'!$B695:$AW695)</f>
        <v/>
      </c>
      <c r="E695" s="5">
        <f>MEDIAN(-6,LN((C695+0.3)/(D695-C695+0.3)),6)</f>
        <v/>
      </c>
      <c r="F695" s="5">
        <f>SUMPRODUCT(('01_Data'!$B695:$AW695&lt;&gt;"")*(1/(1+EXP(-(E695-'03_Lap_b'!$B$5:$AW$5)))))</f>
        <v/>
      </c>
      <c r="G695" s="5">
        <f>SUMPRODUCT(('01_Data'!$B695:$AW695&lt;&gt;"")*(1/(1+EXP(-(E695-'03_Lap_b'!$B$5:$AW$5))))^2)</f>
        <v/>
      </c>
      <c r="H695" s="5">
        <f>MEDIAN(-6,E695+(C695-F695)/MAX(F695-G695,0.000000001),6)</f>
        <v/>
      </c>
      <c r="I695" s="5">
        <f>SUMPRODUCT(('01_Data'!$B695:$AW695&lt;&gt;"")*(1/(1+EXP(-(H695-'03_Lap_b'!$B$10:$AW$10)))))</f>
        <v/>
      </c>
      <c r="J695" s="5">
        <f>SUMPRODUCT(('01_Data'!$B695:$AW695&lt;&gt;"")*(1/(1+EXP(-(H695-'03_Lap_b'!$B$10:$AW$10))))^2)</f>
        <v/>
      </c>
      <c r="K695" s="5">
        <f>MEDIAN(-6,H695+(C695-I695)/MAX(I695-J695,0.000000001),6)</f>
        <v/>
      </c>
      <c r="L695" s="5">
        <f>SUMPRODUCT(('01_Data'!$B695:$AW695&lt;&gt;"")*(1/(1+EXP(-(K695-'03_Lap_b'!$B$15:$AW$15)))))</f>
        <v/>
      </c>
      <c r="M695" s="5">
        <f>SUMPRODUCT(('01_Data'!$B695:$AW695&lt;&gt;"")*(1/(1+EXP(-(K695-'03_Lap_b'!$B$15:$AW$15))))^2)</f>
        <v/>
      </c>
      <c r="N695" s="5">
        <f>MEDIAN(-6,K695+(C695-L695)/MAX(L695-M695,0.000000001),6)</f>
        <v/>
      </c>
      <c r="O695" s="5">
        <f>SUMPRODUCT(('01_Data'!$B695:$AW695&lt;&gt;"")*(1/(1+EXP(-(N695-'03_Lap_b'!$B$20:$AW$20)))))</f>
        <v/>
      </c>
      <c r="P695" s="5">
        <f>SUMPRODUCT(('01_Data'!$B695:$AW695&lt;&gt;"")*(1/(1+EXP(-(N695-'03_Lap_b'!$B$20:$AW$20))))^2)</f>
        <v/>
      </c>
      <c r="Q695" s="5">
        <f>MEDIAN(-6,N695+(C695-O695)/MAX(O695-P695,0.000000001),6)</f>
        <v/>
      </c>
      <c r="R695" s="5">
        <f>SUMPRODUCT(('01_Data'!$B695:$AW695&lt;&gt;"")*(1/(1+EXP(-(Q695-'03_Lap_b'!$B$25:$AW$25)))))</f>
        <v/>
      </c>
      <c r="S695" s="5">
        <f>SUMPRODUCT(('01_Data'!$B695:$AW695&lt;&gt;"")*(1/(1+EXP(-(Q695-'03_Lap_b'!$B$25:$AW$25))))^2)</f>
        <v/>
      </c>
      <c r="T695" s="5">
        <f>MEDIAN(-6,Q695+(C695-R695)/MAX(R695-S695,0.000000001),6)</f>
        <v/>
      </c>
      <c r="U695" s="5">
        <f>SUMPRODUCT(('01_Data'!$B695:$AW695&lt;&gt;"")*(1/(1+EXP(-(T695-'03_Lap_b'!$B$30:$AW$30)))))</f>
        <v/>
      </c>
      <c r="V695" s="5">
        <f>SUMPRODUCT(('01_Data'!$B695:$AW695&lt;&gt;"")*(1/(1+EXP(-(T695-'03_Lap_b'!$B$30:$AW$30))))^2)</f>
        <v/>
      </c>
      <c r="W695" s="5">
        <f>MEDIAN(-6,T695+(C695-U695)/MAX(U695-V695,0.000000001),6)</f>
        <v/>
      </c>
      <c r="X695" s="5">
        <f>SUMPRODUCT(('01_Data'!$B695:$AW695&lt;&gt;"")*(1/(1+EXP(-(W695-'03_Lap_b'!$B$35:$AW$35)))))</f>
        <v/>
      </c>
      <c r="Y695" s="5">
        <f>SUMPRODUCT(('01_Data'!$B695:$AW695&lt;&gt;"")*(1/(1+EXP(-(W695-'03_Lap_b'!$B$35:$AW$35))))^2)</f>
        <v/>
      </c>
      <c r="Z695" s="5">
        <f>MEDIAN(-6,W695+(C695-X695)/MAX(X695-Y695,0.000000001),6)</f>
        <v/>
      </c>
      <c r="AA695" s="5">
        <f>SUMPRODUCT(('01_Data'!$B695:$AW695&lt;&gt;"")*(1/(1+EXP(-(Z695-'03_Lap_b'!$B$40:$AW$40)))))</f>
        <v/>
      </c>
      <c r="AB695" s="5">
        <f>SUMPRODUCT(('01_Data'!$B695:$AW695&lt;&gt;"")*(1/(1+EXP(-(Z695-'03_Lap_b'!$B$40:$AW$40))))^2)</f>
        <v/>
      </c>
      <c r="AC695" s="5">
        <f>MEDIAN(-6,Z695+(C695-AA695)/MAX(AA695-AB695,0.000000001),6)</f>
        <v/>
      </c>
    </row>
    <row r="696">
      <c r="A696" t="n">
        <v>695</v>
      </c>
      <c r="B696">
        <f>'01_Data'!A696</f>
        <v/>
      </c>
      <c r="C696">
        <f>SUM('01_Data'!$B696:$AW696)</f>
        <v/>
      </c>
      <c r="D696">
        <f>COUNT('01_Data'!$B696:$AW696)</f>
        <v/>
      </c>
      <c r="E696" s="5">
        <f>MEDIAN(-6,LN((C696+0.3)/(D696-C696+0.3)),6)</f>
        <v/>
      </c>
      <c r="F696" s="5">
        <f>SUMPRODUCT(('01_Data'!$B696:$AW696&lt;&gt;"")*(1/(1+EXP(-(E696-'03_Lap_b'!$B$5:$AW$5)))))</f>
        <v/>
      </c>
      <c r="G696" s="5">
        <f>SUMPRODUCT(('01_Data'!$B696:$AW696&lt;&gt;"")*(1/(1+EXP(-(E696-'03_Lap_b'!$B$5:$AW$5))))^2)</f>
        <v/>
      </c>
      <c r="H696" s="5">
        <f>MEDIAN(-6,E696+(C696-F696)/MAX(F696-G696,0.000000001),6)</f>
        <v/>
      </c>
      <c r="I696" s="5">
        <f>SUMPRODUCT(('01_Data'!$B696:$AW696&lt;&gt;"")*(1/(1+EXP(-(H696-'03_Lap_b'!$B$10:$AW$10)))))</f>
        <v/>
      </c>
      <c r="J696" s="5">
        <f>SUMPRODUCT(('01_Data'!$B696:$AW696&lt;&gt;"")*(1/(1+EXP(-(H696-'03_Lap_b'!$B$10:$AW$10))))^2)</f>
        <v/>
      </c>
      <c r="K696" s="5">
        <f>MEDIAN(-6,H696+(C696-I696)/MAX(I696-J696,0.000000001),6)</f>
        <v/>
      </c>
      <c r="L696" s="5">
        <f>SUMPRODUCT(('01_Data'!$B696:$AW696&lt;&gt;"")*(1/(1+EXP(-(K696-'03_Lap_b'!$B$15:$AW$15)))))</f>
        <v/>
      </c>
      <c r="M696" s="5">
        <f>SUMPRODUCT(('01_Data'!$B696:$AW696&lt;&gt;"")*(1/(1+EXP(-(K696-'03_Lap_b'!$B$15:$AW$15))))^2)</f>
        <v/>
      </c>
      <c r="N696" s="5">
        <f>MEDIAN(-6,K696+(C696-L696)/MAX(L696-M696,0.000000001),6)</f>
        <v/>
      </c>
      <c r="O696" s="5">
        <f>SUMPRODUCT(('01_Data'!$B696:$AW696&lt;&gt;"")*(1/(1+EXP(-(N696-'03_Lap_b'!$B$20:$AW$20)))))</f>
        <v/>
      </c>
      <c r="P696" s="5">
        <f>SUMPRODUCT(('01_Data'!$B696:$AW696&lt;&gt;"")*(1/(1+EXP(-(N696-'03_Lap_b'!$B$20:$AW$20))))^2)</f>
        <v/>
      </c>
      <c r="Q696" s="5">
        <f>MEDIAN(-6,N696+(C696-O696)/MAX(O696-P696,0.000000001),6)</f>
        <v/>
      </c>
      <c r="R696" s="5">
        <f>SUMPRODUCT(('01_Data'!$B696:$AW696&lt;&gt;"")*(1/(1+EXP(-(Q696-'03_Lap_b'!$B$25:$AW$25)))))</f>
        <v/>
      </c>
      <c r="S696" s="5">
        <f>SUMPRODUCT(('01_Data'!$B696:$AW696&lt;&gt;"")*(1/(1+EXP(-(Q696-'03_Lap_b'!$B$25:$AW$25))))^2)</f>
        <v/>
      </c>
      <c r="T696" s="5">
        <f>MEDIAN(-6,Q696+(C696-R696)/MAX(R696-S696,0.000000001),6)</f>
        <v/>
      </c>
      <c r="U696" s="5">
        <f>SUMPRODUCT(('01_Data'!$B696:$AW696&lt;&gt;"")*(1/(1+EXP(-(T696-'03_Lap_b'!$B$30:$AW$30)))))</f>
        <v/>
      </c>
      <c r="V696" s="5">
        <f>SUMPRODUCT(('01_Data'!$B696:$AW696&lt;&gt;"")*(1/(1+EXP(-(T696-'03_Lap_b'!$B$30:$AW$30))))^2)</f>
        <v/>
      </c>
      <c r="W696" s="5">
        <f>MEDIAN(-6,T696+(C696-U696)/MAX(U696-V696,0.000000001),6)</f>
        <v/>
      </c>
      <c r="X696" s="5">
        <f>SUMPRODUCT(('01_Data'!$B696:$AW696&lt;&gt;"")*(1/(1+EXP(-(W696-'03_Lap_b'!$B$35:$AW$35)))))</f>
        <v/>
      </c>
      <c r="Y696" s="5">
        <f>SUMPRODUCT(('01_Data'!$B696:$AW696&lt;&gt;"")*(1/(1+EXP(-(W696-'03_Lap_b'!$B$35:$AW$35))))^2)</f>
        <v/>
      </c>
      <c r="Z696" s="5">
        <f>MEDIAN(-6,W696+(C696-X696)/MAX(X696-Y696,0.000000001),6)</f>
        <v/>
      </c>
      <c r="AA696" s="5">
        <f>SUMPRODUCT(('01_Data'!$B696:$AW696&lt;&gt;"")*(1/(1+EXP(-(Z696-'03_Lap_b'!$B$40:$AW$40)))))</f>
        <v/>
      </c>
      <c r="AB696" s="5">
        <f>SUMPRODUCT(('01_Data'!$B696:$AW696&lt;&gt;"")*(1/(1+EXP(-(Z696-'03_Lap_b'!$B$40:$AW$40))))^2)</f>
        <v/>
      </c>
      <c r="AC696" s="5">
        <f>MEDIAN(-6,Z696+(C696-AA696)/MAX(AA696-AB696,0.000000001),6)</f>
        <v/>
      </c>
    </row>
    <row r="697">
      <c r="A697" t="n">
        <v>696</v>
      </c>
      <c r="B697">
        <f>'01_Data'!A697</f>
        <v/>
      </c>
      <c r="C697">
        <f>SUM('01_Data'!$B697:$AW697)</f>
        <v/>
      </c>
      <c r="D697">
        <f>COUNT('01_Data'!$B697:$AW697)</f>
        <v/>
      </c>
      <c r="E697" s="5">
        <f>MEDIAN(-6,LN((C697+0.3)/(D697-C697+0.3)),6)</f>
        <v/>
      </c>
      <c r="F697" s="5">
        <f>SUMPRODUCT(('01_Data'!$B697:$AW697&lt;&gt;"")*(1/(1+EXP(-(E697-'03_Lap_b'!$B$5:$AW$5)))))</f>
        <v/>
      </c>
      <c r="G697" s="5">
        <f>SUMPRODUCT(('01_Data'!$B697:$AW697&lt;&gt;"")*(1/(1+EXP(-(E697-'03_Lap_b'!$B$5:$AW$5))))^2)</f>
        <v/>
      </c>
      <c r="H697" s="5">
        <f>MEDIAN(-6,E697+(C697-F697)/MAX(F697-G697,0.000000001),6)</f>
        <v/>
      </c>
      <c r="I697" s="5">
        <f>SUMPRODUCT(('01_Data'!$B697:$AW697&lt;&gt;"")*(1/(1+EXP(-(H697-'03_Lap_b'!$B$10:$AW$10)))))</f>
        <v/>
      </c>
      <c r="J697" s="5">
        <f>SUMPRODUCT(('01_Data'!$B697:$AW697&lt;&gt;"")*(1/(1+EXP(-(H697-'03_Lap_b'!$B$10:$AW$10))))^2)</f>
        <v/>
      </c>
      <c r="K697" s="5">
        <f>MEDIAN(-6,H697+(C697-I697)/MAX(I697-J697,0.000000001),6)</f>
        <v/>
      </c>
      <c r="L697" s="5">
        <f>SUMPRODUCT(('01_Data'!$B697:$AW697&lt;&gt;"")*(1/(1+EXP(-(K697-'03_Lap_b'!$B$15:$AW$15)))))</f>
        <v/>
      </c>
      <c r="M697" s="5">
        <f>SUMPRODUCT(('01_Data'!$B697:$AW697&lt;&gt;"")*(1/(1+EXP(-(K697-'03_Lap_b'!$B$15:$AW$15))))^2)</f>
        <v/>
      </c>
      <c r="N697" s="5">
        <f>MEDIAN(-6,K697+(C697-L697)/MAX(L697-M697,0.000000001),6)</f>
        <v/>
      </c>
      <c r="O697" s="5">
        <f>SUMPRODUCT(('01_Data'!$B697:$AW697&lt;&gt;"")*(1/(1+EXP(-(N697-'03_Lap_b'!$B$20:$AW$20)))))</f>
        <v/>
      </c>
      <c r="P697" s="5">
        <f>SUMPRODUCT(('01_Data'!$B697:$AW697&lt;&gt;"")*(1/(1+EXP(-(N697-'03_Lap_b'!$B$20:$AW$20))))^2)</f>
        <v/>
      </c>
      <c r="Q697" s="5">
        <f>MEDIAN(-6,N697+(C697-O697)/MAX(O697-P697,0.000000001),6)</f>
        <v/>
      </c>
      <c r="R697" s="5">
        <f>SUMPRODUCT(('01_Data'!$B697:$AW697&lt;&gt;"")*(1/(1+EXP(-(Q697-'03_Lap_b'!$B$25:$AW$25)))))</f>
        <v/>
      </c>
      <c r="S697" s="5">
        <f>SUMPRODUCT(('01_Data'!$B697:$AW697&lt;&gt;"")*(1/(1+EXP(-(Q697-'03_Lap_b'!$B$25:$AW$25))))^2)</f>
        <v/>
      </c>
      <c r="T697" s="5">
        <f>MEDIAN(-6,Q697+(C697-R697)/MAX(R697-S697,0.000000001),6)</f>
        <v/>
      </c>
      <c r="U697" s="5">
        <f>SUMPRODUCT(('01_Data'!$B697:$AW697&lt;&gt;"")*(1/(1+EXP(-(T697-'03_Lap_b'!$B$30:$AW$30)))))</f>
        <v/>
      </c>
      <c r="V697" s="5">
        <f>SUMPRODUCT(('01_Data'!$B697:$AW697&lt;&gt;"")*(1/(1+EXP(-(T697-'03_Lap_b'!$B$30:$AW$30))))^2)</f>
        <v/>
      </c>
      <c r="W697" s="5">
        <f>MEDIAN(-6,T697+(C697-U697)/MAX(U697-V697,0.000000001),6)</f>
        <v/>
      </c>
      <c r="X697" s="5">
        <f>SUMPRODUCT(('01_Data'!$B697:$AW697&lt;&gt;"")*(1/(1+EXP(-(W697-'03_Lap_b'!$B$35:$AW$35)))))</f>
        <v/>
      </c>
      <c r="Y697" s="5">
        <f>SUMPRODUCT(('01_Data'!$B697:$AW697&lt;&gt;"")*(1/(1+EXP(-(W697-'03_Lap_b'!$B$35:$AW$35))))^2)</f>
        <v/>
      </c>
      <c r="Z697" s="5">
        <f>MEDIAN(-6,W697+(C697-X697)/MAX(X697-Y697,0.000000001),6)</f>
        <v/>
      </c>
      <c r="AA697" s="5">
        <f>SUMPRODUCT(('01_Data'!$B697:$AW697&lt;&gt;"")*(1/(1+EXP(-(Z697-'03_Lap_b'!$B$40:$AW$40)))))</f>
        <v/>
      </c>
      <c r="AB697" s="5">
        <f>SUMPRODUCT(('01_Data'!$B697:$AW697&lt;&gt;"")*(1/(1+EXP(-(Z697-'03_Lap_b'!$B$40:$AW$40))))^2)</f>
        <v/>
      </c>
      <c r="AC697" s="5">
        <f>MEDIAN(-6,Z697+(C697-AA697)/MAX(AA697-AB697,0.000000001),6)</f>
        <v/>
      </c>
    </row>
    <row r="698">
      <c r="A698" t="n">
        <v>697</v>
      </c>
      <c r="B698">
        <f>'01_Data'!A698</f>
        <v/>
      </c>
      <c r="C698">
        <f>SUM('01_Data'!$B698:$AW698)</f>
        <v/>
      </c>
      <c r="D698">
        <f>COUNT('01_Data'!$B698:$AW698)</f>
        <v/>
      </c>
      <c r="E698" s="5">
        <f>MEDIAN(-6,LN((C698+0.3)/(D698-C698+0.3)),6)</f>
        <v/>
      </c>
      <c r="F698" s="5">
        <f>SUMPRODUCT(('01_Data'!$B698:$AW698&lt;&gt;"")*(1/(1+EXP(-(E698-'03_Lap_b'!$B$5:$AW$5)))))</f>
        <v/>
      </c>
      <c r="G698" s="5">
        <f>SUMPRODUCT(('01_Data'!$B698:$AW698&lt;&gt;"")*(1/(1+EXP(-(E698-'03_Lap_b'!$B$5:$AW$5))))^2)</f>
        <v/>
      </c>
      <c r="H698" s="5">
        <f>MEDIAN(-6,E698+(C698-F698)/MAX(F698-G698,0.000000001),6)</f>
        <v/>
      </c>
      <c r="I698" s="5">
        <f>SUMPRODUCT(('01_Data'!$B698:$AW698&lt;&gt;"")*(1/(1+EXP(-(H698-'03_Lap_b'!$B$10:$AW$10)))))</f>
        <v/>
      </c>
      <c r="J698" s="5">
        <f>SUMPRODUCT(('01_Data'!$B698:$AW698&lt;&gt;"")*(1/(1+EXP(-(H698-'03_Lap_b'!$B$10:$AW$10))))^2)</f>
        <v/>
      </c>
      <c r="K698" s="5">
        <f>MEDIAN(-6,H698+(C698-I698)/MAX(I698-J698,0.000000001),6)</f>
        <v/>
      </c>
      <c r="L698" s="5">
        <f>SUMPRODUCT(('01_Data'!$B698:$AW698&lt;&gt;"")*(1/(1+EXP(-(K698-'03_Lap_b'!$B$15:$AW$15)))))</f>
        <v/>
      </c>
      <c r="M698" s="5">
        <f>SUMPRODUCT(('01_Data'!$B698:$AW698&lt;&gt;"")*(1/(1+EXP(-(K698-'03_Lap_b'!$B$15:$AW$15))))^2)</f>
        <v/>
      </c>
      <c r="N698" s="5">
        <f>MEDIAN(-6,K698+(C698-L698)/MAX(L698-M698,0.000000001),6)</f>
        <v/>
      </c>
      <c r="O698" s="5">
        <f>SUMPRODUCT(('01_Data'!$B698:$AW698&lt;&gt;"")*(1/(1+EXP(-(N698-'03_Lap_b'!$B$20:$AW$20)))))</f>
        <v/>
      </c>
      <c r="P698" s="5">
        <f>SUMPRODUCT(('01_Data'!$B698:$AW698&lt;&gt;"")*(1/(1+EXP(-(N698-'03_Lap_b'!$B$20:$AW$20))))^2)</f>
        <v/>
      </c>
      <c r="Q698" s="5">
        <f>MEDIAN(-6,N698+(C698-O698)/MAX(O698-P698,0.000000001),6)</f>
        <v/>
      </c>
      <c r="R698" s="5">
        <f>SUMPRODUCT(('01_Data'!$B698:$AW698&lt;&gt;"")*(1/(1+EXP(-(Q698-'03_Lap_b'!$B$25:$AW$25)))))</f>
        <v/>
      </c>
      <c r="S698" s="5">
        <f>SUMPRODUCT(('01_Data'!$B698:$AW698&lt;&gt;"")*(1/(1+EXP(-(Q698-'03_Lap_b'!$B$25:$AW$25))))^2)</f>
        <v/>
      </c>
      <c r="T698" s="5">
        <f>MEDIAN(-6,Q698+(C698-R698)/MAX(R698-S698,0.000000001),6)</f>
        <v/>
      </c>
      <c r="U698" s="5">
        <f>SUMPRODUCT(('01_Data'!$B698:$AW698&lt;&gt;"")*(1/(1+EXP(-(T698-'03_Lap_b'!$B$30:$AW$30)))))</f>
        <v/>
      </c>
      <c r="V698" s="5">
        <f>SUMPRODUCT(('01_Data'!$B698:$AW698&lt;&gt;"")*(1/(1+EXP(-(T698-'03_Lap_b'!$B$30:$AW$30))))^2)</f>
        <v/>
      </c>
      <c r="W698" s="5">
        <f>MEDIAN(-6,T698+(C698-U698)/MAX(U698-V698,0.000000001),6)</f>
        <v/>
      </c>
      <c r="X698" s="5">
        <f>SUMPRODUCT(('01_Data'!$B698:$AW698&lt;&gt;"")*(1/(1+EXP(-(W698-'03_Lap_b'!$B$35:$AW$35)))))</f>
        <v/>
      </c>
      <c r="Y698" s="5">
        <f>SUMPRODUCT(('01_Data'!$B698:$AW698&lt;&gt;"")*(1/(1+EXP(-(W698-'03_Lap_b'!$B$35:$AW$35))))^2)</f>
        <v/>
      </c>
      <c r="Z698" s="5">
        <f>MEDIAN(-6,W698+(C698-X698)/MAX(X698-Y698,0.000000001),6)</f>
        <v/>
      </c>
      <c r="AA698" s="5">
        <f>SUMPRODUCT(('01_Data'!$B698:$AW698&lt;&gt;"")*(1/(1+EXP(-(Z698-'03_Lap_b'!$B$40:$AW$40)))))</f>
        <v/>
      </c>
      <c r="AB698" s="5">
        <f>SUMPRODUCT(('01_Data'!$B698:$AW698&lt;&gt;"")*(1/(1+EXP(-(Z698-'03_Lap_b'!$B$40:$AW$40))))^2)</f>
        <v/>
      </c>
      <c r="AC698" s="5">
        <f>MEDIAN(-6,Z698+(C698-AA698)/MAX(AA698-AB698,0.000000001),6)</f>
        <v/>
      </c>
    </row>
    <row r="699">
      <c r="A699" t="n">
        <v>698</v>
      </c>
      <c r="B699">
        <f>'01_Data'!A699</f>
        <v/>
      </c>
      <c r="C699">
        <f>SUM('01_Data'!$B699:$AW699)</f>
        <v/>
      </c>
      <c r="D699">
        <f>COUNT('01_Data'!$B699:$AW699)</f>
        <v/>
      </c>
      <c r="E699" s="5">
        <f>MEDIAN(-6,LN((C699+0.3)/(D699-C699+0.3)),6)</f>
        <v/>
      </c>
      <c r="F699" s="5">
        <f>SUMPRODUCT(('01_Data'!$B699:$AW699&lt;&gt;"")*(1/(1+EXP(-(E699-'03_Lap_b'!$B$5:$AW$5)))))</f>
        <v/>
      </c>
      <c r="G699" s="5">
        <f>SUMPRODUCT(('01_Data'!$B699:$AW699&lt;&gt;"")*(1/(1+EXP(-(E699-'03_Lap_b'!$B$5:$AW$5))))^2)</f>
        <v/>
      </c>
      <c r="H699" s="5">
        <f>MEDIAN(-6,E699+(C699-F699)/MAX(F699-G699,0.000000001),6)</f>
        <v/>
      </c>
      <c r="I699" s="5">
        <f>SUMPRODUCT(('01_Data'!$B699:$AW699&lt;&gt;"")*(1/(1+EXP(-(H699-'03_Lap_b'!$B$10:$AW$10)))))</f>
        <v/>
      </c>
      <c r="J699" s="5">
        <f>SUMPRODUCT(('01_Data'!$B699:$AW699&lt;&gt;"")*(1/(1+EXP(-(H699-'03_Lap_b'!$B$10:$AW$10))))^2)</f>
        <v/>
      </c>
      <c r="K699" s="5">
        <f>MEDIAN(-6,H699+(C699-I699)/MAX(I699-J699,0.000000001),6)</f>
        <v/>
      </c>
      <c r="L699" s="5">
        <f>SUMPRODUCT(('01_Data'!$B699:$AW699&lt;&gt;"")*(1/(1+EXP(-(K699-'03_Lap_b'!$B$15:$AW$15)))))</f>
        <v/>
      </c>
      <c r="M699" s="5">
        <f>SUMPRODUCT(('01_Data'!$B699:$AW699&lt;&gt;"")*(1/(1+EXP(-(K699-'03_Lap_b'!$B$15:$AW$15))))^2)</f>
        <v/>
      </c>
      <c r="N699" s="5">
        <f>MEDIAN(-6,K699+(C699-L699)/MAX(L699-M699,0.000000001),6)</f>
        <v/>
      </c>
      <c r="O699" s="5">
        <f>SUMPRODUCT(('01_Data'!$B699:$AW699&lt;&gt;"")*(1/(1+EXP(-(N699-'03_Lap_b'!$B$20:$AW$20)))))</f>
        <v/>
      </c>
      <c r="P699" s="5">
        <f>SUMPRODUCT(('01_Data'!$B699:$AW699&lt;&gt;"")*(1/(1+EXP(-(N699-'03_Lap_b'!$B$20:$AW$20))))^2)</f>
        <v/>
      </c>
      <c r="Q699" s="5">
        <f>MEDIAN(-6,N699+(C699-O699)/MAX(O699-P699,0.000000001),6)</f>
        <v/>
      </c>
      <c r="R699" s="5">
        <f>SUMPRODUCT(('01_Data'!$B699:$AW699&lt;&gt;"")*(1/(1+EXP(-(Q699-'03_Lap_b'!$B$25:$AW$25)))))</f>
        <v/>
      </c>
      <c r="S699" s="5">
        <f>SUMPRODUCT(('01_Data'!$B699:$AW699&lt;&gt;"")*(1/(1+EXP(-(Q699-'03_Lap_b'!$B$25:$AW$25))))^2)</f>
        <v/>
      </c>
      <c r="T699" s="5">
        <f>MEDIAN(-6,Q699+(C699-R699)/MAX(R699-S699,0.000000001),6)</f>
        <v/>
      </c>
      <c r="U699" s="5">
        <f>SUMPRODUCT(('01_Data'!$B699:$AW699&lt;&gt;"")*(1/(1+EXP(-(T699-'03_Lap_b'!$B$30:$AW$30)))))</f>
        <v/>
      </c>
      <c r="V699" s="5">
        <f>SUMPRODUCT(('01_Data'!$B699:$AW699&lt;&gt;"")*(1/(1+EXP(-(T699-'03_Lap_b'!$B$30:$AW$30))))^2)</f>
        <v/>
      </c>
      <c r="W699" s="5">
        <f>MEDIAN(-6,T699+(C699-U699)/MAX(U699-V699,0.000000001),6)</f>
        <v/>
      </c>
      <c r="X699" s="5">
        <f>SUMPRODUCT(('01_Data'!$B699:$AW699&lt;&gt;"")*(1/(1+EXP(-(W699-'03_Lap_b'!$B$35:$AW$35)))))</f>
        <v/>
      </c>
      <c r="Y699" s="5">
        <f>SUMPRODUCT(('01_Data'!$B699:$AW699&lt;&gt;"")*(1/(1+EXP(-(W699-'03_Lap_b'!$B$35:$AW$35))))^2)</f>
        <v/>
      </c>
      <c r="Z699" s="5">
        <f>MEDIAN(-6,W699+(C699-X699)/MAX(X699-Y699,0.000000001),6)</f>
        <v/>
      </c>
      <c r="AA699" s="5">
        <f>SUMPRODUCT(('01_Data'!$B699:$AW699&lt;&gt;"")*(1/(1+EXP(-(Z699-'03_Lap_b'!$B$40:$AW$40)))))</f>
        <v/>
      </c>
      <c r="AB699" s="5">
        <f>SUMPRODUCT(('01_Data'!$B699:$AW699&lt;&gt;"")*(1/(1+EXP(-(Z699-'03_Lap_b'!$B$40:$AW$40))))^2)</f>
        <v/>
      </c>
      <c r="AC699" s="5">
        <f>MEDIAN(-6,Z699+(C699-AA699)/MAX(AA699-AB699,0.000000001),6)</f>
        <v/>
      </c>
    </row>
    <row r="700">
      <c r="A700" t="n">
        <v>699</v>
      </c>
      <c r="B700">
        <f>'01_Data'!A700</f>
        <v/>
      </c>
      <c r="C700">
        <f>SUM('01_Data'!$B700:$AW700)</f>
        <v/>
      </c>
      <c r="D700">
        <f>COUNT('01_Data'!$B700:$AW700)</f>
        <v/>
      </c>
      <c r="E700" s="5">
        <f>MEDIAN(-6,LN((C700+0.3)/(D700-C700+0.3)),6)</f>
        <v/>
      </c>
      <c r="F700" s="5">
        <f>SUMPRODUCT(('01_Data'!$B700:$AW700&lt;&gt;"")*(1/(1+EXP(-(E700-'03_Lap_b'!$B$5:$AW$5)))))</f>
        <v/>
      </c>
      <c r="G700" s="5">
        <f>SUMPRODUCT(('01_Data'!$B700:$AW700&lt;&gt;"")*(1/(1+EXP(-(E700-'03_Lap_b'!$B$5:$AW$5))))^2)</f>
        <v/>
      </c>
      <c r="H700" s="5">
        <f>MEDIAN(-6,E700+(C700-F700)/MAX(F700-G700,0.000000001),6)</f>
        <v/>
      </c>
      <c r="I700" s="5">
        <f>SUMPRODUCT(('01_Data'!$B700:$AW700&lt;&gt;"")*(1/(1+EXP(-(H700-'03_Lap_b'!$B$10:$AW$10)))))</f>
        <v/>
      </c>
      <c r="J700" s="5">
        <f>SUMPRODUCT(('01_Data'!$B700:$AW700&lt;&gt;"")*(1/(1+EXP(-(H700-'03_Lap_b'!$B$10:$AW$10))))^2)</f>
        <v/>
      </c>
      <c r="K700" s="5">
        <f>MEDIAN(-6,H700+(C700-I700)/MAX(I700-J700,0.000000001),6)</f>
        <v/>
      </c>
      <c r="L700" s="5">
        <f>SUMPRODUCT(('01_Data'!$B700:$AW700&lt;&gt;"")*(1/(1+EXP(-(K700-'03_Lap_b'!$B$15:$AW$15)))))</f>
        <v/>
      </c>
      <c r="M700" s="5">
        <f>SUMPRODUCT(('01_Data'!$B700:$AW700&lt;&gt;"")*(1/(1+EXP(-(K700-'03_Lap_b'!$B$15:$AW$15))))^2)</f>
        <v/>
      </c>
      <c r="N700" s="5">
        <f>MEDIAN(-6,K700+(C700-L700)/MAX(L700-M700,0.000000001),6)</f>
        <v/>
      </c>
      <c r="O700" s="5">
        <f>SUMPRODUCT(('01_Data'!$B700:$AW700&lt;&gt;"")*(1/(1+EXP(-(N700-'03_Lap_b'!$B$20:$AW$20)))))</f>
        <v/>
      </c>
      <c r="P700" s="5">
        <f>SUMPRODUCT(('01_Data'!$B700:$AW700&lt;&gt;"")*(1/(1+EXP(-(N700-'03_Lap_b'!$B$20:$AW$20))))^2)</f>
        <v/>
      </c>
      <c r="Q700" s="5">
        <f>MEDIAN(-6,N700+(C700-O700)/MAX(O700-P700,0.000000001),6)</f>
        <v/>
      </c>
      <c r="R700" s="5">
        <f>SUMPRODUCT(('01_Data'!$B700:$AW700&lt;&gt;"")*(1/(1+EXP(-(Q700-'03_Lap_b'!$B$25:$AW$25)))))</f>
        <v/>
      </c>
      <c r="S700" s="5">
        <f>SUMPRODUCT(('01_Data'!$B700:$AW700&lt;&gt;"")*(1/(1+EXP(-(Q700-'03_Lap_b'!$B$25:$AW$25))))^2)</f>
        <v/>
      </c>
      <c r="T700" s="5">
        <f>MEDIAN(-6,Q700+(C700-R700)/MAX(R700-S700,0.000000001),6)</f>
        <v/>
      </c>
      <c r="U700" s="5">
        <f>SUMPRODUCT(('01_Data'!$B700:$AW700&lt;&gt;"")*(1/(1+EXP(-(T700-'03_Lap_b'!$B$30:$AW$30)))))</f>
        <v/>
      </c>
      <c r="V700" s="5">
        <f>SUMPRODUCT(('01_Data'!$B700:$AW700&lt;&gt;"")*(1/(1+EXP(-(T700-'03_Lap_b'!$B$30:$AW$30))))^2)</f>
        <v/>
      </c>
      <c r="W700" s="5">
        <f>MEDIAN(-6,T700+(C700-U700)/MAX(U700-V700,0.000000001),6)</f>
        <v/>
      </c>
      <c r="X700" s="5">
        <f>SUMPRODUCT(('01_Data'!$B700:$AW700&lt;&gt;"")*(1/(1+EXP(-(W700-'03_Lap_b'!$B$35:$AW$35)))))</f>
        <v/>
      </c>
      <c r="Y700" s="5">
        <f>SUMPRODUCT(('01_Data'!$B700:$AW700&lt;&gt;"")*(1/(1+EXP(-(W700-'03_Lap_b'!$B$35:$AW$35))))^2)</f>
        <v/>
      </c>
      <c r="Z700" s="5">
        <f>MEDIAN(-6,W700+(C700-X700)/MAX(X700-Y700,0.000000001),6)</f>
        <v/>
      </c>
      <c r="AA700" s="5">
        <f>SUMPRODUCT(('01_Data'!$B700:$AW700&lt;&gt;"")*(1/(1+EXP(-(Z700-'03_Lap_b'!$B$40:$AW$40)))))</f>
        <v/>
      </c>
      <c r="AB700" s="5">
        <f>SUMPRODUCT(('01_Data'!$B700:$AW700&lt;&gt;"")*(1/(1+EXP(-(Z700-'03_Lap_b'!$B$40:$AW$40))))^2)</f>
        <v/>
      </c>
      <c r="AC700" s="5">
        <f>MEDIAN(-6,Z700+(C700-AA700)/MAX(AA700-AB700,0.000000001),6)</f>
        <v/>
      </c>
    </row>
    <row r="701">
      <c r="A701" t="n">
        <v>700</v>
      </c>
      <c r="B701">
        <f>'01_Data'!A701</f>
        <v/>
      </c>
      <c r="C701">
        <f>SUM('01_Data'!$B701:$AW701)</f>
        <v/>
      </c>
      <c r="D701">
        <f>COUNT('01_Data'!$B701:$AW701)</f>
        <v/>
      </c>
      <c r="E701" s="5">
        <f>MEDIAN(-6,LN((C701+0.3)/(D701-C701+0.3)),6)</f>
        <v/>
      </c>
      <c r="F701" s="5">
        <f>SUMPRODUCT(('01_Data'!$B701:$AW701&lt;&gt;"")*(1/(1+EXP(-(E701-'03_Lap_b'!$B$5:$AW$5)))))</f>
        <v/>
      </c>
      <c r="G701" s="5">
        <f>SUMPRODUCT(('01_Data'!$B701:$AW701&lt;&gt;"")*(1/(1+EXP(-(E701-'03_Lap_b'!$B$5:$AW$5))))^2)</f>
        <v/>
      </c>
      <c r="H701" s="5">
        <f>MEDIAN(-6,E701+(C701-F701)/MAX(F701-G701,0.000000001),6)</f>
        <v/>
      </c>
      <c r="I701" s="5">
        <f>SUMPRODUCT(('01_Data'!$B701:$AW701&lt;&gt;"")*(1/(1+EXP(-(H701-'03_Lap_b'!$B$10:$AW$10)))))</f>
        <v/>
      </c>
      <c r="J701" s="5">
        <f>SUMPRODUCT(('01_Data'!$B701:$AW701&lt;&gt;"")*(1/(1+EXP(-(H701-'03_Lap_b'!$B$10:$AW$10))))^2)</f>
        <v/>
      </c>
      <c r="K701" s="5">
        <f>MEDIAN(-6,H701+(C701-I701)/MAX(I701-J701,0.000000001),6)</f>
        <v/>
      </c>
      <c r="L701" s="5">
        <f>SUMPRODUCT(('01_Data'!$B701:$AW701&lt;&gt;"")*(1/(1+EXP(-(K701-'03_Lap_b'!$B$15:$AW$15)))))</f>
        <v/>
      </c>
      <c r="M701" s="5">
        <f>SUMPRODUCT(('01_Data'!$B701:$AW701&lt;&gt;"")*(1/(1+EXP(-(K701-'03_Lap_b'!$B$15:$AW$15))))^2)</f>
        <v/>
      </c>
      <c r="N701" s="5">
        <f>MEDIAN(-6,K701+(C701-L701)/MAX(L701-M701,0.000000001),6)</f>
        <v/>
      </c>
      <c r="O701" s="5">
        <f>SUMPRODUCT(('01_Data'!$B701:$AW701&lt;&gt;"")*(1/(1+EXP(-(N701-'03_Lap_b'!$B$20:$AW$20)))))</f>
        <v/>
      </c>
      <c r="P701" s="5">
        <f>SUMPRODUCT(('01_Data'!$B701:$AW701&lt;&gt;"")*(1/(1+EXP(-(N701-'03_Lap_b'!$B$20:$AW$20))))^2)</f>
        <v/>
      </c>
      <c r="Q701" s="5">
        <f>MEDIAN(-6,N701+(C701-O701)/MAX(O701-P701,0.000000001),6)</f>
        <v/>
      </c>
      <c r="R701" s="5">
        <f>SUMPRODUCT(('01_Data'!$B701:$AW701&lt;&gt;"")*(1/(1+EXP(-(Q701-'03_Lap_b'!$B$25:$AW$25)))))</f>
        <v/>
      </c>
      <c r="S701" s="5">
        <f>SUMPRODUCT(('01_Data'!$B701:$AW701&lt;&gt;"")*(1/(1+EXP(-(Q701-'03_Lap_b'!$B$25:$AW$25))))^2)</f>
        <v/>
      </c>
      <c r="T701" s="5">
        <f>MEDIAN(-6,Q701+(C701-R701)/MAX(R701-S701,0.000000001),6)</f>
        <v/>
      </c>
      <c r="U701" s="5">
        <f>SUMPRODUCT(('01_Data'!$B701:$AW701&lt;&gt;"")*(1/(1+EXP(-(T701-'03_Lap_b'!$B$30:$AW$30)))))</f>
        <v/>
      </c>
      <c r="V701" s="5">
        <f>SUMPRODUCT(('01_Data'!$B701:$AW701&lt;&gt;"")*(1/(1+EXP(-(T701-'03_Lap_b'!$B$30:$AW$30))))^2)</f>
        <v/>
      </c>
      <c r="W701" s="5">
        <f>MEDIAN(-6,T701+(C701-U701)/MAX(U701-V701,0.000000001),6)</f>
        <v/>
      </c>
      <c r="X701" s="5">
        <f>SUMPRODUCT(('01_Data'!$B701:$AW701&lt;&gt;"")*(1/(1+EXP(-(W701-'03_Lap_b'!$B$35:$AW$35)))))</f>
        <v/>
      </c>
      <c r="Y701" s="5">
        <f>SUMPRODUCT(('01_Data'!$B701:$AW701&lt;&gt;"")*(1/(1+EXP(-(W701-'03_Lap_b'!$B$35:$AW$35))))^2)</f>
        <v/>
      </c>
      <c r="Z701" s="5">
        <f>MEDIAN(-6,W701+(C701-X701)/MAX(X701-Y701,0.000000001),6)</f>
        <v/>
      </c>
      <c r="AA701" s="5">
        <f>SUMPRODUCT(('01_Data'!$B701:$AW701&lt;&gt;"")*(1/(1+EXP(-(Z701-'03_Lap_b'!$B$40:$AW$40)))))</f>
        <v/>
      </c>
      <c r="AB701" s="5">
        <f>SUMPRODUCT(('01_Data'!$B701:$AW701&lt;&gt;"")*(1/(1+EXP(-(Z701-'03_Lap_b'!$B$40:$AW$40))))^2)</f>
        <v/>
      </c>
      <c r="AC701" s="5">
        <f>MEDIAN(-6,Z701+(C701-AA701)/MAX(AA701-AB701,0.000000001),6)</f>
        <v/>
      </c>
    </row>
    <row r="702">
      <c r="A702" t="n">
        <v>701</v>
      </c>
      <c r="B702">
        <f>'01_Data'!A702</f>
        <v/>
      </c>
      <c r="C702">
        <f>SUM('01_Data'!$B702:$AW702)</f>
        <v/>
      </c>
      <c r="D702">
        <f>COUNT('01_Data'!$B702:$AW702)</f>
        <v/>
      </c>
      <c r="E702" s="5">
        <f>MEDIAN(-6,LN((C702+0.3)/(D702-C702+0.3)),6)</f>
        <v/>
      </c>
      <c r="F702" s="5">
        <f>SUMPRODUCT(('01_Data'!$B702:$AW702&lt;&gt;"")*(1/(1+EXP(-(E702-'03_Lap_b'!$B$5:$AW$5)))))</f>
        <v/>
      </c>
      <c r="G702" s="5">
        <f>SUMPRODUCT(('01_Data'!$B702:$AW702&lt;&gt;"")*(1/(1+EXP(-(E702-'03_Lap_b'!$B$5:$AW$5))))^2)</f>
        <v/>
      </c>
      <c r="H702" s="5">
        <f>MEDIAN(-6,E702+(C702-F702)/MAX(F702-G702,0.000000001),6)</f>
        <v/>
      </c>
      <c r="I702" s="5">
        <f>SUMPRODUCT(('01_Data'!$B702:$AW702&lt;&gt;"")*(1/(1+EXP(-(H702-'03_Lap_b'!$B$10:$AW$10)))))</f>
        <v/>
      </c>
      <c r="J702" s="5">
        <f>SUMPRODUCT(('01_Data'!$B702:$AW702&lt;&gt;"")*(1/(1+EXP(-(H702-'03_Lap_b'!$B$10:$AW$10))))^2)</f>
        <v/>
      </c>
      <c r="K702" s="5">
        <f>MEDIAN(-6,H702+(C702-I702)/MAX(I702-J702,0.000000001),6)</f>
        <v/>
      </c>
      <c r="L702" s="5">
        <f>SUMPRODUCT(('01_Data'!$B702:$AW702&lt;&gt;"")*(1/(1+EXP(-(K702-'03_Lap_b'!$B$15:$AW$15)))))</f>
        <v/>
      </c>
      <c r="M702" s="5">
        <f>SUMPRODUCT(('01_Data'!$B702:$AW702&lt;&gt;"")*(1/(1+EXP(-(K702-'03_Lap_b'!$B$15:$AW$15))))^2)</f>
        <v/>
      </c>
      <c r="N702" s="5">
        <f>MEDIAN(-6,K702+(C702-L702)/MAX(L702-M702,0.000000001),6)</f>
        <v/>
      </c>
      <c r="O702" s="5">
        <f>SUMPRODUCT(('01_Data'!$B702:$AW702&lt;&gt;"")*(1/(1+EXP(-(N702-'03_Lap_b'!$B$20:$AW$20)))))</f>
        <v/>
      </c>
      <c r="P702" s="5">
        <f>SUMPRODUCT(('01_Data'!$B702:$AW702&lt;&gt;"")*(1/(1+EXP(-(N702-'03_Lap_b'!$B$20:$AW$20))))^2)</f>
        <v/>
      </c>
      <c r="Q702" s="5">
        <f>MEDIAN(-6,N702+(C702-O702)/MAX(O702-P702,0.000000001),6)</f>
        <v/>
      </c>
      <c r="R702" s="5">
        <f>SUMPRODUCT(('01_Data'!$B702:$AW702&lt;&gt;"")*(1/(1+EXP(-(Q702-'03_Lap_b'!$B$25:$AW$25)))))</f>
        <v/>
      </c>
      <c r="S702" s="5">
        <f>SUMPRODUCT(('01_Data'!$B702:$AW702&lt;&gt;"")*(1/(1+EXP(-(Q702-'03_Lap_b'!$B$25:$AW$25))))^2)</f>
        <v/>
      </c>
      <c r="T702" s="5">
        <f>MEDIAN(-6,Q702+(C702-R702)/MAX(R702-S702,0.000000001),6)</f>
        <v/>
      </c>
      <c r="U702" s="5">
        <f>SUMPRODUCT(('01_Data'!$B702:$AW702&lt;&gt;"")*(1/(1+EXP(-(T702-'03_Lap_b'!$B$30:$AW$30)))))</f>
        <v/>
      </c>
      <c r="V702" s="5">
        <f>SUMPRODUCT(('01_Data'!$B702:$AW702&lt;&gt;"")*(1/(1+EXP(-(T702-'03_Lap_b'!$B$30:$AW$30))))^2)</f>
        <v/>
      </c>
      <c r="W702" s="5">
        <f>MEDIAN(-6,T702+(C702-U702)/MAX(U702-V702,0.000000001),6)</f>
        <v/>
      </c>
      <c r="X702" s="5">
        <f>SUMPRODUCT(('01_Data'!$B702:$AW702&lt;&gt;"")*(1/(1+EXP(-(W702-'03_Lap_b'!$B$35:$AW$35)))))</f>
        <v/>
      </c>
      <c r="Y702" s="5">
        <f>SUMPRODUCT(('01_Data'!$B702:$AW702&lt;&gt;"")*(1/(1+EXP(-(W702-'03_Lap_b'!$B$35:$AW$35))))^2)</f>
        <v/>
      </c>
      <c r="Z702" s="5">
        <f>MEDIAN(-6,W702+(C702-X702)/MAX(X702-Y702,0.000000001),6)</f>
        <v/>
      </c>
      <c r="AA702" s="5">
        <f>SUMPRODUCT(('01_Data'!$B702:$AW702&lt;&gt;"")*(1/(1+EXP(-(Z702-'03_Lap_b'!$B$40:$AW$40)))))</f>
        <v/>
      </c>
      <c r="AB702" s="5">
        <f>SUMPRODUCT(('01_Data'!$B702:$AW702&lt;&gt;"")*(1/(1+EXP(-(Z702-'03_Lap_b'!$B$40:$AW$40))))^2)</f>
        <v/>
      </c>
      <c r="AC702" s="5">
        <f>MEDIAN(-6,Z702+(C702-AA702)/MAX(AA702-AB702,0.000000001),6)</f>
        <v/>
      </c>
    </row>
    <row r="703">
      <c r="A703" t="n">
        <v>702</v>
      </c>
      <c r="B703">
        <f>'01_Data'!A703</f>
        <v/>
      </c>
      <c r="C703">
        <f>SUM('01_Data'!$B703:$AW703)</f>
        <v/>
      </c>
      <c r="D703">
        <f>COUNT('01_Data'!$B703:$AW703)</f>
        <v/>
      </c>
      <c r="E703" s="5">
        <f>MEDIAN(-6,LN((C703+0.3)/(D703-C703+0.3)),6)</f>
        <v/>
      </c>
      <c r="F703" s="5">
        <f>SUMPRODUCT(('01_Data'!$B703:$AW703&lt;&gt;"")*(1/(1+EXP(-(E703-'03_Lap_b'!$B$5:$AW$5)))))</f>
        <v/>
      </c>
      <c r="G703" s="5">
        <f>SUMPRODUCT(('01_Data'!$B703:$AW703&lt;&gt;"")*(1/(1+EXP(-(E703-'03_Lap_b'!$B$5:$AW$5))))^2)</f>
        <v/>
      </c>
      <c r="H703" s="5">
        <f>MEDIAN(-6,E703+(C703-F703)/MAX(F703-G703,0.000000001),6)</f>
        <v/>
      </c>
      <c r="I703" s="5">
        <f>SUMPRODUCT(('01_Data'!$B703:$AW703&lt;&gt;"")*(1/(1+EXP(-(H703-'03_Lap_b'!$B$10:$AW$10)))))</f>
        <v/>
      </c>
      <c r="J703" s="5">
        <f>SUMPRODUCT(('01_Data'!$B703:$AW703&lt;&gt;"")*(1/(1+EXP(-(H703-'03_Lap_b'!$B$10:$AW$10))))^2)</f>
        <v/>
      </c>
      <c r="K703" s="5">
        <f>MEDIAN(-6,H703+(C703-I703)/MAX(I703-J703,0.000000001),6)</f>
        <v/>
      </c>
      <c r="L703" s="5">
        <f>SUMPRODUCT(('01_Data'!$B703:$AW703&lt;&gt;"")*(1/(1+EXP(-(K703-'03_Lap_b'!$B$15:$AW$15)))))</f>
        <v/>
      </c>
      <c r="M703" s="5">
        <f>SUMPRODUCT(('01_Data'!$B703:$AW703&lt;&gt;"")*(1/(1+EXP(-(K703-'03_Lap_b'!$B$15:$AW$15))))^2)</f>
        <v/>
      </c>
      <c r="N703" s="5">
        <f>MEDIAN(-6,K703+(C703-L703)/MAX(L703-M703,0.000000001),6)</f>
        <v/>
      </c>
      <c r="O703" s="5">
        <f>SUMPRODUCT(('01_Data'!$B703:$AW703&lt;&gt;"")*(1/(1+EXP(-(N703-'03_Lap_b'!$B$20:$AW$20)))))</f>
        <v/>
      </c>
      <c r="P703" s="5">
        <f>SUMPRODUCT(('01_Data'!$B703:$AW703&lt;&gt;"")*(1/(1+EXP(-(N703-'03_Lap_b'!$B$20:$AW$20))))^2)</f>
        <v/>
      </c>
      <c r="Q703" s="5">
        <f>MEDIAN(-6,N703+(C703-O703)/MAX(O703-P703,0.000000001),6)</f>
        <v/>
      </c>
      <c r="R703" s="5">
        <f>SUMPRODUCT(('01_Data'!$B703:$AW703&lt;&gt;"")*(1/(1+EXP(-(Q703-'03_Lap_b'!$B$25:$AW$25)))))</f>
        <v/>
      </c>
      <c r="S703" s="5">
        <f>SUMPRODUCT(('01_Data'!$B703:$AW703&lt;&gt;"")*(1/(1+EXP(-(Q703-'03_Lap_b'!$B$25:$AW$25))))^2)</f>
        <v/>
      </c>
      <c r="T703" s="5">
        <f>MEDIAN(-6,Q703+(C703-R703)/MAX(R703-S703,0.000000001),6)</f>
        <v/>
      </c>
      <c r="U703" s="5">
        <f>SUMPRODUCT(('01_Data'!$B703:$AW703&lt;&gt;"")*(1/(1+EXP(-(T703-'03_Lap_b'!$B$30:$AW$30)))))</f>
        <v/>
      </c>
      <c r="V703" s="5">
        <f>SUMPRODUCT(('01_Data'!$B703:$AW703&lt;&gt;"")*(1/(1+EXP(-(T703-'03_Lap_b'!$B$30:$AW$30))))^2)</f>
        <v/>
      </c>
      <c r="W703" s="5">
        <f>MEDIAN(-6,T703+(C703-U703)/MAX(U703-V703,0.000000001),6)</f>
        <v/>
      </c>
      <c r="X703" s="5">
        <f>SUMPRODUCT(('01_Data'!$B703:$AW703&lt;&gt;"")*(1/(1+EXP(-(W703-'03_Lap_b'!$B$35:$AW$35)))))</f>
        <v/>
      </c>
      <c r="Y703" s="5">
        <f>SUMPRODUCT(('01_Data'!$B703:$AW703&lt;&gt;"")*(1/(1+EXP(-(W703-'03_Lap_b'!$B$35:$AW$35))))^2)</f>
        <v/>
      </c>
      <c r="Z703" s="5">
        <f>MEDIAN(-6,W703+(C703-X703)/MAX(X703-Y703,0.000000001),6)</f>
        <v/>
      </c>
      <c r="AA703" s="5">
        <f>SUMPRODUCT(('01_Data'!$B703:$AW703&lt;&gt;"")*(1/(1+EXP(-(Z703-'03_Lap_b'!$B$40:$AW$40)))))</f>
        <v/>
      </c>
      <c r="AB703" s="5">
        <f>SUMPRODUCT(('01_Data'!$B703:$AW703&lt;&gt;"")*(1/(1+EXP(-(Z703-'03_Lap_b'!$B$40:$AW$40))))^2)</f>
        <v/>
      </c>
      <c r="AC703" s="5">
        <f>MEDIAN(-6,Z703+(C703-AA703)/MAX(AA703-AB703,0.000000001),6)</f>
        <v/>
      </c>
    </row>
    <row r="704">
      <c r="A704" t="n">
        <v>703</v>
      </c>
      <c r="B704">
        <f>'01_Data'!A704</f>
        <v/>
      </c>
      <c r="C704">
        <f>SUM('01_Data'!$B704:$AW704)</f>
        <v/>
      </c>
      <c r="D704">
        <f>COUNT('01_Data'!$B704:$AW704)</f>
        <v/>
      </c>
      <c r="E704" s="5">
        <f>MEDIAN(-6,LN((C704+0.3)/(D704-C704+0.3)),6)</f>
        <v/>
      </c>
      <c r="F704" s="5">
        <f>SUMPRODUCT(('01_Data'!$B704:$AW704&lt;&gt;"")*(1/(1+EXP(-(E704-'03_Lap_b'!$B$5:$AW$5)))))</f>
        <v/>
      </c>
      <c r="G704" s="5">
        <f>SUMPRODUCT(('01_Data'!$B704:$AW704&lt;&gt;"")*(1/(1+EXP(-(E704-'03_Lap_b'!$B$5:$AW$5))))^2)</f>
        <v/>
      </c>
      <c r="H704" s="5">
        <f>MEDIAN(-6,E704+(C704-F704)/MAX(F704-G704,0.000000001),6)</f>
        <v/>
      </c>
      <c r="I704" s="5">
        <f>SUMPRODUCT(('01_Data'!$B704:$AW704&lt;&gt;"")*(1/(1+EXP(-(H704-'03_Lap_b'!$B$10:$AW$10)))))</f>
        <v/>
      </c>
      <c r="J704" s="5">
        <f>SUMPRODUCT(('01_Data'!$B704:$AW704&lt;&gt;"")*(1/(1+EXP(-(H704-'03_Lap_b'!$B$10:$AW$10))))^2)</f>
        <v/>
      </c>
      <c r="K704" s="5">
        <f>MEDIAN(-6,H704+(C704-I704)/MAX(I704-J704,0.000000001),6)</f>
        <v/>
      </c>
      <c r="L704" s="5">
        <f>SUMPRODUCT(('01_Data'!$B704:$AW704&lt;&gt;"")*(1/(1+EXP(-(K704-'03_Lap_b'!$B$15:$AW$15)))))</f>
        <v/>
      </c>
      <c r="M704" s="5">
        <f>SUMPRODUCT(('01_Data'!$B704:$AW704&lt;&gt;"")*(1/(1+EXP(-(K704-'03_Lap_b'!$B$15:$AW$15))))^2)</f>
        <v/>
      </c>
      <c r="N704" s="5">
        <f>MEDIAN(-6,K704+(C704-L704)/MAX(L704-M704,0.000000001),6)</f>
        <v/>
      </c>
      <c r="O704" s="5">
        <f>SUMPRODUCT(('01_Data'!$B704:$AW704&lt;&gt;"")*(1/(1+EXP(-(N704-'03_Lap_b'!$B$20:$AW$20)))))</f>
        <v/>
      </c>
      <c r="P704" s="5">
        <f>SUMPRODUCT(('01_Data'!$B704:$AW704&lt;&gt;"")*(1/(1+EXP(-(N704-'03_Lap_b'!$B$20:$AW$20))))^2)</f>
        <v/>
      </c>
      <c r="Q704" s="5">
        <f>MEDIAN(-6,N704+(C704-O704)/MAX(O704-P704,0.000000001),6)</f>
        <v/>
      </c>
      <c r="R704" s="5">
        <f>SUMPRODUCT(('01_Data'!$B704:$AW704&lt;&gt;"")*(1/(1+EXP(-(Q704-'03_Lap_b'!$B$25:$AW$25)))))</f>
        <v/>
      </c>
      <c r="S704" s="5">
        <f>SUMPRODUCT(('01_Data'!$B704:$AW704&lt;&gt;"")*(1/(1+EXP(-(Q704-'03_Lap_b'!$B$25:$AW$25))))^2)</f>
        <v/>
      </c>
      <c r="T704" s="5">
        <f>MEDIAN(-6,Q704+(C704-R704)/MAX(R704-S704,0.000000001),6)</f>
        <v/>
      </c>
      <c r="U704" s="5">
        <f>SUMPRODUCT(('01_Data'!$B704:$AW704&lt;&gt;"")*(1/(1+EXP(-(T704-'03_Lap_b'!$B$30:$AW$30)))))</f>
        <v/>
      </c>
      <c r="V704" s="5">
        <f>SUMPRODUCT(('01_Data'!$B704:$AW704&lt;&gt;"")*(1/(1+EXP(-(T704-'03_Lap_b'!$B$30:$AW$30))))^2)</f>
        <v/>
      </c>
      <c r="W704" s="5">
        <f>MEDIAN(-6,T704+(C704-U704)/MAX(U704-V704,0.000000001),6)</f>
        <v/>
      </c>
      <c r="X704" s="5">
        <f>SUMPRODUCT(('01_Data'!$B704:$AW704&lt;&gt;"")*(1/(1+EXP(-(W704-'03_Lap_b'!$B$35:$AW$35)))))</f>
        <v/>
      </c>
      <c r="Y704" s="5">
        <f>SUMPRODUCT(('01_Data'!$B704:$AW704&lt;&gt;"")*(1/(1+EXP(-(W704-'03_Lap_b'!$B$35:$AW$35))))^2)</f>
        <v/>
      </c>
      <c r="Z704" s="5">
        <f>MEDIAN(-6,W704+(C704-X704)/MAX(X704-Y704,0.000000001),6)</f>
        <v/>
      </c>
      <c r="AA704" s="5">
        <f>SUMPRODUCT(('01_Data'!$B704:$AW704&lt;&gt;"")*(1/(1+EXP(-(Z704-'03_Lap_b'!$B$40:$AW$40)))))</f>
        <v/>
      </c>
      <c r="AB704" s="5">
        <f>SUMPRODUCT(('01_Data'!$B704:$AW704&lt;&gt;"")*(1/(1+EXP(-(Z704-'03_Lap_b'!$B$40:$AW$40))))^2)</f>
        <v/>
      </c>
      <c r="AC704" s="5">
        <f>MEDIAN(-6,Z704+(C704-AA704)/MAX(AA704-AB704,0.000000001),6)</f>
        <v/>
      </c>
    </row>
    <row r="705">
      <c r="A705" t="n">
        <v>704</v>
      </c>
      <c r="B705">
        <f>'01_Data'!A705</f>
        <v/>
      </c>
      <c r="C705">
        <f>SUM('01_Data'!$B705:$AW705)</f>
        <v/>
      </c>
      <c r="D705">
        <f>COUNT('01_Data'!$B705:$AW705)</f>
        <v/>
      </c>
      <c r="E705" s="5">
        <f>MEDIAN(-6,LN((C705+0.3)/(D705-C705+0.3)),6)</f>
        <v/>
      </c>
      <c r="F705" s="5">
        <f>SUMPRODUCT(('01_Data'!$B705:$AW705&lt;&gt;"")*(1/(1+EXP(-(E705-'03_Lap_b'!$B$5:$AW$5)))))</f>
        <v/>
      </c>
      <c r="G705" s="5">
        <f>SUMPRODUCT(('01_Data'!$B705:$AW705&lt;&gt;"")*(1/(1+EXP(-(E705-'03_Lap_b'!$B$5:$AW$5))))^2)</f>
        <v/>
      </c>
      <c r="H705" s="5">
        <f>MEDIAN(-6,E705+(C705-F705)/MAX(F705-G705,0.000000001),6)</f>
        <v/>
      </c>
      <c r="I705" s="5">
        <f>SUMPRODUCT(('01_Data'!$B705:$AW705&lt;&gt;"")*(1/(1+EXP(-(H705-'03_Lap_b'!$B$10:$AW$10)))))</f>
        <v/>
      </c>
      <c r="J705" s="5">
        <f>SUMPRODUCT(('01_Data'!$B705:$AW705&lt;&gt;"")*(1/(1+EXP(-(H705-'03_Lap_b'!$B$10:$AW$10))))^2)</f>
        <v/>
      </c>
      <c r="K705" s="5">
        <f>MEDIAN(-6,H705+(C705-I705)/MAX(I705-J705,0.000000001),6)</f>
        <v/>
      </c>
      <c r="L705" s="5">
        <f>SUMPRODUCT(('01_Data'!$B705:$AW705&lt;&gt;"")*(1/(1+EXP(-(K705-'03_Lap_b'!$B$15:$AW$15)))))</f>
        <v/>
      </c>
      <c r="M705" s="5">
        <f>SUMPRODUCT(('01_Data'!$B705:$AW705&lt;&gt;"")*(1/(1+EXP(-(K705-'03_Lap_b'!$B$15:$AW$15))))^2)</f>
        <v/>
      </c>
      <c r="N705" s="5">
        <f>MEDIAN(-6,K705+(C705-L705)/MAX(L705-M705,0.000000001),6)</f>
        <v/>
      </c>
      <c r="O705" s="5">
        <f>SUMPRODUCT(('01_Data'!$B705:$AW705&lt;&gt;"")*(1/(1+EXP(-(N705-'03_Lap_b'!$B$20:$AW$20)))))</f>
        <v/>
      </c>
      <c r="P705" s="5">
        <f>SUMPRODUCT(('01_Data'!$B705:$AW705&lt;&gt;"")*(1/(1+EXP(-(N705-'03_Lap_b'!$B$20:$AW$20))))^2)</f>
        <v/>
      </c>
      <c r="Q705" s="5">
        <f>MEDIAN(-6,N705+(C705-O705)/MAX(O705-P705,0.000000001),6)</f>
        <v/>
      </c>
      <c r="R705" s="5">
        <f>SUMPRODUCT(('01_Data'!$B705:$AW705&lt;&gt;"")*(1/(1+EXP(-(Q705-'03_Lap_b'!$B$25:$AW$25)))))</f>
        <v/>
      </c>
      <c r="S705" s="5">
        <f>SUMPRODUCT(('01_Data'!$B705:$AW705&lt;&gt;"")*(1/(1+EXP(-(Q705-'03_Lap_b'!$B$25:$AW$25))))^2)</f>
        <v/>
      </c>
      <c r="T705" s="5">
        <f>MEDIAN(-6,Q705+(C705-R705)/MAX(R705-S705,0.000000001),6)</f>
        <v/>
      </c>
      <c r="U705" s="5">
        <f>SUMPRODUCT(('01_Data'!$B705:$AW705&lt;&gt;"")*(1/(1+EXP(-(T705-'03_Lap_b'!$B$30:$AW$30)))))</f>
        <v/>
      </c>
      <c r="V705" s="5">
        <f>SUMPRODUCT(('01_Data'!$B705:$AW705&lt;&gt;"")*(1/(1+EXP(-(T705-'03_Lap_b'!$B$30:$AW$30))))^2)</f>
        <v/>
      </c>
      <c r="W705" s="5">
        <f>MEDIAN(-6,T705+(C705-U705)/MAX(U705-V705,0.000000001),6)</f>
        <v/>
      </c>
      <c r="X705" s="5">
        <f>SUMPRODUCT(('01_Data'!$B705:$AW705&lt;&gt;"")*(1/(1+EXP(-(W705-'03_Lap_b'!$B$35:$AW$35)))))</f>
        <v/>
      </c>
      <c r="Y705" s="5">
        <f>SUMPRODUCT(('01_Data'!$B705:$AW705&lt;&gt;"")*(1/(1+EXP(-(W705-'03_Lap_b'!$B$35:$AW$35))))^2)</f>
        <v/>
      </c>
      <c r="Z705" s="5">
        <f>MEDIAN(-6,W705+(C705-X705)/MAX(X705-Y705,0.000000001),6)</f>
        <v/>
      </c>
      <c r="AA705" s="5">
        <f>SUMPRODUCT(('01_Data'!$B705:$AW705&lt;&gt;"")*(1/(1+EXP(-(Z705-'03_Lap_b'!$B$40:$AW$40)))))</f>
        <v/>
      </c>
      <c r="AB705" s="5">
        <f>SUMPRODUCT(('01_Data'!$B705:$AW705&lt;&gt;"")*(1/(1+EXP(-(Z705-'03_Lap_b'!$B$40:$AW$40))))^2)</f>
        <v/>
      </c>
      <c r="AC705" s="5">
        <f>MEDIAN(-6,Z705+(C705-AA705)/MAX(AA705-AB705,0.000000001),6)</f>
        <v/>
      </c>
    </row>
    <row r="706">
      <c r="A706" t="n">
        <v>705</v>
      </c>
      <c r="B706">
        <f>'01_Data'!A706</f>
        <v/>
      </c>
      <c r="C706">
        <f>SUM('01_Data'!$B706:$AW706)</f>
        <v/>
      </c>
      <c r="D706">
        <f>COUNT('01_Data'!$B706:$AW706)</f>
        <v/>
      </c>
      <c r="E706" s="5">
        <f>MEDIAN(-6,LN((C706+0.3)/(D706-C706+0.3)),6)</f>
        <v/>
      </c>
      <c r="F706" s="5">
        <f>SUMPRODUCT(('01_Data'!$B706:$AW706&lt;&gt;"")*(1/(1+EXP(-(E706-'03_Lap_b'!$B$5:$AW$5)))))</f>
        <v/>
      </c>
      <c r="G706" s="5">
        <f>SUMPRODUCT(('01_Data'!$B706:$AW706&lt;&gt;"")*(1/(1+EXP(-(E706-'03_Lap_b'!$B$5:$AW$5))))^2)</f>
        <v/>
      </c>
      <c r="H706" s="5">
        <f>MEDIAN(-6,E706+(C706-F706)/MAX(F706-G706,0.000000001),6)</f>
        <v/>
      </c>
      <c r="I706" s="5">
        <f>SUMPRODUCT(('01_Data'!$B706:$AW706&lt;&gt;"")*(1/(1+EXP(-(H706-'03_Lap_b'!$B$10:$AW$10)))))</f>
        <v/>
      </c>
      <c r="J706" s="5">
        <f>SUMPRODUCT(('01_Data'!$B706:$AW706&lt;&gt;"")*(1/(1+EXP(-(H706-'03_Lap_b'!$B$10:$AW$10))))^2)</f>
        <v/>
      </c>
      <c r="K706" s="5">
        <f>MEDIAN(-6,H706+(C706-I706)/MAX(I706-J706,0.000000001),6)</f>
        <v/>
      </c>
      <c r="L706" s="5">
        <f>SUMPRODUCT(('01_Data'!$B706:$AW706&lt;&gt;"")*(1/(1+EXP(-(K706-'03_Lap_b'!$B$15:$AW$15)))))</f>
        <v/>
      </c>
      <c r="M706" s="5">
        <f>SUMPRODUCT(('01_Data'!$B706:$AW706&lt;&gt;"")*(1/(1+EXP(-(K706-'03_Lap_b'!$B$15:$AW$15))))^2)</f>
        <v/>
      </c>
      <c r="N706" s="5">
        <f>MEDIAN(-6,K706+(C706-L706)/MAX(L706-M706,0.000000001),6)</f>
        <v/>
      </c>
      <c r="O706" s="5">
        <f>SUMPRODUCT(('01_Data'!$B706:$AW706&lt;&gt;"")*(1/(1+EXP(-(N706-'03_Lap_b'!$B$20:$AW$20)))))</f>
        <v/>
      </c>
      <c r="P706" s="5">
        <f>SUMPRODUCT(('01_Data'!$B706:$AW706&lt;&gt;"")*(1/(1+EXP(-(N706-'03_Lap_b'!$B$20:$AW$20))))^2)</f>
        <v/>
      </c>
      <c r="Q706" s="5">
        <f>MEDIAN(-6,N706+(C706-O706)/MAX(O706-P706,0.000000001),6)</f>
        <v/>
      </c>
      <c r="R706" s="5">
        <f>SUMPRODUCT(('01_Data'!$B706:$AW706&lt;&gt;"")*(1/(1+EXP(-(Q706-'03_Lap_b'!$B$25:$AW$25)))))</f>
        <v/>
      </c>
      <c r="S706" s="5">
        <f>SUMPRODUCT(('01_Data'!$B706:$AW706&lt;&gt;"")*(1/(1+EXP(-(Q706-'03_Lap_b'!$B$25:$AW$25))))^2)</f>
        <v/>
      </c>
      <c r="T706" s="5">
        <f>MEDIAN(-6,Q706+(C706-R706)/MAX(R706-S706,0.000000001),6)</f>
        <v/>
      </c>
      <c r="U706" s="5">
        <f>SUMPRODUCT(('01_Data'!$B706:$AW706&lt;&gt;"")*(1/(1+EXP(-(T706-'03_Lap_b'!$B$30:$AW$30)))))</f>
        <v/>
      </c>
      <c r="V706" s="5">
        <f>SUMPRODUCT(('01_Data'!$B706:$AW706&lt;&gt;"")*(1/(1+EXP(-(T706-'03_Lap_b'!$B$30:$AW$30))))^2)</f>
        <v/>
      </c>
      <c r="W706" s="5">
        <f>MEDIAN(-6,T706+(C706-U706)/MAX(U706-V706,0.000000001),6)</f>
        <v/>
      </c>
      <c r="X706" s="5">
        <f>SUMPRODUCT(('01_Data'!$B706:$AW706&lt;&gt;"")*(1/(1+EXP(-(W706-'03_Lap_b'!$B$35:$AW$35)))))</f>
        <v/>
      </c>
      <c r="Y706" s="5">
        <f>SUMPRODUCT(('01_Data'!$B706:$AW706&lt;&gt;"")*(1/(1+EXP(-(W706-'03_Lap_b'!$B$35:$AW$35))))^2)</f>
        <v/>
      </c>
      <c r="Z706" s="5">
        <f>MEDIAN(-6,W706+(C706-X706)/MAX(X706-Y706,0.000000001),6)</f>
        <v/>
      </c>
      <c r="AA706" s="5">
        <f>SUMPRODUCT(('01_Data'!$B706:$AW706&lt;&gt;"")*(1/(1+EXP(-(Z706-'03_Lap_b'!$B$40:$AW$40)))))</f>
        <v/>
      </c>
      <c r="AB706" s="5">
        <f>SUMPRODUCT(('01_Data'!$B706:$AW706&lt;&gt;"")*(1/(1+EXP(-(Z706-'03_Lap_b'!$B$40:$AW$40))))^2)</f>
        <v/>
      </c>
      <c r="AC706" s="5">
        <f>MEDIAN(-6,Z706+(C706-AA706)/MAX(AA706-AB706,0.000000001),6)</f>
        <v/>
      </c>
    </row>
    <row r="707">
      <c r="A707" t="n">
        <v>706</v>
      </c>
      <c r="B707">
        <f>'01_Data'!A707</f>
        <v/>
      </c>
      <c r="C707">
        <f>SUM('01_Data'!$B707:$AW707)</f>
        <v/>
      </c>
      <c r="D707">
        <f>COUNT('01_Data'!$B707:$AW707)</f>
        <v/>
      </c>
      <c r="E707" s="5">
        <f>MEDIAN(-6,LN((C707+0.3)/(D707-C707+0.3)),6)</f>
        <v/>
      </c>
      <c r="F707" s="5">
        <f>SUMPRODUCT(('01_Data'!$B707:$AW707&lt;&gt;"")*(1/(1+EXP(-(E707-'03_Lap_b'!$B$5:$AW$5)))))</f>
        <v/>
      </c>
      <c r="G707" s="5">
        <f>SUMPRODUCT(('01_Data'!$B707:$AW707&lt;&gt;"")*(1/(1+EXP(-(E707-'03_Lap_b'!$B$5:$AW$5))))^2)</f>
        <v/>
      </c>
      <c r="H707" s="5">
        <f>MEDIAN(-6,E707+(C707-F707)/MAX(F707-G707,0.000000001),6)</f>
        <v/>
      </c>
      <c r="I707" s="5">
        <f>SUMPRODUCT(('01_Data'!$B707:$AW707&lt;&gt;"")*(1/(1+EXP(-(H707-'03_Lap_b'!$B$10:$AW$10)))))</f>
        <v/>
      </c>
      <c r="J707" s="5">
        <f>SUMPRODUCT(('01_Data'!$B707:$AW707&lt;&gt;"")*(1/(1+EXP(-(H707-'03_Lap_b'!$B$10:$AW$10))))^2)</f>
        <v/>
      </c>
      <c r="K707" s="5">
        <f>MEDIAN(-6,H707+(C707-I707)/MAX(I707-J707,0.000000001),6)</f>
        <v/>
      </c>
      <c r="L707" s="5">
        <f>SUMPRODUCT(('01_Data'!$B707:$AW707&lt;&gt;"")*(1/(1+EXP(-(K707-'03_Lap_b'!$B$15:$AW$15)))))</f>
        <v/>
      </c>
      <c r="M707" s="5">
        <f>SUMPRODUCT(('01_Data'!$B707:$AW707&lt;&gt;"")*(1/(1+EXP(-(K707-'03_Lap_b'!$B$15:$AW$15))))^2)</f>
        <v/>
      </c>
      <c r="N707" s="5">
        <f>MEDIAN(-6,K707+(C707-L707)/MAX(L707-M707,0.000000001),6)</f>
        <v/>
      </c>
      <c r="O707" s="5">
        <f>SUMPRODUCT(('01_Data'!$B707:$AW707&lt;&gt;"")*(1/(1+EXP(-(N707-'03_Lap_b'!$B$20:$AW$20)))))</f>
        <v/>
      </c>
      <c r="P707" s="5">
        <f>SUMPRODUCT(('01_Data'!$B707:$AW707&lt;&gt;"")*(1/(1+EXP(-(N707-'03_Lap_b'!$B$20:$AW$20))))^2)</f>
        <v/>
      </c>
      <c r="Q707" s="5">
        <f>MEDIAN(-6,N707+(C707-O707)/MAX(O707-P707,0.000000001),6)</f>
        <v/>
      </c>
      <c r="R707" s="5">
        <f>SUMPRODUCT(('01_Data'!$B707:$AW707&lt;&gt;"")*(1/(1+EXP(-(Q707-'03_Lap_b'!$B$25:$AW$25)))))</f>
        <v/>
      </c>
      <c r="S707" s="5">
        <f>SUMPRODUCT(('01_Data'!$B707:$AW707&lt;&gt;"")*(1/(1+EXP(-(Q707-'03_Lap_b'!$B$25:$AW$25))))^2)</f>
        <v/>
      </c>
      <c r="T707" s="5">
        <f>MEDIAN(-6,Q707+(C707-R707)/MAX(R707-S707,0.000000001),6)</f>
        <v/>
      </c>
      <c r="U707" s="5">
        <f>SUMPRODUCT(('01_Data'!$B707:$AW707&lt;&gt;"")*(1/(1+EXP(-(T707-'03_Lap_b'!$B$30:$AW$30)))))</f>
        <v/>
      </c>
      <c r="V707" s="5">
        <f>SUMPRODUCT(('01_Data'!$B707:$AW707&lt;&gt;"")*(1/(1+EXP(-(T707-'03_Lap_b'!$B$30:$AW$30))))^2)</f>
        <v/>
      </c>
      <c r="W707" s="5">
        <f>MEDIAN(-6,T707+(C707-U707)/MAX(U707-V707,0.000000001),6)</f>
        <v/>
      </c>
      <c r="X707" s="5">
        <f>SUMPRODUCT(('01_Data'!$B707:$AW707&lt;&gt;"")*(1/(1+EXP(-(W707-'03_Lap_b'!$B$35:$AW$35)))))</f>
        <v/>
      </c>
      <c r="Y707" s="5">
        <f>SUMPRODUCT(('01_Data'!$B707:$AW707&lt;&gt;"")*(1/(1+EXP(-(W707-'03_Lap_b'!$B$35:$AW$35))))^2)</f>
        <v/>
      </c>
      <c r="Z707" s="5">
        <f>MEDIAN(-6,W707+(C707-X707)/MAX(X707-Y707,0.000000001),6)</f>
        <v/>
      </c>
      <c r="AA707" s="5">
        <f>SUMPRODUCT(('01_Data'!$B707:$AW707&lt;&gt;"")*(1/(1+EXP(-(Z707-'03_Lap_b'!$B$40:$AW$40)))))</f>
        <v/>
      </c>
      <c r="AB707" s="5">
        <f>SUMPRODUCT(('01_Data'!$B707:$AW707&lt;&gt;"")*(1/(1+EXP(-(Z707-'03_Lap_b'!$B$40:$AW$40))))^2)</f>
        <v/>
      </c>
      <c r="AC707" s="5">
        <f>MEDIAN(-6,Z707+(C707-AA707)/MAX(AA707-AB707,0.000000001),6)</f>
        <v/>
      </c>
    </row>
    <row r="708">
      <c r="A708" t="n">
        <v>707</v>
      </c>
      <c r="B708">
        <f>'01_Data'!A708</f>
        <v/>
      </c>
      <c r="C708">
        <f>SUM('01_Data'!$B708:$AW708)</f>
        <v/>
      </c>
      <c r="D708">
        <f>COUNT('01_Data'!$B708:$AW708)</f>
        <v/>
      </c>
      <c r="E708" s="5">
        <f>MEDIAN(-6,LN((C708+0.3)/(D708-C708+0.3)),6)</f>
        <v/>
      </c>
      <c r="F708" s="5">
        <f>SUMPRODUCT(('01_Data'!$B708:$AW708&lt;&gt;"")*(1/(1+EXP(-(E708-'03_Lap_b'!$B$5:$AW$5)))))</f>
        <v/>
      </c>
      <c r="G708" s="5">
        <f>SUMPRODUCT(('01_Data'!$B708:$AW708&lt;&gt;"")*(1/(1+EXP(-(E708-'03_Lap_b'!$B$5:$AW$5))))^2)</f>
        <v/>
      </c>
      <c r="H708" s="5">
        <f>MEDIAN(-6,E708+(C708-F708)/MAX(F708-G708,0.000000001),6)</f>
        <v/>
      </c>
      <c r="I708" s="5">
        <f>SUMPRODUCT(('01_Data'!$B708:$AW708&lt;&gt;"")*(1/(1+EXP(-(H708-'03_Lap_b'!$B$10:$AW$10)))))</f>
        <v/>
      </c>
      <c r="J708" s="5">
        <f>SUMPRODUCT(('01_Data'!$B708:$AW708&lt;&gt;"")*(1/(1+EXP(-(H708-'03_Lap_b'!$B$10:$AW$10))))^2)</f>
        <v/>
      </c>
      <c r="K708" s="5">
        <f>MEDIAN(-6,H708+(C708-I708)/MAX(I708-J708,0.000000001),6)</f>
        <v/>
      </c>
      <c r="L708" s="5">
        <f>SUMPRODUCT(('01_Data'!$B708:$AW708&lt;&gt;"")*(1/(1+EXP(-(K708-'03_Lap_b'!$B$15:$AW$15)))))</f>
        <v/>
      </c>
      <c r="M708" s="5">
        <f>SUMPRODUCT(('01_Data'!$B708:$AW708&lt;&gt;"")*(1/(1+EXP(-(K708-'03_Lap_b'!$B$15:$AW$15))))^2)</f>
        <v/>
      </c>
      <c r="N708" s="5">
        <f>MEDIAN(-6,K708+(C708-L708)/MAX(L708-M708,0.000000001),6)</f>
        <v/>
      </c>
      <c r="O708" s="5">
        <f>SUMPRODUCT(('01_Data'!$B708:$AW708&lt;&gt;"")*(1/(1+EXP(-(N708-'03_Lap_b'!$B$20:$AW$20)))))</f>
        <v/>
      </c>
      <c r="P708" s="5">
        <f>SUMPRODUCT(('01_Data'!$B708:$AW708&lt;&gt;"")*(1/(1+EXP(-(N708-'03_Lap_b'!$B$20:$AW$20))))^2)</f>
        <v/>
      </c>
      <c r="Q708" s="5">
        <f>MEDIAN(-6,N708+(C708-O708)/MAX(O708-P708,0.000000001),6)</f>
        <v/>
      </c>
      <c r="R708" s="5">
        <f>SUMPRODUCT(('01_Data'!$B708:$AW708&lt;&gt;"")*(1/(1+EXP(-(Q708-'03_Lap_b'!$B$25:$AW$25)))))</f>
        <v/>
      </c>
      <c r="S708" s="5">
        <f>SUMPRODUCT(('01_Data'!$B708:$AW708&lt;&gt;"")*(1/(1+EXP(-(Q708-'03_Lap_b'!$B$25:$AW$25))))^2)</f>
        <v/>
      </c>
      <c r="T708" s="5">
        <f>MEDIAN(-6,Q708+(C708-R708)/MAX(R708-S708,0.000000001),6)</f>
        <v/>
      </c>
      <c r="U708" s="5">
        <f>SUMPRODUCT(('01_Data'!$B708:$AW708&lt;&gt;"")*(1/(1+EXP(-(T708-'03_Lap_b'!$B$30:$AW$30)))))</f>
        <v/>
      </c>
      <c r="V708" s="5">
        <f>SUMPRODUCT(('01_Data'!$B708:$AW708&lt;&gt;"")*(1/(1+EXP(-(T708-'03_Lap_b'!$B$30:$AW$30))))^2)</f>
        <v/>
      </c>
      <c r="W708" s="5">
        <f>MEDIAN(-6,T708+(C708-U708)/MAX(U708-V708,0.000000001),6)</f>
        <v/>
      </c>
      <c r="X708" s="5">
        <f>SUMPRODUCT(('01_Data'!$B708:$AW708&lt;&gt;"")*(1/(1+EXP(-(W708-'03_Lap_b'!$B$35:$AW$35)))))</f>
        <v/>
      </c>
      <c r="Y708" s="5">
        <f>SUMPRODUCT(('01_Data'!$B708:$AW708&lt;&gt;"")*(1/(1+EXP(-(W708-'03_Lap_b'!$B$35:$AW$35))))^2)</f>
        <v/>
      </c>
      <c r="Z708" s="5">
        <f>MEDIAN(-6,W708+(C708-X708)/MAX(X708-Y708,0.000000001),6)</f>
        <v/>
      </c>
      <c r="AA708" s="5">
        <f>SUMPRODUCT(('01_Data'!$B708:$AW708&lt;&gt;"")*(1/(1+EXP(-(Z708-'03_Lap_b'!$B$40:$AW$40)))))</f>
        <v/>
      </c>
      <c r="AB708" s="5">
        <f>SUMPRODUCT(('01_Data'!$B708:$AW708&lt;&gt;"")*(1/(1+EXP(-(Z708-'03_Lap_b'!$B$40:$AW$40))))^2)</f>
        <v/>
      </c>
      <c r="AC708" s="5">
        <f>MEDIAN(-6,Z708+(C708-AA708)/MAX(AA708-AB708,0.000000001),6)</f>
        <v/>
      </c>
    </row>
    <row r="709">
      <c r="A709" t="n">
        <v>708</v>
      </c>
      <c r="B709">
        <f>'01_Data'!A709</f>
        <v/>
      </c>
      <c r="C709">
        <f>SUM('01_Data'!$B709:$AW709)</f>
        <v/>
      </c>
      <c r="D709">
        <f>COUNT('01_Data'!$B709:$AW709)</f>
        <v/>
      </c>
      <c r="E709" s="5">
        <f>MEDIAN(-6,LN((C709+0.3)/(D709-C709+0.3)),6)</f>
        <v/>
      </c>
      <c r="F709" s="5">
        <f>SUMPRODUCT(('01_Data'!$B709:$AW709&lt;&gt;"")*(1/(1+EXP(-(E709-'03_Lap_b'!$B$5:$AW$5)))))</f>
        <v/>
      </c>
      <c r="G709" s="5">
        <f>SUMPRODUCT(('01_Data'!$B709:$AW709&lt;&gt;"")*(1/(1+EXP(-(E709-'03_Lap_b'!$B$5:$AW$5))))^2)</f>
        <v/>
      </c>
      <c r="H709" s="5">
        <f>MEDIAN(-6,E709+(C709-F709)/MAX(F709-G709,0.000000001),6)</f>
        <v/>
      </c>
      <c r="I709" s="5">
        <f>SUMPRODUCT(('01_Data'!$B709:$AW709&lt;&gt;"")*(1/(1+EXP(-(H709-'03_Lap_b'!$B$10:$AW$10)))))</f>
        <v/>
      </c>
      <c r="J709" s="5">
        <f>SUMPRODUCT(('01_Data'!$B709:$AW709&lt;&gt;"")*(1/(1+EXP(-(H709-'03_Lap_b'!$B$10:$AW$10))))^2)</f>
        <v/>
      </c>
      <c r="K709" s="5">
        <f>MEDIAN(-6,H709+(C709-I709)/MAX(I709-J709,0.000000001),6)</f>
        <v/>
      </c>
      <c r="L709" s="5">
        <f>SUMPRODUCT(('01_Data'!$B709:$AW709&lt;&gt;"")*(1/(1+EXP(-(K709-'03_Lap_b'!$B$15:$AW$15)))))</f>
        <v/>
      </c>
      <c r="M709" s="5">
        <f>SUMPRODUCT(('01_Data'!$B709:$AW709&lt;&gt;"")*(1/(1+EXP(-(K709-'03_Lap_b'!$B$15:$AW$15))))^2)</f>
        <v/>
      </c>
      <c r="N709" s="5">
        <f>MEDIAN(-6,K709+(C709-L709)/MAX(L709-M709,0.000000001),6)</f>
        <v/>
      </c>
      <c r="O709" s="5">
        <f>SUMPRODUCT(('01_Data'!$B709:$AW709&lt;&gt;"")*(1/(1+EXP(-(N709-'03_Lap_b'!$B$20:$AW$20)))))</f>
        <v/>
      </c>
      <c r="P709" s="5">
        <f>SUMPRODUCT(('01_Data'!$B709:$AW709&lt;&gt;"")*(1/(1+EXP(-(N709-'03_Lap_b'!$B$20:$AW$20))))^2)</f>
        <v/>
      </c>
      <c r="Q709" s="5">
        <f>MEDIAN(-6,N709+(C709-O709)/MAX(O709-P709,0.000000001),6)</f>
        <v/>
      </c>
      <c r="R709" s="5">
        <f>SUMPRODUCT(('01_Data'!$B709:$AW709&lt;&gt;"")*(1/(1+EXP(-(Q709-'03_Lap_b'!$B$25:$AW$25)))))</f>
        <v/>
      </c>
      <c r="S709" s="5">
        <f>SUMPRODUCT(('01_Data'!$B709:$AW709&lt;&gt;"")*(1/(1+EXP(-(Q709-'03_Lap_b'!$B$25:$AW$25))))^2)</f>
        <v/>
      </c>
      <c r="T709" s="5">
        <f>MEDIAN(-6,Q709+(C709-R709)/MAX(R709-S709,0.000000001),6)</f>
        <v/>
      </c>
      <c r="U709" s="5">
        <f>SUMPRODUCT(('01_Data'!$B709:$AW709&lt;&gt;"")*(1/(1+EXP(-(T709-'03_Lap_b'!$B$30:$AW$30)))))</f>
        <v/>
      </c>
      <c r="V709" s="5">
        <f>SUMPRODUCT(('01_Data'!$B709:$AW709&lt;&gt;"")*(1/(1+EXP(-(T709-'03_Lap_b'!$B$30:$AW$30))))^2)</f>
        <v/>
      </c>
      <c r="W709" s="5">
        <f>MEDIAN(-6,T709+(C709-U709)/MAX(U709-V709,0.000000001),6)</f>
        <v/>
      </c>
      <c r="X709" s="5">
        <f>SUMPRODUCT(('01_Data'!$B709:$AW709&lt;&gt;"")*(1/(1+EXP(-(W709-'03_Lap_b'!$B$35:$AW$35)))))</f>
        <v/>
      </c>
      <c r="Y709" s="5">
        <f>SUMPRODUCT(('01_Data'!$B709:$AW709&lt;&gt;"")*(1/(1+EXP(-(W709-'03_Lap_b'!$B$35:$AW$35))))^2)</f>
        <v/>
      </c>
      <c r="Z709" s="5">
        <f>MEDIAN(-6,W709+(C709-X709)/MAX(X709-Y709,0.000000001),6)</f>
        <v/>
      </c>
      <c r="AA709" s="5">
        <f>SUMPRODUCT(('01_Data'!$B709:$AW709&lt;&gt;"")*(1/(1+EXP(-(Z709-'03_Lap_b'!$B$40:$AW$40)))))</f>
        <v/>
      </c>
      <c r="AB709" s="5">
        <f>SUMPRODUCT(('01_Data'!$B709:$AW709&lt;&gt;"")*(1/(1+EXP(-(Z709-'03_Lap_b'!$B$40:$AW$40))))^2)</f>
        <v/>
      </c>
      <c r="AC709" s="5">
        <f>MEDIAN(-6,Z709+(C709-AA709)/MAX(AA709-AB709,0.000000001),6)</f>
        <v/>
      </c>
    </row>
    <row r="710">
      <c r="A710" t="n">
        <v>709</v>
      </c>
      <c r="B710">
        <f>'01_Data'!A710</f>
        <v/>
      </c>
      <c r="C710">
        <f>SUM('01_Data'!$B710:$AW710)</f>
        <v/>
      </c>
      <c r="D710">
        <f>COUNT('01_Data'!$B710:$AW710)</f>
        <v/>
      </c>
      <c r="E710" s="5">
        <f>MEDIAN(-6,LN((C710+0.3)/(D710-C710+0.3)),6)</f>
        <v/>
      </c>
      <c r="F710" s="5">
        <f>SUMPRODUCT(('01_Data'!$B710:$AW710&lt;&gt;"")*(1/(1+EXP(-(E710-'03_Lap_b'!$B$5:$AW$5)))))</f>
        <v/>
      </c>
      <c r="G710" s="5">
        <f>SUMPRODUCT(('01_Data'!$B710:$AW710&lt;&gt;"")*(1/(1+EXP(-(E710-'03_Lap_b'!$B$5:$AW$5))))^2)</f>
        <v/>
      </c>
      <c r="H710" s="5">
        <f>MEDIAN(-6,E710+(C710-F710)/MAX(F710-G710,0.000000001),6)</f>
        <v/>
      </c>
      <c r="I710" s="5">
        <f>SUMPRODUCT(('01_Data'!$B710:$AW710&lt;&gt;"")*(1/(1+EXP(-(H710-'03_Lap_b'!$B$10:$AW$10)))))</f>
        <v/>
      </c>
      <c r="J710" s="5">
        <f>SUMPRODUCT(('01_Data'!$B710:$AW710&lt;&gt;"")*(1/(1+EXP(-(H710-'03_Lap_b'!$B$10:$AW$10))))^2)</f>
        <v/>
      </c>
      <c r="K710" s="5">
        <f>MEDIAN(-6,H710+(C710-I710)/MAX(I710-J710,0.000000001),6)</f>
        <v/>
      </c>
      <c r="L710" s="5">
        <f>SUMPRODUCT(('01_Data'!$B710:$AW710&lt;&gt;"")*(1/(1+EXP(-(K710-'03_Lap_b'!$B$15:$AW$15)))))</f>
        <v/>
      </c>
      <c r="M710" s="5">
        <f>SUMPRODUCT(('01_Data'!$B710:$AW710&lt;&gt;"")*(1/(1+EXP(-(K710-'03_Lap_b'!$B$15:$AW$15))))^2)</f>
        <v/>
      </c>
      <c r="N710" s="5">
        <f>MEDIAN(-6,K710+(C710-L710)/MAX(L710-M710,0.000000001),6)</f>
        <v/>
      </c>
      <c r="O710" s="5">
        <f>SUMPRODUCT(('01_Data'!$B710:$AW710&lt;&gt;"")*(1/(1+EXP(-(N710-'03_Lap_b'!$B$20:$AW$20)))))</f>
        <v/>
      </c>
      <c r="P710" s="5">
        <f>SUMPRODUCT(('01_Data'!$B710:$AW710&lt;&gt;"")*(1/(1+EXP(-(N710-'03_Lap_b'!$B$20:$AW$20))))^2)</f>
        <v/>
      </c>
      <c r="Q710" s="5">
        <f>MEDIAN(-6,N710+(C710-O710)/MAX(O710-P710,0.000000001),6)</f>
        <v/>
      </c>
      <c r="R710" s="5">
        <f>SUMPRODUCT(('01_Data'!$B710:$AW710&lt;&gt;"")*(1/(1+EXP(-(Q710-'03_Lap_b'!$B$25:$AW$25)))))</f>
        <v/>
      </c>
      <c r="S710" s="5">
        <f>SUMPRODUCT(('01_Data'!$B710:$AW710&lt;&gt;"")*(1/(1+EXP(-(Q710-'03_Lap_b'!$B$25:$AW$25))))^2)</f>
        <v/>
      </c>
      <c r="T710" s="5">
        <f>MEDIAN(-6,Q710+(C710-R710)/MAX(R710-S710,0.000000001),6)</f>
        <v/>
      </c>
      <c r="U710" s="5">
        <f>SUMPRODUCT(('01_Data'!$B710:$AW710&lt;&gt;"")*(1/(1+EXP(-(T710-'03_Lap_b'!$B$30:$AW$30)))))</f>
        <v/>
      </c>
      <c r="V710" s="5">
        <f>SUMPRODUCT(('01_Data'!$B710:$AW710&lt;&gt;"")*(1/(1+EXP(-(T710-'03_Lap_b'!$B$30:$AW$30))))^2)</f>
        <v/>
      </c>
      <c r="W710" s="5">
        <f>MEDIAN(-6,T710+(C710-U710)/MAX(U710-V710,0.000000001),6)</f>
        <v/>
      </c>
      <c r="X710" s="5">
        <f>SUMPRODUCT(('01_Data'!$B710:$AW710&lt;&gt;"")*(1/(1+EXP(-(W710-'03_Lap_b'!$B$35:$AW$35)))))</f>
        <v/>
      </c>
      <c r="Y710" s="5">
        <f>SUMPRODUCT(('01_Data'!$B710:$AW710&lt;&gt;"")*(1/(1+EXP(-(W710-'03_Lap_b'!$B$35:$AW$35))))^2)</f>
        <v/>
      </c>
      <c r="Z710" s="5">
        <f>MEDIAN(-6,W710+(C710-X710)/MAX(X710-Y710,0.000000001),6)</f>
        <v/>
      </c>
      <c r="AA710" s="5">
        <f>SUMPRODUCT(('01_Data'!$B710:$AW710&lt;&gt;"")*(1/(1+EXP(-(Z710-'03_Lap_b'!$B$40:$AW$40)))))</f>
        <v/>
      </c>
      <c r="AB710" s="5">
        <f>SUMPRODUCT(('01_Data'!$B710:$AW710&lt;&gt;"")*(1/(1+EXP(-(Z710-'03_Lap_b'!$B$40:$AW$40))))^2)</f>
        <v/>
      </c>
      <c r="AC710" s="5">
        <f>MEDIAN(-6,Z710+(C710-AA710)/MAX(AA710-AB710,0.000000001),6)</f>
        <v/>
      </c>
    </row>
    <row r="711">
      <c r="A711" t="n">
        <v>710</v>
      </c>
      <c r="B711">
        <f>'01_Data'!A711</f>
        <v/>
      </c>
      <c r="C711">
        <f>SUM('01_Data'!$B711:$AW711)</f>
        <v/>
      </c>
      <c r="D711">
        <f>COUNT('01_Data'!$B711:$AW711)</f>
        <v/>
      </c>
      <c r="E711" s="5">
        <f>MEDIAN(-6,LN((C711+0.3)/(D711-C711+0.3)),6)</f>
        <v/>
      </c>
      <c r="F711" s="5">
        <f>SUMPRODUCT(('01_Data'!$B711:$AW711&lt;&gt;"")*(1/(1+EXP(-(E711-'03_Lap_b'!$B$5:$AW$5)))))</f>
        <v/>
      </c>
      <c r="G711" s="5">
        <f>SUMPRODUCT(('01_Data'!$B711:$AW711&lt;&gt;"")*(1/(1+EXP(-(E711-'03_Lap_b'!$B$5:$AW$5))))^2)</f>
        <v/>
      </c>
      <c r="H711" s="5">
        <f>MEDIAN(-6,E711+(C711-F711)/MAX(F711-G711,0.000000001),6)</f>
        <v/>
      </c>
      <c r="I711" s="5">
        <f>SUMPRODUCT(('01_Data'!$B711:$AW711&lt;&gt;"")*(1/(1+EXP(-(H711-'03_Lap_b'!$B$10:$AW$10)))))</f>
        <v/>
      </c>
      <c r="J711" s="5">
        <f>SUMPRODUCT(('01_Data'!$B711:$AW711&lt;&gt;"")*(1/(1+EXP(-(H711-'03_Lap_b'!$B$10:$AW$10))))^2)</f>
        <v/>
      </c>
      <c r="K711" s="5">
        <f>MEDIAN(-6,H711+(C711-I711)/MAX(I711-J711,0.000000001),6)</f>
        <v/>
      </c>
      <c r="L711" s="5">
        <f>SUMPRODUCT(('01_Data'!$B711:$AW711&lt;&gt;"")*(1/(1+EXP(-(K711-'03_Lap_b'!$B$15:$AW$15)))))</f>
        <v/>
      </c>
      <c r="M711" s="5">
        <f>SUMPRODUCT(('01_Data'!$B711:$AW711&lt;&gt;"")*(1/(1+EXP(-(K711-'03_Lap_b'!$B$15:$AW$15))))^2)</f>
        <v/>
      </c>
      <c r="N711" s="5">
        <f>MEDIAN(-6,K711+(C711-L711)/MAX(L711-M711,0.000000001),6)</f>
        <v/>
      </c>
      <c r="O711" s="5">
        <f>SUMPRODUCT(('01_Data'!$B711:$AW711&lt;&gt;"")*(1/(1+EXP(-(N711-'03_Lap_b'!$B$20:$AW$20)))))</f>
        <v/>
      </c>
      <c r="P711" s="5">
        <f>SUMPRODUCT(('01_Data'!$B711:$AW711&lt;&gt;"")*(1/(1+EXP(-(N711-'03_Lap_b'!$B$20:$AW$20))))^2)</f>
        <v/>
      </c>
      <c r="Q711" s="5">
        <f>MEDIAN(-6,N711+(C711-O711)/MAX(O711-P711,0.000000001),6)</f>
        <v/>
      </c>
      <c r="R711" s="5">
        <f>SUMPRODUCT(('01_Data'!$B711:$AW711&lt;&gt;"")*(1/(1+EXP(-(Q711-'03_Lap_b'!$B$25:$AW$25)))))</f>
        <v/>
      </c>
      <c r="S711" s="5">
        <f>SUMPRODUCT(('01_Data'!$B711:$AW711&lt;&gt;"")*(1/(1+EXP(-(Q711-'03_Lap_b'!$B$25:$AW$25))))^2)</f>
        <v/>
      </c>
      <c r="T711" s="5">
        <f>MEDIAN(-6,Q711+(C711-R711)/MAX(R711-S711,0.000000001),6)</f>
        <v/>
      </c>
      <c r="U711" s="5">
        <f>SUMPRODUCT(('01_Data'!$B711:$AW711&lt;&gt;"")*(1/(1+EXP(-(T711-'03_Lap_b'!$B$30:$AW$30)))))</f>
        <v/>
      </c>
      <c r="V711" s="5">
        <f>SUMPRODUCT(('01_Data'!$B711:$AW711&lt;&gt;"")*(1/(1+EXP(-(T711-'03_Lap_b'!$B$30:$AW$30))))^2)</f>
        <v/>
      </c>
      <c r="W711" s="5">
        <f>MEDIAN(-6,T711+(C711-U711)/MAX(U711-V711,0.000000001),6)</f>
        <v/>
      </c>
      <c r="X711" s="5">
        <f>SUMPRODUCT(('01_Data'!$B711:$AW711&lt;&gt;"")*(1/(1+EXP(-(W711-'03_Lap_b'!$B$35:$AW$35)))))</f>
        <v/>
      </c>
      <c r="Y711" s="5">
        <f>SUMPRODUCT(('01_Data'!$B711:$AW711&lt;&gt;"")*(1/(1+EXP(-(W711-'03_Lap_b'!$B$35:$AW$35))))^2)</f>
        <v/>
      </c>
      <c r="Z711" s="5">
        <f>MEDIAN(-6,W711+(C711-X711)/MAX(X711-Y711,0.000000001),6)</f>
        <v/>
      </c>
      <c r="AA711" s="5">
        <f>SUMPRODUCT(('01_Data'!$B711:$AW711&lt;&gt;"")*(1/(1+EXP(-(Z711-'03_Lap_b'!$B$40:$AW$40)))))</f>
        <v/>
      </c>
      <c r="AB711" s="5">
        <f>SUMPRODUCT(('01_Data'!$B711:$AW711&lt;&gt;"")*(1/(1+EXP(-(Z711-'03_Lap_b'!$B$40:$AW$40))))^2)</f>
        <v/>
      </c>
      <c r="AC711" s="5">
        <f>MEDIAN(-6,Z711+(C711-AA711)/MAX(AA711-AB711,0.000000001),6)</f>
        <v/>
      </c>
    </row>
    <row r="712">
      <c r="A712" t="n">
        <v>711</v>
      </c>
      <c r="B712">
        <f>'01_Data'!A712</f>
        <v/>
      </c>
      <c r="C712">
        <f>SUM('01_Data'!$B712:$AW712)</f>
        <v/>
      </c>
      <c r="D712">
        <f>COUNT('01_Data'!$B712:$AW712)</f>
        <v/>
      </c>
      <c r="E712" s="5">
        <f>MEDIAN(-6,LN((C712+0.3)/(D712-C712+0.3)),6)</f>
        <v/>
      </c>
      <c r="F712" s="5">
        <f>SUMPRODUCT(('01_Data'!$B712:$AW712&lt;&gt;"")*(1/(1+EXP(-(E712-'03_Lap_b'!$B$5:$AW$5)))))</f>
        <v/>
      </c>
      <c r="G712" s="5">
        <f>SUMPRODUCT(('01_Data'!$B712:$AW712&lt;&gt;"")*(1/(1+EXP(-(E712-'03_Lap_b'!$B$5:$AW$5))))^2)</f>
        <v/>
      </c>
      <c r="H712" s="5">
        <f>MEDIAN(-6,E712+(C712-F712)/MAX(F712-G712,0.000000001),6)</f>
        <v/>
      </c>
      <c r="I712" s="5">
        <f>SUMPRODUCT(('01_Data'!$B712:$AW712&lt;&gt;"")*(1/(1+EXP(-(H712-'03_Lap_b'!$B$10:$AW$10)))))</f>
        <v/>
      </c>
      <c r="J712" s="5">
        <f>SUMPRODUCT(('01_Data'!$B712:$AW712&lt;&gt;"")*(1/(1+EXP(-(H712-'03_Lap_b'!$B$10:$AW$10))))^2)</f>
        <v/>
      </c>
      <c r="K712" s="5">
        <f>MEDIAN(-6,H712+(C712-I712)/MAX(I712-J712,0.000000001),6)</f>
        <v/>
      </c>
      <c r="L712" s="5">
        <f>SUMPRODUCT(('01_Data'!$B712:$AW712&lt;&gt;"")*(1/(1+EXP(-(K712-'03_Lap_b'!$B$15:$AW$15)))))</f>
        <v/>
      </c>
      <c r="M712" s="5">
        <f>SUMPRODUCT(('01_Data'!$B712:$AW712&lt;&gt;"")*(1/(1+EXP(-(K712-'03_Lap_b'!$B$15:$AW$15))))^2)</f>
        <v/>
      </c>
      <c r="N712" s="5">
        <f>MEDIAN(-6,K712+(C712-L712)/MAX(L712-M712,0.000000001),6)</f>
        <v/>
      </c>
      <c r="O712" s="5">
        <f>SUMPRODUCT(('01_Data'!$B712:$AW712&lt;&gt;"")*(1/(1+EXP(-(N712-'03_Lap_b'!$B$20:$AW$20)))))</f>
        <v/>
      </c>
      <c r="P712" s="5">
        <f>SUMPRODUCT(('01_Data'!$B712:$AW712&lt;&gt;"")*(1/(1+EXP(-(N712-'03_Lap_b'!$B$20:$AW$20))))^2)</f>
        <v/>
      </c>
      <c r="Q712" s="5">
        <f>MEDIAN(-6,N712+(C712-O712)/MAX(O712-P712,0.000000001),6)</f>
        <v/>
      </c>
      <c r="R712" s="5">
        <f>SUMPRODUCT(('01_Data'!$B712:$AW712&lt;&gt;"")*(1/(1+EXP(-(Q712-'03_Lap_b'!$B$25:$AW$25)))))</f>
        <v/>
      </c>
      <c r="S712" s="5">
        <f>SUMPRODUCT(('01_Data'!$B712:$AW712&lt;&gt;"")*(1/(1+EXP(-(Q712-'03_Lap_b'!$B$25:$AW$25))))^2)</f>
        <v/>
      </c>
      <c r="T712" s="5">
        <f>MEDIAN(-6,Q712+(C712-R712)/MAX(R712-S712,0.000000001),6)</f>
        <v/>
      </c>
      <c r="U712" s="5">
        <f>SUMPRODUCT(('01_Data'!$B712:$AW712&lt;&gt;"")*(1/(1+EXP(-(T712-'03_Lap_b'!$B$30:$AW$30)))))</f>
        <v/>
      </c>
      <c r="V712" s="5">
        <f>SUMPRODUCT(('01_Data'!$B712:$AW712&lt;&gt;"")*(1/(1+EXP(-(T712-'03_Lap_b'!$B$30:$AW$30))))^2)</f>
        <v/>
      </c>
      <c r="W712" s="5">
        <f>MEDIAN(-6,T712+(C712-U712)/MAX(U712-V712,0.000000001),6)</f>
        <v/>
      </c>
      <c r="X712" s="5">
        <f>SUMPRODUCT(('01_Data'!$B712:$AW712&lt;&gt;"")*(1/(1+EXP(-(W712-'03_Lap_b'!$B$35:$AW$35)))))</f>
        <v/>
      </c>
      <c r="Y712" s="5">
        <f>SUMPRODUCT(('01_Data'!$B712:$AW712&lt;&gt;"")*(1/(1+EXP(-(W712-'03_Lap_b'!$B$35:$AW$35))))^2)</f>
        <v/>
      </c>
      <c r="Z712" s="5">
        <f>MEDIAN(-6,W712+(C712-X712)/MAX(X712-Y712,0.000000001),6)</f>
        <v/>
      </c>
      <c r="AA712" s="5">
        <f>SUMPRODUCT(('01_Data'!$B712:$AW712&lt;&gt;"")*(1/(1+EXP(-(Z712-'03_Lap_b'!$B$40:$AW$40)))))</f>
        <v/>
      </c>
      <c r="AB712" s="5">
        <f>SUMPRODUCT(('01_Data'!$B712:$AW712&lt;&gt;"")*(1/(1+EXP(-(Z712-'03_Lap_b'!$B$40:$AW$40))))^2)</f>
        <v/>
      </c>
      <c r="AC712" s="5">
        <f>MEDIAN(-6,Z712+(C712-AA712)/MAX(AA712-AB712,0.000000001),6)</f>
        <v/>
      </c>
    </row>
    <row r="713">
      <c r="A713" t="n">
        <v>712</v>
      </c>
      <c r="B713">
        <f>'01_Data'!A713</f>
        <v/>
      </c>
      <c r="C713">
        <f>SUM('01_Data'!$B713:$AW713)</f>
        <v/>
      </c>
      <c r="D713">
        <f>COUNT('01_Data'!$B713:$AW713)</f>
        <v/>
      </c>
      <c r="E713" s="5">
        <f>MEDIAN(-6,LN((C713+0.3)/(D713-C713+0.3)),6)</f>
        <v/>
      </c>
      <c r="F713" s="5">
        <f>SUMPRODUCT(('01_Data'!$B713:$AW713&lt;&gt;"")*(1/(1+EXP(-(E713-'03_Lap_b'!$B$5:$AW$5)))))</f>
        <v/>
      </c>
      <c r="G713" s="5">
        <f>SUMPRODUCT(('01_Data'!$B713:$AW713&lt;&gt;"")*(1/(1+EXP(-(E713-'03_Lap_b'!$B$5:$AW$5))))^2)</f>
        <v/>
      </c>
      <c r="H713" s="5">
        <f>MEDIAN(-6,E713+(C713-F713)/MAX(F713-G713,0.000000001),6)</f>
        <v/>
      </c>
      <c r="I713" s="5">
        <f>SUMPRODUCT(('01_Data'!$B713:$AW713&lt;&gt;"")*(1/(1+EXP(-(H713-'03_Lap_b'!$B$10:$AW$10)))))</f>
        <v/>
      </c>
      <c r="J713" s="5">
        <f>SUMPRODUCT(('01_Data'!$B713:$AW713&lt;&gt;"")*(1/(1+EXP(-(H713-'03_Lap_b'!$B$10:$AW$10))))^2)</f>
        <v/>
      </c>
      <c r="K713" s="5">
        <f>MEDIAN(-6,H713+(C713-I713)/MAX(I713-J713,0.000000001),6)</f>
        <v/>
      </c>
      <c r="L713" s="5">
        <f>SUMPRODUCT(('01_Data'!$B713:$AW713&lt;&gt;"")*(1/(1+EXP(-(K713-'03_Lap_b'!$B$15:$AW$15)))))</f>
        <v/>
      </c>
      <c r="M713" s="5">
        <f>SUMPRODUCT(('01_Data'!$B713:$AW713&lt;&gt;"")*(1/(1+EXP(-(K713-'03_Lap_b'!$B$15:$AW$15))))^2)</f>
        <v/>
      </c>
      <c r="N713" s="5">
        <f>MEDIAN(-6,K713+(C713-L713)/MAX(L713-M713,0.000000001),6)</f>
        <v/>
      </c>
      <c r="O713" s="5">
        <f>SUMPRODUCT(('01_Data'!$B713:$AW713&lt;&gt;"")*(1/(1+EXP(-(N713-'03_Lap_b'!$B$20:$AW$20)))))</f>
        <v/>
      </c>
      <c r="P713" s="5">
        <f>SUMPRODUCT(('01_Data'!$B713:$AW713&lt;&gt;"")*(1/(1+EXP(-(N713-'03_Lap_b'!$B$20:$AW$20))))^2)</f>
        <v/>
      </c>
      <c r="Q713" s="5">
        <f>MEDIAN(-6,N713+(C713-O713)/MAX(O713-P713,0.000000001),6)</f>
        <v/>
      </c>
      <c r="R713" s="5">
        <f>SUMPRODUCT(('01_Data'!$B713:$AW713&lt;&gt;"")*(1/(1+EXP(-(Q713-'03_Lap_b'!$B$25:$AW$25)))))</f>
        <v/>
      </c>
      <c r="S713" s="5">
        <f>SUMPRODUCT(('01_Data'!$B713:$AW713&lt;&gt;"")*(1/(1+EXP(-(Q713-'03_Lap_b'!$B$25:$AW$25))))^2)</f>
        <v/>
      </c>
      <c r="T713" s="5">
        <f>MEDIAN(-6,Q713+(C713-R713)/MAX(R713-S713,0.000000001),6)</f>
        <v/>
      </c>
      <c r="U713" s="5">
        <f>SUMPRODUCT(('01_Data'!$B713:$AW713&lt;&gt;"")*(1/(1+EXP(-(T713-'03_Lap_b'!$B$30:$AW$30)))))</f>
        <v/>
      </c>
      <c r="V713" s="5">
        <f>SUMPRODUCT(('01_Data'!$B713:$AW713&lt;&gt;"")*(1/(1+EXP(-(T713-'03_Lap_b'!$B$30:$AW$30))))^2)</f>
        <v/>
      </c>
      <c r="W713" s="5">
        <f>MEDIAN(-6,T713+(C713-U713)/MAX(U713-V713,0.000000001),6)</f>
        <v/>
      </c>
      <c r="X713" s="5">
        <f>SUMPRODUCT(('01_Data'!$B713:$AW713&lt;&gt;"")*(1/(1+EXP(-(W713-'03_Lap_b'!$B$35:$AW$35)))))</f>
        <v/>
      </c>
      <c r="Y713" s="5">
        <f>SUMPRODUCT(('01_Data'!$B713:$AW713&lt;&gt;"")*(1/(1+EXP(-(W713-'03_Lap_b'!$B$35:$AW$35))))^2)</f>
        <v/>
      </c>
      <c r="Z713" s="5">
        <f>MEDIAN(-6,W713+(C713-X713)/MAX(X713-Y713,0.000000001),6)</f>
        <v/>
      </c>
      <c r="AA713" s="5">
        <f>SUMPRODUCT(('01_Data'!$B713:$AW713&lt;&gt;"")*(1/(1+EXP(-(Z713-'03_Lap_b'!$B$40:$AW$40)))))</f>
        <v/>
      </c>
      <c r="AB713" s="5">
        <f>SUMPRODUCT(('01_Data'!$B713:$AW713&lt;&gt;"")*(1/(1+EXP(-(Z713-'03_Lap_b'!$B$40:$AW$40))))^2)</f>
        <v/>
      </c>
      <c r="AC713" s="5">
        <f>MEDIAN(-6,Z713+(C713-AA713)/MAX(AA713-AB713,0.000000001),6)</f>
        <v/>
      </c>
    </row>
    <row r="714">
      <c r="A714" t="n">
        <v>713</v>
      </c>
      <c r="B714">
        <f>'01_Data'!A714</f>
        <v/>
      </c>
      <c r="C714">
        <f>SUM('01_Data'!$B714:$AW714)</f>
        <v/>
      </c>
      <c r="D714">
        <f>COUNT('01_Data'!$B714:$AW714)</f>
        <v/>
      </c>
      <c r="E714" s="5">
        <f>MEDIAN(-6,LN((C714+0.3)/(D714-C714+0.3)),6)</f>
        <v/>
      </c>
      <c r="F714" s="5">
        <f>SUMPRODUCT(('01_Data'!$B714:$AW714&lt;&gt;"")*(1/(1+EXP(-(E714-'03_Lap_b'!$B$5:$AW$5)))))</f>
        <v/>
      </c>
      <c r="G714" s="5">
        <f>SUMPRODUCT(('01_Data'!$B714:$AW714&lt;&gt;"")*(1/(1+EXP(-(E714-'03_Lap_b'!$B$5:$AW$5))))^2)</f>
        <v/>
      </c>
      <c r="H714" s="5">
        <f>MEDIAN(-6,E714+(C714-F714)/MAX(F714-G714,0.000000001),6)</f>
        <v/>
      </c>
      <c r="I714" s="5">
        <f>SUMPRODUCT(('01_Data'!$B714:$AW714&lt;&gt;"")*(1/(1+EXP(-(H714-'03_Lap_b'!$B$10:$AW$10)))))</f>
        <v/>
      </c>
      <c r="J714" s="5">
        <f>SUMPRODUCT(('01_Data'!$B714:$AW714&lt;&gt;"")*(1/(1+EXP(-(H714-'03_Lap_b'!$B$10:$AW$10))))^2)</f>
        <v/>
      </c>
      <c r="K714" s="5">
        <f>MEDIAN(-6,H714+(C714-I714)/MAX(I714-J714,0.000000001),6)</f>
        <v/>
      </c>
      <c r="L714" s="5">
        <f>SUMPRODUCT(('01_Data'!$B714:$AW714&lt;&gt;"")*(1/(1+EXP(-(K714-'03_Lap_b'!$B$15:$AW$15)))))</f>
        <v/>
      </c>
      <c r="M714" s="5">
        <f>SUMPRODUCT(('01_Data'!$B714:$AW714&lt;&gt;"")*(1/(1+EXP(-(K714-'03_Lap_b'!$B$15:$AW$15))))^2)</f>
        <v/>
      </c>
      <c r="N714" s="5">
        <f>MEDIAN(-6,K714+(C714-L714)/MAX(L714-M714,0.000000001),6)</f>
        <v/>
      </c>
      <c r="O714" s="5">
        <f>SUMPRODUCT(('01_Data'!$B714:$AW714&lt;&gt;"")*(1/(1+EXP(-(N714-'03_Lap_b'!$B$20:$AW$20)))))</f>
        <v/>
      </c>
      <c r="P714" s="5">
        <f>SUMPRODUCT(('01_Data'!$B714:$AW714&lt;&gt;"")*(1/(1+EXP(-(N714-'03_Lap_b'!$B$20:$AW$20))))^2)</f>
        <v/>
      </c>
      <c r="Q714" s="5">
        <f>MEDIAN(-6,N714+(C714-O714)/MAX(O714-P714,0.000000001),6)</f>
        <v/>
      </c>
      <c r="R714" s="5">
        <f>SUMPRODUCT(('01_Data'!$B714:$AW714&lt;&gt;"")*(1/(1+EXP(-(Q714-'03_Lap_b'!$B$25:$AW$25)))))</f>
        <v/>
      </c>
      <c r="S714" s="5">
        <f>SUMPRODUCT(('01_Data'!$B714:$AW714&lt;&gt;"")*(1/(1+EXP(-(Q714-'03_Lap_b'!$B$25:$AW$25))))^2)</f>
        <v/>
      </c>
      <c r="T714" s="5">
        <f>MEDIAN(-6,Q714+(C714-R714)/MAX(R714-S714,0.000000001),6)</f>
        <v/>
      </c>
      <c r="U714" s="5">
        <f>SUMPRODUCT(('01_Data'!$B714:$AW714&lt;&gt;"")*(1/(1+EXP(-(T714-'03_Lap_b'!$B$30:$AW$30)))))</f>
        <v/>
      </c>
      <c r="V714" s="5">
        <f>SUMPRODUCT(('01_Data'!$B714:$AW714&lt;&gt;"")*(1/(1+EXP(-(T714-'03_Lap_b'!$B$30:$AW$30))))^2)</f>
        <v/>
      </c>
      <c r="W714" s="5">
        <f>MEDIAN(-6,T714+(C714-U714)/MAX(U714-V714,0.000000001),6)</f>
        <v/>
      </c>
      <c r="X714" s="5">
        <f>SUMPRODUCT(('01_Data'!$B714:$AW714&lt;&gt;"")*(1/(1+EXP(-(W714-'03_Lap_b'!$B$35:$AW$35)))))</f>
        <v/>
      </c>
      <c r="Y714" s="5">
        <f>SUMPRODUCT(('01_Data'!$B714:$AW714&lt;&gt;"")*(1/(1+EXP(-(W714-'03_Lap_b'!$B$35:$AW$35))))^2)</f>
        <v/>
      </c>
      <c r="Z714" s="5">
        <f>MEDIAN(-6,W714+(C714-X714)/MAX(X714-Y714,0.000000001),6)</f>
        <v/>
      </c>
      <c r="AA714" s="5">
        <f>SUMPRODUCT(('01_Data'!$B714:$AW714&lt;&gt;"")*(1/(1+EXP(-(Z714-'03_Lap_b'!$B$40:$AW$40)))))</f>
        <v/>
      </c>
      <c r="AB714" s="5">
        <f>SUMPRODUCT(('01_Data'!$B714:$AW714&lt;&gt;"")*(1/(1+EXP(-(Z714-'03_Lap_b'!$B$40:$AW$40))))^2)</f>
        <v/>
      </c>
      <c r="AC714" s="5">
        <f>MEDIAN(-6,Z714+(C714-AA714)/MAX(AA714-AB714,0.000000001),6)</f>
        <v/>
      </c>
    </row>
    <row r="715">
      <c r="A715" t="n">
        <v>714</v>
      </c>
      <c r="B715">
        <f>'01_Data'!A715</f>
        <v/>
      </c>
      <c r="C715">
        <f>SUM('01_Data'!$B715:$AW715)</f>
        <v/>
      </c>
      <c r="D715">
        <f>COUNT('01_Data'!$B715:$AW715)</f>
        <v/>
      </c>
      <c r="E715" s="5">
        <f>MEDIAN(-6,LN((C715+0.3)/(D715-C715+0.3)),6)</f>
        <v/>
      </c>
      <c r="F715" s="5">
        <f>SUMPRODUCT(('01_Data'!$B715:$AW715&lt;&gt;"")*(1/(1+EXP(-(E715-'03_Lap_b'!$B$5:$AW$5)))))</f>
        <v/>
      </c>
      <c r="G715" s="5">
        <f>SUMPRODUCT(('01_Data'!$B715:$AW715&lt;&gt;"")*(1/(1+EXP(-(E715-'03_Lap_b'!$B$5:$AW$5))))^2)</f>
        <v/>
      </c>
      <c r="H715" s="5">
        <f>MEDIAN(-6,E715+(C715-F715)/MAX(F715-G715,0.000000001),6)</f>
        <v/>
      </c>
      <c r="I715" s="5">
        <f>SUMPRODUCT(('01_Data'!$B715:$AW715&lt;&gt;"")*(1/(1+EXP(-(H715-'03_Lap_b'!$B$10:$AW$10)))))</f>
        <v/>
      </c>
      <c r="J715" s="5">
        <f>SUMPRODUCT(('01_Data'!$B715:$AW715&lt;&gt;"")*(1/(1+EXP(-(H715-'03_Lap_b'!$B$10:$AW$10))))^2)</f>
        <v/>
      </c>
      <c r="K715" s="5">
        <f>MEDIAN(-6,H715+(C715-I715)/MAX(I715-J715,0.000000001),6)</f>
        <v/>
      </c>
      <c r="L715" s="5">
        <f>SUMPRODUCT(('01_Data'!$B715:$AW715&lt;&gt;"")*(1/(1+EXP(-(K715-'03_Lap_b'!$B$15:$AW$15)))))</f>
        <v/>
      </c>
      <c r="M715" s="5">
        <f>SUMPRODUCT(('01_Data'!$B715:$AW715&lt;&gt;"")*(1/(1+EXP(-(K715-'03_Lap_b'!$B$15:$AW$15))))^2)</f>
        <v/>
      </c>
      <c r="N715" s="5">
        <f>MEDIAN(-6,K715+(C715-L715)/MAX(L715-M715,0.000000001),6)</f>
        <v/>
      </c>
      <c r="O715" s="5">
        <f>SUMPRODUCT(('01_Data'!$B715:$AW715&lt;&gt;"")*(1/(1+EXP(-(N715-'03_Lap_b'!$B$20:$AW$20)))))</f>
        <v/>
      </c>
      <c r="P715" s="5">
        <f>SUMPRODUCT(('01_Data'!$B715:$AW715&lt;&gt;"")*(1/(1+EXP(-(N715-'03_Lap_b'!$B$20:$AW$20))))^2)</f>
        <v/>
      </c>
      <c r="Q715" s="5">
        <f>MEDIAN(-6,N715+(C715-O715)/MAX(O715-P715,0.000000001),6)</f>
        <v/>
      </c>
      <c r="R715" s="5">
        <f>SUMPRODUCT(('01_Data'!$B715:$AW715&lt;&gt;"")*(1/(1+EXP(-(Q715-'03_Lap_b'!$B$25:$AW$25)))))</f>
        <v/>
      </c>
      <c r="S715" s="5">
        <f>SUMPRODUCT(('01_Data'!$B715:$AW715&lt;&gt;"")*(1/(1+EXP(-(Q715-'03_Lap_b'!$B$25:$AW$25))))^2)</f>
        <v/>
      </c>
      <c r="T715" s="5">
        <f>MEDIAN(-6,Q715+(C715-R715)/MAX(R715-S715,0.000000001),6)</f>
        <v/>
      </c>
      <c r="U715" s="5">
        <f>SUMPRODUCT(('01_Data'!$B715:$AW715&lt;&gt;"")*(1/(1+EXP(-(T715-'03_Lap_b'!$B$30:$AW$30)))))</f>
        <v/>
      </c>
      <c r="V715" s="5">
        <f>SUMPRODUCT(('01_Data'!$B715:$AW715&lt;&gt;"")*(1/(1+EXP(-(T715-'03_Lap_b'!$B$30:$AW$30))))^2)</f>
        <v/>
      </c>
      <c r="W715" s="5">
        <f>MEDIAN(-6,T715+(C715-U715)/MAX(U715-V715,0.000000001),6)</f>
        <v/>
      </c>
      <c r="X715" s="5">
        <f>SUMPRODUCT(('01_Data'!$B715:$AW715&lt;&gt;"")*(1/(1+EXP(-(W715-'03_Lap_b'!$B$35:$AW$35)))))</f>
        <v/>
      </c>
      <c r="Y715" s="5">
        <f>SUMPRODUCT(('01_Data'!$B715:$AW715&lt;&gt;"")*(1/(1+EXP(-(W715-'03_Lap_b'!$B$35:$AW$35))))^2)</f>
        <v/>
      </c>
      <c r="Z715" s="5">
        <f>MEDIAN(-6,W715+(C715-X715)/MAX(X715-Y715,0.000000001),6)</f>
        <v/>
      </c>
      <c r="AA715" s="5">
        <f>SUMPRODUCT(('01_Data'!$B715:$AW715&lt;&gt;"")*(1/(1+EXP(-(Z715-'03_Lap_b'!$B$40:$AW$40)))))</f>
        <v/>
      </c>
      <c r="AB715" s="5">
        <f>SUMPRODUCT(('01_Data'!$B715:$AW715&lt;&gt;"")*(1/(1+EXP(-(Z715-'03_Lap_b'!$B$40:$AW$40))))^2)</f>
        <v/>
      </c>
      <c r="AC715" s="5">
        <f>MEDIAN(-6,Z715+(C715-AA715)/MAX(AA715-AB715,0.000000001),6)</f>
        <v/>
      </c>
    </row>
    <row r="716">
      <c r="A716" t="n">
        <v>715</v>
      </c>
      <c r="B716">
        <f>'01_Data'!A716</f>
        <v/>
      </c>
      <c r="C716">
        <f>SUM('01_Data'!$B716:$AW716)</f>
        <v/>
      </c>
      <c r="D716">
        <f>COUNT('01_Data'!$B716:$AW716)</f>
        <v/>
      </c>
      <c r="E716" s="5">
        <f>MEDIAN(-6,LN((C716+0.3)/(D716-C716+0.3)),6)</f>
        <v/>
      </c>
      <c r="F716" s="5">
        <f>SUMPRODUCT(('01_Data'!$B716:$AW716&lt;&gt;"")*(1/(1+EXP(-(E716-'03_Lap_b'!$B$5:$AW$5)))))</f>
        <v/>
      </c>
      <c r="G716" s="5">
        <f>SUMPRODUCT(('01_Data'!$B716:$AW716&lt;&gt;"")*(1/(1+EXP(-(E716-'03_Lap_b'!$B$5:$AW$5))))^2)</f>
        <v/>
      </c>
      <c r="H716" s="5">
        <f>MEDIAN(-6,E716+(C716-F716)/MAX(F716-G716,0.000000001),6)</f>
        <v/>
      </c>
      <c r="I716" s="5">
        <f>SUMPRODUCT(('01_Data'!$B716:$AW716&lt;&gt;"")*(1/(1+EXP(-(H716-'03_Lap_b'!$B$10:$AW$10)))))</f>
        <v/>
      </c>
      <c r="J716" s="5">
        <f>SUMPRODUCT(('01_Data'!$B716:$AW716&lt;&gt;"")*(1/(1+EXP(-(H716-'03_Lap_b'!$B$10:$AW$10))))^2)</f>
        <v/>
      </c>
      <c r="K716" s="5">
        <f>MEDIAN(-6,H716+(C716-I716)/MAX(I716-J716,0.000000001),6)</f>
        <v/>
      </c>
      <c r="L716" s="5">
        <f>SUMPRODUCT(('01_Data'!$B716:$AW716&lt;&gt;"")*(1/(1+EXP(-(K716-'03_Lap_b'!$B$15:$AW$15)))))</f>
        <v/>
      </c>
      <c r="M716" s="5">
        <f>SUMPRODUCT(('01_Data'!$B716:$AW716&lt;&gt;"")*(1/(1+EXP(-(K716-'03_Lap_b'!$B$15:$AW$15))))^2)</f>
        <v/>
      </c>
      <c r="N716" s="5">
        <f>MEDIAN(-6,K716+(C716-L716)/MAX(L716-M716,0.000000001),6)</f>
        <v/>
      </c>
      <c r="O716" s="5">
        <f>SUMPRODUCT(('01_Data'!$B716:$AW716&lt;&gt;"")*(1/(1+EXP(-(N716-'03_Lap_b'!$B$20:$AW$20)))))</f>
        <v/>
      </c>
      <c r="P716" s="5">
        <f>SUMPRODUCT(('01_Data'!$B716:$AW716&lt;&gt;"")*(1/(1+EXP(-(N716-'03_Lap_b'!$B$20:$AW$20))))^2)</f>
        <v/>
      </c>
      <c r="Q716" s="5">
        <f>MEDIAN(-6,N716+(C716-O716)/MAX(O716-P716,0.000000001),6)</f>
        <v/>
      </c>
      <c r="R716" s="5">
        <f>SUMPRODUCT(('01_Data'!$B716:$AW716&lt;&gt;"")*(1/(1+EXP(-(Q716-'03_Lap_b'!$B$25:$AW$25)))))</f>
        <v/>
      </c>
      <c r="S716" s="5">
        <f>SUMPRODUCT(('01_Data'!$B716:$AW716&lt;&gt;"")*(1/(1+EXP(-(Q716-'03_Lap_b'!$B$25:$AW$25))))^2)</f>
        <v/>
      </c>
      <c r="T716" s="5">
        <f>MEDIAN(-6,Q716+(C716-R716)/MAX(R716-S716,0.000000001),6)</f>
        <v/>
      </c>
      <c r="U716" s="5">
        <f>SUMPRODUCT(('01_Data'!$B716:$AW716&lt;&gt;"")*(1/(1+EXP(-(T716-'03_Lap_b'!$B$30:$AW$30)))))</f>
        <v/>
      </c>
      <c r="V716" s="5">
        <f>SUMPRODUCT(('01_Data'!$B716:$AW716&lt;&gt;"")*(1/(1+EXP(-(T716-'03_Lap_b'!$B$30:$AW$30))))^2)</f>
        <v/>
      </c>
      <c r="W716" s="5">
        <f>MEDIAN(-6,T716+(C716-U716)/MAX(U716-V716,0.000000001),6)</f>
        <v/>
      </c>
      <c r="X716" s="5">
        <f>SUMPRODUCT(('01_Data'!$B716:$AW716&lt;&gt;"")*(1/(1+EXP(-(W716-'03_Lap_b'!$B$35:$AW$35)))))</f>
        <v/>
      </c>
      <c r="Y716" s="5">
        <f>SUMPRODUCT(('01_Data'!$B716:$AW716&lt;&gt;"")*(1/(1+EXP(-(W716-'03_Lap_b'!$B$35:$AW$35))))^2)</f>
        <v/>
      </c>
      <c r="Z716" s="5">
        <f>MEDIAN(-6,W716+(C716-X716)/MAX(X716-Y716,0.000000001),6)</f>
        <v/>
      </c>
      <c r="AA716" s="5">
        <f>SUMPRODUCT(('01_Data'!$B716:$AW716&lt;&gt;"")*(1/(1+EXP(-(Z716-'03_Lap_b'!$B$40:$AW$40)))))</f>
        <v/>
      </c>
      <c r="AB716" s="5">
        <f>SUMPRODUCT(('01_Data'!$B716:$AW716&lt;&gt;"")*(1/(1+EXP(-(Z716-'03_Lap_b'!$B$40:$AW$40))))^2)</f>
        <v/>
      </c>
      <c r="AC716" s="5">
        <f>MEDIAN(-6,Z716+(C716-AA716)/MAX(AA716-AB716,0.000000001),6)</f>
        <v/>
      </c>
    </row>
    <row r="717">
      <c r="A717" t="n">
        <v>716</v>
      </c>
      <c r="B717">
        <f>'01_Data'!A717</f>
        <v/>
      </c>
      <c r="C717">
        <f>SUM('01_Data'!$B717:$AW717)</f>
        <v/>
      </c>
      <c r="D717">
        <f>COUNT('01_Data'!$B717:$AW717)</f>
        <v/>
      </c>
      <c r="E717" s="5">
        <f>MEDIAN(-6,LN((C717+0.3)/(D717-C717+0.3)),6)</f>
        <v/>
      </c>
      <c r="F717" s="5">
        <f>SUMPRODUCT(('01_Data'!$B717:$AW717&lt;&gt;"")*(1/(1+EXP(-(E717-'03_Lap_b'!$B$5:$AW$5)))))</f>
        <v/>
      </c>
      <c r="G717" s="5">
        <f>SUMPRODUCT(('01_Data'!$B717:$AW717&lt;&gt;"")*(1/(1+EXP(-(E717-'03_Lap_b'!$B$5:$AW$5))))^2)</f>
        <v/>
      </c>
      <c r="H717" s="5">
        <f>MEDIAN(-6,E717+(C717-F717)/MAX(F717-G717,0.000000001),6)</f>
        <v/>
      </c>
      <c r="I717" s="5">
        <f>SUMPRODUCT(('01_Data'!$B717:$AW717&lt;&gt;"")*(1/(1+EXP(-(H717-'03_Lap_b'!$B$10:$AW$10)))))</f>
        <v/>
      </c>
      <c r="J717" s="5">
        <f>SUMPRODUCT(('01_Data'!$B717:$AW717&lt;&gt;"")*(1/(1+EXP(-(H717-'03_Lap_b'!$B$10:$AW$10))))^2)</f>
        <v/>
      </c>
      <c r="K717" s="5">
        <f>MEDIAN(-6,H717+(C717-I717)/MAX(I717-J717,0.000000001),6)</f>
        <v/>
      </c>
      <c r="L717" s="5">
        <f>SUMPRODUCT(('01_Data'!$B717:$AW717&lt;&gt;"")*(1/(1+EXP(-(K717-'03_Lap_b'!$B$15:$AW$15)))))</f>
        <v/>
      </c>
      <c r="M717" s="5">
        <f>SUMPRODUCT(('01_Data'!$B717:$AW717&lt;&gt;"")*(1/(1+EXP(-(K717-'03_Lap_b'!$B$15:$AW$15))))^2)</f>
        <v/>
      </c>
      <c r="N717" s="5">
        <f>MEDIAN(-6,K717+(C717-L717)/MAX(L717-M717,0.000000001),6)</f>
        <v/>
      </c>
      <c r="O717" s="5">
        <f>SUMPRODUCT(('01_Data'!$B717:$AW717&lt;&gt;"")*(1/(1+EXP(-(N717-'03_Lap_b'!$B$20:$AW$20)))))</f>
        <v/>
      </c>
      <c r="P717" s="5">
        <f>SUMPRODUCT(('01_Data'!$B717:$AW717&lt;&gt;"")*(1/(1+EXP(-(N717-'03_Lap_b'!$B$20:$AW$20))))^2)</f>
        <v/>
      </c>
      <c r="Q717" s="5">
        <f>MEDIAN(-6,N717+(C717-O717)/MAX(O717-P717,0.000000001),6)</f>
        <v/>
      </c>
      <c r="R717" s="5">
        <f>SUMPRODUCT(('01_Data'!$B717:$AW717&lt;&gt;"")*(1/(1+EXP(-(Q717-'03_Lap_b'!$B$25:$AW$25)))))</f>
        <v/>
      </c>
      <c r="S717" s="5">
        <f>SUMPRODUCT(('01_Data'!$B717:$AW717&lt;&gt;"")*(1/(1+EXP(-(Q717-'03_Lap_b'!$B$25:$AW$25))))^2)</f>
        <v/>
      </c>
      <c r="T717" s="5">
        <f>MEDIAN(-6,Q717+(C717-R717)/MAX(R717-S717,0.000000001),6)</f>
        <v/>
      </c>
      <c r="U717" s="5">
        <f>SUMPRODUCT(('01_Data'!$B717:$AW717&lt;&gt;"")*(1/(1+EXP(-(T717-'03_Lap_b'!$B$30:$AW$30)))))</f>
        <v/>
      </c>
      <c r="V717" s="5">
        <f>SUMPRODUCT(('01_Data'!$B717:$AW717&lt;&gt;"")*(1/(1+EXP(-(T717-'03_Lap_b'!$B$30:$AW$30))))^2)</f>
        <v/>
      </c>
      <c r="W717" s="5">
        <f>MEDIAN(-6,T717+(C717-U717)/MAX(U717-V717,0.000000001),6)</f>
        <v/>
      </c>
      <c r="X717" s="5">
        <f>SUMPRODUCT(('01_Data'!$B717:$AW717&lt;&gt;"")*(1/(1+EXP(-(W717-'03_Lap_b'!$B$35:$AW$35)))))</f>
        <v/>
      </c>
      <c r="Y717" s="5">
        <f>SUMPRODUCT(('01_Data'!$B717:$AW717&lt;&gt;"")*(1/(1+EXP(-(W717-'03_Lap_b'!$B$35:$AW$35))))^2)</f>
        <v/>
      </c>
      <c r="Z717" s="5">
        <f>MEDIAN(-6,W717+(C717-X717)/MAX(X717-Y717,0.000000001),6)</f>
        <v/>
      </c>
      <c r="AA717" s="5">
        <f>SUMPRODUCT(('01_Data'!$B717:$AW717&lt;&gt;"")*(1/(1+EXP(-(Z717-'03_Lap_b'!$B$40:$AW$40)))))</f>
        <v/>
      </c>
      <c r="AB717" s="5">
        <f>SUMPRODUCT(('01_Data'!$B717:$AW717&lt;&gt;"")*(1/(1+EXP(-(Z717-'03_Lap_b'!$B$40:$AW$40))))^2)</f>
        <v/>
      </c>
      <c r="AC717" s="5">
        <f>MEDIAN(-6,Z717+(C717-AA717)/MAX(AA717-AB717,0.000000001),6)</f>
        <v/>
      </c>
    </row>
    <row r="718">
      <c r="A718" t="n">
        <v>717</v>
      </c>
      <c r="B718">
        <f>'01_Data'!A718</f>
        <v/>
      </c>
      <c r="C718">
        <f>SUM('01_Data'!$B718:$AW718)</f>
        <v/>
      </c>
      <c r="D718">
        <f>COUNT('01_Data'!$B718:$AW718)</f>
        <v/>
      </c>
      <c r="E718" s="5">
        <f>MEDIAN(-6,LN((C718+0.3)/(D718-C718+0.3)),6)</f>
        <v/>
      </c>
      <c r="F718" s="5">
        <f>SUMPRODUCT(('01_Data'!$B718:$AW718&lt;&gt;"")*(1/(1+EXP(-(E718-'03_Lap_b'!$B$5:$AW$5)))))</f>
        <v/>
      </c>
      <c r="G718" s="5">
        <f>SUMPRODUCT(('01_Data'!$B718:$AW718&lt;&gt;"")*(1/(1+EXP(-(E718-'03_Lap_b'!$B$5:$AW$5))))^2)</f>
        <v/>
      </c>
      <c r="H718" s="5">
        <f>MEDIAN(-6,E718+(C718-F718)/MAX(F718-G718,0.000000001),6)</f>
        <v/>
      </c>
      <c r="I718" s="5">
        <f>SUMPRODUCT(('01_Data'!$B718:$AW718&lt;&gt;"")*(1/(1+EXP(-(H718-'03_Lap_b'!$B$10:$AW$10)))))</f>
        <v/>
      </c>
      <c r="J718" s="5">
        <f>SUMPRODUCT(('01_Data'!$B718:$AW718&lt;&gt;"")*(1/(1+EXP(-(H718-'03_Lap_b'!$B$10:$AW$10))))^2)</f>
        <v/>
      </c>
      <c r="K718" s="5">
        <f>MEDIAN(-6,H718+(C718-I718)/MAX(I718-J718,0.000000001),6)</f>
        <v/>
      </c>
      <c r="L718" s="5">
        <f>SUMPRODUCT(('01_Data'!$B718:$AW718&lt;&gt;"")*(1/(1+EXP(-(K718-'03_Lap_b'!$B$15:$AW$15)))))</f>
        <v/>
      </c>
      <c r="M718" s="5">
        <f>SUMPRODUCT(('01_Data'!$B718:$AW718&lt;&gt;"")*(1/(1+EXP(-(K718-'03_Lap_b'!$B$15:$AW$15))))^2)</f>
        <v/>
      </c>
      <c r="N718" s="5">
        <f>MEDIAN(-6,K718+(C718-L718)/MAX(L718-M718,0.000000001),6)</f>
        <v/>
      </c>
      <c r="O718" s="5">
        <f>SUMPRODUCT(('01_Data'!$B718:$AW718&lt;&gt;"")*(1/(1+EXP(-(N718-'03_Lap_b'!$B$20:$AW$20)))))</f>
        <v/>
      </c>
      <c r="P718" s="5">
        <f>SUMPRODUCT(('01_Data'!$B718:$AW718&lt;&gt;"")*(1/(1+EXP(-(N718-'03_Lap_b'!$B$20:$AW$20))))^2)</f>
        <v/>
      </c>
      <c r="Q718" s="5">
        <f>MEDIAN(-6,N718+(C718-O718)/MAX(O718-P718,0.000000001),6)</f>
        <v/>
      </c>
      <c r="R718" s="5">
        <f>SUMPRODUCT(('01_Data'!$B718:$AW718&lt;&gt;"")*(1/(1+EXP(-(Q718-'03_Lap_b'!$B$25:$AW$25)))))</f>
        <v/>
      </c>
      <c r="S718" s="5">
        <f>SUMPRODUCT(('01_Data'!$B718:$AW718&lt;&gt;"")*(1/(1+EXP(-(Q718-'03_Lap_b'!$B$25:$AW$25))))^2)</f>
        <v/>
      </c>
      <c r="T718" s="5">
        <f>MEDIAN(-6,Q718+(C718-R718)/MAX(R718-S718,0.000000001),6)</f>
        <v/>
      </c>
      <c r="U718" s="5">
        <f>SUMPRODUCT(('01_Data'!$B718:$AW718&lt;&gt;"")*(1/(1+EXP(-(T718-'03_Lap_b'!$B$30:$AW$30)))))</f>
        <v/>
      </c>
      <c r="V718" s="5">
        <f>SUMPRODUCT(('01_Data'!$B718:$AW718&lt;&gt;"")*(1/(1+EXP(-(T718-'03_Lap_b'!$B$30:$AW$30))))^2)</f>
        <v/>
      </c>
      <c r="W718" s="5">
        <f>MEDIAN(-6,T718+(C718-U718)/MAX(U718-V718,0.000000001),6)</f>
        <v/>
      </c>
      <c r="X718" s="5">
        <f>SUMPRODUCT(('01_Data'!$B718:$AW718&lt;&gt;"")*(1/(1+EXP(-(W718-'03_Lap_b'!$B$35:$AW$35)))))</f>
        <v/>
      </c>
      <c r="Y718" s="5">
        <f>SUMPRODUCT(('01_Data'!$B718:$AW718&lt;&gt;"")*(1/(1+EXP(-(W718-'03_Lap_b'!$B$35:$AW$35))))^2)</f>
        <v/>
      </c>
      <c r="Z718" s="5">
        <f>MEDIAN(-6,W718+(C718-X718)/MAX(X718-Y718,0.000000001),6)</f>
        <v/>
      </c>
      <c r="AA718" s="5">
        <f>SUMPRODUCT(('01_Data'!$B718:$AW718&lt;&gt;"")*(1/(1+EXP(-(Z718-'03_Lap_b'!$B$40:$AW$40)))))</f>
        <v/>
      </c>
      <c r="AB718" s="5">
        <f>SUMPRODUCT(('01_Data'!$B718:$AW718&lt;&gt;"")*(1/(1+EXP(-(Z718-'03_Lap_b'!$B$40:$AW$40))))^2)</f>
        <v/>
      </c>
      <c r="AC718" s="5">
        <f>MEDIAN(-6,Z718+(C718-AA718)/MAX(AA718-AB718,0.000000001),6)</f>
        <v/>
      </c>
    </row>
    <row r="719">
      <c r="A719" t="n">
        <v>718</v>
      </c>
      <c r="B719">
        <f>'01_Data'!A719</f>
        <v/>
      </c>
      <c r="C719">
        <f>SUM('01_Data'!$B719:$AW719)</f>
        <v/>
      </c>
      <c r="D719">
        <f>COUNT('01_Data'!$B719:$AW719)</f>
        <v/>
      </c>
      <c r="E719" s="5">
        <f>MEDIAN(-6,LN((C719+0.3)/(D719-C719+0.3)),6)</f>
        <v/>
      </c>
      <c r="F719" s="5">
        <f>SUMPRODUCT(('01_Data'!$B719:$AW719&lt;&gt;"")*(1/(1+EXP(-(E719-'03_Lap_b'!$B$5:$AW$5)))))</f>
        <v/>
      </c>
      <c r="G719" s="5">
        <f>SUMPRODUCT(('01_Data'!$B719:$AW719&lt;&gt;"")*(1/(1+EXP(-(E719-'03_Lap_b'!$B$5:$AW$5))))^2)</f>
        <v/>
      </c>
      <c r="H719" s="5">
        <f>MEDIAN(-6,E719+(C719-F719)/MAX(F719-G719,0.000000001),6)</f>
        <v/>
      </c>
      <c r="I719" s="5">
        <f>SUMPRODUCT(('01_Data'!$B719:$AW719&lt;&gt;"")*(1/(1+EXP(-(H719-'03_Lap_b'!$B$10:$AW$10)))))</f>
        <v/>
      </c>
      <c r="J719" s="5">
        <f>SUMPRODUCT(('01_Data'!$B719:$AW719&lt;&gt;"")*(1/(1+EXP(-(H719-'03_Lap_b'!$B$10:$AW$10))))^2)</f>
        <v/>
      </c>
      <c r="K719" s="5">
        <f>MEDIAN(-6,H719+(C719-I719)/MAX(I719-J719,0.000000001),6)</f>
        <v/>
      </c>
      <c r="L719" s="5">
        <f>SUMPRODUCT(('01_Data'!$B719:$AW719&lt;&gt;"")*(1/(1+EXP(-(K719-'03_Lap_b'!$B$15:$AW$15)))))</f>
        <v/>
      </c>
      <c r="M719" s="5">
        <f>SUMPRODUCT(('01_Data'!$B719:$AW719&lt;&gt;"")*(1/(1+EXP(-(K719-'03_Lap_b'!$B$15:$AW$15))))^2)</f>
        <v/>
      </c>
      <c r="N719" s="5">
        <f>MEDIAN(-6,K719+(C719-L719)/MAX(L719-M719,0.000000001),6)</f>
        <v/>
      </c>
      <c r="O719" s="5">
        <f>SUMPRODUCT(('01_Data'!$B719:$AW719&lt;&gt;"")*(1/(1+EXP(-(N719-'03_Lap_b'!$B$20:$AW$20)))))</f>
        <v/>
      </c>
      <c r="P719" s="5">
        <f>SUMPRODUCT(('01_Data'!$B719:$AW719&lt;&gt;"")*(1/(1+EXP(-(N719-'03_Lap_b'!$B$20:$AW$20))))^2)</f>
        <v/>
      </c>
      <c r="Q719" s="5">
        <f>MEDIAN(-6,N719+(C719-O719)/MAX(O719-P719,0.000000001),6)</f>
        <v/>
      </c>
      <c r="R719" s="5">
        <f>SUMPRODUCT(('01_Data'!$B719:$AW719&lt;&gt;"")*(1/(1+EXP(-(Q719-'03_Lap_b'!$B$25:$AW$25)))))</f>
        <v/>
      </c>
      <c r="S719" s="5">
        <f>SUMPRODUCT(('01_Data'!$B719:$AW719&lt;&gt;"")*(1/(1+EXP(-(Q719-'03_Lap_b'!$B$25:$AW$25))))^2)</f>
        <v/>
      </c>
      <c r="T719" s="5">
        <f>MEDIAN(-6,Q719+(C719-R719)/MAX(R719-S719,0.000000001),6)</f>
        <v/>
      </c>
      <c r="U719" s="5">
        <f>SUMPRODUCT(('01_Data'!$B719:$AW719&lt;&gt;"")*(1/(1+EXP(-(T719-'03_Lap_b'!$B$30:$AW$30)))))</f>
        <v/>
      </c>
      <c r="V719" s="5">
        <f>SUMPRODUCT(('01_Data'!$B719:$AW719&lt;&gt;"")*(1/(1+EXP(-(T719-'03_Lap_b'!$B$30:$AW$30))))^2)</f>
        <v/>
      </c>
      <c r="W719" s="5">
        <f>MEDIAN(-6,T719+(C719-U719)/MAX(U719-V719,0.000000001),6)</f>
        <v/>
      </c>
      <c r="X719" s="5">
        <f>SUMPRODUCT(('01_Data'!$B719:$AW719&lt;&gt;"")*(1/(1+EXP(-(W719-'03_Lap_b'!$B$35:$AW$35)))))</f>
        <v/>
      </c>
      <c r="Y719" s="5">
        <f>SUMPRODUCT(('01_Data'!$B719:$AW719&lt;&gt;"")*(1/(1+EXP(-(W719-'03_Lap_b'!$B$35:$AW$35))))^2)</f>
        <v/>
      </c>
      <c r="Z719" s="5">
        <f>MEDIAN(-6,W719+(C719-X719)/MAX(X719-Y719,0.000000001),6)</f>
        <v/>
      </c>
      <c r="AA719" s="5">
        <f>SUMPRODUCT(('01_Data'!$B719:$AW719&lt;&gt;"")*(1/(1+EXP(-(Z719-'03_Lap_b'!$B$40:$AW$40)))))</f>
        <v/>
      </c>
      <c r="AB719" s="5">
        <f>SUMPRODUCT(('01_Data'!$B719:$AW719&lt;&gt;"")*(1/(1+EXP(-(Z719-'03_Lap_b'!$B$40:$AW$40))))^2)</f>
        <v/>
      </c>
      <c r="AC719" s="5">
        <f>MEDIAN(-6,Z719+(C719-AA719)/MAX(AA719-AB719,0.000000001),6)</f>
        <v/>
      </c>
    </row>
    <row r="720">
      <c r="A720" t="n">
        <v>719</v>
      </c>
      <c r="B720">
        <f>'01_Data'!A720</f>
        <v/>
      </c>
      <c r="C720">
        <f>SUM('01_Data'!$B720:$AW720)</f>
        <v/>
      </c>
      <c r="D720">
        <f>COUNT('01_Data'!$B720:$AW720)</f>
        <v/>
      </c>
      <c r="E720" s="5">
        <f>MEDIAN(-6,LN((C720+0.3)/(D720-C720+0.3)),6)</f>
        <v/>
      </c>
      <c r="F720" s="5">
        <f>SUMPRODUCT(('01_Data'!$B720:$AW720&lt;&gt;"")*(1/(1+EXP(-(E720-'03_Lap_b'!$B$5:$AW$5)))))</f>
        <v/>
      </c>
      <c r="G720" s="5">
        <f>SUMPRODUCT(('01_Data'!$B720:$AW720&lt;&gt;"")*(1/(1+EXP(-(E720-'03_Lap_b'!$B$5:$AW$5))))^2)</f>
        <v/>
      </c>
      <c r="H720" s="5">
        <f>MEDIAN(-6,E720+(C720-F720)/MAX(F720-G720,0.000000001),6)</f>
        <v/>
      </c>
      <c r="I720" s="5">
        <f>SUMPRODUCT(('01_Data'!$B720:$AW720&lt;&gt;"")*(1/(1+EXP(-(H720-'03_Lap_b'!$B$10:$AW$10)))))</f>
        <v/>
      </c>
      <c r="J720" s="5">
        <f>SUMPRODUCT(('01_Data'!$B720:$AW720&lt;&gt;"")*(1/(1+EXP(-(H720-'03_Lap_b'!$B$10:$AW$10))))^2)</f>
        <v/>
      </c>
      <c r="K720" s="5">
        <f>MEDIAN(-6,H720+(C720-I720)/MAX(I720-J720,0.000000001),6)</f>
        <v/>
      </c>
      <c r="L720" s="5">
        <f>SUMPRODUCT(('01_Data'!$B720:$AW720&lt;&gt;"")*(1/(1+EXP(-(K720-'03_Lap_b'!$B$15:$AW$15)))))</f>
        <v/>
      </c>
      <c r="M720" s="5">
        <f>SUMPRODUCT(('01_Data'!$B720:$AW720&lt;&gt;"")*(1/(1+EXP(-(K720-'03_Lap_b'!$B$15:$AW$15))))^2)</f>
        <v/>
      </c>
      <c r="N720" s="5">
        <f>MEDIAN(-6,K720+(C720-L720)/MAX(L720-M720,0.000000001),6)</f>
        <v/>
      </c>
      <c r="O720" s="5">
        <f>SUMPRODUCT(('01_Data'!$B720:$AW720&lt;&gt;"")*(1/(1+EXP(-(N720-'03_Lap_b'!$B$20:$AW$20)))))</f>
        <v/>
      </c>
      <c r="P720" s="5">
        <f>SUMPRODUCT(('01_Data'!$B720:$AW720&lt;&gt;"")*(1/(1+EXP(-(N720-'03_Lap_b'!$B$20:$AW$20))))^2)</f>
        <v/>
      </c>
      <c r="Q720" s="5">
        <f>MEDIAN(-6,N720+(C720-O720)/MAX(O720-P720,0.000000001),6)</f>
        <v/>
      </c>
      <c r="R720" s="5">
        <f>SUMPRODUCT(('01_Data'!$B720:$AW720&lt;&gt;"")*(1/(1+EXP(-(Q720-'03_Lap_b'!$B$25:$AW$25)))))</f>
        <v/>
      </c>
      <c r="S720" s="5">
        <f>SUMPRODUCT(('01_Data'!$B720:$AW720&lt;&gt;"")*(1/(1+EXP(-(Q720-'03_Lap_b'!$B$25:$AW$25))))^2)</f>
        <v/>
      </c>
      <c r="T720" s="5">
        <f>MEDIAN(-6,Q720+(C720-R720)/MAX(R720-S720,0.000000001),6)</f>
        <v/>
      </c>
      <c r="U720" s="5">
        <f>SUMPRODUCT(('01_Data'!$B720:$AW720&lt;&gt;"")*(1/(1+EXP(-(T720-'03_Lap_b'!$B$30:$AW$30)))))</f>
        <v/>
      </c>
      <c r="V720" s="5">
        <f>SUMPRODUCT(('01_Data'!$B720:$AW720&lt;&gt;"")*(1/(1+EXP(-(T720-'03_Lap_b'!$B$30:$AW$30))))^2)</f>
        <v/>
      </c>
      <c r="W720" s="5">
        <f>MEDIAN(-6,T720+(C720-U720)/MAX(U720-V720,0.000000001),6)</f>
        <v/>
      </c>
      <c r="X720" s="5">
        <f>SUMPRODUCT(('01_Data'!$B720:$AW720&lt;&gt;"")*(1/(1+EXP(-(W720-'03_Lap_b'!$B$35:$AW$35)))))</f>
        <v/>
      </c>
      <c r="Y720" s="5">
        <f>SUMPRODUCT(('01_Data'!$B720:$AW720&lt;&gt;"")*(1/(1+EXP(-(W720-'03_Lap_b'!$B$35:$AW$35))))^2)</f>
        <v/>
      </c>
      <c r="Z720" s="5">
        <f>MEDIAN(-6,W720+(C720-X720)/MAX(X720-Y720,0.000000001),6)</f>
        <v/>
      </c>
      <c r="AA720" s="5">
        <f>SUMPRODUCT(('01_Data'!$B720:$AW720&lt;&gt;"")*(1/(1+EXP(-(Z720-'03_Lap_b'!$B$40:$AW$40)))))</f>
        <v/>
      </c>
      <c r="AB720" s="5">
        <f>SUMPRODUCT(('01_Data'!$B720:$AW720&lt;&gt;"")*(1/(1+EXP(-(Z720-'03_Lap_b'!$B$40:$AW$40))))^2)</f>
        <v/>
      </c>
      <c r="AC720" s="5">
        <f>MEDIAN(-6,Z720+(C720-AA720)/MAX(AA720-AB720,0.000000001),6)</f>
        <v/>
      </c>
    </row>
    <row r="721">
      <c r="A721" t="n">
        <v>720</v>
      </c>
      <c r="B721">
        <f>'01_Data'!A721</f>
        <v/>
      </c>
      <c r="C721">
        <f>SUM('01_Data'!$B721:$AW721)</f>
        <v/>
      </c>
      <c r="D721">
        <f>COUNT('01_Data'!$B721:$AW721)</f>
        <v/>
      </c>
      <c r="E721" s="5">
        <f>MEDIAN(-6,LN((C721+0.3)/(D721-C721+0.3)),6)</f>
        <v/>
      </c>
      <c r="F721" s="5">
        <f>SUMPRODUCT(('01_Data'!$B721:$AW721&lt;&gt;"")*(1/(1+EXP(-(E721-'03_Lap_b'!$B$5:$AW$5)))))</f>
        <v/>
      </c>
      <c r="G721" s="5">
        <f>SUMPRODUCT(('01_Data'!$B721:$AW721&lt;&gt;"")*(1/(1+EXP(-(E721-'03_Lap_b'!$B$5:$AW$5))))^2)</f>
        <v/>
      </c>
      <c r="H721" s="5">
        <f>MEDIAN(-6,E721+(C721-F721)/MAX(F721-G721,0.000000001),6)</f>
        <v/>
      </c>
      <c r="I721" s="5">
        <f>SUMPRODUCT(('01_Data'!$B721:$AW721&lt;&gt;"")*(1/(1+EXP(-(H721-'03_Lap_b'!$B$10:$AW$10)))))</f>
        <v/>
      </c>
      <c r="J721" s="5">
        <f>SUMPRODUCT(('01_Data'!$B721:$AW721&lt;&gt;"")*(1/(1+EXP(-(H721-'03_Lap_b'!$B$10:$AW$10))))^2)</f>
        <v/>
      </c>
      <c r="K721" s="5">
        <f>MEDIAN(-6,H721+(C721-I721)/MAX(I721-J721,0.000000001),6)</f>
        <v/>
      </c>
      <c r="L721" s="5">
        <f>SUMPRODUCT(('01_Data'!$B721:$AW721&lt;&gt;"")*(1/(1+EXP(-(K721-'03_Lap_b'!$B$15:$AW$15)))))</f>
        <v/>
      </c>
      <c r="M721" s="5">
        <f>SUMPRODUCT(('01_Data'!$B721:$AW721&lt;&gt;"")*(1/(1+EXP(-(K721-'03_Lap_b'!$B$15:$AW$15))))^2)</f>
        <v/>
      </c>
      <c r="N721" s="5">
        <f>MEDIAN(-6,K721+(C721-L721)/MAX(L721-M721,0.000000001),6)</f>
        <v/>
      </c>
      <c r="O721" s="5">
        <f>SUMPRODUCT(('01_Data'!$B721:$AW721&lt;&gt;"")*(1/(1+EXP(-(N721-'03_Lap_b'!$B$20:$AW$20)))))</f>
        <v/>
      </c>
      <c r="P721" s="5">
        <f>SUMPRODUCT(('01_Data'!$B721:$AW721&lt;&gt;"")*(1/(1+EXP(-(N721-'03_Lap_b'!$B$20:$AW$20))))^2)</f>
        <v/>
      </c>
      <c r="Q721" s="5">
        <f>MEDIAN(-6,N721+(C721-O721)/MAX(O721-P721,0.000000001),6)</f>
        <v/>
      </c>
      <c r="R721" s="5">
        <f>SUMPRODUCT(('01_Data'!$B721:$AW721&lt;&gt;"")*(1/(1+EXP(-(Q721-'03_Lap_b'!$B$25:$AW$25)))))</f>
        <v/>
      </c>
      <c r="S721" s="5">
        <f>SUMPRODUCT(('01_Data'!$B721:$AW721&lt;&gt;"")*(1/(1+EXP(-(Q721-'03_Lap_b'!$B$25:$AW$25))))^2)</f>
        <v/>
      </c>
      <c r="T721" s="5">
        <f>MEDIAN(-6,Q721+(C721-R721)/MAX(R721-S721,0.000000001),6)</f>
        <v/>
      </c>
      <c r="U721" s="5">
        <f>SUMPRODUCT(('01_Data'!$B721:$AW721&lt;&gt;"")*(1/(1+EXP(-(T721-'03_Lap_b'!$B$30:$AW$30)))))</f>
        <v/>
      </c>
      <c r="V721" s="5">
        <f>SUMPRODUCT(('01_Data'!$B721:$AW721&lt;&gt;"")*(1/(1+EXP(-(T721-'03_Lap_b'!$B$30:$AW$30))))^2)</f>
        <v/>
      </c>
      <c r="W721" s="5">
        <f>MEDIAN(-6,T721+(C721-U721)/MAX(U721-V721,0.000000001),6)</f>
        <v/>
      </c>
      <c r="X721" s="5">
        <f>SUMPRODUCT(('01_Data'!$B721:$AW721&lt;&gt;"")*(1/(1+EXP(-(W721-'03_Lap_b'!$B$35:$AW$35)))))</f>
        <v/>
      </c>
      <c r="Y721" s="5">
        <f>SUMPRODUCT(('01_Data'!$B721:$AW721&lt;&gt;"")*(1/(1+EXP(-(W721-'03_Lap_b'!$B$35:$AW$35))))^2)</f>
        <v/>
      </c>
      <c r="Z721" s="5">
        <f>MEDIAN(-6,W721+(C721-X721)/MAX(X721-Y721,0.000000001),6)</f>
        <v/>
      </c>
      <c r="AA721" s="5">
        <f>SUMPRODUCT(('01_Data'!$B721:$AW721&lt;&gt;"")*(1/(1+EXP(-(Z721-'03_Lap_b'!$B$40:$AW$40)))))</f>
        <v/>
      </c>
      <c r="AB721" s="5">
        <f>SUMPRODUCT(('01_Data'!$B721:$AW721&lt;&gt;"")*(1/(1+EXP(-(Z721-'03_Lap_b'!$B$40:$AW$40))))^2)</f>
        <v/>
      </c>
      <c r="AC721" s="5">
        <f>MEDIAN(-6,Z721+(C721-AA721)/MAX(AA721-AB721,0.000000001),6)</f>
        <v/>
      </c>
    </row>
    <row r="722">
      <c r="A722" t="n">
        <v>721</v>
      </c>
      <c r="B722">
        <f>'01_Data'!A722</f>
        <v/>
      </c>
      <c r="C722">
        <f>SUM('01_Data'!$B722:$AW722)</f>
        <v/>
      </c>
      <c r="D722">
        <f>COUNT('01_Data'!$B722:$AW722)</f>
        <v/>
      </c>
      <c r="E722" s="5">
        <f>MEDIAN(-6,LN((C722+0.3)/(D722-C722+0.3)),6)</f>
        <v/>
      </c>
      <c r="F722" s="5">
        <f>SUMPRODUCT(('01_Data'!$B722:$AW722&lt;&gt;"")*(1/(1+EXP(-(E722-'03_Lap_b'!$B$5:$AW$5)))))</f>
        <v/>
      </c>
      <c r="G722" s="5">
        <f>SUMPRODUCT(('01_Data'!$B722:$AW722&lt;&gt;"")*(1/(1+EXP(-(E722-'03_Lap_b'!$B$5:$AW$5))))^2)</f>
        <v/>
      </c>
      <c r="H722" s="5">
        <f>MEDIAN(-6,E722+(C722-F722)/MAX(F722-G722,0.000000001),6)</f>
        <v/>
      </c>
      <c r="I722" s="5">
        <f>SUMPRODUCT(('01_Data'!$B722:$AW722&lt;&gt;"")*(1/(1+EXP(-(H722-'03_Lap_b'!$B$10:$AW$10)))))</f>
        <v/>
      </c>
      <c r="J722" s="5">
        <f>SUMPRODUCT(('01_Data'!$B722:$AW722&lt;&gt;"")*(1/(1+EXP(-(H722-'03_Lap_b'!$B$10:$AW$10))))^2)</f>
        <v/>
      </c>
      <c r="K722" s="5">
        <f>MEDIAN(-6,H722+(C722-I722)/MAX(I722-J722,0.000000001),6)</f>
        <v/>
      </c>
      <c r="L722" s="5">
        <f>SUMPRODUCT(('01_Data'!$B722:$AW722&lt;&gt;"")*(1/(1+EXP(-(K722-'03_Lap_b'!$B$15:$AW$15)))))</f>
        <v/>
      </c>
      <c r="M722" s="5">
        <f>SUMPRODUCT(('01_Data'!$B722:$AW722&lt;&gt;"")*(1/(1+EXP(-(K722-'03_Lap_b'!$B$15:$AW$15))))^2)</f>
        <v/>
      </c>
      <c r="N722" s="5">
        <f>MEDIAN(-6,K722+(C722-L722)/MAX(L722-M722,0.000000001),6)</f>
        <v/>
      </c>
      <c r="O722" s="5">
        <f>SUMPRODUCT(('01_Data'!$B722:$AW722&lt;&gt;"")*(1/(1+EXP(-(N722-'03_Lap_b'!$B$20:$AW$20)))))</f>
        <v/>
      </c>
      <c r="P722" s="5">
        <f>SUMPRODUCT(('01_Data'!$B722:$AW722&lt;&gt;"")*(1/(1+EXP(-(N722-'03_Lap_b'!$B$20:$AW$20))))^2)</f>
        <v/>
      </c>
      <c r="Q722" s="5">
        <f>MEDIAN(-6,N722+(C722-O722)/MAX(O722-P722,0.000000001),6)</f>
        <v/>
      </c>
      <c r="R722" s="5">
        <f>SUMPRODUCT(('01_Data'!$B722:$AW722&lt;&gt;"")*(1/(1+EXP(-(Q722-'03_Lap_b'!$B$25:$AW$25)))))</f>
        <v/>
      </c>
      <c r="S722" s="5">
        <f>SUMPRODUCT(('01_Data'!$B722:$AW722&lt;&gt;"")*(1/(1+EXP(-(Q722-'03_Lap_b'!$B$25:$AW$25))))^2)</f>
        <v/>
      </c>
      <c r="T722" s="5">
        <f>MEDIAN(-6,Q722+(C722-R722)/MAX(R722-S722,0.000000001),6)</f>
        <v/>
      </c>
      <c r="U722" s="5">
        <f>SUMPRODUCT(('01_Data'!$B722:$AW722&lt;&gt;"")*(1/(1+EXP(-(T722-'03_Lap_b'!$B$30:$AW$30)))))</f>
        <v/>
      </c>
      <c r="V722" s="5">
        <f>SUMPRODUCT(('01_Data'!$B722:$AW722&lt;&gt;"")*(1/(1+EXP(-(T722-'03_Lap_b'!$B$30:$AW$30))))^2)</f>
        <v/>
      </c>
      <c r="W722" s="5">
        <f>MEDIAN(-6,T722+(C722-U722)/MAX(U722-V722,0.000000001),6)</f>
        <v/>
      </c>
      <c r="X722" s="5">
        <f>SUMPRODUCT(('01_Data'!$B722:$AW722&lt;&gt;"")*(1/(1+EXP(-(W722-'03_Lap_b'!$B$35:$AW$35)))))</f>
        <v/>
      </c>
      <c r="Y722" s="5">
        <f>SUMPRODUCT(('01_Data'!$B722:$AW722&lt;&gt;"")*(1/(1+EXP(-(W722-'03_Lap_b'!$B$35:$AW$35))))^2)</f>
        <v/>
      </c>
      <c r="Z722" s="5">
        <f>MEDIAN(-6,W722+(C722-X722)/MAX(X722-Y722,0.000000001),6)</f>
        <v/>
      </c>
      <c r="AA722" s="5">
        <f>SUMPRODUCT(('01_Data'!$B722:$AW722&lt;&gt;"")*(1/(1+EXP(-(Z722-'03_Lap_b'!$B$40:$AW$40)))))</f>
        <v/>
      </c>
      <c r="AB722" s="5">
        <f>SUMPRODUCT(('01_Data'!$B722:$AW722&lt;&gt;"")*(1/(1+EXP(-(Z722-'03_Lap_b'!$B$40:$AW$40))))^2)</f>
        <v/>
      </c>
      <c r="AC722" s="5">
        <f>MEDIAN(-6,Z722+(C722-AA722)/MAX(AA722-AB722,0.000000001),6)</f>
        <v/>
      </c>
    </row>
    <row r="723">
      <c r="A723" t="n">
        <v>722</v>
      </c>
      <c r="B723">
        <f>'01_Data'!A723</f>
        <v/>
      </c>
      <c r="C723">
        <f>SUM('01_Data'!$B723:$AW723)</f>
        <v/>
      </c>
      <c r="D723">
        <f>COUNT('01_Data'!$B723:$AW723)</f>
        <v/>
      </c>
      <c r="E723" s="5">
        <f>MEDIAN(-6,LN((C723+0.3)/(D723-C723+0.3)),6)</f>
        <v/>
      </c>
      <c r="F723" s="5">
        <f>SUMPRODUCT(('01_Data'!$B723:$AW723&lt;&gt;"")*(1/(1+EXP(-(E723-'03_Lap_b'!$B$5:$AW$5)))))</f>
        <v/>
      </c>
      <c r="G723" s="5">
        <f>SUMPRODUCT(('01_Data'!$B723:$AW723&lt;&gt;"")*(1/(1+EXP(-(E723-'03_Lap_b'!$B$5:$AW$5))))^2)</f>
        <v/>
      </c>
      <c r="H723" s="5">
        <f>MEDIAN(-6,E723+(C723-F723)/MAX(F723-G723,0.000000001),6)</f>
        <v/>
      </c>
      <c r="I723" s="5">
        <f>SUMPRODUCT(('01_Data'!$B723:$AW723&lt;&gt;"")*(1/(1+EXP(-(H723-'03_Lap_b'!$B$10:$AW$10)))))</f>
        <v/>
      </c>
      <c r="J723" s="5">
        <f>SUMPRODUCT(('01_Data'!$B723:$AW723&lt;&gt;"")*(1/(1+EXP(-(H723-'03_Lap_b'!$B$10:$AW$10))))^2)</f>
        <v/>
      </c>
      <c r="K723" s="5">
        <f>MEDIAN(-6,H723+(C723-I723)/MAX(I723-J723,0.000000001),6)</f>
        <v/>
      </c>
      <c r="L723" s="5">
        <f>SUMPRODUCT(('01_Data'!$B723:$AW723&lt;&gt;"")*(1/(1+EXP(-(K723-'03_Lap_b'!$B$15:$AW$15)))))</f>
        <v/>
      </c>
      <c r="M723" s="5">
        <f>SUMPRODUCT(('01_Data'!$B723:$AW723&lt;&gt;"")*(1/(1+EXP(-(K723-'03_Lap_b'!$B$15:$AW$15))))^2)</f>
        <v/>
      </c>
      <c r="N723" s="5">
        <f>MEDIAN(-6,K723+(C723-L723)/MAX(L723-M723,0.000000001),6)</f>
        <v/>
      </c>
      <c r="O723" s="5">
        <f>SUMPRODUCT(('01_Data'!$B723:$AW723&lt;&gt;"")*(1/(1+EXP(-(N723-'03_Lap_b'!$B$20:$AW$20)))))</f>
        <v/>
      </c>
      <c r="P723" s="5">
        <f>SUMPRODUCT(('01_Data'!$B723:$AW723&lt;&gt;"")*(1/(1+EXP(-(N723-'03_Lap_b'!$B$20:$AW$20))))^2)</f>
        <v/>
      </c>
      <c r="Q723" s="5">
        <f>MEDIAN(-6,N723+(C723-O723)/MAX(O723-P723,0.000000001),6)</f>
        <v/>
      </c>
      <c r="R723" s="5">
        <f>SUMPRODUCT(('01_Data'!$B723:$AW723&lt;&gt;"")*(1/(1+EXP(-(Q723-'03_Lap_b'!$B$25:$AW$25)))))</f>
        <v/>
      </c>
      <c r="S723" s="5">
        <f>SUMPRODUCT(('01_Data'!$B723:$AW723&lt;&gt;"")*(1/(1+EXP(-(Q723-'03_Lap_b'!$B$25:$AW$25))))^2)</f>
        <v/>
      </c>
      <c r="T723" s="5">
        <f>MEDIAN(-6,Q723+(C723-R723)/MAX(R723-S723,0.000000001),6)</f>
        <v/>
      </c>
      <c r="U723" s="5">
        <f>SUMPRODUCT(('01_Data'!$B723:$AW723&lt;&gt;"")*(1/(1+EXP(-(T723-'03_Lap_b'!$B$30:$AW$30)))))</f>
        <v/>
      </c>
      <c r="V723" s="5">
        <f>SUMPRODUCT(('01_Data'!$B723:$AW723&lt;&gt;"")*(1/(1+EXP(-(T723-'03_Lap_b'!$B$30:$AW$30))))^2)</f>
        <v/>
      </c>
      <c r="W723" s="5">
        <f>MEDIAN(-6,T723+(C723-U723)/MAX(U723-V723,0.000000001),6)</f>
        <v/>
      </c>
      <c r="X723" s="5">
        <f>SUMPRODUCT(('01_Data'!$B723:$AW723&lt;&gt;"")*(1/(1+EXP(-(W723-'03_Lap_b'!$B$35:$AW$35)))))</f>
        <v/>
      </c>
      <c r="Y723" s="5">
        <f>SUMPRODUCT(('01_Data'!$B723:$AW723&lt;&gt;"")*(1/(1+EXP(-(W723-'03_Lap_b'!$B$35:$AW$35))))^2)</f>
        <v/>
      </c>
      <c r="Z723" s="5">
        <f>MEDIAN(-6,W723+(C723-X723)/MAX(X723-Y723,0.000000001),6)</f>
        <v/>
      </c>
      <c r="AA723" s="5">
        <f>SUMPRODUCT(('01_Data'!$B723:$AW723&lt;&gt;"")*(1/(1+EXP(-(Z723-'03_Lap_b'!$B$40:$AW$40)))))</f>
        <v/>
      </c>
      <c r="AB723" s="5">
        <f>SUMPRODUCT(('01_Data'!$B723:$AW723&lt;&gt;"")*(1/(1+EXP(-(Z723-'03_Lap_b'!$B$40:$AW$40))))^2)</f>
        <v/>
      </c>
      <c r="AC723" s="5">
        <f>MEDIAN(-6,Z723+(C723-AA723)/MAX(AA723-AB723,0.000000001),6)</f>
        <v/>
      </c>
    </row>
    <row r="724">
      <c r="A724" t="n">
        <v>723</v>
      </c>
      <c r="B724">
        <f>'01_Data'!A724</f>
        <v/>
      </c>
      <c r="C724">
        <f>SUM('01_Data'!$B724:$AW724)</f>
        <v/>
      </c>
      <c r="D724">
        <f>COUNT('01_Data'!$B724:$AW724)</f>
        <v/>
      </c>
      <c r="E724" s="5">
        <f>MEDIAN(-6,LN((C724+0.3)/(D724-C724+0.3)),6)</f>
        <v/>
      </c>
      <c r="F724" s="5">
        <f>SUMPRODUCT(('01_Data'!$B724:$AW724&lt;&gt;"")*(1/(1+EXP(-(E724-'03_Lap_b'!$B$5:$AW$5)))))</f>
        <v/>
      </c>
      <c r="G724" s="5">
        <f>SUMPRODUCT(('01_Data'!$B724:$AW724&lt;&gt;"")*(1/(1+EXP(-(E724-'03_Lap_b'!$B$5:$AW$5))))^2)</f>
        <v/>
      </c>
      <c r="H724" s="5">
        <f>MEDIAN(-6,E724+(C724-F724)/MAX(F724-G724,0.000000001),6)</f>
        <v/>
      </c>
      <c r="I724" s="5">
        <f>SUMPRODUCT(('01_Data'!$B724:$AW724&lt;&gt;"")*(1/(1+EXP(-(H724-'03_Lap_b'!$B$10:$AW$10)))))</f>
        <v/>
      </c>
      <c r="J724" s="5">
        <f>SUMPRODUCT(('01_Data'!$B724:$AW724&lt;&gt;"")*(1/(1+EXP(-(H724-'03_Lap_b'!$B$10:$AW$10))))^2)</f>
        <v/>
      </c>
      <c r="K724" s="5">
        <f>MEDIAN(-6,H724+(C724-I724)/MAX(I724-J724,0.000000001),6)</f>
        <v/>
      </c>
      <c r="L724" s="5">
        <f>SUMPRODUCT(('01_Data'!$B724:$AW724&lt;&gt;"")*(1/(1+EXP(-(K724-'03_Lap_b'!$B$15:$AW$15)))))</f>
        <v/>
      </c>
      <c r="M724" s="5">
        <f>SUMPRODUCT(('01_Data'!$B724:$AW724&lt;&gt;"")*(1/(1+EXP(-(K724-'03_Lap_b'!$B$15:$AW$15))))^2)</f>
        <v/>
      </c>
      <c r="N724" s="5">
        <f>MEDIAN(-6,K724+(C724-L724)/MAX(L724-M724,0.000000001),6)</f>
        <v/>
      </c>
      <c r="O724" s="5">
        <f>SUMPRODUCT(('01_Data'!$B724:$AW724&lt;&gt;"")*(1/(1+EXP(-(N724-'03_Lap_b'!$B$20:$AW$20)))))</f>
        <v/>
      </c>
      <c r="P724" s="5">
        <f>SUMPRODUCT(('01_Data'!$B724:$AW724&lt;&gt;"")*(1/(1+EXP(-(N724-'03_Lap_b'!$B$20:$AW$20))))^2)</f>
        <v/>
      </c>
      <c r="Q724" s="5">
        <f>MEDIAN(-6,N724+(C724-O724)/MAX(O724-P724,0.000000001),6)</f>
        <v/>
      </c>
      <c r="R724" s="5">
        <f>SUMPRODUCT(('01_Data'!$B724:$AW724&lt;&gt;"")*(1/(1+EXP(-(Q724-'03_Lap_b'!$B$25:$AW$25)))))</f>
        <v/>
      </c>
      <c r="S724" s="5">
        <f>SUMPRODUCT(('01_Data'!$B724:$AW724&lt;&gt;"")*(1/(1+EXP(-(Q724-'03_Lap_b'!$B$25:$AW$25))))^2)</f>
        <v/>
      </c>
      <c r="T724" s="5">
        <f>MEDIAN(-6,Q724+(C724-R724)/MAX(R724-S724,0.000000001),6)</f>
        <v/>
      </c>
      <c r="U724" s="5">
        <f>SUMPRODUCT(('01_Data'!$B724:$AW724&lt;&gt;"")*(1/(1+EXP(-(T724-'03_Lap_b'!$B$30:$AW$30)))))</f>
        <v/>
      </c>
      <c r="V724" s="5">
        <f>SUMPRODUCT(('01_Data'!$B724:$AW724&lt;&gt;"")*(1/(1+EXP(-(T724-'03_Lap_b'!$B$30:$AW$30))))^2)</f>
        <v/>
      </c>
      <c r="W724" s="5">
        <f>MEDIAN(-6,T724+(C724-U724)/MAX(U724-V724,0.000000001),6)</f>
        <v/>
      </c>
      <c r="X724" s="5">
        <f>SUMPRODUCT(('01_Data'!$B724:$AW724&lt;&gt;"")*(1/(1+EXP(-(W724-'03_Lap_b'!$B$35:$AW$35)))))</f>
        <v/>
      </c>
      <c r="Y724" s="5">
        <f>SUMPRODUCT(('01_Data'!$B724:$AW724&lt;&gt;"")*(1/(1+EXP(-(W724-'03_Lap_b'!$B$35:$AW$35))))^2)</f>
        <v/>
      </c>
      <c r="Z724" s="5">
        <f>MEDIAN(-6,W724+(C724-X724)/MAX(X724-Y724,0.000000001),6)</f>
        <v/>
      </c>
      <c r="AA724" s="5">
        <f>SUMPRODUCT(('01_Data'!$B724:$AW724&lt;&gt;"")*(1/(1+EXP(-(Z724-'03_Lap_b'!$B$40:$AW$40)))))</f>
        <v/>
      </c>
      <c r="AB724" s="5">
        <f>SUMPRODUCT(('01_Data'!$B724:$AW724&lt;&gt;"")*(1/(1+EXP(-(Z724-'03_Lap_b'!$B$40:$AW$40))))^2)</f>
        <v/>
      </c>
      <c r="AC724" s="5">
        <f>MEDIAN(-6,Z724+(C724-AA724)/MAX(AA724-AB724,0.000000001),6)</f>
        <v/>
      </c>
    </row>
    <row r="725">
      <c r="A725" t="n">
        <v>724</v>
      </c>
      <c r="B725">
        <f>'01_Data'!A725</f>
        <v/>
      </c>
      <c r="C725">
        <f>SUM('01_Data'!$B725:$AW725)</f>
        <v/>
      </c>
      <c r="D725">
        <f>COUNT('01_Data'!$B725:$AW725)</f>
        <v/>
      </c>
      <c r="E725" s="5">
        <f>MEDIAN(-6,LN((C725+0.3)/(D725-C725+0.3)),6)</f>
        <v/>
      </c>
      <c r="F725" s="5">
        <f>SUMPRODUCT(('01_Data'!$B725:$AW725&lt;&gt;"")*(1/(1+EXP(-(E725-'03_Lap_b'!$B$5:$AW$5)))))</f>
        <v/>
      </c>
      <c r="G725" s="5">
        <f>SUMPRODUCT(('01_Data'!$B725:$AW725&lt;&gt;"")*(1/(1+EXP(-(E725-'03_Lap_b'!$B$5:$AW$5))))^2)</f>
        <v/>
      </c>
      <c r="H725" s="5">
        <f>MEDIAN(-6,E725+(C725-F725)/MAX(F725-G725,0.000000001),6)</f>
        <v/>
      </c>
      <c r="I725" s="5">
        <f>SUMPRODUCT(('01_Data'!$B725:$AW725&lt;&gt;"")*(1/(1+EXP(-(H725-'03_Lap_b'!$B$10:$AW$10)))))</f>
        <v/>
      </c>
      <c r="J725" s="5">
        <f>SUMPRODUCT(('01_Data'!$B725:$AW725&lt;&gt;"")*(1/(1+EXP(-(H725-'03_Lap_b'!$B$10:$AW$10))))^2)</f>
        <v/>
      </c>
      <c r="K725" s="5">
        <f>MEDIAN(-6,H725+(C725-I725)/MAX(I725-J725,0.000000001),6)</f>
        <v/>
      </c>
      <c r="L725" s="5">
        <f>SUMPRODUCT(('01_Data'!$B725:$AW725&lt;&gt;"")*(1/(1+EXP(-(K725-'03_Lap_b'!$B$15:$AW$15)))))</f>
        <v/>
      </c>
      <c r="M725" s="5">
        <f>SUMPRODUCT(('01_Data'!$B725:$AW725&lt;&gt;"")*(1/(1+EXP(-(K725-'03_Lap_b'!$B$15:$AW$15))))^2)</f>
        <v/>
      </c>
      <c r="N725" s="5">
        <f>MEDIAN(-6,K725+(C725-L725)/MAX(L725-M725,0.000000001),6)</f>
        <v/>
      </c>
      <c r="O725" s="5">
        <f>SUMPRODUCT(('01_Data'!$B725:$AW725&lt;&gt;"")*(1/(1+EXP(-(N725-'03_Lap_b'!$B$20:$AW$20)))))</f>
        <v/>
      </c>
      <c r="P725" s="5">
        <f>SUMPRODUCT(('01_Data'!$B725:$AW725&lt;&gt;"")*(1/(1+EXP(-(N725-'03_Lap_b'!$B$20:$AW$20))))^2)</f>
        <v/>
      </c>
      <c r="Q725" s="5">
        <f>MEDIAN(-6,N725+(C725-O725)/MAX(O725-P725,0.000000001),6)</f>
        <v/>
      </c>
      <c r="R725" s="5">
        <f>SUMPRODUCT(('01_Data'!$B725:$AW725&lt;&gt;"")*(1/(1+EXP(-(Q725-'03_Lap_b'!$B$25:$AW$25)))))</f>
        <v/>
      </c>
      <c r="S725" s="5">
        <f>SUMPRODUCT(('01_Data'!$B725:$AW725&lt;&gt;"")*(1/(1+EXP(-(Q725-'03_Lap_b'!$B$25:$AW$25))))^2)</f>
        <v/>
      </c>
      <c r="T725" s="5">
        <f>MEDIAN(-6,Q725+(C725-R725)/MAX(R725-S725,0.000000001),6)</f>
        <v/>
      </c>
      <c r="U725" s="5">
        <f>SUMPRODUCT(('01_Data'!$B725:$AW725&lt;&gt;"")*(1/(1+EXP(-(T725-'03_Lap_b'!$B$30:$AW$30)))))</f>
        <v/>
      </c>
      <c r="V725" s="5">
        <f>SUMPRODUCT(('01_Data'!$B725:$AW725&lt;&gt;"")*(1/(1+EXP(-(T725-'03_Lap_b'!$B$30:$AW$30))))^2)</f>
        <v/>
      </c>
      <c r="W725" s="5">
        <f>MEDIAN(-6,T725+(C725-U725)/MAX(U725-V725,0.000000001),6)</f>
        <v/>
      </c>
      <c r="X725" s="5">
        <f>SUMPRODUCT(('01_Data'!$B725:$AW725&lt;&gt;"")*(1/(1+EXP(-(W725-'03_Lap_b'!$B$35:$AW$35)))))</f>
        <v/>
      </c>
      <c r="Y725" s="5">
        <f>SUMPRODUCT(('01_Data'!$B725:$AW725&lt;&gt;"")*(1/(1+EXP(-(W725-'03_Lap_b'!$B$35:$AW$35))))^2)</f>
        <v/>
      </c>
      <c r="Z725" s="5">
        <f>MEDIAN(-6,W725+(C725-X725)/MAX(X725-Y725,0.000000001),6)</f>
        <v/>
      </c>
      <c r="AA725" s="5">
        <f>SUMPRODUCT(('01_Data'!$B725:$AW725&lt;&gt;"")*(1/(1+EXP(-(Z725-'03_Lap_b'!$B$40:$AW$40)))))</f>
        <v/>
      </c>
      <c r="AB725" s="5">
        <f>SUMPRODUCT(('01_Data'!$B725:$AW725&lt;&gt;"")*(1/(1+EXP(-(Z725-'03_Lap_b'!$B$40:$AW$40))))^2)</f>
        <v/>
      </c>
      <c r="AC725" s="5">
        <f>MEDIAN(-6,Z725+(C725-AA725)/MAX(AA725-AB725,0.000000001),6)</f>
        <v/>
      </c>
    </row>
    <row r="726">
      <c r="A726" t="n">
        <v>725</v>
      </c>
      <c r="B726">
        <f>'01_Data'!A726</f>
        <v/>
      </c>
      <c r="C726">
        <f>SUM('01_Data'!$B726:$AW726)</f>
        <v/>
      </c>
      <c r="D726">
        <f>COUNT('01_Data'!$B726:$AW726)</f>
        <v/>
      </c>
      <c r="E726" s="5">
        <f>MEDIAN(-6,LN((C726+0.3)/(D726-C726+0.3)),6)</f>
        <v/>
      </c>
      <c r="F726" s="5">
        <f>SUMPRODUCT(('01_Data'!$B726:$AW726&lt;&gt;"")*(1/(1+EXP(-(E726-'03_Lap_b'!$B$5:$AW$5)))))</f>
        <v/>
      </c>
      <c r="G726" s="5">
        <f>SUMPRODUCT(('01_Data'!$B726:$AW726&lt;&gt;"")*(1/(1+EXP(-(E726-'03_Lap_b'!$B$5:$AW$5))))^2)</f>
        <v/>
      </c>
      <c r="H726" s="5">
        <f>MEDIAN(-6,E726+(C726-F726)/MAX(F726-G726,0.000000001),6)</f>
        <v/>
      </c>
      <c r="I726" s="5">
        <f>SUMPRODUCT(('01_Data'!$B726:$AW726&lt;&gt;"")*(1/(1+EXP(-(H726-'03_Lap_b'!$B$10:$AW$10)))))</f>
        <v/>
      </c>
      <c r="J726" s="5">
        <f>SUMPRODUCT(('01_Data'!$B726:$AW726&lt;&gt;"")*(1/(1+EXP(-(H726-'03_Lap_b'!$B$10:$AW$10))))^2)</f>
        <v/>
      </c>
      <c r="K726" s="5">
        <f>MEDIAN(-6,H726+(C726-I726)/MAX(I726-J726,0.000000001),6)</f>
        <v/>
      </c>
      <c r="L726" s="5">
        <f>SUMPRODUCT(('01_Data'!$B726:$AW726&lt;&gt;"")*(1/(1+EXP(-(K726-'03_Lap_b'!$B$15:$AW$15)))))</f>
        <v/>
      </c>
      <c r="M726" s="5">
        <f>SUMPRODUCT(('01_Data'!$B726:$AW726&lt;&gt;"")*(1/(1+EXP(-(K726-'03_Lap_b'!$B$15:$AW$15))))^2)</f>
        <v/>
      </c>
      <c r="N726" s="5">
        <f>MEDIAN(-6,K726+(C726-L726)/MAX(L726-M726,0.000000001),6)</f>
        <v/>
      </c>
      <c r="O726" s="5">
        <f>SUMPRODUCT(('01_Data'!$B726:$AW726&lt;&gt;"")*(1/(1+EXP(-(N726-'03_Lap_b'!$B$20:$AW$20)))))</f>
        <v/>
      </c>
      <c r="P726" s="5">
        <f>SUMPRODUCT(('01_Data'!$B726:$AW726&lt;&gt;"")*(1/(1+EXP(-(N726-'03_Lap_b'!$B$20:$AW$20))))^2)</f>
        <v/>
      </c>
      <c r="Q726" s="5">
        <f>MEDIAN(-6,N726+(C726-O726)/MAX(O726-P726,0.000000001),6)</f>
        <v/>
      </c>
      <c r="R726" s="5">
        <f>SUMPRODUCT(('01_Data'!$B726:$AW726&lt;&gt;"")*(1/(1+EXP(-(Q726-'03_Lap_b'!$B$25:$AW$25)))))</f>
        <v/>
      </c>
      <c r="S726" s="5">
        <f>SUMPRODUCT(('01_Data'!$B726:$AW726&lt;&gt;"")*(1/(1+EXP(-(Q726-'03_Lap_b'!$B$25:$AW$25))))^2)</f>
        <v/>
      </c>
      <c r="T726" s="5">
        <f>MEDIAN(-6,Q726+(C726-R726)/MAX(R726-S726,0.000000001),6)</f>
        <v/>
      </c>
      <c r="U726" s="5">
        <f>SUMPRODUCT(('01_Data'!$B726:$AW726&lt;&gt;"")*(1/(1+EXP(-(T726-'03_Lap_b'!$B$30:$AW$30)))))</f>
        <v/>
      </c>
      <c r="V726" s="5">
        <f>SUMPRODUCT(('01_Data'!$B726:$AW726&lt;&gt;"")*(1/(1+EXP(-(T726-'03_Lap_b'!$B$30:$AW$30))))^2)</f>
        <v/>
      </c>
      <c r="W726" s="5">
        <f>MEDIAN(-6,T726+(C726-U726)/MAX(U726-V726,0.000000001),6)</f>
        <v/>
      </c>
      <c r="X726" s="5">
        <f>SUMPRODUCT(('01_Data'!$B726:$AW726&lt;&gt;"")*(1/(1+EXP(-(W726-'03_Lap_b'!$B$35:$AW$35)))))</f>
        <v/>
      </c>
      <c r="Y726" s="5">
        <f>SUMPRODUCT(('01_Data'!$B726:$AW726&lt;&gt;"")*(1/(1+EXP(-(W726-'03_Lap_b'!$B$35:$AW$35))))^2)</f>
        <v/>
      </c>
      <c r="Z726" s="5">
        <f>MEDIAN(-6,W726+(C726-X726)/MAX(X726-Y726,0.000000001),6)</f>
        <v/>
      </c>
      <c r="AA726" s="5">
        <f>SUMPRODUCT(('01_Data'!$B726:$AW726&lt;&gt;"")*(1/(1+EXP(-(Z726-'03_Lap_b'!$B$40:$AW$40)))))</f>
        <v/>
      </c>
      <c r="AB726" s="5">
        <f>SUMPRODUCT(('01_Data'!$B726:$AW726&lt;&gt;"")*(1/(1+EXP(-(Z726-'03_Lap_b'!$B$40:$AW$40))))^2)</f>
        <v/>
      </c>
      <c r="AC726" s="5">
        <f>MEDIAN(-6,Z726+(C726-AA726)/MAX(AA726-AB726,0.000000001),6)</f>
        <v/>
      </c>
    </row>
    <row r="727">
      <c r="A727" t="n">
        <v>726</v>
      </c>
      <c r="B727">
        <f>'01_Data'!A727</f>
        <v/>
      </c>
      <c r="C727">
        <f>SUM('01_Data'!$B727:$AW727)</f>
        <v/>
      </c>
      <c r="D727">
        <f>COUNT('01_Data'!$B727:$AW727)</f>
        <v/>
      </c>
      <c r="E727" s="5">
        <f>MEDIAN(-6,LN((C727+0.3)/(D727-C727+0.3)),6)</f>
        <v/>
      </c>
      <c r="F727" s="5">
        <f>SUMPRODUCT(('01_Data'!$B727:$AW727&lt;&gt;"")*(1/(1+EXP(-(E727-'03_Lap_b'!$B$5:$AW$5)))))</f>
        <v/>
      </c>
      <c r="G727" s="5">
        <f>SUMPRODUCT(('01_Data'!$B727:$AW727&lt;&gt;"")*(1/(1+EXP(-(E727-'03_Lap_b'!$B$5:$AW$5))))^2)</f>
        <v/>
      </c>
      <c r="H727" s="5">
        <f>MEDIAN(-6,E727+(C727-F727)/MAX(F727-G727,0.000000001),6)</f>
        <v/>
      </c>
      <c r="I727" s="5">
        <f>SUMPRODUCT(('01_Data'!$B727:$AW727&lt;&gt;"")*(1/(1+EXP(-(H727-'03_Lap_b'!$B$10:$AW$10)))))</f>
        <v/>
      </c>
      <c r="J727" s="5">
        <f>SUMPRODUCT(('01_Data'!$B727:$AW727&lt;&gt;"")*(1/(1+EXP(-(H727-'03_Lap_b'!$B$10:$AW$10))))^2)</f>
        <v/>
      </c>
      <c r="K727" s="5">
        <f>MEDIAN(-6,H727+(C727-I727)/MAX(I727-J727,0.000000001),6)</f>
        <v/>
      </c>
      <c r="L727" s="5">
        <f>SUMPRODUCT(('01_Data'!$B727:$AW727&lt;&gt;"")*(1/(1+EXP(-(K727-'03_Lap_b'!$B$15:$AW$15)))))</f>
        <v/>
      </c>
      <c r="M727" s="5">
        <f>SUMPRODUCT(('01_Data'!$B727:$AW727&lt;&gt;"")*(1/(1+EXP(-(K727-'03_Lap_b'!$B$15:$AW$15))))^2)</f>
        <v/>
      </c>
      <c r="N727" s="5">
        <f>MEDIAN(-6,K727+(C727-L727)/MAX(L727-M727,0.000000001),6)</f>
        <v/>
      </c>
      <c r="O727" s="5">
        <f>SUMPRODUCT(('01_Data'!$B727:$AW727&lt;&gt;"")*(1/(1+EXP(-(N727-'03_Lap_b'!$B$20:$AW$20)))))</f>
        <v/>
      </c>
      <c r="P727" s="5">
        <f>SUMPRODUCT(('01_Data'!$B727:$AW727&lt;&gt;"")*(1/(1+EXP(-(N727-'03_Lap_b'!$B$20:$AW$20))))^2)</f>
        <v/>
      </c>
      <c r="Q727" s="5">
        <f>MEDIAN(-6,N727+(C727-O727)/MAX(O727-P727,0.000000001),6)</f>
        <v/>
      </c>
      <c r="R727" s="5">
        <f>SUMPRODUCT(('01_Data'!$B727:$AW727&lt;&gt;"")*(1/(1+EXP(-(Q727-'03_Lap_b'!$B$25:$AW$25)))))</f>
        <v/>
      </c>
      <c r="S727" s="5">
        <f>SUMPRODUCT(('01_Data'!$B727:$AW727&lt;&gt;"")*(1/(1+EXP(-(Q727-'03_Lap_b'!$B$25:$AW$25))))^2)</f>
        <v/>
      </c>
      <c r="T727" s="5">
        <f>MEDIAN(-6,Q727+(C727-R727)/MAX(R727-S727,0.000000001),6)</f>
        <v/>
      </c>
      <c r="U727" s="5">
        <f>SUMPRODUCT(('01_Data'!$B727:$AW727&lt;&gt;"")*(1/(1+EXP(-(T727-'03_Lap_b'!$B$30:$AW$30)))))</f>
        <v/>
      </c>
      <c r="V727" s="5">
        <f>SUMPRODUCT(('01_Data'!$B727:$AW727&lt;&gt;"")*(1/(1+EXP(-(T727-'03_Lap_b'!$B$30:$AW$30))))^2)</f>
        <v/>
      </c>
      <c r="W727" s="5">
        <f>MEDIAN(-6,T727+(C727-U727)/MAX(U727-V727,0.000000001),6)</f>
        <v/>
      </c>
      <c r="X727" s="5">
        <f>SUMPRODUCT(('01_Data'!$B727:$AW727&lt;&gt;"")*(1/(1+EXP(-(W727-'03_Lap_b'!$B$35:$AW$35)))))</f>
        <v/>
      </c>
      <c r="Y727" s="5">
        <f>SUMPRODUCT(('01_Data'!$B727:$AW727&lt;&gt;"")*(1/(1+EXP(-(W727-'03_Lap_b'!$B$35:$AW$35))))^2)</f>
        <v/>
      </c>
      <c r="Z727" s="5">
        <f>MEDIAN(-6,W727+(C727-X727)/MAX(X727-Y727,0.000000001),6)</f>
        <v/>
      </c>
      <c r="AA727" s="5">
        <f>SUMPRODUCT(('01_Data'!$B727:$AW727&lt;&gt;"")*(1/(1+EXP(-(Z727-'03_Lap_b'!$B$40:$AW$40)))))</f>
        <v/>
      </c>
      <c r="AB727" s="5">
        <f>SUMPRODUCT(('01_Data'!$B727:$AW727&lt;&gt;"")*(1/(1+EXP(-(Z727-'03_Lap_b'!$B$40:$AW$40))))^2)</f>
        <v/>
      </c>
      <c r="AC727" s="5">
        <f>MEDIAN(-6,Z727+(C727-AA727)/MAX(AA727-AB727,0.000000001),6)</f>
        <v/>
      </c>
    </row>
    <row r="728">
      <c r="A728" t="n">
        <v>727</v>
      </c>
      <c r="B728">
        <f>'01_Data'!A728</f>
        <v/>
      </c>
      <c r="C728">
        <f>SUM('01_Data'!$B728:$AW728)</f>
        <v/>
      </c>
      <c r="D728">
        <f>COUNT('01_Data'!$B728:$AW728)</f>
        <v/>
      </c>
      <c r="E728" s="5">
        <f>MEDIAN(-6,LN((C728+0.3)/(D728-C728+0.3)),6)</f>
        <v/>
      </c>
      <c r="F728" s="5">
        <f>SUMPRODUCT(('01_Data'!$B728:$AW728&lt;&gt;"")*(1/(1+EXP(-(E728-'03_Lap_b'!$B$5:$AW$5)))))</f>
        <v/>
      </c>
      <c r="G728" s="5">
        <f>SUMPRODUCT(('01_Data'!$B728:$AW728&lt;&gt;"")*(1/(1+EXP(-(E728-'03_Lap_b'!$B$5:$AW$5))))^2)</f>
        <v/>
      </c>
      <c r="H728" s="5">
        <f>MEDIAN(-6,E728+(C728-F728)/MAX(F728-G728,0.000000001),6)</f>
        <v/>
      </c>
      <c r="I728" s="5">
        <f>SUMPRODUCT(('01_Data'!$B728:$AW728&lt;&gt;"")*(1/(1+EXP(-(H728-'03_Lap_b'!$B$10:$AW$10)))))</f>
        <v/>
      </c>
      <c r="J728" s="5">
        <f>SUMPRODUCT(('01_Data'!$B728:$AW728&lt;&gt;"")*(1/(1+EXP(-(H728-'03_Lap_b'!$B$10:$AW$10))))^2)</f>
        <v/>
      </c>
      <c r="K728" s="5">
        <f>MEDIAN(-6,H728+(C728-I728)/MAX(I728-J728,0.000000001),6)</f>
        <v/>
      </c>
      <c r="L728" s="5">
        <f>SUMPRODUCT(('01_Data'!$B728:$AW728&lt;&gt;"")*(1/(1+EXP(-(K728-'03_Lap_b'!$B$15:$AW$15)))))</f>
        <v/>
      </c>
      <c r="M728" s="5">
        <f>SUMPRODUCT(('01_Data'!$B728:$AW728&lt;&gt;"")*(1/(1+EXP(-(K728-'03_Lap_b'!$B$15:$AW$15))))^2)</f>
        <v/>
      </c>
      <c r="N728" s="5">
        <f>MEDIAN(-6,K728+(C728-L728)/MAX(L728-M728,0.000000001),6)</f>
        <v/>
      </c>
      <c r="O728" s="5">
        <f>SUMPRODUCT(('01_Data'!$B728:$AW728&lt;&gt;"")*(1/(1+EXP(-(N728-'03_Lap_b'!$B$20:$AW$20)))))</f>
        <v/>
      </c>
      <c r="P728" s="5">
        <f>SUMPRODUCT(('01_Data'!$B728:$AW728&lt;&gt;"")*(1/(1+EXP(-(N728-'03_Lap_b'!$B$20:$AW$20))))^2)</f>
        <v/>
      </c>
      <c r="Q728" s="5">
        <f>MEDIAN(-6,N728+(C728-O728)/MAX(O728-P728,0.000000001),6)</f>
        <v/>
      </c>
      <c r="R728" s="5">
        <f>SUMPRODUCT(('01_Data'!$B728:$AW728&lt;&gt;"")*(1/(1+EXP(-(Q728-'03_Lap_b'!$B$25:$AW$25)))))</f>
        <v/>
      </c>
      <c r="S728" s="5">
        <f>SUMPRODUCT(('01_Data'!$B728:$AW728&lt;&gt;"")*(1/(1+EXP(-(Q728-'03_Lap_b'!$B$25:$AW$25))))^2)</f>
        <v/>
      </c>
      <c r="T728" s="5">
        <f>MEDIAN(-6,Q728+(C728-R728)/MAX(R728-S728,0.000000001),6)</f>
        <v/>
      </c>
      <c r="U728" s="5">
        <f>SUMPRODUCT(('01_Data'!$B728:$AW728&lt;&gt;"")*(1/(1+EXP(-(T728-'03_Lap_b'!$B$30:$AW$30)))))</f>
        <v/>
      </c>
      <c r="V728" s="5">
        <f>SUMPRODUCT(('01_Data'!$B728:$AW728&lt;&gt;"")*(1/(1+EXP(-(T728-'03_Lap_b'!$B$30:$AW$30))))^2)</f>
        <v/>
      </c>
      <c r="W728" s="5">
        <f>MEDIAN(-6,T728+(C728-U728)/MAX(U728-V728,0.000000001),6)</f>
        <v/>
      </c>
      <c r="X728" s="5">
        <f>SUMPRODUCT(('01_Data'!$B728:$AW728&lt;&gt;"")*(1/(1+EXP(-(W728-'03_Lap_b'!$B$35:$AW$35)))))</f>
        <v/>
      </c>
      <c r="Y728" s="5">
        <f>SUMPRODUCT(('01_Data'!$B728:$AW728&lt;&gt;"")*(1/(1+EXP(-(W728-'03_Lap_b'!$B$35:$AW$35))))^2)</f>
        <v/>
      </c>
      <c r="Z728" s="5">
        <f>MEDIAN(-6,W728+(C728-X728)/MAX(X728-Y728,0.000000001),6)</f>
        <v/>
      </c>
      <c r="AA728" s="5">
        <f>SUMPRODUCT(('01_Data'!$B728:$AW728&lt;&gt;"")*(1/(1+EXP(-(Z728-'03_Lap_b'!$B$40:$AW$40)))))</f>
        <v/>
      </c>
      <c r="AB728" s="5">
        <f>SUMPRODUCT(('01_Data'!$B728:$AW728&lt;&gt;"")*(1/(1+EXP(-(Z728-'03_Lap_b'!$B$40:$AW$40))))^2)</f>
        <v/>
      </c>
      <c r="AC728" s="5">
        <f>MEDIAN(-6,Z728+(C728-AA728)/MAX(AA728-AB728,0.000000001),6)</f>
        <v/>
      </c>
    </row>
    <row r="729">
      <c r="A729" t="n">
        <v>728</v>
      </c>
      <c r="B729">
        <f>'01_Data'!A729</f>
        <v/>
      </c>
      <c r="C729">
        <f>SUM('01_Data'!$B729:$AW729)</f>
        <v/>
      </c>
      <c r="D729">
        <f>COUNT('01_Data'!$B729:$AW729)</f>
        <v/>
      </c>
      <c r="E729" s="5">
        <f>MEDIAN(-6,LN((C729+0.3)/(D729-C729+0.3)),6)</f>
        <v/>
      </c>
      <c r="F729" s="5">
        <f>SUMPRODUCT(('01_Data'!$B729:$AW729&lt;&gt;"")*(1/(1+EXP(-(E729-'03_Lap_b'!$B$5:$AW$5)))))</f>
        <v/>
      </c>
      <c r="G729" s="5">
        <f>SUMPRODUCT(('01_Data'!$B729:$AW729&lt;&gt;"")*(1/(1+EXP(-(E729-'03_Lap_b'!$B$5:$AW$5))))^2)</f>
        <v/>
      </c>
      <c r="H729" s="5">
        <f>MEDIAN(-6,E729+(C729-F729)/MAX(F729-G729,0.000000001),6)</f>
        <v/>
      </c>
      <c r="I729" s="5">
        <f>SUMPRODUCT(('01_Data'!$B729:$AW729&lt;&gt;"")*(1/(1+EXP(-(H729-'03_Lap_b'!$B$10:$AW$10)))))</f>
        <v/>
      </c>
      <c r="J729" s="5">
        <f>SUMPRODUCT(('01_Data'!$B729:$AW729&lt;&gt;"")*(1/(1+EXP(-(H729-'03_Lap_b'!$B$10:$AW$10))))^2)</f>
        <v/>
      </c>
      <c r="K729" s="5">
        <f>MEDIAN(-6,H729+(C729-I729)/MAX(I729-J729,0.000000001),6)</f>
        <v/>
      </c>
      <c r="L729" s="5">
        <f>SUMPRODUCT(('01_Data'!$B729:$AW729&lt;&gt;"")*(1/(1+EXP(-(K729-'03_Lap_b'!$B$15:$AW$15)))))</f>
        <v/>
      </c>
      <c r="M729" s="5">
        <f>SUMPRODUCT(('01_Data'!$B729:$AW729&lt;&gt;"")*(1/(1+EXP(-(K729-'03_Lap_b'!$B$15:$AW$15))))^2)</f>
        <v/>
      </c>
      <c r="N729" s="5">
        <f>MEDIAN(-6,K729+(C729-L729)/MAX(L729-M729,0.000000001),6)</f>
        <v/>
      </c>
      <c r="O729" s="5">
        <f>SUMPRODUCT(('01_Data'!$B729:$AW729&lt;&gt;"")*(1/(1+EXP(-(N729-'03_Lap_b'!$B$20:$AW$20)))))</f>
        <v/>
      </c>
      <c r="P729" s="5">
        <f>SUMPRODUCT(('01_Data'!$B729:$AW729&lt;&gt;"")*(1/(1+EXP(-(N729-'03_Lap_b'!$B$20:$AW$20))))^2)</f>
        <v/>
      </c>
      <c r="Q729" s="5">
        <f>MEDIAN(-6,N729+(C729-O729)/MAX(O729-P729,0.000000001),6)</f>
        <v/>
      </c>
      <c r="R729" s="5">
        <f>SUMPRODUCT(('01_Data'!$B729:$AW729&lt;&gt;"")*(1/(1+EXP(-(Q729-'03_Lap_b'!$B$25:$AW$25)))))</f>
        <v/>
      </c>
      <c r="S729" s="5">
        <f>SUMPRODUCT(('01_Data'!$B729:$AW729&lt;&gt;"")*(1/(1+EXP(-(Q729-'03_Lap_b'!$B$25:$AW$25))))^2)</f>
        <v/>
      </c>
      <c r="T729" s="5">
        <f>MEDIAN(-6,Q729+(C729-R729)/MAX(R729-S729,0.000000001),6)</f>
        <v/>
      </c>
      <c r="U729" s="5">
        <f>SUMPRODUCT(('01_Data'!$B729:$AW729&lt;&gt;"")*(1/(1+EXP(-(T729-'03_Lap_b'!$B$30:$AW$30)))))</f>
        <v/>
      </c>
      <c r="V729" s="5">
        <f>SUMPRODUCT(('01_Data'!$B729:$AW729&lt;&gt;"")*(1/(1+EXP(-(T729-'03_Lap_b'!$B$30:$AW$30))))^2)</f>
        <v/>
      </c>
      <c r="W729" s="5">
        <f>MEDIAN(-6,T729+(C729-U729)/MAX(U729-V729,0.000000001),6)</f>
        <v/>
      </c>
      <c r="X729" s="5">
        <f>SUMPRODUCT(('01_Data'!$B729:$AW729&lt;&gt;"")*(1/(1+EXP(-(W729-'03_Lap_b'!$B$35:$AW$35)))))</f>
        <v/>
      </c>
      <c r="Y729" s="5">
        <f>SUMPRODUCT(('01_Data'!$B729:$AW729&lt;&gt;"")*(1/(1+EXP(-(W729-'03_Lap_b'!$B$35:$AW$35))))^2)</f>
        <v/>
      </c>
      <c r="Z729" s="5">
        <f>MEDIAN(-6,W729+(C729-X729)/MAX(X729-Y729,0.000000001),6)</f>
        <v/>
      </c>
      <c r="AA729" s="5">
        <f>SUMPRODUCT(('01_Data'!$B729:$AW729&lt;&gt;"")*(1/(1+EXP(-(Z729-'03_Lap_b'!$B$40:$AW$40)))))</f>
        <v/>
      </c>
      <c r="AB729" s="5">
        <f>SUMPRODUCT(('01_Data'!$B729:$AW729&lt;&gt;"")*(1/(1+EXP(-(Z729-'03_Lap_b'!$B$40:$AW$40))))^2)</f>
        <v/>
      </c>
      <c r="AC729" s="5">
        <f>MEDIAN(-6,Z729+(C729-AA729)/MAX(AA729-AB729,0.000000001),6)</f>
        <v/>
      </c>
    </row>
    <row r="730">
      <c r="A730" t="n">
        <v>729</v>
      </c>
      <c r="B730">
        <f>'01_Data'!A730</f>
        <v/>
      </c>
      <c r="C730">
        <f>SUM('01_Data'!$B730:$AW730)</f>
        <v/>
      </c>
      <c r="D730">
        <f>COUNT('01_Data'!$B730:$AW730)</f>
        <v/>
      </c>
      <c r="E730" s="5">
        <f>MEDIAN(-6,LN((C730+0.3)/(D730-C730+0.3)),6)</f>
        <v/>
      </c>
      <c r="F730" s="5">
        <f>SUMPRODUCT(('01_Data'!$B730:$AW730&lt;&gt;"")*(1/(1+EXP(-(E730-'03_Lap_b'!$B$5:$AW$5)))))</f>
        <v/>
      </c>
      <c r="G730" s="5">
        <f>SUMPRODUCT(('01_Data'!$B730:$AW730&lt;&gt;"")*(1/(1+EXP(-(E730-'03_Lap_b'!$B$5:$AW$5))))^2)</f>
        <v/>
      </c>
      <c r="H730" s="5">
        <f>MEDIAN(-6,E730+(C730-F730)/MAX(F730-G730,0.000000001),6)</f>
        <v/>
      </c>
      <c r="I730" s="5">
        <f>SUMPRODUCT(('01_Data'!$B730:$AW730&lt;&gt;"")*(1/(1+EXP(-(H730-'03_Lap_b'!$B$10:$AW$10)))))</f>
        <v/>
      </c>
      <c r="J730" s="5">
        <f>SUMPRODUCT(('01_Data'!$B730:$AW730&lt;&gt;"")*(1/(1+EXP(-(H730-'03_Lap_b'!$B$10:$AW$10))))^2)</f>
        <v/>
      </c>
      <c r="K730" s="5">
        <f>MEDIAN(-6,H730+(C730-I730)/MAX(I730-J730,0.000000001),6)</f>
        <v/>
      </c>
      <c r="L730" s="5">
        <f>SUMPRODUCT(('01_Data'!$B730:$AW730&lt;&gt;"")*(1/(1+EXP(-(K730-'03_Lap_b'!$B$15:$AW$15)))))</f>
        <v/>
      </c>
      <c r="M730" s="5">
        <f>SUMPRODUCT(('01_Data'!$B730:$AW730&lt;&gt;"")*(1/(1+EXP(-(K730-'03_Lap_b'!$B$15:$AW$15))))^2)</f>
        <v/>
      </c>
      <c r="N730" s="5">
        <f>MEDIAN(-6,K730+(C730-L730)/MAX(L730-M730,0.000000001),6)</f>
        <v/>
      </c>
      <c r="O730" s="5">
        <f>SUMPRODUCT(('01_Data'!$B730:$AW730&lt;&gt;"")*(1/(1+EXP(-(N730-'03_Lap_b'!$B$20:$AW$20)))))</f>
        <v/>
      </c>
      <c r="P730" s="5">
        <f>SUMPRODUCT(('01_Data'!$B730:$AW730&lt;&gt;"")*(1/(1+EXP(-(N730-'03_Lap_b'!$B$20:$AW$20))))^2)</f>
        <v/>
      </c>
      <c r="Q730" s="5">
        <f>MEDIAN(-6,N730+(C730-O730)/MAX(O730-P730,0.000000001),6)</f>
        <v/>
      </c>
      <c r="R730" s="5">
        <f>SUMPRODUCT(('01_Data'!$B730:$AW730&lt;&gt;"")*(1/(1+EXP(-(Q730-'03_Lap_b'!$B$25:$AW$25)))))</f>
        <v/>
      </c>
      <c r="S730" s="5">
        <f>SUMPRODUCT(('01_Data'!$B730:$AW730&lt;&gt;"")*(1/(1+EXP(-(Q730-'03_Lap_b'!$B$25:$AW$25))))^2)</f>
        <v/>
      </c>
      <c r="T730" s="5">
        <f>MEDIAN(-6,Q730+(C730-R730)/MAX(R730-S730,0.000000001),6)</f>
        <v/>
      </c>
      <c r="U730" s="5">
        <f>SUMPRODUCT(('01_Data'!$B730:$AW730&lt;&gt;"")*(1/(1+EXP(-(T730-'03_Lap_b'!$B$30:$AW$30)))))</f>
        <v/>
      </c>
      <c r="V730" s="5">
        <f>SUMPRODUCT(('01_Data'!$B730:$AW730&lt;&gt;"")*(1/(1+EXP(-(T730-'03_Lap_b'!$B$30:$AW$30))))^2)</f>
        <v/>
      </c>
      <c r="W730" s="5">
        <f>MEDIAN(-6,T730+(C730-U730)/MAX(U730-V730,0.000000001),6)</f>
        <v/>
      </c>
      <c r="X730" s="5">
        <f>SUMPRODUCT(('01_Data'!$B730:$AW730&lt;&gt;"")*(1/(1+EXP(-(W730-'03_Lap_b'!$B$35:$AW$35)))))</f>
        <v/>
      </c>
      <c r="Y730" s="5">
        <f>SUMPRODUCT(('01_Data'!$B730:$AW730&lt;&gt;"")*(1/(1+EXP(-(W730-'03_Lap_b'!$B$35:$AW$35))))^2)</f>
        <v/>
      </c>
      <c r="Z730" s="5">
        <f>MEDIAN(-6,W730+(C730-X730)/MAX(X730-Y730,0.000000001),6)</f>
        <v/>
      </c>
      <c r="AA730" s="5">
        <f>SUMPRODUCT(('01_Data'!$B730:$AW730&lt;&gt;"")*(1/(1+EXP(-(Z730-'03_Lap_b'!$B$40:$AW$40)))))</f>
        <v/>
      </c>
      <c r="AB730" s="5">
        <f>SUMPRODUCT(('01_Data'!$B730:$AW730&lt;&gt;"")*(1/(1+EXP(-(Z730-'03_Lap_b'!$B$40:$AW$40))))^2)</f>
        <v/>
      </c>
      <c r="AC730" s="5">
        <f>MEDIAN(-6,Z730+(C730-AA730)/MAX(AA730-AB730,0.000000001),6)</f>
        <v/>
      </c>
    </row>
    <row r="731">
      <c r="A731" t="n">
        <v>730</v>
      </c>
      <c r="B731">
        <f>'01_Data'!A731</f>
        <v/>
      </c>
      <c r="C731">
        <f>SUM('01_Data'!$B731:$AW731)</f>
        <v/>
      </c>
      <c r="D731">
        <f>COUNT('01_Data'!$B731:$AW731)</f>
        <v/>
      </c>
      <c r="E731" s="5">
        <f>MEDIAN(-6,LN((C731+0.3)/(D731-C731+0.3)),6)</f>
        <v/>
      </c>
      <c r="F731" s="5">
        <f>SUMPRODUCT(('01_Data'!$B731:$AW731&lt;&gt;"")*(1/(1+EXP(-(E731-'03_Lap_b'!$B$5:$AW$5)))))</f>
        <v/>
      </c>
      <c r="G731" s="5">
        <f>SUMPRODUCT(('01_Data'!$B731:$AW731&lt;&gt;"")*(1/(1+EXP(-(E731-'03_Lap_b'!$B$5:$AW$5))))^2)</f>
        <v/>
      </c>
      <c r="H731" s="5">
        <f>MEDIAN(-6,E731+(C731-F731)/MAX(F731-G731,0.000000001),6)</f>
        <v/>
      </c>
      <c r="I731" s="5">
        <f>SUMPRODUCT(('01_Data'!$B731:$AW731&lt;&gt;"")*(1/(1+EXP(-(H731-'03_Lap_b'!$B$10:$AW$10)))))</f>
        <v/>
      </c>
      <c r="J731" s="5">
        <f>SUMPRODUCT(('01_Data'!$B731:$AW731&lt;&gt;"")*(1/(1+EXP(-(H731-'03_Lap_b'!$B$10:$AW$10))))^2)</f>
        <v/>
      </c>
      <c r="K731" s="5">
        <f>MEDIAN(-6,H731+(C731-I731)/MAX(I731-J731,0.000000001),6)</f>
        <v/>
      </c>
      <c r="L731" s="5">
        <f>SUMPRODUCT(('01_Data'!$B731:$AW731&lt;&gt;"")*(1/(1+EXP(-(K731-'03_Lap_b'!$B$15:$AW$15)))))</f>
        <v/>
      </c>
      <c r="M731" s="5">
        <f>SUMPRODUCT(('01_Data'!$B731:$AW731&lt;&gt;"")*(1/(1+EXP(-(K731-'03_Lap_b'!$B$15:$AW$15))))^2)</f>
        <v/>
      </c>
      <c r="N731" s="5">
        <f>MEDIAN(-6,K731+(C731-L731)/MAX(L731-M731,0.000000001),6)</f>
        <v/>
      </c>
      <c r="O731" s="5">
        <f>SUMPRODUCT(('01_Data'!$B731:$AW731&lt;&gt;"")*(1/(1+EXP(-(N731-'03_Lap_b'!$B$20:$AW$20)))))</f>
        <v/>
      </c>
      <c r="P731" s="5">
        <f>SUMPRODUCT(('01_Data'!$B731:$AW731&lt;&gt;"")*(1/(1+EXP(-(N731-'03_Lap_b'!$B$20:$AW$20))))^2)</f>
        <v/>
      </c>
      <c r="Q731" s="5">
        <f>MEDIAN(-6,N731+(C731-O731)/MAX(O731-P731,0.000000001),6)</f>
        <v/>
      </c>
      <c r="R731" s="5">
        <f>SUMPRODUCT(('01_Data'!$B731:$AW731&lt;&gt;"")*(1/(1+EXP(-(Q731-'03_Lap_b'!$B$25:$AW$25)))))</f>
        <v/>
      </c>
      <c r="S731" s="5">
        <f>SUMPRODUCT(('01_Data'!$B731:$AW731&lt;&gt;"")*(1/(1+EXP(-(Q731-'03_Lap_b'!$B$25:$AW$25))))^2)</f>
        <v/>
      </c>
      <c r="T731" s="5">
        <f>MEDIAN(-6,Q731+(C731-R731)/MAX(R731-S731,0.000000001),6)</f>
        <v/>
      </c>
      <c r="U731" s="5">
        <f>SUMPRODUCT(('01_Data'!$B731:$AW731&lt;&gt;"")*(1/(1+EXP(-(T731-'03_Lap_b'!$B$30:$AW$30)))))</f>
        <v/>
      </c>
      <c r="V731" s="5">
        <f>SUMPRODUCT(('01_Data'!$B731:$AW731&lt;&gt;"")*(1/(1+EXP(-(T731-'03_Lap_b'!$B$30:$AW$30))))^2)</f>
        <v/>
      </c>
      <c r="W731" s="5">
        <f>MEDIAN(-6,T731+(C731-U731)/MAX(U731-V731,0.000000001),6)</f>
        <v/>
      </c>
      <c r="X731" s="5">
        <f>SUMPRODUCT(('01_Data'!$B731:$AW731&lt;&gt;"")*(1/(1+EXP(-(W731-'03_Lap_b'!$B$35:$AW$35)))))</f>
        <v/>
      </c>
      <c r="Y731" s="5">
        <f>SUMPRODUCT(('01_Data'!$B731:$AW731&lt;&gt;"")*(1/(1+EXP(-(W731-'03_Lap_b'!$B$35:$AW$35))))^2)</f>
        <v/>
      </c>
      <c r="Z731" s="5">
        <f>MEDIAN(-6,W731+(C731-X731)/MAX(X731-Y731,0.000000001),6)</f>
        <v/>
      </c>
      <c r="AA731" s="5">
        <f>SUMPRODUCT(('01_Data'!$B731:$AW731&lt;&gt;"")*(1/(1+EXP(-(Z731-'03_Lap_b'!$B$40:$AW$40)))))</f>
        <v/>
      </c>
      <c r="AB731" s="5">
        <f>SUMPRODUCT(('01_Data'!$B731:$AW731&lt;&gt;"")*(1/(1+EXP(-(Z731-'03_Lap_b'!$B$40:$AW$40))))^2)</f>
        <v/>
      </c>
      <c r="AC731" s="5">
        <f>MEDIAN(-6,Z731+(C731-AA731)/MAX(AA731-AB731,0.000000001),6)</f>
        <v/>
      </c>
    </row>
    <row r="732">
      <c r="A732" t="n">
        <v>731</v>
      </c>
      <c r="B732">
        <f>'01_Data'!A732</f>
        <v/>
      </c>
      <c r="C732">
        <f>SUM('01_Data'!$B732:$AW732)</f>
        <v/>
      </c>
      <c r="D732">
        <f>COUNT('01_Data'!$B732:$AW732)</f>
        <v/>
      </c>
      <c r="E732" s="5">
        <f>MEDIAN(-6,LN((C732+0.3)/(D732-C732+0.3)),6)</f>
        <v/>
      </c>
      <c r="F732" s="5">
        <f>SUMPRODUCT(('01_Data'!$B732:$AW732&lt;&gt;"")*(1/(1+EXP(-(E732-'03_Lap_b'!$B$5:$AW$5)))))</f>
        <v/>
      </c>
      <c r="G732" s="5">
        <f>SUMPRODUCT(('01_Data'!$B732:$AW732&lt;&gt;"")*(1/(1+EXP(-(E732-'03_Lap_b'!$B$5:$AW$5))))^2)</f>
        <v/>
      </c>
      <c r="H732" s="5">
        <f>MEDIAN(-6,E732+(C732-F732)/MAX(F732-G732,0.000000001),6)</f>
        <v/>
      </c>
      <c r="I732" s="5">
        <f>SUMPRODUCT(('01_Data'!$B732:$AW732&lt;&gt;"")*(1/(1+EXP(-(H732-'03_Lap_b'!$B$10:$AW$10)))))</f>
        <v/>
      </c>
      <c r="J732" s="5">
        <f>SUMPRODUCT(('01_Data'!$B732:$AW732&lt;&gt;"")*(1/(1+EXP(-(H732-'03_Lap_b'!$B$10:$AW$10))))^2)</f>
        <v/>
      </c>
      <c r="K732" s="5">
        <f>MEDIAN(-6,H732+(C732-I732)/MAX(I732-J732,0.000000001),6)</f>
        <v/>
      </c>
      <c r="L732" s="5">
        <f>SUMPRODUCT(('01_Data'!$B732:$AW732&lt;&gt;"")*(1/(1+EXP(-(K732-'03_Lap_b'!$B$15:$AW$15)))))</f>
        <v/>
      </c>
      <c r="M732" s="5">
        <f>SUMPRODUCT(('01_Data'!$B732:$AW732&lt;&gt;"")*(1/(1+EXP(-(K732-'03_Lap_b'!$B$15:$AW$15))))^2)</f>
        <v/>
      </c>
      <c r="N732" s="5">
        <f>MEDIAN(-6,K732+(C732-L732)/MAX(L732-M732,0.000000001),6)</f>
        <v/>
      </c>
      <c r="O732" s="5">
        <f>SUMPRODUCT(('01_Data'!$B732:$AW732&lt;&gt;"")*(1/(1+EXP(-(N732-'03_Lap_b'!$B$20:$AW$20)))))</f>
        <v/>
      </c>
      <c r="P732" s="5">
        <f>SUMPRODUCT(('01_Data'!$B732:$AW732&lt;&gt;"")*(1/(1+EXP(-(N732-'03_Lap_b'!$B$20:$AW$20))))^2)</f>
        <v/>
      </c>
      <c r="Q732" s="5">
        <f>MEDIAN(-6,N732+(C732-O732)/MAX(O732-P732,0.000000001),6)</f>
        <v/>
      </c>
      <c r="R732" s="5">
        <f>SUMPRODUCT(('01_Data'!$B732:$AW732&lt;&gt;"")*(1/(1+EXP(-(Q732-'03_Lap_b'!$B$25:$AW$25)))))</f>
        <v/>
      </c>
      <c r="S732" s="5">
        <f>SUMPRODUCT(('01_Data'!$B732:$AW732&lt;&gt;"")*(1/(1+EXP(-(Q732-'03_Lap_b'!$B$25:$AW$25))))^2)</f>
        <v/>
      </c>
      <c r="T732" s="5">
        <f>MEDIAN(-6,Q732+(C732-R732)/MAX(R732-S732,0.000000001),6)</f>
        <v/>
      </c>
      <c r="U732" s="5">
        <f>SUMPRODUCT(('01_Data'!$B732:$AW732&lt;&gt;"")*(1/(1+EXP(-(T732-'03_Lap_b'!$B$30:$AW$30)))))</f>
        <v/>
      </c>
      <c r="V732" s="5">
        <f>SUMPRODUCT(('01_Data'!$B732:$AW732&lt;&gt;"")*(1/(1+EXP(-(T732-'03_Lap_b'!$B$30:$AW$30))))^2)</f>
        <v/>
      </c>
      <c r="W732" s="5">
        <f>MEDIAN(-6,T732+(C732-U732)/MAX(U732-V732,0.000000001),6)</f>
        <v/>
      </c>
      <c r="X732" s="5">
        <f>SUMPRODUCT(('01_Data'!$B732:$AW732&lt;&gt;"")*(1/(1+EXP(-(W732-'03_Lap_b'!$B$35:$AW$35)))))</f>
        <v/>
      </c>
      <c r="Y732" s="5">
        <f>SUMPRODUCT(('01_Data'!$B732:$AW732&lt;&gt;"")*(1/(1+EXP(-(W732-'03_Lap_b'!$B$35:$AW$35))))^2)</f>
        <v/>
      </c>
      <c r="Z732" s="5">
        <f>MEDIAN(-6,W732+(C732-X732)/MAX(X732-Y732,0.000000001),6)</f>
        <v/>
      </c>
      <c r="AA732" s="5">
        <f>SUMPRODUCT(('01_Data'!$B732:$AW732&lt;&gt;"")*(1/(1+EXP(-(Z732-'03_Lap_b'!$B$40:$AW$40)))))</f>
        <v/>
      </c>
      <c r="AB732" s="5">
        <f>SUMPRODUCT(('01_Data'!$B732:$AW732&lt;&gt;"")*(1/(1+EXP(-(Z732-'03_Lap_b'!$B$40:$AW$40))))^2)</f>
        <v/>
      </c>
      <c r="AC732" s="5">
        <f>MEDIAN(-6,Z732+(C732-AA732)/MAX(AA732-AB732,0.000000001),6)</f>
        <v/>
      </c>
    </row>
    <row r="733">
      <c r="A733" t="n">
        <v>732</v>
      </c>
      <c r="B733">
        <f>'01_Data'!A733</f>
        <v/>
      </c>
      <c r="C733">
        <f>SUM('01_Data'!$B733:$AW733)</f>
        <v/>
      </c>
      <c r="D733">
        <f>COUNT('01_Data'!$B733:$AW733)</f>
        <v/>
      </c>
      <c r="E733" s="5">
        <f>MEDIAN(-6,LN((C733+0.3)/(D733-C733+0.3)),6)</f>
        <v/>
      </c>
      <c r="F733" s="5">
        <f>SUMPRODUCT(('01_Data'!$B733:$AW733&lt;&gt;"")*(1/(1+EXP(-(E733-'03_Lap_b'!$B$5:$AW$5)))))</f>
        <v/>
      </c>
      <c r="G733" s="5">
        <f>SUMPRODUCT(('01_Data'!$B733:$AW733&lt;&gt;"")*(1/(1+EXP(-(E733-'03_Lap_b'!$B$5:$AW$5))))^2)</f>
        <v/>
      </c>
      <c r="H733" s="5">
        <f>MEDIAN(-6,E733+(C733-F733)/MAX(F733-G733,0.000000001),6)</f>
        <v/>
      </c>
      <c r="I733" s="5">
        <f>SUMPRODUCT(('01_Data'!$B733:$AW733&lt;&gt;"")*(1/(1+EXP(-(H733-'03_Lap_b'!$B$10:$AW$10)))))</f>
        <v/>
      </c>
      <c r="J733" s="5">
        <f>SUMPRODUCT(('01_Data'!$B733:$AW733&lt;&gt;"")*(1/(1+EXP(-(H733-'03_Lap_b'!$B$10:$AW$10))))^2)</f>
        <v/>
      </c>
      <c r="K733" s="5">
        <f>MEDIAN(-6,H733+(C733-I733)/MAX(I733-J733,0.000000001),6)</f>
        <v/>
      </c>
      <c r="L733" s="5">
        <f>SUMPRODUCT(('01_Data'!$B733:$AW733&lt;&gt;"")*(1/(1+EXP(-(K733-'03_Lap_b'!$B$15:$AW$15)))))</f>
        <v/>
      </c>
      <c r="M733" s="5">
        <f>SUMPRODUCT(('01_Data'!$B733:$AW733&lt;&gt;"")*(1/(1+EXP(-(K733-'03_Lap_b'!$B$15:$AW$15))))^2)</f>
        <v/>
      </c>
      <c r="N733" s="5">
        <f>MEDIAN(-6,K733+(C733-L733)/MAX(L733-M733,0.000000001),6)</f>
        <v/>
      </c>
      <c r="O733" s="5">
        <f>SUMPRODUCT(('01_Data'!$B733:$AW733&lt;&gt;"")*(1/(1+EXP(-(N733-'03_Lap_b'!$B$20:$AW$20)))))</f>
        <v/>
      </c>
      <c r="P733" s="5">
        <f>SUMPRODUCT(('01_Data'!$B733:$AW733&lt;&gt;"")*(1/(1+EXP(-(N733-'03_Lap_b'!$B$20:$AW$20))))^2)</f>
        <v/>
      </c>
      <c r="Q733" s="5">
        <f>MEDIAN(-6,N733+(C733-O733)/MAX(O733-P733,0.000000001),6)</f>
        <v/>
      </c>
      <c r="R733" s="5">
        <f>SUMPRODUCT(('01_Data'!$B733:$AW733&lt;&gt;"")*(1/(1+EXP(-(Q733-'03_Lap_b'!$B$25:$AW$25)))))</f>
        <v/>
      </c>
      <c r="S733" s="5">
        <f>SUMPRODUCT(('01_Data'!$B733:$AW733&lt;&gt;"")*(1/(1+EXP(-(Q733-'03_Lap_b'!$B$25:$AW$25))))^2)</f>
        <v/>
      </c>
      <c r="T733" s="5">
        <f>MEDIAN(-6,Q733+(C733-R733)/MAX(R733-S733,0.000000001),6)</f>
        <v/>
      </c>
      <c r="U733" s="5">
        <f>SUMPRODUCT(('01_Data'!$B733:$AW733&lt;&gt;"")*(1/(1+EXP(-(T733-'03_Lap_b'!$B$30:$AW$30)))))</f>
        <v/>
      </c>
      <c r="V733" s="5">
        <f>SUMPRODUCT(('01_Data'!$B733:$AW733&lt;&gt;"")*(1/(1+EXP(-(T733-'03_Lap_b'!$B$30:$AW$30))))^2)</f>
        <v/>
      </c>
      <c r="W733" s="5">
        <f>MEDIAN(-6,T733+(C733-U733)/MAX(U733-V733,0.000000001),6)</f>
        <v/>
      </c>
      <c r="X733" s="5">
        <f>SUMPRODUCT(('01_Data'!$B733:$AW733&lt;&gt;"")*(1/(1+EXP(-(W733-'03_Lap_b'!$B$35:$AW$35)))))</f>
        <v/>
      </c>
      <c r="Y733" s="5">
        <f>SUMPRODUCT(('01_Data'!$B733:$AW733&lt;&gt;"")*(1/(1+EXP(-(W733-'03_Lap_b'!$B$35:$AW$35))))^2)</f>
        <v/>
      </c>
      <c r="Z733" s="5">
        <f>MEDIAN(-6,W733+(C733-X733)/MAX(X733-Y733,0.000000001),6)</f>
        <v/>
      </c>
      <c r="AA733" s="5">
        <f>SUMPRODUCT(('01_Data'!$B733:$AW733&lt;&gt;"")*(1/(1+EXP(-(Z733-'03_Lap_b'!$B$40:$AW$40)))))</f>
        <v/>
      </c>
      <c r="AB733" s="5">
        <f>SUMPRODUCT(('01_Data'!$B733:$AW733&lt;&gt;"")*(1/(1+EXP(-(Z733-'03_Lap_b'!$B$40:$AW$40))))^2)</f>
        <v/>
      </c>
      <c r="AC733" s="5">
        <f>MEDIAN(-6,Z733+(C733-AA733)/MAX(AA733-AB733,0.000000001),6)</f>
        <v/>
      </c>
    </row>
    <row r="734">
      <c r="A734" t="n">
        <v>733</v>
      </c>
      <c r="B734">
        <f>'01_Data'!A734</f>
        <v/>
      </c>
      <c r="C734">
        <f>SUM('01_Data'!$B734:$AW734)</f>
        <v/>
      </c>
      <c r="D734">
        <f>COUNT('01_Data'!$B734:$AW734)</f>
        <v/>
      </c>
      <c r="E734" s="5">
        <f>MEDIAN(-6,LN((C734+0.3)/(D734-C734+0.3)),6)</f>
        <v/>
      </c>
      <c r="F734" s="5">
        <f>SUMPRODUCT(('01_Data'!$B734:$AW734&lt;&gt;"")*(1/(1+EXP(-(E734-'03_Lap_b'!$B$5:$AW$5)))))</f>
        <v/>
      </c>
      <c r="G734" s="5">
        <f>SUMPRODUCT(('01_Data'!$B734:$AW734&lt;&gt;"")*(1/(1+EXP(-(E734-'03_Lap_b'!$B$5:$AW$5))))^2)</f>
        <v/>
      </c>
      <c r="H734" s="5">
        <f>MEDIAN(-6,E734+(C734-F734)/MAX(F734-G734,0.000000001),6)</f>
        <v/>
      </c>
      <c r="I734" s="5">
        <f>SUMPRODUCT(('01_Data'!$B734:$AW734&lt;&gt;"")*(1/(1+EXP(-(H734-'03_Lap_b'!$B$10:$AW$10)))))</f>
        <v/>
      </c>
      <c r="J734" s="5">
        <f>SUMPRODUCT(('01_Data'!$B734:$AW734&lt;&gt;"")*(1/(1+EXP(-(H734-'03_Lap_b'!$B$10:$AW$10))))^2)</f>
        <v/>
      </c>
      <c r="K734" s="5">
        <f>MEDIAN(-6,H734+(C734-I734)/MAX(I734-J734,0.000000001),6)</f>
        <v/>
      </c>
      <c r="L734" s="5">
        <f>SUMPRODUCT(('01_Data'!$B734:$AW734&lt;&gt;"")*(1/(1+EXP(-(K734-'03_Lap_b'!$B$15:$AW$15)))))</f>
        <v/>
      </c>
      <c r="M734" s="5">
        <f>SUMPRODUCT(('01_Data'!$B734:$AW734&lt;&gt;"")*(1/(1+EXP(-(K734-'03_Lap_b'!$B$15:$AW$15))))^2)</f>
        <v/>
      </c>
      <c r="N734" s="5">
        <f>MEDIAN(-6,K734+(C734-L734)/MAX(L734-M734,0.000000001),6)</f>
        <v/>
      </c>
      <c r="O734" s="5">
        <f>SUMPRODUCT(('01_Data'!$B734:$AW734&lt;&gt;"")*(1/(1+EXP(-(N734-'03_Lap_b'!$B$20:$AW$20)))))</f>
        <v/>
      </c>
      <c r="P734" s="5">
        <f>SUMPRODUCT(('01_Data'!$B734:$AW734&lt;&gt;"")*(1/(1+EXP(-(N734-'03_Lap_b'!$B$20:$AW$20))))^2)</f>
        <v/>
      </c>
      <c r="Q734" s="5">
        <f>MEDIAN(-6,N734+(C734-O734)/MAX(O734-P734,0.000000001),6)</f>
        <v/>
      </c>
      <c r="R734" s="5">
        <f>SUMPRODUCT(('01_Data'!$B734:$AW734&lt;&gt;"")*(1/(1+EXP(-(Q734-'03_Lap_b'!$B$25:$AW$25)))))</f>
        <v/>
      </c>
      <c r="S734" s="5">
        <f>SUMPRODUCT(('01_Data'!$B734:$AW734&lt;&gt;"")*(1/(1+EXP(-(Q734-'03_Lap_b'!$B$25:$AW$25))))^2)</f>
        <v/>
      </c>
      <c r="T734" s="5">
        <f>MEDIAN(-6,Q734+(C734-R734)/MAX(R734-S734,0.000000001),6)</f>
        <v/>
      </c>
      <c r="U734" s="5">
        <f>SUMPRODUCT(('01_Data'!$B734:$AW734&lt;&gt;"")*(1/(1+EXP(-(T734-'03_Lap_b'!$B$30:$AW$30)))))</f>
        <v/>
      </c>
      <c r="V734" s="5">
        <f>SUMPRODUCT(('01_Data'!$B734:$AW734&lt;&gt;"")*(1/(1+EXP(-(T734-'03_Lap_b'!$B$30:$AW$30))))^2)</f>
        <v/>
      </c>
      <c r="W734" s="5">
        <f>MEDIAN(-6,T734+(C734-U734)/MAX(U734-V734,0.000000001),6)</f>
        <v/>
      </c>
      <c r="X734" s="5">
        <f>SUMPRODUCT(('01_Data'!$B734:$AW734&lt;&gt;"")*(1/(1+EXP(-(W734-'03_Lap_b'!$B$35:$AW$35)))))</f>
        <v/>
      </c>
      <c r="Y734" s="5">
        <f>SUMPRODUCT(('01_Data'!$B734:$AW734&lt;&gt;"")*(1/(1+EXP(-(W734-'03_Lap_b'!$B$35:$AW$35))))^2)</f>
        <v/>
      </c>
      <c r="Z734" s="5">
        <f>MEDIAN(-6,W734+(C734-X734)/MAX(X734-Y734,0.000000001),6)</f>
        <v/>
      </c>
      <c r="AA734" s="5">
        <f>SUMPRODUCT(('01_Data'!$B734:$AW734&lt;&gt;"")*(1/(1+EXP(-(Z734-'03_Lap_b'!$B$40:$AW$40)))))</f>
        <v/>
      </c>
      <c r="AB734" s="5">
        <f>SUMPRODUCT(('01_Data'!$B734:$AW734&lt;&gt;"")*(1/(1+EXP(-(Z734-'03_Lap_b'!$B$40:$AW$40))))^2)</f>
        <v/>
      </c>
      <c r="AC734" s="5">
        <f>MEDIAN(-6,Z734+(C734-AA734)/MAX(AA734-AB734,0.000000001),6)</f>
        <v/>
      </c>
    </row>
    <row r="735">
      <c r="A735" t="n">
        <v>734</v>
      </c>
      <c r="B735">
        <f>'01_Data'!A735</f>
        <v/>
      </c>
      <c r="C735">
        <f>SUM('01_Data'!$B735:$AW735)</f>
        <v/>
      </c>
      <c r="D735">
        <f>COUNT('01_Data'!$B735:$AW735)</f>
        <v/>
      </c>
      <c r="E735" s="5">
        <f>MEDIAN(-6,LN((C735+0.3)/(D735-C735+0.3)),6)</f>
        <v/>
      </c>
      <c r="F735" s="5">
        <f>SUMPRODUCT(('01_Data'!$B735:$AW735&lt;&gt;"")*(1/(1+EXP(-(E735-'03_Lap_b'!$B$5:$AW$5)))))</f>
        <v/>
      </c>
      <c r="G735" s="5">
        <f>SUMPRODUCT(('01_Data'!$B735:$AW735&lt;&gt;"")*(1/(1+EXP(-(E735-'03_Lap_b'!$B$5:$AW$5))))^2)</f>
        <v/>
      </c>
      <c r="H735" s="5">
        <f>MEDIAN(-6,E735+(C735-F735)/MAX(F735-G735,0.000000001),6)</f>
        <v/>
      </c>
      <c r="I735" s="5">
        <f>SUMPRODUCT(('01_Data'!$B735:$AW735&lt;&gt;"")*(1/(1+EXP(-(H735-'03_Lap_b'!$B$10:$AW$10)))))</f>
        <v/>
      </c>
      <c r="J735" s="5">
        <f>SUMPRODUCT(('01_Data'!$B735:$AW735&lt;&gt;"")*(1/(1+EXP(-(H735-'03_Lap_b'!$B$10:$AW$10))))^2)</f>
        <v/>
      </c>
      <c r="K735" s="5">
        <f>MEDIAN(-6,H735+(C735-I735)/MAX(I735-J735,0.000000001),6)</f>
        <v/>
      </c>
      <c r="L735" s="5">
        <f>SUMPRODUCT(('01_Data'!$B735:$AW735&lt;&gt;"")*(1/(1+EXP(-(K735-'03_Lap_b'!$B$15:$AW$15)))))</f>
        <v/>
      </c>
      <c r="M735" s="5">
        <f>SUMPRODUCT(('01_Data'!$B735:$AW735&lt;&gt;"")*(1/(1+EXP(-(K735-'03_Lap_b'!$B$15:$AW$15))))^2)</f>
        <v/>
      </c>
      <c r="N735" s="5">
        <f>MEDIAN(-6,K735+(C735-L735)/MAX(L735-M735,0.000000001),6)</f>
        <v/>
      </c>
      <c r="O735" s="5">
        <f>SUMPRODUCT(('01_Data'!$B735:$AW735&lt;&gt;"")*(1/(1+EXP(-(N735-'03_Lap_b'!$B$20:$AW$20)))))</f>
        <v/>
      </c>
      <c r="P735" s="5">
        <f>SUMPRODUCT(('01_Data'!$B735:$AW735&lt;&gt;"")*(1/(1+EXP(-(N735-'03_Lap_b'!$B$20:$AW$20))))^2)</f>
        <v/>
      </c>
      <c r="Q735" s="5">
        <f>MEDIAN(-6,N735+(C735-O735)/MAX(O735-P735,0.000000001),6)</f>
        <v/>
      </c>
      <c r="R735" s="5">
        <f>SUMPRODUCT(('01_Data'!$B735:$AW735&lt;&gt;"")*(1/(1+EXP(-(Q735-'03_Lap_b'!$B$25:$AW$25)))))</f>
        <v/>
      </c>
      <c r="S735" s="5">
        <f>SUMPRODUCT(('01_Data'!$B735:$AW735&lt;&gt;"")*(1/(1+EXP(-(Q735-'03_Lap_b'!$B$25:$AW$25))))^2)</f>
        <v/>
      </c>
      <c r="T735" s="5">
        <f>MEDIAN(-6,Q735+(C735-R735)/MAX(R735-S735,0.000000001),6)</f>
        <v/>
      </c>
      <c r="U735" s="5">
        <f>SUMPRODUCT(('01_Data'!$B735:$AW735&lt;&gt;"")*(1/(1+EXP(-(T735-'03_Lap_b'!$B$30:$AW$30)))))</f>
        <v/>
      </c>
      <c r="V735" s="5">
        <f>SUMPRODUCT(('01_Data'!$B735:$AW735&lt;&gt;"")*(1/(1+EXP(-(T735-'03_Lap_b'!$B$30:$AW$30))))^2)</f>
        <v/>
      </c>
      <c r="W735" s="5">
        <f>MEDIAN(-6,T735+(C735-U735)/MAX(U735-V735,0.000000001),6)</f>
        <v/>
      </c>
      <c r="X735" s="5">
        <f>SUMPRODUCT(('01_Data'!$B735:$AW735&lt;&gt;"")*(1/(1+EXP(-(W735-'03_Lap_b'!$B$35:$AW$35)))))</f>
        <v/>
      </c>
      <c r="Y735" s="5">
        <f>SUMPRODUCT(('01_Data'!$B735:$AW735&lt;&gt;"")*(1/(1+EXP(-(W735-'03_Lap_b'!$B$35:$AW$35))))^2)</f>
        <v/>
      </c>
      <c r="Z735" s="5">
        <f>MEDIAN(-6,W735+(C735-X735)/MAX(X735-Y735,0.000000001),6)</f>
        <v/>
      </c>
      <c r="AA735" s="5">
        <f>SUMPRODUCT(('01_Data'!$B735:$AW735&lt;&gt;"")*(1/(1+EXP(-(Z735-'03_Lap_b'!$B$40:$AW$40)))))</f>
        <v/>
      </c>
      <c r="AB735" s="5">
        <f>SUMPRODUCT(('01_Data'!$B735:$AW735&lt;&gt;"")*(1/(1+EXP(-(Z735-'03_Lap_b'!$B$40:$AW$40))))^2)</f>
        <v/>
      </c>
      <c r="AC735" s="5">
        <f>MEDIAN(-6,Z735+(C735-AA735)/MAX(AA735-AB735,0.000000001),6)</f>
        <v/>
      </c>
    </row>
    <row r="736">
      <c r="A736" t="n">
        <v>735</v>
      </c>
      <c r="B736">
        <f>'01_Data'!A736</f>
        <v/>
      </c>
      <c r="C736">
        <f>SUM('01_Data'!$B736:$AW736)</f>
        <v/>
      </c>
      <c r="D736">
        <f>COUNT('01_Data'!$B736:$AW736)</f>
        <v/>
      </c>
      <c r="E736" s="5">
        <f>MEDIAN(-6,LN((C736+0.3)/(D736-C736+0.3)),6)</f>
        <v/>
      </c>
      <c r="F736" s="5">
        <f>SUMPRODUCT(('01_Data'!$B736:$AW736&lt;&gt;"")*(1/(1+EXP(-(E736-'03_Lap_b'!$B$5:$AW$5)))))</f>
        <v/>
      </c>
      <c r="G736" s="5">
        <f>SUMPRODUCT(('01_Data'!$B736:$AW736&lt;&gt;"")*(1/(1+EXP(-(E736-'03_Lap_b'!$B$5:$AW$5))))^2)</f>
        <v/>
      </c>
      <c r="H736" s="5">
        <f>MEDIAN(-6,E736+(C736-F736)/MAX(F736-G736,0.000000001),6)</f>
        <v/>
      </c>
      <c r="I736" s="5">
        <f>SUMPRODUCT(('01_Data'!$B736:$AW736&lt;&gt;"")*(1/(1+EXP(-(H736-'03_Lap_b'!$B$10:$AW$10)))))</f>
        <v/>
      </c>
      <c r="J736" s="5">
        <f>SUMPRODUCT(('01_Data'!$B736:$AW736&lt;&gt;"")*(1/(1+EXP(-(H736-'03_Lap_b'!$B$10:$AW$10))))^2)</f>
        <v/>
      </c>
      <c r="K736" s="5">
        <f>MEDIAN(-6,H736+(C736-I736)/MAX(I736-J736,0.000000001),6)</f>
        <v/>
      </c>
      <c r="L736" s="5">
        <f>SUMPRODUCT(('01_Data'!$B736:$AW736&lt;&gt;"")*(1/(1+EXP(-(K736-'03_Lap_b'!$B$15:$AW$15)))))</f>
        <v/>
      </c>
      <c r="M736" s="5">
        <f>SUMPRODUCT(('01_Data'!$B736:$AW736&lt;&gt;"")*(1/(1+EXP(-(K736-'03_Lap_b'!$B$15:$AW$15))))^2)</f>
        <v/>
      </c>
      <c r="N736" s="5">
        <f>MEDIAN(-6,K736+(C736-L736)/MAX(L736-M736,0.000000001),6)</f>
        <v/>
      </c>
      <c r="O736" s="5">
        <f>SUMPRODUCT(('01_Data'!$B736:$AW736&lt;&gt;"")*(1/(1+EXP(-(N736-'03_Lap_b'!$B$20:$AW$20)))))</f>
        <v/>
      </c>
      <c r="P736" s="5">
        <f>SUMPRODUCT(('01_Data'!$B736:$AW736&lt;&gt;"")*(1/(1+EXP(-(N736-'03_Lap_b'!$B$20:$AW$20))))^2)</f>
        <v/>
      </c>
      <c r="Q736" s="5">
        <f>MEDIAN(-6,N736+(C736-O736)/MAX(O736-P736,0.000000001),6)</f>
        <v/>
      </c>
      <c r="R736" s="5">
        <f>SUMPRODUCT(('01_Data'!$B736:$AW736&lt;&gt;"")*(1/(1+EXP(-(Q736-'03_Lap_b'!$B$25:$AW$25)))))</f>
        <v/>
      </c>
      <c r="S736" s="5">
        <f>SUMPRODUCT(('01_Data'!$B736:$AW736&lt;&gt;"")*(1/(1+EXP(-(Q736-'03_Lap_b'!$B$25:$AW$25))))^2)</f>
        <v/>
      </c>
      <c r="T736" s="5">
        <f>MEDIAN(-6,Q736+(C736-R736)/MAX(R736-S736,0.000000001),6)</f>
        <v/>
      </c>
      <c r="U736" s="5">
        <f>SUMPRODUCT(('01_Data'!$B736:$AW736&lt;&gt;"")*(1/(1+EXP(-(T736-'03_Lap_b'!$B$30:$AW$30)))))</f>
        <v/>
      </c>
      <c r="V736" s="5">
        <f>SUMPRODUCT(('01_Data'!$B736:$AW736&lt;&gt;"")*(1/(1+EXP(-(T736-'03_Lap_b'!$B$30:$AW$30))))^2)</f>
        <v/>
      </c>
      <c r="W736" s="5">
        <f>MEDIAN(-6,T736+(C736-U736)/MAX(U736-V736,0.000000001),6)</f>
        <v/>
      </c>
      <c r="X736" s="5">
        <f>SUMPRODUCT(('01_Data'!$B736:$AW736&lt;&gt;"")*(1/(1+EXP(-(W736-'03_Lap_b'!$B$35:$AW$35)))))</f>
        <v/>
      </c>
      <c r="Y736" s="5">
        <f>SUMPRODUCT(('01_Data'!$B736:$AW736&lt;&gt;"")*(1/(1+EXP(-(W736-'03_Lap_b'!$B$35:$AW$35))))^2)</f>
        <v/>
      </c>
      <c r="Z736" s="5">
        <f>MEDIAN(-6,W736+(C736-X736)/MAX(X736-Y736,0.000000001),6)</f>
        <v/>
      </c>
      <c r="AA736" s="5">
        <f>SUMPRODUCT(('01_Data'!$B736:$AW736&lt;&gt;"")*(1/(1+EXP(-(Z736-'03_Lap_b'!$B$40:$AW$40)))))</f>
        <v/>
      </c>
      <c r="AB736" s="5">
        <f>SUMPRODUCT(('01_Data'!$B736:$AW736&lt;&gt;"")*(1/(1+EXP(-(Z736-'03_Lap_b'!$B$40:$AW$40))))^2)</f>
        <v/>
      </c>
      <c r="AC736" s="5">
        <f>MEDIAN(-6,Z736+(C736-AA736)/MAX(AA736-AB736,0.000000001),6)</f>
        <v/>
      </c>
    </row>
    <row r="737">
      <c r="A737" t="n">
        <v>736</v>
      </c>
      <c r="B737">
        <f>'01_Data'!A737</f>
        <v/>
      </c>
      <c r="C737">
        <f>SUM('01_Data'!$B737:$AW737)</f>
        <v/>
      </c>
      <c r="D737">
        <f>COUNT('01_Data'!$B737:$AW737)</f>
        <v/>
      </c>
      <c r="E737" s="5">
        <f>MEDIAN(-6,LN((C737+0.3)/(D737-C737+0.3)),6)</f>
        <v/>
      </c>
      <c r="F737" s="5">
        <f>SUMPRODUCT(('01_Data'!$B737:$AW737&lt;&gt;"")*(1/(1+EXP(-(E737-'03_Lap_b'!$B$5:$AW$5)))))</f>
        <v/>
      </c>
      <c r="G737" s="5">
        <f>SUMPRODUCT(('01_Data'!$B737:$AW737&lt;&gt;"")*(1/(1+EXP(-(E737-'03_Lap_b'!$B$5:$AW$5))))^2)</f>
        <v/>
      </c>
      <c r="H737" s="5">
        <f>MEDIAN(-6,E737+(C737-F737)/MAX(F737-G737,0.000000001),6)</f>
        <v/>
      </c>
      <c r="I737" s="5">
        <f>SUMPRODUCT(('01_Data'!$B737:$AW737&lt;&gt;"")*(1/(1+EXP(-(H737-'03_Lap_b'!$B$10:$AW$10)))))</f>
        <v/>
      </c>
      <c r="J737" s="5">
        <f>SUMPRODUCT(('01_Data'!$B737:$AW737&lt;&gt;"")*(1/(1+EXP(-(H737-'03_Lap_b'!$B$10:$AW$10))))^2)</f>
        <v/>
      </c>
      <c r="K737" s="5">
        <f>MEDIAN(-6,H737+(C737-I737)/MAX(I737-J737,0.000000001),6)</f>
        <v/>
      </c>
      <c r="L737" s="5">
        <f>SUMPRODUCT(('01_Data'!$B737:$AW737&lt;&gt;"")*(1/(1+EXP(-(K737-'03_Lap_b'!$B$15:$AW$15)))))</f>
        <v/>
      </c>
      <c r="M737" s="5">
        <f>SUMPRODUCT(('01_Data'!$B737:$AW737&lt;&gt;"")*(1/(1+EXP(-(K737-'03_Lap_b'!$B$15:$AW$15))))^2)</f>
        <v/>
      </c>
      <c r="N737" s="5">
        <f>MEDIAN(-6,K737+(C737-L737)/MAX(L737-M737,0.000000001),6)</f>
        <v/>
      </c>
      <c r="O737" s="5">
        <f>SUMPRODUCT(('01_Data'!$B737:$AW737&lt;&gt;"")*(1/(1+EXP(-(N737-'03_Lap_b'!$B$20:$AW$20)))))</f>
        <v/>
      </c>
      <c r="P737" s="5">
        <f>SUMPRODUCT(('01_Data'!$B737:$AW737&lt;&gt;"")*(1/(1+EXP(-(N737-'03_Lap_b'!$B$20:$AW$20))))^2)</f>
        <v/>
      </c>
      <c r="Q737" s="5">
        <f>MEDIAN(-6,N737+(C737-O737)/MAX(O737-P737,0.000000001),6)</f>
        <v/>
      </c>
      <c r="R737" s="5">
        <f>SUMPRODUCT(('01_Data'!$B737:$AW737&lt;&gt;"")*(1/(1+EXP(-(Q737-'03_Lap_b'!$B$25:$AW$25)))))</f>
        <v/>
      </c>
      <c r="S737" s="5">
        <f>SUMPRODUCT(('01_Data'!$B737:$AW737&lt;&gt;"")*(1/(1+EXP(-(Q737-'03_Lap_b'!$B$25:$AW$25))))^2)</f>
        <v/>
      </c>
      <c r="T737" s="5">
        <f>MEDIAN(-6,Q737+(C737-R737)/MAX(R737-S737,0.000000001),6)</f>
        <v/>
      </c>
      <c r="U737" s="5">
        <f>SUMPRODUCT(('01_Data'!$B737:$AW737&lt;&gt;"")*(1/(1+EXP(-(T737-'03_Lap_b'!$B$30:$AW$30)))))</f>
        <v/>
      </c>
      <c r="V737" s="5">
        <f>SUMPRODUCT(('01_Data'!$B737:$AW737&lt;&gt;"")*(1/(1+EXP(-(T737-'03_Lap_b'!$B$30:$AW$30))))^2)</f>
        <v/>
      </c>
      <c r="W737" s="5">
        <f>MEDIAN(-6,T737+(C737-U737)/MAX(U737-V737,0.000000001),6)</f>
        <v/>
      </c>
      <c r="X737" s="5">
        <f>SUMPRODUCT(('01_Data'!$B737:$AW737&lt;&gt;"")*(1/(1+EXP(-(W737-'03_Lap_b'!$B$35:$AW$35)))))</f>
        <v/>
      </c>
      <c r="Y737" s="5">
        <f>SUMPRODUCT(('01_Data'!$B737:$AW737&lt;&gt;"")*(1/(1+EXP(-(W737-'03_Lap_b'!$B$35:$AW$35))))^2)</f>
        <v/>
      </c>
      <c r="Z737" s="5">
        <f>MEDIAN(-6,W737+(C737-X737)/MAX(X737-Y737,0.000000001),6)</f>
        <v/>
      </c>
      <c r="AA737" s="5">
        <f>SUMPRODUCT(('01_Data'!$B737:$AW737&lt;&gt;"")*(1/(1+EXP(-(Z737-'03_Lap_b'!$B$40:$AW$40)))))</f>
        <v/>
      </c>
      <c r="AB737" s="5">
        <f>SUMPRODUCT(('01_Data'!$B737:$AW737&lt;&gt;"")*(1/(1+EXP(-(Z737-'03_Lap_b'!$B$40:$AW$40))))^2)</f>
        <v/>
      </c>
      <c r="AC737" s="5">
        <f>MEDIAN(-6,Z737+(C737-AA737)/MAX(AA737-AB737,0.000000001),6)</f>
        <v/>
      </c>
    </row>
    <row r="738">
      <c r="A738" t="n">
        <v>737</v>
      </c>
      <c r="B738">
        <f>'01_Data'!A738</f>
        <v/>
      </c>
      <c r="C738">
        <f>SUM('01_Data'!$B738:$AW738)</f>
        <v/>
      </c>
      <c r="D738">
        <f>COUNT('01_Data'!$B738:$AW738)</f>
        <v/>
      </c>
      <c r="E738" s="5">
        <f>MEDIAN(-6,LN((C738+0.3)/(D738-C738+0.3)),6)</f>
        <v/>
      </c>
      <c r="F738" s="5">
        <f>SUMPRODUCT(('01_Data'!$B738:$AW738&lt;&gt;"")*(1/(1+EXP(-(E738-'03_Lap_b'!$B$5:$AW$5)))))</f>
        <v/>
      </c>
      <c r="G738" s="5">
        <f>SUMPRODUCT(('01_Data'!$B738:$AW738&lt;&gt;"")*(1/(1+EXP(-(E738-'03_Lap_b'!$B$5:$AW$5))))^2)</f>
        <v/>
      </c>
      <c r="H738" s="5">
        <f>MEDIAN(-6,E738+(C738-F738)/MAX(F738-G738,0.000000001),6)</f>
        <v/>
      </c>
      <c r="I738" s="5">
        <f>SUMPRODUCT(('01_Data'!$B738:$AW738&lt;&gt;"")*(1/(1+EXP(-(H738-'03_Lap_b'!$B$10:$AW$10)))))</f>
        <v/>
      </c>
      <c r="J738" s="5">
        <f>SUMPRODUCT(('01_Data'!$B738:$AW738&lt;&gt;"")*(1/(1+EXP(-(H738-'03_Lap_b'!$B$10:$AW$10))))^2)</f>
        <v/>
      </c>
      <c r="K738" s="5">
        <f>MEDIAN(-6,H738+(C738-I738)/MAX(I738-J738,0.000000001),6)</f>
        <v/>
      </c>
      <c r="L738" s="5">
        <f>SUMPRODUCT(('01_Data'!$B738:$AW738&lt;&gt;"")*(1/(1+EXP(-(K738-'03_Lap_b'!$B$15:$AW$15)))))</f>
        <v/>
      </c>
      <c r="M738" s="5">
        <f>SUMPRODUCT(('01_Data'!$B738:$AW738&lt;&gt;"")*(1/(1+EXP(-(K738-'03_Lap_b'!$B$15:$AW$15))))^2)</f>
        <v/>
      </c>
      <c r="N738" s="5">
        <f>MEDIAN(-6,K738+(C738-L738)/MAX(L738-M738,0.000000001),6)</f>
        <v/>
      </c>
      <c r="O738" s="5">
        <f>SUMPRODUCT(('01_Data'!$B738:$AW738&lt;&gt;"")*(1/(1+EXP(-(N738-'03_Lap_b'!$B$20:$AW$20)))))</f>
        <v/>
      </c>
      <c r="P738" s="5">
        <f>SUMPRODUCT(('01_Data'!$B738:$AW738&lt;&gt;"")*(1/(1+EXP(-(N738-'03_Lap_b'!$B$20:$AW$20))))^2)</f>
        <v/>
      </c>
      <c r="Q738" s="5">
        <f>MEDIAN(-6,N738+(C738-O738)/MAX(O738-P738,0.000000001),6)</f>
        <v/>
      </c>
      <c r="R738" s="5">
        <f>SUMPRODUCT(('01_Data'!$B738:$AW738&lt;&gt;"")*(1/(1+EXP(-(Q738-'03_Lap_b'!$B$25:$AW$25)))))</f>
        <v/>
      </c>
      <c r="S738" s="5">
        <f>SUMPRODUCT(('01_Data'!$B738:$AW738&lt;&gt;"")*(1/(1+EXP(-(Q738-'03_Lap_b'!$B$25:$AW$25))))^2)</f>
        <v/>
      </c>
      <c r="T738" s="5">
        <f>MEDIAN(-6,Q738+(C738-R738)/MAX(R738-S738,0.000000001),6)</f>
        <v/>
      </c>
      <c r="U738" s="5">
        <f>SUMPRODUCT(('01_Data'!$B738:$AW738&lt;&gt;"")*(1/(1+EXP(-(T738-'03_Lap_b'!$B$30:$AW$30)))))</f>
        <v/>
      </c>
      <c r="V738" s="5">
        <f>SUMPRODUCT(('01_Data'!$B738:$AW738&lt;&gt;"")*(1/(1+EXP(-(T738-'03_Lap_b'!$B$30:$AW$30))))^2)</f>
        <v/>
      </c>
      <c r="W738" s="5">
        <f>MEDIAN(-6,T738+(C738-U738)/MAX(U738-V738,0.000000001),6)</f>
        <v/>
      </c>
      <c r="X738" s="5">
        <f>SUMPRODUCT(('01_Data'!$B738:$AW738&lt;&gt;"")*(1/(1+EXP(-(W738-'03_Lap_b'!$B$35:$AW$35)))))</f>
        <v/>
      </c>
      <c r="Y738" s="5">
        <f>SUMPRODUCT(('01_Data'!$B738:$AW738&lt;&gt;"")*(1/(1+EXP(-(W738-'03_Lap_b'!$B$35:$AW$35))))^2)</f>
        <v/>
      </c>
      <c r="Z738" s="5">
        <f>MEDIAN(-6,W738+(C738-X738)/MAX(X738-Y738,0.000000001),6)</f>
        <v/>
      </c>
      <c r="AA738" s="5">
        <f>SUMPRODUCT(('01_Data'!$B738:$AW738&lt;&gt;"")*(1/(1+EXP(-(Z738-'03_Lap_b'!$B$40:$AW$40)))))</f>
        <v/>
      </c>
      <c r="AB738" s="5">
        <f>SUMPRODUCT(('01_Data'!$B738:$AW738&lt;&gt;"")*(1/(1+EXP(-(Z738-'03_Lap_b'!$B$40:$AW$40))))^2)</f>
        <v/>
      </c>
      <c r="AC738" s="5">
        <f>MEDIAN(-6,Z738+(C738-AA738)/MAX(AA738-AB738,0.000000001),6)</f>
        <v/>
      </c>
    </row>
    <row r="739">
      <c r="A739" t="n">
        <v>738</v>
      </c>
      <c r="B739">
        <f>'01_Data'!A739</f>
        <v/>
      </c>
      <c r="C739">
        <f>SUM('01_Data'!$B739:$AW739)</f>
        <v/>
      </c>
      <c r="D739">
        <f>COUNT('01_Data'!$B739:$AW739)</f>
        <v/>
      </c>
      <c r="E739" s="5">
        <f>MEDIAN(-6,LN((C739+0.3)/(D739-C739+0.3)),6)</f>
        <v/>
      </c>
      <c r="F739" s="5">
        <f>SUMPRODUCT(('01_Data'!$B739:$AW739&lt;&gt;"")*(1/(1+EXP(-(E739-'03_Lap_b'!$B$5:$AW$5)))))</f>
        <v/>
      </c>
      <c r="G739" s="5">
        <f>SUMPRODUCT(('01_Data'!$B739:$AW739&lt;&gt;"")*(1/(1+EXP(-(E739-'03_Lap_b'!$B$5:$AW$5))))^2)</f>
        <v/>
      </c>
      <c r="H739" s="5">
        <f>MEDIAN(-6,E739+(C739-F739)/MAX(F739-G739,0.000000001),6)</f>
        <v/>
      </c>
      <c r="I739" s="5">
        <f>SUMPRODUCT(('01_Data'!$B739:$AW739&lt;&gt;"")*(1/(1+EXP(-(H739-'03_Lap_b'!$B$10:$AW$10)))))</f>
        <v/>
      </c>
      <c r="J739" s="5">
        <f>SUMPRODUCT(('01_Data'!$B739:$AW739&lt;&gt;"")*(1/(1+EXP(-(H739-'03_Lap_b'!$B$10:$AW$10))))^2)</f>
        <v/>
      </c>
      <c r="K739" s="5">
        <f>MEDIAN(-6,H739+(C739-I739)/MAX(I739-J739,0.000000001),6)</f>
        <v/>
      </c>
      <c r="L739" s="5">
        <f>SUMPRODUCT(('01_Data'!$B739:$AW739&lt;&gt;"")*(1/(1+EXP(-(K739-'03_Lap_b'!$B$15:$AW$15)))))</f>
        <v/>
      </c>
      <c r="M739" s="5">
        <f>SUMPRODUCT(('01_Data'!$B739:$AW739&lt;&gt;"")*(1/(1+EXP(-(K739-'03_Lap_b'!$B$15:$AW$15))))^2)</f>
        <v/>
      </c>
      <c r="N739" s="5">
        <f>MEDIAN(-6,K739+(C739-L739)/MAX(L739-M739,0.000000001),6)</f>
        <v/>
      </c>
      <c r="O739" s="5">
        <f>SUMPRODUCT(('01_Data'!$B739:$AW739&lt;&gt;"")*(1/(1+EXP(-(N739-'03_Lap_b'!$B$20:$AW$20)))))</f>
        <v/>
      </c>
      <c r="P739" s="5">
        <f>SUMPRODUCT(('01_Data'!$B739:$AW739&lt;&gt;"")*(1/(1+EXP(-(N739-'03_Lap_b'!$B$20:$AW$20))))^2)</f>
        <v/>
      </c>
      <c r="Q739" s="5">
        <f>MEDIAN(-6,N739+(C739-O739)/MAX(O739-P739,0.000000001),6)</f>
        <v/>
      </c>
      <c r="R739" s="5">
        <f>SUMPRODUCT(('01_Data'!$B739:$AW739&lt;&gt;"")*(1/(1+EXP(-(Q739-'03_Lap_b'!$B$25:$AW$25)))))</f>
        <v/>
      </c>
      <c r="S739" s="5">
        <f>SUMPRODUCT(('01_Data'!$B739:$AW739&lt;&gt;"")*(1/(1+EXP(-(Q739-'03_Lap_b'!$B$25:$AW$25))))^2)</f>
        <v/>
      </c>
      <c r="T739" s="5">
        <f>MEDIAN(-6,Q739+(C739-R739)/MAX(R739-S739,0.000000001),6)</f>
        <v/>
      </c>
      <c r="U739" s="5">
        <f>SUMPRODUCT(('01_Data'!$B739:$AW739&lt;&gt;"")*(1/(1+EXP(-(T739-'03_Lap_b'!$B$30:$AW$30)))))</f>
        <v/>
      </c>
      <c r="V739" s="5">
        <f>SUMPRODUCT(('01_Data'!$B739:$AW739&lt;&gt;"")*(1/(1+EXP(-(T739-'03_Lap_b'!$B$30:$AW$30))))^2)</f>
        <v/>
      </c>
      <c r="W739" s="5">
        <f>MEDIAN(-6,T739+(C739-U739)/MAX(U739-V739,0.000000001),6)</f>
        <v/>
      </c>
      <c r="X739" s="5">
        <f>SUMPRODUCT(('01_Data'!$B739:$AW739&lt;&gt;"")*(1/(1+EXP(-(W739-'03_Lap_b'!$B$35:$AW$35)))))</f>
        <v/>
      </c>
      <c r="Y739" s="5">
        <f>SUMPRODUCT(('01_Data'!$B739:$AW739&lt;&gt;"")*(1/(1+EXP(-(W739-'03_Lap_b'!$B$35:$AW$35))))^2)</f>
        <v/>
      </c>
      <c r="Z739" s="5">
        <f>MEDIAN(-6,W739+(C739-X739)/MAX(X739-Y739,0.000000001),6)</f>
        <v/>
      </c>
      <c r="AA739" s="5">
        <f>SUMPRODUCT(('01_Data'!$B739:$AW739&lt;&gt;"")*(1/(1+EXP(-(Z739-'03_Lap_b'!$B$40:$AW$40)))))</f>
        <v/>
      </c>
      <c r="AB739" s="5">
        <f>SUMPRODUCT(('01_Data'!$B739:$AW739&lt;&gt;"")*(1/(1+EXP(-(Z739-'03_Lap_b'!$B$40:$AW$40))))^2)</f>
        <v/>
      </c>
      <c r="AC739" s="5">
        <f>MEDIAN(-6,Z739+(C739-AA739)/MAX(AA739-AB739,0.000000001),6)</f>
        <v/>
      </c>
    </row>
    <row r="740">
      <c r="A740" t="n">
        <v>739</v>
      </c>
      <c r="B740">
        <f>'01_Data'!A740</f>
        <v/>
      </c>
      <c r="C740">
        <f>SUM('01_Data'!$B740:$AW740)</f>
        <v/>
      </c>
      <c r="D740">
        <f>COUNT('01_Data'!$B740:$AW740)</f>
        <v/>
      </c>
      <c r="E740" s="5">
        <f>MEDIAN(-6,LN((C740+0.3)/(D740-C740+0.3)),6)</f>
        <v/>
      </c>
      <c r="F740" s="5">
        <f>SUMPRODUCT(('01_Data'!$B740:$AW740&lt;&gt;"")*(1/(1+EXP(-(E740-'03_Lap_b'!$B$5:$AW$5)))))</f>
        <v/>
      </c>
      <c r="G740" s="5">
        <f>SUMPRODUCT(('01_Data'!$B740:$AW740&lt;&gt;"")*(1/(1+EXP(-(E740-'03_Lap_b'!$B$5:$AW$5))))^2)</f>
        <v/>
      </c>
      <c r="H740" s="5">
        <f>MEDIAN(-6,E740+(C740-F740)/MAX(F740-G740,0.000000001),6)</f>
        <v/>
      </c>
      <c r="I740" s="5">
        <f>SUMPRODUCT(('01_Data'!$B740:$AW740&lt;&gt;"")*(1/(1+EXP(-(H740-'03_Lap_b'!$B$10:$AW$10)))))</f>
        <v/>
      </c>
      <c r="J740" s="5">
        <f>SUMPRODUCT(('01_Data'!$B740:$AW740&lt;&gt;"")*(1/(1+EXP(-(H740-'03_Lap_b'!$B$10:$AW$10))))^2)</f>
        <v/>
      </c>
      <c r="K740" s="5">
        <f>MEDIAN(-6,H740+(C740-I740)/MAX(I740-J740,0.000000001),6)</f>
        <v/>
      </c>
      <c r="L740" s="5">
        <f>SUMPRODUCT(('01_Data'!$B740:$AW740&lt;&gt;"")*(1/(1+EXP(-(K740-'03_Lap_b'!$B$15:$AW$15)))))</f>
        <v/>
      </c>
      <c r="M740" s="5">
        <f>SUMPRODUCT(('01_Data'!$B740:$AW740&lt;&gt;"")*(1/(1+EXP(-(K740-'03_Lap_b'!$B$15:$AW$15))))^2)</f>
        <v/>
      </c>
      <c r="N740" s="5">
        <f>MEDIAN(-6,K740+(C740-L740)/MAX(L740-M740,0.000000001),6)</f>
        <v/>
      </c>
      <c r="O740" s="5">
        <f>SUMPRODUCT(('01_Data'!$B740:$AW740&lt;&gt;"")*(1/(1+EXP(-(N740-'03_Lap_b'!$B$20:$AW$20)))))</f>
        <v/>
      </c>
      <c r="P740" s="5">
        <f>SUMPRODUCT(('01_Data'!$B740:$AW740&lt;&gt;"")*(1/(1+EXP(-(N740-'03_Lap_b'!$B$20:$AW$20))))^2)</f>
        <v/>
      </c>
      <c r="Q740" s="5">
        <f>MEDIAN(-6,N740+(C740-O740)/MAX(O740-P740,0.000000001),6)</f>
        <v/>
      </c>
      <c r="R740" s="5">
        <f>SUMPRODUCT(('01_Data'!$B740:$AW740&lt;&gt;"")*(1/(1+EXP(-(Q740-'03_Lap_b'!$B$25:$AW$25)))))</f>
        <v/>
      </c>
      <c r="S740" s="5">
        <f>SUMPRODUCT(('01_Data'!$B740:$AW740&lt;&gt;"")*(1/(1+EXP(-(Q740-'03_Lap_b'!$B$25:$AW$25))))^2)</f>
        <v/>
      </c>
      <c r="T740" s="5">
        <f>MEDIAN(-6,Q740+(C740-R740)/MAX(R740-S740,0.000000001),6)</f>
        <v/>
      </c>
      <c r="U740" s="5">
        <f>SUMPRODUCT(('01_Data'!$B740:$AW740&lt;&gt;"")*(1/(1+EXP(-(T740-'03_Lap_b'!$B$30:$AW$30)))))</f>
        <v/>
      </c>
      <c r="V740" s="5">
        <f>SUMPRODUCT(('01_Data'!$B740:$AW740&lt;&gt;"")*(1/(1+EXP(-(T740-'03_Lap_b'!$B$30:$AW$30))))^2)</f>
        <v/>
      </c>
      <c r="W740" s="5">
        <f>MEDIAN(-6,T740+(C740-U740)/MAX(U740-V740,0.000000001),6)</f>
        <v/>
      </c>
      <c r="X740" s="5">
        <f>SUMPRODUCT(('01_Data'!$B740:$AW740&lt;&gt;"")*(1/(1+EXP(-(W740-'03_Lap_b'!$B$35:$AW$35)))))</f>
        <v/>
      </c>
      <c r="Y740" s="5">
        <f>SUMPRODUCT(('01_Data'!$B740:$AW740&lt;&gt;"")*(1/(1+EXP(-(W740-'03_Lap_b'!$B$35:$AW$35))))^2)</f>
        <v/>
      </c>
      <c r="Z740" s="5">
        <f>MEDIAN(-6,W740+(C740-X740)/MAX(X740-Y740,0.000000001),6)</f>
        <v/>
      </c>
      <c r="AA740" s="5">
        <f>SUMPRODUCT(('01_Data'!$B740:$AW740&lt;&gt;"")*(1/(1+EXP(-(Z740-'03_Lap_b'!$B$40:$AW$40)))))</f>
        <v/>
      </c>
      <c r="AB740" s="5">
        <f>SUMPRODUCT(('01_Data'!$B740:$AW740&lt;&gt;"")*(1/(1+EXP(-(Z740-'03_Lap_b'!$B$40:$AW$40))))^2)</f>
        <v/>
      </c>
      <c r="AC740" s="5">
        <f>MEDIAN(-6,Z740+(C740-AA740)/MAX(AA740-AB740,0.000000001),6)</f>
        <v/>
      </c>
    </row>
    <row r="741">
      <c r="A741" t="n">
        <v>740</v>
      </c>
      <c r="B741">
        <f>'01_Data'!A741</f>
        <v/>
      </c>
      <c r="C741">
        <f>SUM('01_Data'!$B741:$AW741)</f>
        <v/>
      </c>
      <c r="D741">
        <f>COUNT('01_Data'!$B741:$AW741)</f>
        <v/>
      </c>
      <c r="E741" s="5">
        <f>MEDIAN(-6,LN((C741+0.3)/(D741-C741+0.3)),6)</f>
        <v/>
      </c>
      <c r="F741" s="5">
        <f>SUMPRODUCT(('01_Data'!$B741:$AW741&lt;&gt;"")*(1/(1+EXP(-(E741-'03_Lap_b'!$B$5:$AW$5)))))</f>
        <v/>
      </c>
      <c r="G741" s="5">
        <f>SUMPRODUCT(('01_Data'!$B741:$AW741&lt;&gt;"")*(1/(1+EXP(-(E741-'03_Lap_b'!$B$5:$AW$5))))^2)</f>
        <v/>
      </c>
      <c r="H741" s="5">
        <f>MEDIAN(-6,E741+(C741-F741)/MAX(F741-G741,0.000000001),6)</f>
        <v/>
      </c>
      <c r="I741" s="5">
        <f>SUMPRODUCT(('01_Data'!$B741:$AW741&lt;&gt;"")*(1/(1+EXP(-(H741-'03_Lap_b'!$B$10:$AW$10)))))</f>
        <v/>
      </c>
      <c r="J741" s="5">
        <f>SUMPRODUCT(('01_Data'!$B741:$AW741&lt;&gt;"")*(1/(1+EXP(-(H741-'03_Lap_b'!$B$10:$AW$10))))^2)</f>
        <v/>
      </c>
      <c r="K741" s="5">
        <f>MEDIAN(-6,H741+(C741-I741)/MAX(I741-J741,0.000000001),6)</f>
        <v/>
      </c>
      <c r="L741" s="5">
        <f>SUMPRODUCT(('01_Data'!$B741:$AW741&lt;&gt;"")*(1/(1+EXP(-(K741-'03_Lap_b'!$B$15:$AW$15)))))</f>
        <v/>
      </c>
      <c r="M741" s="5">
        <f>SUMPRODUCT(('01_Data'!$B741:$AW741&lt;&gt;"")*(1/(1+EXP(-(K741-'03_Lap_b'!$B$15:$AW$15))))^2)</f>
        <v/>
      </c>
      <c r="N741" s="5">
        <f>MEDIAN(-6,K741+(C741-L741)/MAX(L741-M741,0.000000001),6)</f>
        <v/>
      </c>
      <c r="O741" s="5">
        <f>SUMPRODUCT(('01_Data'!$B741:$AW741&lt;&gt;"")*(1/(1+EXP(-(N741-'03_Lap_b'!$B$20:$AW$20)))))</f>
        <v/>
      </c>
      <c r="P741" s="5">
        <f>SUMPRODUCT(('01_Data'!$B741:$AW741&lt;&gt;"")*(1/(1+EXP(-(N741-'03_Lap_b'!$B$20:$AW$20))))^2)</f>
        <v/>
      </c>
      <c r="Q741" s="5">
        <f>MEDIAN(-6,N741+(C741-O741)/MAX(O741-P741,0.000000001),6)</f>
        <v/>
      </c>
      <c r="R741" s="5">
        <f>SUMPRODUCT(('01_Data'!$B741:$AW741&lt;&gt;"")*(1/(1+EXP(-(Q741-'03_Lap_b'!$B$25:$AW$25)))))</f>
        <v/>
      </c>
      <c r="S741" s="5">
        <f>SUMPRODUCT(('01_Data'!$B741:$AW741&lt;&gt;"")*(1/(1+EXP(-(Q741-'03_Lap_b'!$B$25:$AW$25))))^2)</f>
        <v/>
      </c>
      <c r="T741" s="5">
        <f>MEDIAN(-6,Q741+(C741-R741)/MAX(R741-S741,0.000000001),6)</f>
        <v/>
      </c>
      <c r="U741" s="5">
        <f>SUMPRODUCT(('01_Data'!$B741:$AW741&lt;&gt;"")*(1/(1+EXP(-(T741-'03_Lap_b'!$B$30:$AW$30)))))</f>
        <v/>
      </c>
      <c r="V741" s="5">
        <f>SUMPRODUCT(('01_Data'!$B741:$AW741&lt;&gt;"")*(1/(1+EXP(-(T741-'03_Lap_b'!$B$30:$AW$30))))^2)</f>
        <v/>
      </c>
      <c r="W741" s="5">
        <f>MEDIAN(-6,T741+(C741-U741)/MAX(U741-V741,0.000000001),6)</f>
        <v/>
      </c>
      <c r="X741" s="5">
        <f>SUMPRODUCT(('01_Data'!$B741:$AW741&lt;&gt;"")*(1/(1+EXP(-(W741-'03_Lap_b'!$B$35:$AW$35)))))</f>
        <v/>
      </c>
      <c r="Y741" s="5">
        <f>SUMPRODUCT(('01_Data'!$B741:$AW741&lt;&gt;"")*(1/(1+EXP(-(W741-'03_Lap_b'!$B$35:$AW$35))))^2)</f>
        <v/>
      </c>
      <c r="Z741" s="5">
        <f>MEDIAN(-6,W741+(C741-X741)/MAX(X741-Y741,0.000000001),6)</f>
        <v/>
      </c>
      <c r="AA741" s="5">
        <f>SUMPRODUCT(('01_Data'!$B741:$AW741&lt;&gt;"")*(1/(1+EXP(-(Z741-'03_Lap_b'!$B$40:$AW$40)))))</f>
        <v/>
      </c>
      <c r="AB741" s="5">
        <f>SUMPRODUCT(('01_Data'!$B741:$AW741&lt;&gt;"")*(1/(1+EXP(-(Z741-'03_Lap_b'!$B$40:$AW$40))))^2)</f>
        <v/>
      </c>
      <c r="AC741" s="5">
        <f>MEDIAN(-6,Z741+(C741-AA741)/MAX(AA741-AB741,0.000000001),6)</f>
        <v/>
      </c>
    </row>
    <row r="742">
      <c r="A742" t="n">
        <v>741</v>
      </c>
      <c r="B742">
        <f>'01_Data'!A742</f>
        <v/>
      </c>
      <c r="C742">
        <f>SUM('01_Data'!$B742:$AW742)</f>
        <v/>
      </c>
      <c r="D742">
        <f>COUNT('01_Data'!$B742:$AW742)</f>
        <v/>
      </c>
      <c r="E742" s="5">
        <f>MEDIAN(-6,LN((C742+0.3)/(D742-C742+0.3)),6)</f>
        <v/>
      </c>
      <c r="F742" s="5">
        <f>SUMPRODUCT(('01_Data'!$B742:$AW742&lt;&gt;"")*(1/(1+EXP(-(E742-'03_Lap_b'!$B$5:$AW$5)))))</f>
        <v/>
      </c>
      <c r="G742" s="5">
        <f>SUMPRODUCT(('01_Data'!$B742:$AW742&lt;&gt;"")*(1/(1+EXP(-(E742-'03_Lap_b'!$B$5:$AW$5))))^2)</f>
        <v/>
      </c>
      <c r="H742" s="5">
        <f>MEDIAN(-6,E742+(C742-F742)/MAX(F742-G742,0.000000001),6)</f>
        <v/>
      </c>
      <c r="I742" s="5">
        <f>SUMPRODUCT(('01_Data'!$B742:$AW742&lt;&gt;"")*(1/(1+EXP(-(H742-'03_Lap_b'!$B$10:$AW$10)))))</f>
        <v/>
      </c>
      <c r="J742" s="5">
        <f>SUMPRODUCT(('01_Data'!$B742:$AW742&lt;&gt;"")*(1/(1+EXP(-(H742-'03_Lap_b'!$B$10:$AW$10))))^2)</f>
        <v/>
      </c>
      <c r="K742" s="5">
        <f>MEDIAN(-6,H742+(C742-I742)/MAX(I742-J742,0.000000001),6)</f>
        <v/>
      </c>
      <c r="L742" s="5">
        <f>SUMPRODUCT(('01_Data'!$B742:$AW742&lt;&gt;"")*(1/(1+EXP(-(K742-'03_Lap_b'!$B$15:$AW$15)))))</f>
        <v/>
      </c>
      <c r="M742" s="5">
        <f>SUMPRODUCT(('01_Data'!$B742:$AW742&lt;&gt;"")*(1/(1+EXP(-(K742-'03_Lap_b'!$B$15:$AW$15))))^2)</f>
        <v/>
      </c>
      <c r="N742" s="5">
        <f>MEDIAN(-6,K742+(C742-L742)/MAX(L742-M742,0.000000001),6)</f>
        <v/>
      </c>
      <c r="O742" s="5">
        <f>SUMPRODUCT(('01_Data'!$B742:$AW742&lt;&gt;"")*(1/(1+EXP(-(N742-'03_Lap_b'!$B$20:$AW$20)))))</f>
        <v/>
      </c>
      <c r="P742" s="5">
        <f>SUMPRODUCT(('01_Data'!$B742:$AW742&lt;&gt;"")*(1/(1+EXP(-(N742-'03_Lap_b'!$B$20:$AW$20))))^2)</f>
        <v/>
      </c>
      <c r="Q742" s="5">
        <f>MEDIAN(-6,N742+(C742-O742)/MAX(O742-P742,0.000000001),6)</f>
        <v/>
      </c>
      <c r="R742" s="5">
        <f>SUMPRODUCT(('01_Data'!$B742:$AW742&lt;&gt;"")*(1/(1+EXP(-(Q742-'03_Lap_b'!$B$25:$AW$25)))))</f>
        <v/>
      </c>
      <c r="S742" s="5">
        <f>SUMPRODUCT(('01_Data'!$B742:$AW742&lt;&gt;"")*(1/(1+EXP(-(Q742-'03_Lap_b'!$B$25:$AW$25))))^2)</f>
        <v/>
      </c>
      <c r="T742" s="5">
        <f>MEDIAN(-6,Q742+(C742-R742)/MAX(R742-S742,0.000000001),6)</f>
        <v/>
      </c>
      <c r="U742" s="5">
        <f>SUMPRODUCT(('01_Data'!$B742:$AW742&lt;&gt;"")*(1/(1+EXP(-(T742-'03_Lap_b'!$B$30:$AW$30)))))</f>
        <v/>
      </c>
      <c r="V742" s="5">
        <f>SUMPRODUCT(('01_Data'!$B742:$AW742&lt;&gt;"")*(1/(1+EXP(-(T742-'03_Lap_b'!$B$30:$AW$30))))^2)</f>
        <v/>
      </c>
      <c r="W742" s="5">
        <f>MEDIAN(-6,T742+(C742-U742)/MAX(U742-V742,0.000000001),6)</f>
        <v/>
      </c>
      <c r="X742" s="5">
        <f>SUMPRODUCT(('01_Data'!$B742:$AW742&lt;&gt;"")*(1/(1+EXP(-(W742-'03_Lap_b'!$B$35:$AW$35)))))</f>
        <v/>
      </c>
      <c r="Y742" s="5">
        <f>SUMPRODUCT(('01_Data'!$B742:$AW742&lt;&gt;"")*(1/(1+EXP(-(W742-'03_Lap_b'!$B$35:$AW$35))))^2)</f>
        <v/>
      </c>
      <c r="Z742" s="5">
        <f>MEDIAN(-6,W742+(C742-X742)/MAX(X742-Y742,0.000000001),6)</f>
        <v/>
      </c>
      <c r="AA742" s="5">
        <f>SUMPRODUCT(('01_Data'!$B742:$AW742&lt;&gt;"")*(1/(1+EXP(-(Z742-'03_Lap_b'!$B$40:$AW$40)))))</f>
        <v/>
      </c>
      <c r="AB742" s="5">
        <f>SUMPRODUCT(('01_Data'!$B742:$AW742&lt;&gt;"")*(1/(1+EXP(-(Z742-'03_Lap_b'!$B$40:$AW$40))))^2)</f>
        <v/>
      </c>
      <c r="AC742" s="5">
        <f>MEDIAN(-6,Z742+(C742-AA742)/MAX(AA742-AB742,0.000000001),6)</f>
        <v/>
      </c>
    </row>
    <row r="743">
      <c r="A743" t="n">
        <v>742</v>
      </c>
      <c r="B743">
        <f>'01_Data'!A743</f>
        <v/>
      </c>
      <c r="C743">
        <f>SUM('01_Data'!$B743:$AW743)</f>
        <v/>
      </c>
      <c r="D743">
        <f>COUNT('01_Data'!$B743:$AW743)</f>
        <v/>
      </c>
      <c r="E743" s="5">
        <f>MEDIAN(-6,LN((C743+0.3)/(D743-C743+0.3)),6)</f>
        <v/>
      </c>
      <c r="F743" s="5">
        <f>SUMPRODUCT(('01_Data'!$B743:$AW743&lt;&gt;"")*(1/(1+EXP(-(E743-'03_Lap_b'!$B$5:$AW$5)))))</f>
        <v/>
      </c>
      <c r="G743" s="5">
        <f>SUMPRODUCT(('01_Data'!$B743:$AW743&lt;&gt;"")*(1/(1+EXP(-(E743-'03_Lap_b'!$B$5:$AW$5))))^2)</f>
        <v/>
      </c>
      <c r="H743" s="5">
        <f>MEDIAN(-6,E743+(C743-F743)/MAX(F743-G743,0.000000001),6)</f>
        <v/>
      </c>
      <c r="I743" s="5">
        <f>SUMPRODUCT(('01_Data'!$B743:$AW743&lt;&gt;"")*(1/(1+EXP(-(H743-'03_Lap_b'!$B$10:$AW$10)))))</f>
        <v/>
      </c>
      <c r="J743" s="5">
        <f>SUMPRODUCT(('01_Data'!$B743:$AW743&lt;&gt;"")*(1/(1+EXP(-(H743-'03_Lap_b'!$B$10:$AW$10))))^2)</f>
        <v/>
      </c>
      <c r="K743" s="5">
        <f>MEDIAN(-6,H743+(C743-I743)/MAX(I743-J743,0.000000001),6)</f>
        <v/>
      </c>
      <c r="L743" s="5">
        <f>SUMPRODUCT(('01_Data'!$B743:$AW743&lt;&gt;"")*(1/(1+EXP(-(K743-'03_Lap_b'!$B$15:$AW$15)))))</f>
        <v/>
      </c>
      <c r="M743" s="5">
        <f>SUMPRODUCT(('01_Data'!$B743:$AW743&lt;&gt;"")*(1/(1+EXP(-(K743-'03_Lap_b'!$B$15:$AW$15))))^2)</f>
        <v/>
      </c>
      <c r="N743" s="5">
        <f>MEDIAN(-6,K743+(C743-L743)/MAX(L743-M743,0.000000001),6)</f>
        <v/>
      </c>
      <c r="O743" s="5">
        <f>SUMPRODUCT(('01_Data'!$B743:$AW743&lt;&gt;"")*(1/(1+EXP(-(N743-'03_Lap_b'!$B$20:$AW$20)))))</f>
        <v/>
      </c>
      <c r="P743" s="5">
        <f>SUMPRODUCT(('01_Data'!$B743:$AW743&lt;&gt;"")*(1/(1+EXP(-(N743-'03_Lap_b'!$B$20:$AW$20))))^2)</f>
        <v/>
      </c>
      <c r="Q743" s="5">
        <f>MEDIAN(-6,N743+(C743-O743)/MAX(O743-P743,0.000000001),6)</f>
        <v/>
      </c>
      <c r="R743" s="5">
        <f>SUMPRODUCT(('01_Data'!$B743:$AW743&lt;&gt;"")*(1/(1+EXP(-(Q743-'03_Lap_b'!$B$25:$AW$25)))))</f>
        <v/>
      </c>
      <c r="S743" s="5">
        <f>SUMPRODUCT(('01_Data'!$B743:$AW743&lt;&gt;"")*(1/(1+EXP(-(Q743-'03_Lap_b'!$B$25:$AW$25))))^2)</f>
        <v/>
      </c>
      <c r="T743" s="5">
        <f>MEDIAN(-6,Q743+(C743-R743)/MAX(R743-S743,0.000000001),6)</f>
        <v/>
      </c>
      <c r="U743" s="5">
        <f>SUMPRODUCT(('01_Data'!$B743:$AW743&lt;&gt;"")*(1/(1+EXP(-(T743-'03_Lap_b'!$B$30:$AW$30)))))</f>
        <v/>
      </c>
      <c r="V743" s="5">
        <f>SUMPRODUCT(('01_Data'!$B743:$AW743&lt;&gt;"")*(1/(1+EXP(-(T743-'03_Lap_b'!$B$30:$AW$30))))^2)</f>
        <v/>
      </c>
      <c r="W743" s="5">
        <f>MEDIAN(-6,T743+(C743-U743)/MAX(U743-V743,0.000000001),6)</f>
        <v/>
      </c>
      <c r="X743" s="5">
        <f>SUMPRODUCT(('01_Data'!$B743:$AW743&lt;&gt;"")*(1/(1+EXP(-(W743-'03_Lap_b'!$B$35:$AW$35)))))</f>
        <v/>
      </c>
      <c r="Y743" s="5">
        <f>SUMPRODUCT(('01_Data'!$B743:$AW743&lt;&gt;"")*(1/(1+EXP(-(W743-'03_Lap_b'!$B$35:$AW$35))))^2)</f>
        <v/>
      </c>
      <c r="Z743" s="5">
        <f>MEDIAN(-6,W743+(C743-X743)/MAX(X743-Y743,0.000000001),6)</f>
        <v/>
      </c>
      <c r="AA743" s="5">
        <f>SUMPRODUCT(('01_Data'!$B743:$AW743&lt;&gt;"")*(1/(1+EXP(-(Z743-'03_Lap_b'!$B$40:$AW$40)))))</f>
        <v/>
      </c>
      <c r="AB743" s="5">
        <f>SUMPRODUCT(('01_Data'!$B743:$AW743&lt;&gt;"")*(1/(1+EXP(-(Z743-'03_Lap_b'!$B$40:$AW$40))))^2)</f>
        <v/>
      </c>
      <c r="AC743" s="5">
        <f>MEDIAN(-6,Z743+(C743-AA743)/MAX(AA743-AB743,0.000000001),6)</f>
        <v/>
      </c>
    </row>
    <row r="744">
      <c r="A744" t="n">
        <v>743</v>
      </c>
      <c r="B744">
        <f>'01_Data'!A744</f>
        <v/>
      </c>
      <c r="C744">
        <f>SUM('01_Data'!$B744:$AW744)</f>
        <v/>
      </c>
      <c r="D744">
        <f>COUNT('01_Data'!$B744:$AW744)</f>
        <v/>
      </c>
      <c r="E744" s="5">
        <f>MEDIAN(-6,LN((C744+0.3)/(D744-C744+0.3)),6)</f>
        <v/>
      </c>
      <c r="F744" s="5">
        <f>SUMPRODUCT(('01_Data'!$B744:$AW744&lt;&gt;"")*(1/(1+EXP(-(E744-'03_Lap_b'!$B$5:$AW$5)))))</f>
        <v/>
      </c>
      <c r="G744" s="5">
        <f>SUMPRODUCT(('01_Data'!$B744:$AW744&lt;&gt;"")*(1/(1+EXP(-(E744-'03_Lap_b'!$B$5:$AW$5))))^2)</f>
        <v/>
      </c>
      <c r="H744" s="5">
        <f>MEDIAN(-6,E744+(C744-F744)/MAX(F744-G744,0.000000001),6)</f>
        <v/>
      </c>
      <c r="I744" s="5">
        <f>SUMPRODUCT(('01_Data'!$B744:$AW744&lt;&gt;"")*(1/(1+EXP(-(H744-'03_Lap_b'!$B$10:$AW$10)))))</f>
        <v/>
      </c>
      <c r="J744" s="5">
        <f>SUMPRODUCT(('01_Data'!$B744:$AW744&lt;&gt;"")*(1/(1+EXP(-(H744-'03_Lap_b'!$B$10:$AW$10))))^2)</f>
        <v/>
      </c>
      <c r="K744" s="5">
        <f>MEDIAN(-6,H744+(C744-I744)/MAX(I744-J744,0.000000001),6)</f>
        <v/>
      </c>
      <c r="L744" s="5">
        <f>SUMPRODUCT(('01_Data'!$B744:$AW744&lt;&gt;"")*(1/(1+EXP(-(K744-'03_Lap_b'!$B$15:$AW$15)))))</f>
        <v/>
      </c>
      <c r="M744" s="5">
        <f>SUMPRODUCT(('01_Data'!$B744:$AW744&lt;&gt;"")*(1/(1+EXP(-(K744-'03_Lap_b'!$B$15:$AW$15))))^2)</f>
        <v/>
      </c>
      <c r="N744" s="5">
        <f>MEDIAN(-6,K744+(C744-L744)/MAX(L744-M744,0.000000001),6)</f>
        <v/>
      </c>
      <c r="O744" s="5">
        <f>SUMPRODUCT(('01_Data'!$B744:$AW744&lt;&gt;"")*(1/(1+EXP(-(N744-'03_Lap_b'!$B$20:$AW$20)))))</f>
        <v/>
      </c>
      <c r="P744" s="5">
        <f>SUMPRODUCT(('01_Data'!$B744:$AW744&lt;&gt;"")*(1/(1+EXP(-(N744-'03_Lap_b'!$B$20:$AW$20))))^2)</f>
        <v/>
      </c>
      <c r="Q744" s="5">
        <f>MEDIAN(-6,N744+(C744-O744)/MAX(O744-P744,0.000000001),6)</f>
        <v/>
      </c>
      <c r="R744" s="5">
        <f>SUMPRODUCT(('01_Data'!$B744:$AW744&lt;&gt;"")*(1/(1+EXP(-(Q744-'03_Lap_b'!$B$25:$AW$25)))))</f>
        <v/>
      </c>
      <c r="S744" s="5">
        <f>SUMPRODUCT(('01_Data'!$B744:$AW744&lt;&gt;"")*(1/(1+EXP(-(Q744-'03_Lap_b'!$B$25:$AW$25))))^2)</f>
        <v/>
      </c>
      <c r="T744" s="5">
        <f>MEDIAN(-6,Q744+(C744-R744)/MAX(R744-S744,0.000000001),6)</f>
        <v/>
      </c>
      <c r="U744" s="5">
        <f>SUMPRODUCT(('01_Data'!$B744:$AW744&lt;&gt;"")*(1/(1+EXP(-(T744-'03_Lap_b'!$B$30:$AW$30)))))</f>
        <v/>
      </c>
      <c r="V744" s="5">
        <f>SUMPRODUCT(('01_Data'!$B744:$AW744&lt;&gt;"")*(1/(1+EXP(-(T744-'03_Lap_b'!$B$30:$AW$30))))^2)</f>
        <v/>
      </c>
      <c r="W744" s="5">
        <f>MEDIAN(-6,T744+(C744-U744)/MAX(U744-V744,0.000000001),6)</f>
        <v/>
      </c>
      <c r="X744" s="5">
        <f>SUMPRODUCT(('01_Data'!$B744:$AW744&lt;&gt;"")*(1/(1+EXP(-(W744-'03_Lap_b'!$B$35:$AW$35)))))</f>
        <v/>
      </c>
      <c r="Y744" s="5">
        <f>SUMPRODUCT(('01_Data'!$B744:$AW744&lt;&gt;"")*(1/(1+EXP(-(W744-'03_Lap_b'!$B$35:$AW$35))))^2)</f>
        <v/>
      </c>
      <c r="Z744" s="5">
        <f>MEDIAN(-6,W744+(C744-X744)/MAX(X744-Y744,0.000000001),6)</f>
        <v/>
      </c>
      <c r="AA744" s="5">
        <f>SUMPRODUCT(('01_Data'!$B744:$AW744&lt;&gt;"")*(1/(1+EXP(-(Z744-'03_Lap_b'!$B$40:$AW$40)))))</f>
        <v/>
      </c>
      <c r="AB744" s="5">
        <f>SUMPRODUCT(('01_Data'!$B744:$AW744&lt;&gt;"")*(1/(1+EXP(-(Z744-'03_Lap_b'!$B$40:$AW$40))))^2)</f>
        <v/>
      </c>
      <c r="AC744" s="5">
        <f>MEDIAN(-6,Z744+(C744-AA744)/MAX(AA744-AB744,0.000000001),6)</f>
        <v/>
      </c>
    </row>
    <row r="745">
      <c r="A745" t="n">
        <v>744</v>
      </c>
      <c r="B745">
        <f>'01_Data'!A745</f>
        <v/>
      </c>
      <c r="C745">
        <f>SUM('01_Data'!$B745:$AW745)</f>
        <v/>
      </c>
      <c r="D745">
        <f>COUNT('01_Data'!$B745:$AW745)</f>
        <v/>
      </c>
      <c r="E745" s="5">
        <f>MEDIAN(-6,LN((C745+0.3)/(D745-C745+0.3)),6)</f>
        <v/>
      </c>
      <c r="F745" s="5">
        <f>SUMPRODUCT(('01_Data'!$B745:$AW745&lt;&gt;"")*(1/(1+EXP(-(E745-'03_Lap_b'!$B$5:$AW$5)))))</f>
        <v/>
      </c>
      <c r="G745" s="5">
        <f>SUMPRODUCT(('01_Data'!$B745:$AW745&lt;&gt;"")*(1/(1+EXP(-(E745-'03_Lap_b'!$B$5:$AW$5))))^2)</f>
        <v/>
      </c>
      <c r="H745" s="5">
        <f>MEDIAN(-6,E745+(C745-F745)/MAX(F745-G745,0.000000001),6)</f>
        <v/>
      </c>
      <c r="I745" s="5">
        <f>SUMPRODUCT(('01_Data'!$B745:$AW745&lt;&gt;"")*(1/(1+EXP(-(H745-'03_Lap_b'!$B$10:$AW$10)))))</f>
        <v/>
      </c>
      <c r="J745" s="5">
        <f>SUMPRODUCT(('01_Data'!$B745:$AW745&lt;&gt;"")*(1/(1+EXP(-(H745-'03_Lap_b'!$B$10:$AW$10))))^2)</f>
        <v/>
      </c>
      <c r="K745" s="5">
        <f>MEDIAN(-6,H745+(C745-I745)/MAX(I745-J745,0.000000001),6)</f>
        <v/>
      </c>
      <c r="L745" s="5">
        <f>SUMPRODUCT(('01_Data'!$B745:$AW745&lt;&gt;"")*(1/(1+EXP(-(K745-'03_Lap_b'!$B$15:$AW$15)))))</f>
        <v/>
      </c>
      <c r="M745" s="5">
        <f>SUMPRODUCT(('01_Data'!$B745:$AW745&lt;&gt;"")*(1/(1+EXP(-(K745-'03_Lap_b'!$B$15:$AW$15))))^2)</f>
        <v/>
      </c>
      <c r="N745" s="5">
        <f>MEDIAN(-6,K745+(C745-L745)/MAX(L745-M745,0.000000001),6)</f>
        <v/>
      </c>
      <c r="O745" s="5">
        <f>SUMPRODUCT(('01_Data'!$B745:$AW745&lt;&gt;"")*(1/(1+EXP(-(N745-'03_Lap_b'!$B$20:$AW$20)))))</f>
        <v/>
      </c>
      <c r="P745" s="5">
        <f>SUMPRODUCT(('01_Data'!$B745:$AW745&lt;&gt;"")*(1/(1+EXP(-(N745-'03_Lap_b'!$B$20:$AW$20))))^2)</f>
        <v/>
      </c>
      <c r="Q745" s="5">
        <f>MEDIAN(-6,N745+(C745-O745)/MAX(O745-P745,0.000000001),6)</f>
        <v/>
      </c>
      <c r="R745" s="5">
        <f>SUMPRODUCT(('01_Data'!$B745:$AW745&lt;&gt;"")*(1/(1+EXP(-(Q745-'03_Lap_b'!$B$25:$AW$25)))))</f>
        <v/>
      </c>
      <c r="S745" s="5">
        <f>SUMPRODUCT(('01_Data'!$B745:$AW745&lt;&gt;"")*(1/(1+EXP(-(Q745-'03_Lap_b'!$B$25:$AW$25))))^2)</f>
        <v/>
      </c>
      <c r="T745" s="5">
        <f>MEDIAN(-6,Q745+(C745-R745)/MAX(R745-S745,0.000000001),6)</f>
        <v/>
      </c>
      <c r="U745" s="5">
        <f>SUMPRODUCT(('01_Data'!$B745:$AW745&lt;&gt;"")*(1/(1+EXP(-(T745-'03_Lap_b'!$B$30:$AW$30)))))</f>
        <v/>
      </c>
      <c r="V745" s="5">
        <f>SUMPRODUCT(('01_Data'!$B745:$AW745&lt;&gt;"")*(1/(1+EXP(-(T745-'03_Lap_b'!$B$30:$AW$30))))^2)</f>
        <v/>
      </c>
      <c r="W745" s="5">
        <f>MEDIAN(-6,T745+(C745-U745)/MAX(U745-V745,0.000000001),6)</f>
        <v/>
      </c>
      <c r="X745" s="5">
        <f>SUMPRODUCT(('01_Data'!$B745:$AW745&lt;&gt;"")*(1/(1+EXP(-(W745-'03_Lap_b'!$B$35:$AW$35)))))</f>
        <v/>
      </c>
      <c r="Y745" s="5">
        <f>SUMPRODUCT(('01_Data'!$B745:$AW745&lt;&gt;"")*(1/(1+EXP(-(W745-'03_Lap_b'!$B$35:$AW$35))))^2)</f>
        <v/>
      </c>
      <c r="Z745" s="5">
        <f>MEDIAN(-6,W745+(C745-X745)/MAX(X745-Y745,0.000000001),6)</f>
        <v/>
      </c>
      <c r="AA745" s="5">
        <f>SUMPRODUCT(('01_Data'!$B745:$AW745&lt;&gt;"")*(1/(1+EXP(-(Z745-'03_Lap_b'!$B$40:$AW$40)))))</f>
        <v/>
      </c>
      <c r="AB745" s="5">
        <f>SUMPRODUCT(('01_Data'!$B745:$AW745&lt;&gt;"")*(1/(1+EXP(-(Z745-'03_Lap_b'!$B$40:$AW$40))))^2)</f>
        <v/>
      </c>
      <c r="AC745" s="5">
        <f>MEDIAN(-6,Z745+(C745-AA745)/MAX(AA745-AB745,0.000000001),6)</f>
        <v/>
      </c>
    </row>
    <row r="746">
      <c r="A746" t="n">
        <v>745</v>
      </c>
      <c r="B746">
        <f>'01_Data'!A746</f>
        <v/>
      </c>
      <c r="C746">
        <f>SUM('01_Data'!$B746:$AW746)</f>
        <v/>
      </c>
      <c r="D746">
        <f>COUNT('01_Data'!$B746:$AW746)</f>
        <v/>
      </c>
      <c r="E746" s="5">
        <f>MEDIAN(-6,LN((C746+0.3)/(D746-C746+0.3)),6)</f>
        <v/>
      </c>
      <c r="F746" s="5">
        <f>SUMPRODUCT(('01_Data'!$B746:$AW746&lt;&gt;"")*(1/(1+EXP(-(E746-'03_Lap_b'!$B$5:$AW$5)))))</f>
        <v/>
      </c>
      <c r="G746" s="5">
        <f>SUMPRODUCT(('01_Data'!$B746:$AW746&lt;&gt;"")*(1/(1+EXP(-(E746-'03_Lap_b'!$B$5:$AW$5))))^2)</f>
        <v/>
      </c>
      <c r="H746" s="5">
        <f>MEDIAN(-6,E746+(C746-F746)/MAX(F746-G746,0.000000001),6)</f>
        <v/>
      </c>
      <c r="I746" s="5">
        <f>SUMPRODUCT(('01_Data'!$B746:$AW746&lt;&gt;"")*(1/(1+EXP(-(H746-'03_Lap_b'!$B$10:$AW$10)))))</f>
        <v/>
      </c>
      <c r="J746" s="5">
        <f>SUMPRODUCT(('01_Data'!$B746:$AW746&lt;&gt;"")*(1/(1+EXP(-(H746-'03_Lap_b'!$B$10:$AW$10))))^2)</f>
        <v/>
      </c>
      <c r="K746" s="5">
        <f>MEDIAN(-6,H746+(C746-I746)/MAX(I746-J746,0.000000001),6)</f>
        <v/>
      </c>
      <c r="L746" s="5">
        <f>SUMPRODUCT(('01_Data'!$B746:$AW746&lt;&gt;"")*(1/(1+EXP(-(K746-'03_Lap_b'!$B$15:$AW$15)))))</f>
        <v/>
      </c>
      <c r="M746" s="5">
        <f>SUMPRODUCT(('01_Data'!$B746:$AW746&lt;&gt;"")*(1/(1+EXP(-(K746-'03_Lap_b'!$B$15:$AW$15))))^2)</f>
        <v/>
      </c>
      <c r="N746" s="5">
        <f>MEDIAN(-6,K746+(C746-L746)/MAX(L746-M746,0.000000001),6)</f>
        <v/>
      </c>
      <c r="O746" s="5">
        <f>SUMPRODUCT(('01_Data'!$B746:$AW746&lt;&gt;"")*(1/(1+EXP(-(N746-'03_Lap_b'!$B$20:$AW$20)))))</f>
        <v/>
      </c>
      <c r="P746" s="5">
        <f>SUMPRODUCT(('01_Data'!$B746:$AW746&lt;&gt;"")*(1/(1+EXP(-(N746-'03_Lap_b'!$B$20:$AW$20))))^2)</f>
        <v/>
      </c>
      <c r="Q746" s="5">
        <f>MEDIAN(-6,N746+(C746-O746)/MAX(O746-P746,0.000000001),6)</f>
        <v/>
      </c>
      <c r="R746" s="5">
        <f>SUMPRODUCT(('01_Data'!$B746:$AW746&lt;&gt;"")*(1/(1+EXP(-(Q746-'03_Lap_b'!$B$25:$AW$25)))))</f>
        <v/>
      </c>
      <c r="S746" s="5">
        <f>SUMPRODUCT(('01_Data'!$B746:$AW746&lt;&gt;"")*(1/(1+EXP(-(Q746-'03_Lap_b'!$B$25:$AW$25))))^2)</f>
        <v/>
      </c>
      <c r="T746" s="5">
        <f>MEDIAN(-6,Q746+(C746-R746)/MAX(R746-S746,0.000000001),6)</f>
        <v/>
      </c>
      <c r="U746" s="5">
        <f>SUMPRODUCT(('01_Data'!$B746:$AW746&lt;&gt;"")*(1/(1+EXP(-(T746-'03_Lap_b'!$B$30:$AW$30)))))</f>
        <v/>
      </c>
      <c r="V746" s="5">
        <f>SUMPRODUCT(('01_Data'!$B746:$AW746&lt;&gt;"")*(1/(1+EXP(-(T746-'03_Lap_b'!$B$30:$AW$30))))^2)</f>
        <v/>
      </c>
      <c r="W746" s="5">
        <f>MEDIAN(-6,T746+(C746-U746)/MAX(U746-V746,0.000000001),6)</f>
        <v/>
      </c>
      <c r="X746" s="5">
        <f>SUMPRODUCT(('01_Data'!$B746:$AW746&lt;&gt;"")*(1/(1+EXP(-(W746-'03_Lap_b'!$B$35:$AW$35)))))</f>
        <v/>
      </c>
      <c r="Y746" s="5">
        <f>SUMPRODUCT(('01_Data'!$B746:$AW746&lt;&gt;"")*(1/(1+EXP(-(W746-'03_Lap_b'!$B$35:$AW$35))))^2)</f>
        <v/>
      </c>
      <c r="Z746" s="5">
        <f>MEDIAN(-6,W746+(C746-X746)/MAX(X746-Y746,0.000000001),6)</f>
        <v/>
      </c>
      <c r="AA746" s="5">
        <f>SUMPRODUCT(('01_Data'!$B746:$AW746&lt;&gt;"")*(1/(1+EXP(-(Z746-'03_Lap_b'!$B$40:$AW$40)))))</f>
        <v/>
      </c>
      <c r="AB746" s="5">
        <f>SUMPRODUCT(('01_Data'!$B746:$AW746&lt;&gt;"")*(1/(1+EXP(-(Z746-'03_Lap_b'!$B$40:$AW$40))))^2)</f>
        <v/>
      </c>
      <c r="AC746" s="5">
        <f>MEDIAN(-6,Z746+(C746-AA746)/MAX(AA746-AB746,0.000000001),6)</f>
        <v/>
      </c>
    </row>
    <row r="747">
      <c r="A747" t="n">
        <v>746</v>
      </c>
      <c r="B747">
        <f>'01_Data'!A747</f>
        <v/>
      </c>
      <c r="C747">
        <f>SUM('01_Data'!$B747:$AW747)</f>
        <v/>
      </c>
      <c r="D747">
        <f>COUNT('01_Data'!$B747:$AW747)</f>
        <v/>
      </c>
      <c r="E747" s="5">
        <f>MEDIAN(-6,LN((C747+0.3)/(D747-C747+0.3)),6)</f>
        <v/>
      </c>
      <c r="F747" s="5">
        <f>SUMPRODUCT(('01_Data'!$B747:$AW747&lt;&gt;"")*(1/(1+EXP(-(E747-'03_Lap_b'!$B$5:$AW$5)))))</f>
        <v/>
      </c>
      <c r="G747" s="5">
        <f>SUMPRODUCT(('01_Data'!$B747:$AW747&lt;&gt;"")*(1/(1+EXP(-(E747-'03_Lap_b'!$B$5:$AW$5))))^2)</f>
        <v/>
      </c>
      <c r="H747" s="5">
        <f>MEDIAN(-6,E747+(C747-F747)/MAX(F747-G747,0.000000001),6)</f>
        <v/>
      </c>
      <c r="I747" s="5">
        <f>SUMPRODUCT(('01_Data'!$B747:$AW747&lt;&gt;"")*(1/(1+EXP(-(H747-'03_Lap_b'!$B$10:$AW$10)))))</f>
        <v/>
      </c>
      <c r="J747" s="5">
        <f>SUMPRODUCT(('01_Data'!$B747:$AW747&lt;&gt;"")*(1/(1+EXP(-(H747-'03_Lap_b'!$B$10:$AW$10))))^2)</f>
        <v/>
      </c>
      <c r="K747" s="5">
        <f>MEDIAN(-6,H747+(C747-I747)/MAX(I747-J747,0.000000001),6)</f>
        <v/>
      </c>
      <c r="L747" s="5">
        <f>SUMPRODUCT(('01_Data'!$B747:$AW747&lt;&gt;"")*(1/(1+EXP(-(K747-'03_Lap_b'!$B$15:$AW$15)))))</f>
        <v/>
      </c>
      <c r="M747" s="5">
        <f>SUMPRODUCT(('01_Data'!$B747:$AW747&lt;&gt;"")*(1/(1+EXP(-(K747-'03_Lap_b'!$B$15:$AW$15))))^2)</f>
        <v/>
      </c>
      <c r="N747" s="5">
        <f>MEDIAN(-6,K747+(C747-L747)/MAX(L747-M747,0.000000001),6)</f>
        <v/>
      </c>
      <c r="O747" s="5">
        <f>SUMPRODUCT(('01_Data'!$B747:$AW747&lt;&gt;"")*(1/(1+EXP(-(N747-'03_Lap_b'!$B$20:$AW$20)))))</f>
        <v/>
      </c>
      <c r="P747" s="5">
        <f>SUMPRODUCT(('01_Data'!$B747:$AW747&lt;&gt;"")*(1/(1+EXP(-(N747-'03_Lap_b'!$B$20:$AW$20))))^2)</f>
        <v/>
      </c>
      <c r="Q747" s="5">
        <f>MEDIAN(-6,N747+(C747-O747)/MAX(O747-P747,0.000000001),6)</f>
        <v/>
      </c>
      <c r="R747" s="5">
        <f>SUMPRODUCT(('01_Data'!$B747:$AW747&lt;&gt;"")*(1/(1+EXP(-(Q747-'03_Lap_b'!$B$25:$AW$25)))))</f>
        <v/>
      </c>
      <c r="S747" s="5">
        <f>SUMPRODUCT(('01_Data'!$B747:$AW747&lt;&gt;"")*(1/(1+EXP(-(Q747-'03_Lap_b'!$B$25:$AW$25))))^2)</f>
        <v/>
      </c>
      <c r="T747" s="5">
        <f>MEDIAN(-6,Q747+(C747-R747)/MAX(R747-S747,0.000000001),6)</f>
        <v/>
      </c>
      <c r="U747" s="5">
        <f>SUMPRODUCT(('01_Data'!$B747:$AW747&lt;&gt;"")*(1/(1+EXP(-(T747-'03_Lap_b'!$B$30:$AW$30)))))</f>
        <v/>
      </c>
      <c r="V747" s="5">
        <f>SUMPRODUCT(('01_Data'!$B747:$AW747&lt;&gt;"")*(1/(1+EXP(-(T747-'03_Lap_b'!$B$30:$AW$30))))^2)</f>
        <v/>
      </c>
      <c r="W747" s="5">
        <f>MEDIAN(-6,T747+(C747-U747)/MAX(U747-V747,0.000000001),6)</f>
        <v/>
      </c>
      <c r="X747" s="5">
        <f>SUMPRODUCT(('01_Data'!$B747:$AW747&lt;&gt;"")*(1/(1+EXP(-(W747-'03_Lap_b'!$B$35:$AW$35)))))</f>
        <v/>
      </c>
      <c r="Y747" s="5">
        <f>SUMPRODUCT(('01_Data'!$B747:$AW747&lt;&gt;"")*(1/(1+EXP(-(W747-'03_Lap_b'!$B$35:$AW$35))))^2)</f>
        <v/>
      </c>
      <c r="Z747" s="5">
        <f>MEDIAN(-6,W747+(C747-X747)/MAX(X747-Y747,0.000000001),6)</f>
        <v/>
      </c>
      <c r="AA747" s="5">
        <f>SUMPRODUCT(('01_Data'!$B747:$AW747&lt;&gt;"")*(1/(1+EXP(-(Z747-'03_Lap_b'!$B$40:$AW$40)))))</f>
        <v/>
      </c>
      <c r="AB747" s="5">
        <f>SUMPRODUCT(('01_Data'!$B747:$AW747&lt;&gt;"")*(1/(1+EXP(-(Z747-'03_Lap_b'!$B$40:$AW$40))))^2)</f>
        <v/>
      </c>
      <c r="AC747" s="5">
        <f>MEDIAN(-6,Z747+(C747-AA747)/MAX(AA747-AB747,0.000000001),6)</f>
        <v/>
      </c>
    </row>
    <row r="748">
      <c r="A748" t="n">
        <v>747</v>
      </c>
      <c r="B748">
        <f>'01_Data'!A748</f>
        <v/>
      </c>
      <c r="C748">
        <f>SUM('01_Data'!$B748:$AW748)</f>
        <v/>
      </c>
      <c r="D748">
        <f>COUNT('01_Data'!$B748:$AW748)</f>
        <v/>
      </c>
      <c r="E748" s="5">
        <f>MEDIAN(-6,LN((C748+0.3)/(D748-C748+0.3)),6)</f>
        <v/>
      </c>
      <c r="F748" s="5">
        <f>SUMPRODUCT(('01_Data'!$B748:$AW748&lt;&gt;"")*(1/(1+EXP(-(E748-'03_Lap_b'!$B$5:$AW$5)))))</f>
        <v/>
      </c>
      <c r="G748" s="5">
        <f>SUMPRODUCT(('01_Data'!$B748:$AW748&lt;&gt;"")*(1/(1+EXP(-(E748-'03_Lap_b'!$B$5:$AW$5))))^2)</f>
        <v/>
      </c>
      <c r="H748" s="5">
        <f>MEDIAN(-6,E748+(C748-F748)/MAX(F748-G748,0.000000001),6)</f>
        <v/>
      </c>
      <c r="I748" s="5">
        <f>SUMPRODUCT(('01_Data'!$B748:$AW748&lt;&gt;"")*(1/(1+EXP(-(H748-'03_Lap_b'!$B$10:$AW$10)))))</f>
        <v/>
      </c>
      <c r="J748" s="5">
        <f>SUMPRODUCT(('01_Data'!$B748:$AW748&lt;&gt;"")*(1/(1+EXP(-(H748-'03_Lap_b'!$B$10:$AW$10))))^2)</f>
        <v/>
      </c>
      <c r="K748" s="5">
        <f>MEDIAN(-6,H748+(C748-I748)/MAX(I748-J748,0.000000001),6)</f>
        <v/>
      </c>
      <c r="L748" s="5">
        <f>SUMPRODUCT(('01_Data'!$B748:$AW748&lt;&gt;"")*(1/(1+EXP(-(K748-'03_Lap_b'!$B$15:$AW$15)))))</f>
        <v/>
      </c>
      <c r="M748" s="5">
        <f>SUMPRODUCT(('01_Data'!$B748:$AW748&lt;&gt;"")*(1/(1+EXP(-(K748-'03_Lap_b'!$B$15:$AW$15))))^2)</f>
        <v/>
      </c>
      <c r="N748" s="5">
        <f>MEDIAN(-6,K748+(C748-L748)/MAX(L748-M748,0.000000001),6)</f>
        <v/>
      </c>
      <c r="O748" s="5">
        <f>SUMPRODUCT(('01_Data'!$B748:$AW748&lt;&gt;"")*(1/(1+EXP(-(N748-'03_Lap_b'!$B$20:$AW$20)))))</f>
        <v/>
      </c>
      <c r="P748" s="5">
        <f>SUMPRODUCT(('01_Data'!$B748:$AW748&lt;&gt;"")*(1/(1+EXP(-(N748-'03_Lap_b'!$B$20:$AW$20))))^2)</f>
        <v/>
      </c>
      <c r="Q748" s="5">
        <f>MEDIAN(-6,N748+(C748-O748)/MAX(O748-P748,0.000000001),6)</f>
        <v/>
      </c>
      <c r="R748" s="5">
        <f>SUMPRODUCT(('01_Data'!$B748:$AW748&lt;&gt;"")*(1/(1+EXP(-(Q748-'03_Lap_b'!$B$25:$AW$25)))))</f>
        <v/>
      </c>
      <c r="S748" s="5">
        <f>SUMPRODUCT(('01_Data'!$B748:$AW748&lt;&gt;"")*(1/(1+EXP(-(Q748-'03_Lap_b'!$B$25:$AW$25))))^2)</f>
        <v/>
      </c>
      <c r="T748" s="5">
        <f>MEDIAN(-6,Q748+(C748-R748)/MAX(R748-S748,0.000000001),6)</f>
        <v/>
      </c>
      <c r="U748" s="5">
        <f>SUMPRODUCT(('01_Data'!$B748:$AW748&lt;&gt;"")*(1/(1+EXP(-(T748-'03_Lap_b'!$B$30:$AW$30)))))</f>
        <v/>
      </c>
      <c r="V748" s="5">
        <f>SUMPRODUCT(('01_Data'!$B748:$AW748&lt;&gt;"")*(1/(1+EXP(-(T748-'03_Lap_b'!$B$30:$AW$30))))^2)</f>
        <v/>
      </c>
      <c r="W748" s="5">
        <f>MEDIAN(-6,T748+(C748-U748)/MAX(U748-V748,0.000000001),6)</f>
        <v/>
      </c>
      <c r="X748" s="5">
        <f>SUMPRODUCT(('01_Data'!$B748:$AW748&lt;&gt;"")*(1/(1+EXP(-(W748-'03_Lap_b'!$B$35:$AW$35)))))</f>
        <v/>
      </c>
      <c r="Y748" s="5">
        <f>SUMPRODUCT(('01_Data'!$B748:$AW748&lt;&gt;"")*(1/(1+EXP(-(W748-'03_Lap_b'!$B$35:$AW$35))))^2)</f>
        <v/>
      </c>
      <c r="Z748" s="5">
        <f>MEDIAN(-6,W748+(C748-X748)/MAX(X748-Y748,0.000000001),6)</f>
        <v/>
      </c>
      <c r="AA748" s="5">
        <f>SUMPRODUCT(('01_Data'!$B748:$AW748&lt;&gt;"")*(1/(1+EXP(-(Z748-'03_Lap_b'!$B$40:$AW$40)))))</f>
        <v/>
      </c>
      <c r="AB748" s="5">
        <f>SUMPRODUCT(('01_Data'!$B748:$AW748&lt;&gt;"")*(1/(1+EXP(-(Z748-'03_Lap_b'!$B$40:$AW$40))))^2)</f>
        <v/>
      </c>
      <c r="AC748" s="5">
        <f>MEDIAN(-6,Z748+(C748-AA748)/MAX(AA748-AB748,0.000000001),6)</f>
        <v/>
      </c>
    </row>
    <row r="749">
      <c r="A749" t="n">
        <v>748</v>
      </c>
      <c r="B749">
        <f>'01_Data'!A749</f>
        <v/>
      </c>
      <c r="C749">
        <f>SUM('01_Data'!$B749:$AW749)</f>
        <v/>
      </c>
      <c r="D749">
        <f>COUNT('01_Data'!$B749:$AW749)</f>
        <v/>
      </c>
      <c r="E749" s="5">
        <f>MEDIAN(-6,LN((C749+0.3)/(D749-C749+0.3)),6)</f>
        <v/>
      </c>
      <c r="F749" s="5">
        <f>SUMPRODUCT(('01_Data'!$B749:$AW749&lt;&gt;"")*(1/(1+EXP(-(E749-'03_Lap_b'!$B$5:$AW$5)))))</f>
        <v/>
      </c>
      <c r="G749" s="5">
        <f>SUMPRODUCT(('01_Data'!$B749:$AW749&lt;&gt;"")*(1/(1+EXP(-(E749-'03_Lap_b'!$B$5:$AW$5))))^2)</f>
        <v/>
      </c>
      <c r="H749" s="5">
        <f>MEDIAN(-6,E749+(C749-F749)/MAX(F749-G749,0.000000001),6)</f>
        <v/>
      </c>
      <c r="I749" s="5">
        <f>SUMPRODUCT(('01_Data'!$B749:$AW749&lt;&gt;"")*(1/(1+EXP(-(H749-'03_Lap_b'!$B$10:$AW$10)))))</f>
        <v/>
      </c>
      <c r="J749" s="5">
        <f>SUMPRODUCT(('01_Data'!$B749:$AW749&lt;&gt;"")*(1/(1+EXP(-(H749-'03_Lap_b'!$B$10:$AW$10))))^2)</f>
        <v/>
      </c>
      <c r="K749" s="5">
        <f>MEDIAN(-6,H749+(C749-I749)/MAX(I749-J749,0.000000001),6)</f>
        <v/>
      </c>
      <c r="L749" s="5">
        <f>SUMPRODUCT(('01_Data'!$B749:$AW749&lt;&gt;"")*(1/(1+EXP(-(K749-'03_Lap_b'!$B$15:$AW$15)))))</f>
        <v/>
      </c>
      <c r="M749" s="5">
        <f>SUMPRODUCT(('01_Data'!$B749:$AW749&lt;&gt;"")*(1/(1+EXP(-(K749-'03_Lap_b'!$B$15:$AW$15))))^2)</f>
        <v/>
      </c>
      <c r="N749" s="5">
        <f>MEDIAN(-6,K749+(C749-L749)/MAX(L749-M749,0.000000001),6)</f>
        <v/>
      </c>
      <c r="O749" s="5">
        <f>SUMPRODUCT(('01_Data'!$B749:$AW749&lt;&gt;"")*(1/(1+EXP(-(N749-'03_Lap_b'!$B$20:$AW$20)))))</f>
        <v/>
      </c>
      <c r="P749" s="5">
        <f>SUMPRODUCT(('01_Data'!$B749:$AW749&lt;&gt;"")*(1/(1+EXP(-(N749-'03_Lap_b'!$B$20:$AW$20))))^2)</f>
        <v/>
      </c>
      <c r="Q749" s="5">
        <f>MEDIAN(-6,N749+(C749-O749)/MAX(O749-P749,0.000000001),6)</f>
        <v/>
      </c>
      <c r="R749" s="5">
        <f>SUMPRODUCT(('01_Data'!$B749:$AW749&lt;&gt;"")*(1/(1+EXP(-(Q749-'03_Lap_b'!$B$25:$AW$25)))))</f>
        <v/>
      </c>
      <c r="S749" s="5">
        <f>SUMPRODUCT(('01_Data'!$B749:$AW749&lt;&gt;"")*(1/(1+EXP(-(Q749-'03_Lap_b'!$B$25:$AW$25))))^2)</f>
        <v/>
      </c>
      <c r="T749" s="5">
        <f>MEDIAN(-6,Q749+(C749-R749)/MAX(R749-S749,0.000000001),6)</f>
        <v/>
      </c>
      <c r="U749" s="5">
        <f>SUMPRODUCT(('01_Data'!$B749:$AW749&lt;&gt;"")*(1/(1+EXP(-(T749-'03_Lap_b'!$B$30:$AW$30)))))</f>
        <v/>
      </c>
      <c r="V749" s="5">
        <f>SUMPRODUCT(('01_Data'!$B749:$AW749&lt;&gt;"")*(1/(1+EXP(-(T749-'03_Lap_b'!$B$30:$AW$30))))^2)</f>
        <v/>
      </c>
      <c r="W749" s="5">
        <f>MEDIAN(-6,T749+(C749-U749)/MAX(U749-V749,0.000000001),6)</f>
        <v/>
      </c>
      <c r="X749" s="5">
        <f>SUMPRODUCT(('01_Data'!$B749:$AW749&lt;&gt;"")*(1/(1+EXP(-(W749-'03_Lap_b'!$B$35:$AW$35)))))</f>
        <v/>
      </c>
      <c r="Y749" s="5">
        <f>SUMPRODUCT(('01_Data'!$B749:$AW749&lt;&gt;"")*(1/(1+EXP(-(W749-'03_Lap_b'!$B$35:$AW$35))))^2)</f>
        <v/>
      </c>
      <c r="Z749" s="5">
        <f>MEDIAN(-6,W749+(C749-X749)/MAX(X749-Y749,0.000000001),6)</f>
        <v/>
      </c>
      <c r="AA749" s="5">
        <f>SUMPRODUCT(('01_Data'!$B749:$AW749&lt;&gt;"")*(1/(1+EXP(-(Z749-'03_Lap_b'!$B$40:$AW$40)))))</f>
        <v/>
      </c>
      <c r="AB749" s="5">
        <f>SUMPRODUCT(('01_Data'!$B749:$AW749&lt;&gt;"")*(1/(1+EXP(-(Z749-'03_Lap_b'!$B$40:$AW$40))))^2)</f>
        <v/>
      </c>
      <c r="AC749" s="5">
        <f>MEDIAN(-6,Z749+(C749-AA749)/MAX(AA749-AB749,0.000000001),6)</f>
        <v/>
      </c>
    </row>
    <row r="750">
      <c r="A750" t="n">
        <v>749</v>
      </c>
      <c r="B750">
        <f>'01_Data'!A750</f>
        <v/>
      </c>
      <c r="C750">
        <f>SUM('01_Data'!$B750:$AW750)</f>
        <v/>
      </c>
      <c r="D750">
        <f>COUNT('01_Data'!$B750:$AW750)</f>
        <v/>
      </c>
      <c r="E750" s="5">
        <f>MEDIAN(-6,LN((C750+0.3)/(D750-C750+0.3)),6)</f>
        <v/>
      </c>
      <c r="F750" s="5">
        <f>SUMPRODUCT(('01_Data'!$B750:$AW750&lt;&gt;"")*(1/(1+EXP(-(E750-'03_Lap_b'!$B$5:$AW$5)))))</f>
        <v/>
      </c>
      <c r="G750" s="5">
        <f>SUMPRODUCT(('01_Data'!$B750:$AW750&lt;&gt;"")*(1/(1+EXP(-(E750-'03_Lap_b'!$B$5:$AW$5))))^2)</f>
        <v/>
      </c>
      <c r="H750" s="5">
        <f>MEDIAN(-6,E750+(C750-F750)/MAX(F750-G750,0.000000001),6)</f>
        <v/>
      </c>
      <c r="I750" s="5">
        <f>SUMPRODUCT(('01_Data'!$B750:$AW750&lt;&gt;"")*(1/(1+EXP(-(H750-'03_Lap_b'!$B$10:$AW$10)))))</f>
        <v/>
      </c>
      <c r="J750" s="5">
        <f>SUMPRODUCT(('01_Data'!$B750:$AW750&lt;&gt;"")*(1/(1+EXP(-(H750-'03_Lap_b'!$B$10:$AW$10))))^2)</f>
        <v/>
      </c>
      <c r="K750" s="5">
        <f>MEDIAN(-6,H750+(C750-I750)/MAX(I750-J750,0.000000001),6)</f>
        <v/>
      </c>
      <c r="L750" s="5">
        <f>SUMPRODUCT(('01_Data'!$B750:$AW750&lt;&gt;"")*(1/(1+EXP(-(K750-'03_Lap_b'!$B$15:$AW$15)))))</f>
        <v/>
      </c>
      <c r="M750" s="5">
        <f>SUMPRODUCT(('01_Data'!$B750:$AW750&lt;&gt;"")*(1/(1+EXP(-(K750-'03_Lap_b'!$B$15:$AW$15))))^2)</f>
        <v/>
      </c>
      <c r="N750" s="5">
        <f>MEDIAN(-6,K750+(C750-L750)/MAX(L750-M750,0.000000001),6)</f>
        <v/>
      </c>
      <c r="O750" s="5">
        <f>SUMPRODUCT(('01_Data'!$B750:$AW750&lt;&gt;"")*(1/(1+EXP(-(N750-'03_Lap_b'!$B$20:$AW$20)))))</f>
        <v/>
      </c>
      <c r="P750" s="5">
        <f>SUMPRODUCT(('01_Data'!$B750:$AW750&lt;&gt;"")*(1/(1+EXP(-(N750-'03_Lap_b'!$B$20:$AW$20))))^2)</f>
        <v/>
      </c>
      <c r="Q750" s="5">
        <f>MEDIAN(-6,N750+(C750-O750)/MAX(O750-P750,0.000000001),6)</f>
        <v/>
      </c>
      <c r="R750" s="5">
        <f>SUMPRODUCT(('01_Data'!$B750:$AW750&lt;&gt;"")*(1/(1+EXP(-(Q750-'03_Lap_b'!$B$25:$AW$25)))))</f>
        <v/>
      </c>
      <c r="S750" s="5">
        <f>SUMPRODUCT(('01_Data'!$B750:$AW750&lt;&gt;"")*(1/(1+EXP(-(Q750-'03_Lap_b'!$B$25:$AW$25))))^2)</f>
        <v/>
      </c>
      <c r="T750" s="5">
        <f>MEDIAN(-6,Q750+(C750-R750)/MAX(R750-S750,0.000000001),6)</f>
        <v/>
      </c>
      <c r="U750" s="5">
        <f>SUMPRODUCT(('01_Data'!$B750:$AW750&lt;&gt;"")*(1/(1+EXP(-(T750-'03_Lap_b'!$B$30:$AW$30)))))</f>
        <v/>
      </c>
      <c r="V750" s="5">
        <f>SUMPRODUCT(('01_Data'!$B750:$AW750&lt;&gt;"")*(1/(1+EXP(-(T750-'03_Lap_b'!$B$30:$AW$30))))^2)</f>
        <v/>
      </c>
      <c r="W750" s="5">
        <f>MEDIAN(-6,T750+(C750-U750)/MAX(U750-V750,0.000000001),6)</f>
        <v/>
      </c>
      <c r="X750" s="5">
        <f>SUMPRODUCT(('01_Data'!$B750:$AW750&lt;&gt;"")*(1/(1+EXP(-(W750-'03_Lap_b'!$B$35:$AW$35)))))</f>
        <v/>
      </c>
      <c r="Y750" s="5">
        <f>SUMPRODUCT(('01_Data'!$B750:$AW750&lt;&gt;"")*(1/(1+EXP(-(W750-'03_Lap_b'!$B$35:$AW$35))))^2)</f>
        <v/>
      </c>
      <c r="Z750" s="5">
        <f>MEDIAN(-6,W750+(C750-X750)/MAX(X750-Y750,0.000000001),6)</f>
        <v/>
      </c>
      <c r="AA750" s="5">
        <f>SUMPRODUCT(('01_Data'!$B750:$AW750&lt;&gt;"")*(1/(1+EXP(-(Z750-'03_Lap_b'!$B$40:$AW$40)))))</f>
        <v/>
      </c>
      <c r="AB750" s="5">
        <f>SUMPRODUCT(('01_Data'!$B750:$AW750&lt;&gt;"")*(1/(1+EXP(-(Z750-'03_Lap_b'!$B$40:$AW$40))))^2)</f>
        <v/>
      </c>
      <c r="AC750" s="5">
        <f>MEDIAN(-6,Z750+(C750-AA750)/MAX(AA750-AB750,0.000000001),6)</f>
        <v/>
      </c>
    </row>
    <row r="751">
      <c r="A751" t="n">
        <v>750</v>
      </c>
      <c r="B751">
        <f>'01_Data'!A751</f>
        <v/>
      </c>
      <c r="C751">
        <f>SUM('01_Data'!$B751:$AW751)</f>
        <v/>
      </c>
      <c r="D751">
        <f>COUNT('01_Data'!$B751:$AW751)</f>
        <v/>
      </c>
      <c r="E751" s="5">
        <f>MEDIAN(-6,LN((C751+0.3)/(D751-C751+0.3)),6)</f>
        <v/>
      </c>
      <c r="F751" s="5">
        <f>SUMPRODUCT(('01_Data'!$B751:$AW751&lt;&gt;"")*(1/(1+EXP(-(E751-'03_Lap_b'!$B$5:$AW$5)))))</f>
        <v/>
      </c>
      <c r="G751" s="5">
        <f>SUMPRODUCT(('01_Data'!$B751:$AW751&lt;&gt;"")*(1/(1+EXP(-(E751-'03_Lap_b'!$B$5:$AW$5))))^2)</f>
        <v/>
      </c>
      <c r="H751" s="5">
        <f>MEDIAN(-6,E751+(C751-F751)/MAX(F751-G751,0.000000001),6)</f>
        <v/>
      </c>
      <c r="I751" s="5">
        <f>SUMPRODUCT(('01_Data'!$B751:$AW751&lt;&gt;"")*(1/(1+EXP(-(H751-'03_Lap_b'!$B$10:$AW$10)))))</f>
        <v/>
      </c>
      <c r="J751" s="5">
        <f>SUMPRODUCT(('01_Data'!$B751:$AW751&lt;&gt;"")*(1/(1+EXP(-(H751-'03_Lap_b'!$B$10:$AW$10))))^2)</f>
        <v/>
      </c>
      <c r="K751" s="5">
        <f>MEDIAN(-6,H751+(C751-I751)/MAX(I751-J751,0.000000001),6)</f>
        <v/>
      </c>
      <c r="L751" s="5">
        <f>SUMPRODUCT(('01_Data'!$B751:$AW751&lt;&gt;"")*(1/(1+EXP(-(K751-'03_Lap_b'!$B$15:$AW$15)))))</f>
        <v/>
      </c>
      <c r="M751" s="5">
        <f>SUMPRODUCT(('01_Data'!$B751:$AW751&lt;&gt;"")*(1/(1+EXP(-(K751-'03_Lap_b'!$B$15:$AW$15))))^2)</f>
        <v/>
      </c>
      <c r="N751" s="5">
        <f>MEDIAN(-6,K751+(C751-L751)/MAX(L751-M751,0.000000001),6)</f>
        <v/>
      </c>
      <c r="O751" s="5">
        <f>SUMPRODUCT(('01_Data'!$B751:$AW751&lt;&gt;"")*(1/(1+EXP(-(N751-'03_Lap_b'!$B$20:$AW$20)))))</f>
        <v/>
      </c>
      <c r="P751" s="5">
        <f>SUMPRODUCT(('01_Data'!$B751:$AW751&lt;&gt;"")*(1/(1+EXP(-(N751-'03_Lap_b'!$B$20:$AW$20))))^2)</f>
        <v/>
      </c>
      <c r="Q751" s="5">
        <f>MEDIAN(-6,N751+(C751-O751)/MAX(O751-P751,0.000000001),6)</f>
        <v/>
      </c>
      <c r="R751" s="5">
        <f>SUMPRODUCT(('01_Data'!$B751:$AW751&lt;&gt;"")*(1/(1+EXP(-(Q751-'03_Lap_b'!$B$25:$AW$25)))))</f>
        <v/>
      </c>
      <c r="S751" s="5">
        <f>SUMPRODUCT(('01_Data'!$B751:$AW751&lt;&gt;"")*(1/(1+EXP(-(Q751-'03_Lap_b'!$B$25:$AW$25))))^2)</f>
        <v/>
      </c>
      <c r="T751" s="5">
        <f>MEDIAN(-6,Q751+(C751-R751)/MAX(R751-S751,0.000000001),6)</f>
        <v/>
      </c>
      <c r="U751" s="5">
        <f>SUMPRODUCT(('01_Data'!$B751:$AW751&lt;&gt;"")*(1/(1+EXP(-(T751-'03_Lap_b'!$B$30:$AW$30)))))</f>
        <v/>
      </c>
      <c r="V751" s="5">
        <f>SUMPRODUCT(('01_Data'!$B751:$AW751&lt;&gt;"")*(1/(1+EXP(-(T751-'03_Lap_b'!$B$30:$AW$30))))^2)</f>
        <v/>
      </c>
      <c r="W751" s="5">
        <f>MEDIAN(-6,T751+(C751-U751)/MAX(U751-V751,0.000000001),6)</f>
        <v/>
      </c>
      <c r="X751" s="5">
        <f>SUMPRODUCT(('01_Data'!$B751:$AW751&lt;&gt;"")*(1/(1+EXP(-(W751-'03_Lap_b'!$B$35:$AW$35)))))</f>
        <v/>
      </c>
      <c r="Y751" s="5">
        <f>SUMPRODUCT(('01_Data'!$B751:$AW751&lt;&gt;"")*(1/(1+EXP(-(W751-'03_Lap_b'!$B$35:$AW$35))))^2)</f>
        <v/>
      </c>
      <c r="Z751" s="5">
        <f>MEDIAN(-6,W751+(C751-X751)/MAX(X751-Y751,0.000000001),6)</f>
        <v/>
      </c>
      <c r="AA751" s="5">
        <f>SUMPRODUCT(('01_Data'!$B751:$AW751&lt;&gt;"")*(1/(1+EXP(-(Z751-'03_Lap_b'!$B$40:$AW$40)))))</f>
        <v/>
      </c>
      <c r="AB751" s="5">
        <f>SUMPRODUCT(('01_Data'!$B751:$AW751&lt;&gt;"")*(1/(1+EXP(-(Z751-'03_Lap_b'!$B$40:$AW$40))))^2)</f>
        <v/>
      </c>
      <c r="AC751" s="5">
        <f>MEDIAN(-6,Z751+(C751-AA751)/MAX(AA751-AB751,0.000000001),6)</f>
        <v/>
      </c>
    </row>
    <row r="752">
      <c r="A752" t="n">
        <v>751</v>
      </c>
      <c r="B752">
        <f>'01_Data'!A752</f>
        <v/>
      </c>
      <c r="C752">
        <f>SUM('01_Data'!$B752:$AW752)</f>
        <v/>
      </c>
      <c r="D752">
        <f>COUNT('01_Data'!$B752:$AW752)</f>
        <v/>
      </c>
      <c r="E752" s="5">
        <f>MEDIAN(-6,LN((C752+0.3)/(D752-C752+0.3)),6)</f>
        <v/>
      </c>
      <c r="F752" s="5">
        <f>SUMPRODUCT(('01_Data'!$B752:$AW752&lt;&gt;"")*(1/(1+EXP(-(E752-'03_Lap_b'!$B$5:$AW$5)))))</f>
        <v/>
      </c>
      <c r="G752" s="5">
        <f>SUMPRODUCT(('01_Data'!$B752:$AW752&lt;&gt;"")*(1/(1+EXP(-(E752-'03_Lap_b'!$B$5:$AW$5))))^2)</f>
        <v/>
      </c>
      <c r="H752" s="5">
        <f>MEDIAN(-6,E752+(C752-F752)/MAX(F752-G752,0.000000001),6)</f>
        <v/>
      </c>
      <c r="I752" s="5">
        <f>SUMPRODUCT(('01_Data'!$B752:$AW752&lt;&gt;"")*(1/(1+EXP(-(H752-'03_Lap_b'!$B$10:$AW$10)))))</f>
        <v/>
      </c>
      <c r="J752" s="5">
        <f>SUMPRODUCT(('01_Data'!$B752:$AW752&lt;&gt;"")*(1/(1+EXP(-(H752-'03_Lap_b'!$B$10:$AW$10))))^2)</f>
        <v/>
      </c>
      <c r="K752" s="5">
        <f>MEDIAN(-6,H752+(C752-I752)/MAX(I752-J752,0.000000001),6)</f>
        <v/>
      </c>
      <c r="L752" s="5">
        <f>SUMPRODUCT(('01_Data'!$B752:$AW752&lt;&gt;"")*(1/(1+EXP(-(K752-'03_Lap_b'!$B$15:$AW$15)))))</f>
        <v/>
      </c>
      <c r="M752" s="5">
        <f>SUMPRODUCT(('01_Data'!$B752:$AW752&lt;&gt;"")*(1/(1+EXP(-(K752-'03_Lap_b'!$B$15:$AW$15))))^2)</f>
        <v/>
      </c>
      <c r="N752" s="5">
        <f>MEDIAN(-6,K752+(C752-L752)/MAX(L752-M752,0.000000001),6)</f>
        <v/>
      </c>
      <c r="O752" s="5">
        <f>SUMPRODUCT(('01_Data'!$B752:$AW752&lt;&gt;"")*(1/(1+EXP(-(N752-'03_Lap_b'!$B$20:$AW$20)))))</f>
        <v/>
      </c>
      <c r="P752" s="5">
        <f>SUMPRODUCT(('01_Data'!$B752:$AW752&lt;&gt;"")*(1/(1+EXP(-(N752-'03_Lap_b'!$B$20:$AW$20))))^2)</f>
        <v/>
      </c>
      <c r="Q752" s="5">
        <f>MEDIAN(-6,N752+(C752-O752)/MAX(O752-P752,0.000000001),6)</f>
        <v/>
      </c>
      <c r="R752" s="5">
        <f>SUMPRODUCT(('01_Data'!$B752:$AW752&lt;&gt;"")*(1/(1+EXP(-(Q752-'03_Lap_b'!$B$25:$AW$25)))))</f>
        <v/>
      </c>
      <c r="S752" s="5">
        <f>SUMPRODUCT(('01_Data'!$B752:$AW752&lt;&gt;"")*(1/(1+EXP(-(Q752-'03_Lap_b'!$B$25:$AW$25))))^2)</f>
        <v/>
      </c>
      <c r="T752" s="5">
        <f>MEDIAN(-6,Q752+(C752-R752)/MAX(R752-S752,0.000000001),6)</f>
        <v/>
      </c>
      <c r="U752" s="5">
        <f>SUMPRODUCT(('01_Data'!$B752:$AW752&lt;&gt;"")*(1/(1+EXP(-(T752-'03_Lap_b'!$B$30:$AW$30)))))</f>
        <v/>
      </c>
      <c r="V752" s="5">
        <f>SUMPRODUCT(('01_Data'!$B752:$AW752&lt;&gt;"")*(1/(1+EXP(-(T752-'03_Lap_b'!$B$30:$AW$30))))^2)</f>
        <v/>
      </c>
      <c r="W752" s="5">
        <f>MEDIAN(-6,T752+(C752-U752)/MAX(U752-V752,0.000000001),6)</f>
        <v/>
      </c>
      <c r="X752" s="5">
        <f>SUMPRODUCT(('01_Data'!$B752:$AW752&lt;&gt;"")*(1/(1+EXP(-(W752-'03_Lap_b'!$B$35:$AW$35)))))</f>
        <v/>
      </c>
      <c r="Y752" s="5">
        <f>SUMPRODUCT(('01_Data'!$B752:$AW752&lt;&gt;"")*(1/(1+EXP(-(W752-'03_Lap_b'!$B$35:$AW$35))))^2)</f>
        <v/>
      </c>
      <c r="Z752" s="5">
        <f>MEDIAN(-6,W752+(C752-X752)/MAX(X752-Y752,0.000000001),6)</f>
        <v/>
      </c>
      <c r="AA752" s="5">
        <f>SUMPRODUCT(('01_Data'!$B752:$AW752&lt;&gt;"")*(1/(1+EXP(-(Z752-'03_Lap_b'!$B$40:$AW$40)))))</f>
        <v/>
      </c>
      <c r="AB752" s="5">
        <f>SUMPRODUCT(('01_Data'!$B752:$AW752&lt;&gt;"")*(1/(1+EXP(-(Z752-'03_Lap_b'!$B$40:$AW$40))))^2)</f>
        <v/>
      </c>
      <c r="AC752" s="5">
        <f>MEDIAN(-6,Z752+(C752-AA752)/MAX(AA752-AB752,0.000000001),6)</f>
        <v/>
      </c>
    </row>
    <row r="753">
      <c r="A753" t="n">
        <v>752</v>
      </c>
      <c r="B753">
        <f>'01_Data'!A753</f>
        <v/>
      </c>
      <c r="C753">
        <f>SUM('01_Data'!$B753:$AW753)</f>
        <v/>
      </c>
      <c r="D753">
        <f>COUNT('01_Data'!$B753:$AW753)</f>
        <v/>
      </c>
      <c r="E753" s="5">
        <f>MEDIAN(-6,LN((C753+0.3)/(D753-C753+0.3)),6)</f>
        <v/>
      </c>
      <c r="F753" s="5">
        <f>SUMPRODUCT(('01_Data'!$B753:$AW753&lt;&gt;"")*(1/(1+EXP(-(E753-'03_Lap_b'!$B$5:$AW$5)))))</f>
        <v/>
      </c>
      <c r="G753" s="5">
        <f>SUMPRODUCT(('01_Data'!$B753:$AW753&lt;&gt;"")*(1/(1+EXP(-(E753-'03_Lap_b'!$B$5:$AW$5))))^2)</f>
        <v/>
      </c>
      <c r="H753" s="5">
        <f>MEDIAN(-6,E753+(C753-F753)/MAX(F753-G753,0.000000001),6)</f>
        <v/>
      </c>
      <c r="I753" s="5">
        <f>SUMPRODUCT(('01_Data'!$B753:$AW753&lt;&gt;"")*(1/(1+EXP(-(H753-'03_Lap_b'!$B$10:$AW$10)))))</f>
        <v/>
      </c>
      <c r="J753" s="5">
        <f>SUMPRODUCT(('01_Data'!$B753:$AW753&lt;&gt;"")*(1/(1+EXP(-(H753-'03_Lap_b'!$B$10:$AW$10))))^2)</f>
        <v/>
      </c>
      <c r="K753" s="5">
        <f>MEDIAN(-6,H753+(C753-I753)/MAX(I753-J753,0.000000001),6)</f>
        <v/>
      </c>
      <c r="L753" s="5">
        <f>SUMPRODUCT(('01_Data'!$B753:$AW753&lt;&gt;"")*(1/(1+EXP(-(K753-'03_Lap_b'!$B$15:$AW$15)))))</f>
        <v/>
      </c>
      <c r="M753" s="5">
        <f>SUMPRODUCT(('01_Data'!$B753:$AW753&lt;&gt;"")*(1/(1+EXP(-(K753-'03_Lap_b'!$B$15:$AW$15))))^2)</f>
        <v/>
      </c>
      <c r="N753" s="5">
        <f>MEDIAN(-6,K753+(C753-L753)/MAX(L753-M753,0.000000001),6)</f>
        <v/>
      </c>
      <c r="O753" s="5">
        <f>SUMPRODUCT(('01_Data'!$B753:$AW753&lt;&gt;"")*(1/(1+EXP(-(N753-'03_Lap_b'!$B$20:$AW$20)))))</f>
        <v/>
      </c>
      <c r="P753" s="5">
        <f>SUMPRODUCT(('01_Data'!$B753:$AW753&lt;&gt;"")*(1/(1+EXP(-(N753-'03_Lap_b'!$B$20:$AW$20))))^2)</f>
        <v/>
      </c>
      <c r="Q753" s="5">
        <f>MEDIAN(-6,N753+(C753-O753)/MAX(O753-P753,0.000000001),6)</f>
        <v/>
      </c>
      <c r="R753" s="5">
        <f>SUMPRODUCT(('01_Data'!$B753:$AW753&lt;&gt;"")*(1/(1+EXP(-(Q753-'03_Lap_b'!$B$25:$AW$25)))))</f>
        <v/>
      </c>
      <c r="S753" s="5">
        <f>SUMPRODUCT(('01_Data'!$B753:$AW753&lt;&gt;"")*(1/(1+EXP(-(Q753-'03_Lap_b'!$B$25:$AW$25))))^2)</f>
        <v/>
      </c>
      <c r="T753" s="5">
        <f>MEDIAN(-6,Q753+(C753-R753)/MAX(R753-S753,0.000000001),6)</f>
        <v/>
      </c>
      <c r="U753" s="5">
        <f>SUMPRODUCT(('01_Data'!$B753:$AW753&lt;&gt;"")*(1/(1+EXP(-(T753-'03_Lap_b'!$B$30:$AW$30)))))</f>
        <v/>
      </c>
      <c r="V753" s="5">
        <f>SUMPRODUCT(('01_Data'!$B753:$AW753&lt;&gt;"")*(1/(1+EXP(-(T753-'03_Lap_b'!$B$30:$AW$30))))^2)</f>
        <v/>
      </c>
      <c r="W753" s="5">
        <f>MEDIAN(-6,T753+(C753-U753)/MAX(U753-V753,0.000000001),6)</f>
        <v/>
      </c>
      <c r="X753" s="5">
        <f>SUMPRODUCT(('01_Data'!$B753:$AW753&lt;&gt;"")*(1/(1+EXP(-(W753-'03_Lap_b'!$B$35:$AW$35)))))</f>
        <v/>
      </c>
      <c r="Y753" s="5">
        <f>SUMPRODUCT(('01_Data'!$B753:$AW753&lt;&gt;"")*(1/(1+EXP(-(W753-'03_Lap_b'!$B$35:$AW$35))))^2)</f>
        <v/>
      </c>
      <c r="Z753" s="5">
        <f>MEDIAN(-6,W753+(C753-X753)/MAX(X753-Y753,0.000000001),6)</f>
        <v/>
      </c>
      <c r="AA753" s="5">
        <f>SUMPRODUCT(('01_Data'!$B753:$AW753&lt;&gt;"")*(1/(1+EXP(-(Z753-'03_Lap_b'!$B$40:$AW$40)))))</f>
        <v/>
      </c>
      <c r="AB753" s="5">
        <f>SUMPRODUCT(('01_Data'!$B753:$AW753&lt;&gt;"")*(1/(1+EXP(-(Z753-'03_Lap_b'!$B$40:$AW$40))))^2)</f>
        <v/>
      </c>
      <c r="AC753" s="5">
        <f>MEDIAN(-6,Z753+(C753-AA753)/MAX(AA753-AB753,0.000000001),6)</f>
        <v/>
      </c>
    </row>
    <row r="754">
      <c r="A754" t="n">
        <v>753</v>
      </c>
      <c r="B754">
        <f>'01_Data'!A754</f>
        <v/>
      </c>
      <c r="C754">
        <f>SUM('01_Data'!$B754:$AW754)</f>
        <v/>
      </c>
      <c r="D754">
        <f>COUNT('01_Data'!$B754:$AW754)</f>
        <v/>
      </c>
      <c r="E754" s="5">
        <f>MEDIAN(-6,LN((C754+0.3)/(D754-C754+0.3)),6)</f>
        <v/>
      </c>
      <c r="F754" s="5">
        <f>SUMPRODUCT(('01_Data'!$B754:$AW754&lt;&gt;"")*(1/(1+EXP(-(E754-'03_Lap_b'!$B$5:$AW$5)))))</f>
        <v/>
      </c>
      <c r="G754" s="5">
        <f>SUMPRODUCT(('01_Data'!$B754:$AW754&lt;&gt;"")*(1/(1+EXP(-(E754-'03_Lap_b'!$B$5:$AW$5))))^2)</f>
        <v/>
      </c>
      <c r="H754" s="5">
        <f>MEDIAN(-6,E754+(C754-F754)/MAX(F754-G754,0.000000001),6)</f>
        <v/>
      </c>
      <c r="I754" s="5">
        <f>SUMPRODUCT(('01_Data'!$B754:$AW754&lt;&gt;"")*(1/(1+EXP(-(H754-'03_Lap_b'!$B$10:$AW$10)))))</f>
        <v/>
      </c>
      <c r="J754" s="5">
        <f>SUMPRODUCT(('01_Data'!$B754:$AW754&lt;&gt;"")*(1/(1+EXP(-(H754-'03_Lap_b'!$B$10:$AW$10))))^2)</f>
        <v/>
      </c>
      <c r="K754" s="5">
        <f>MEDIAN(-6,H754+(C754-I754)/MAX(I754-J754,0.000000001),6)</f>
        <v/>
      </c>
      <c r="L754" s="5">
        <f>SUMPRODUCT(('01_Data'!$B754:$AW754&lt;&gt;"")*(1/(1+EXP(-(K754-'03_Lap_b'!$B$15:$AW$15)))))</f>
        <v/>
      </c>
      <c r="M754" s="5">
        <f>SUMPRODUCT(('01_Data'!$B754:$AW754&lt;&gt;"")*(1/(1+EXP(-(K754-'03_Lap_b'!$B$15:$AW$15))))^2)</f>
        <v/>
      </c>
      <c r="N754" s="5">
        <f>MEDIAN(-6,K754+(C754-L754)/MAX(L754-M754,0.000000001),6)</f>
        <v/>
      </c>
      <c r="O754" s="5">
        <f>SUMPRODUCT(('01_Data'!$B754:$AW754&lt;&gt;"")*(1/(1+EXP(-(N754-'03_Lap_b'!$B$20:$AW$20)))))</f>
        <v/>
      </c>
      <c r="P754" s="5">
        <f>SUMPRODUCT(('01_Data'!$B754:$AW754&lt;&gt;"")*(1/(1+EXP(-(N754-'03_Lap_b'!$B$20:$AW$20))))^2)</f>
        <v/>
      </c>
      <c r="Q754" s="5">
        <f>MEDIAN(-6,N754+(C754-O754)/MAX(O754-P754,0.000000001),6)</f>
        <v/>
      </c>
      <c r="R754" s="5">
        <f>SUMPRODUCT(('01_Data'!$B754:$AW754&lt;&gt;"")*(1/(1+EXP(-(Q754-'03_Lap_b'!$B$25:$AW$25)))))</f>
        <v/>
      </c>
      <c r="S754" s="5">
        <f>SUMPRODUCT(('01_Data'!$B754:$AW754&lt;&gt;"")*(1/(1+EXP(-(Q754-'03_Lap_b'!$B$25:$AW$25))))^2)</f>
        <v/>
      </c>
      <c r="T754" s="5">
        <f>MEDIAN(-6,Q754+(C754-R754)/MAX(R754-S754,0.000000001),6)</f>
        <v/>
      </c>
      <c r="U754" s="5">
        <f>SUMPRODUCT(('01_Data'!$B754:$AW754&lt;&gt;"")*(1/(1+EXP(-(T754-'03_Lap_b'!$B$30:$AW$30)))))</f>
        <v/>
      </c>
      <c r="V754" s="5">
        <f>SUMPRODUCT(('01_Data'!$B754:$AW754&lt;&gt;"")*(1/(1+EXP(-(T754-'03_Lap_b'!$B$30:$AW$30))))^2)</f>
        <v/>
      </c>
      <c r="W754" s="5">
        <f>MEDIAN(-6,T754+(C754-U754)/MAX(U754-V754,0.000000001),6)</f>
        <v/>
      </c>
      <c r="X754" s="5">
        <f>SUMPRODUCT(('01_Data'!$B754:$AW754&lt;&gt;"")*(1/(1+EXP(-(W754-'03_Lap_b'!$B$35:$AW$35)))))</f>
        <v/>
      </c>
      <c r="Y754" s="5">
        <f>SUMPRODUCT(('01_Data'!$B754:$AW754&lt;&gt;"")*(1/(1+EXP(-(W754-'03_Lap_b'!$B$35:$AW$35))))^2)</f>
        <v/>
      </c>
      <c r="Z754" s="5">
        <f>MEDIAN(-6,W754+(C754-X754)/MAX(X754-Y754,0.000000001),6)</f>
        <v/>
      </c>
      <c r="AA754" s="5">
        <f>SUMPRODUCT(('01_Data'!$B754:$AW754&lt;&gt;"")*(1/(1+EXP(-(Z754-'03_Lap_b'!$B$40:$AW$40)))))</f>
        <v/>
      </c>
      <c r="AB754" s="5">
        <f>SUMPRODUCT(('01_Data'!$B754:$AW754&lt;&gt;"")*(1/(1+EXP(-(Z754-'03_Lap_b'!$B$40:$AW$40))))^2)</f>
        <v/>
      </c>
      <c r="AC754" s="5">
        <f>MEDIAN(-6,Z754+(C754-AA754)/MAX(AA754-AB754,0.000000001),6)</f>
        <v/>
      </c>
    </row>
    <row r="755">
      <c r="A755" t="n">
        <v>754</v>
      </c>
      <c r="B755">
        <f>'01_Data'!A755</f>
        <v/>
      </c>
      <c r="C755">
        <f>SUM('01_Data'!$B755:$AW755)</f>
        <v/>
      </c>
      <c r="D755">
        <f>COUNT('01_Data'!$B755:$AW755)</f>
        <v/>
      </c>
      <c r="E755" s="5">
        <f>MEDIAN(-6,LN((C755+0.3)/(D755-C755+0.3)),6)</f>
        <v/>
      </c>
      <c r="F755" s="5">
        <f>SUMPRODUCT(('01_Data'!$B755:$AW755&lt;&gt;"")*(1/(1+EXP(-(E755-'03_Lap_b'!$B$5:$AW$5)))))</f>
        <v/>
      </c>
      <c r="G755" s="5">
        <f>SUMPRODUCT(('01_Data'!$B755:$AW755&lt;&gt;"")*(1/(1+EXP(-(E755-'03_Lap_b'!$B$5:$AW$5))))^2)</f>
        <v/>
      </c>
      <c r="H755" s="5">
        <f>MEDIAN(-6,E755+(C755-F755)/MAX(F755-G755,0.000000001),6)</f>
        <v/>
      </c>
      <c r="I755" s="5">
        <f>SUMPRODUCT(('01_Data'!$B755:$AW755&lt;&gt;"")*(1/(1+EXP(-(H755-'03_Lap_b'!$B$10:$AW$10)))))</f>
        <v/>
      </c>
      <c r="J755" s="5">
        <f>SUMPRODUCT(('01_Data'!$B755:$AW755&lt;&gt;"")*(1/(1+EXP(-(H755-'03_Lap_b'!$B$10:$AW$10))))^2)</f>
        <v/>
      </c>
      <c r="K755" s="5">
        <f>MEDIAN(-6,H755+(C755-I755)/MAX(I755-J755,0.000000001),6)</f>
        <v/>
      </c>
      <c r="L755" s="5">
        <f>SUMPRODUCT(('01_Data'!$B755:$AW755&lt;&gt;"")*(1/(1+EXP(-(K755-'03_Lap_b'!$B$15:$AW$15)))))</f>
        <v/>
      </c>
      <c r="M755" s="5">
        <f>SUMPRODUCT(('01_Data'!$B755:$AW755&lt;&gt;"")*(1/(1+EXP(-(K755-'03_Lap_b'!$B$15:$AW$15))))^2)</f>
        <v/>
      </c>
      <c r="N755" s="5">
        <f>MEDIAN(-6,K755+(C755-L755)/MAX(L755-M755,0.000000001),6)</f>
        <v/>
      </c>
      <c r="O755" s="5">
        <f>SUMPRODUCT(('01_Data'!$B755:$AW755&lt;&gt;"")*(1/(1+EXP(-(N755-'03_Lap_b'!$B$20:$AW$20)))))</f>
        <v/>
      </c>
      <c r="P755" s="5">
        <f>SUMPRODUCT(('01_Data'!$B755:$AW755&lt;&gt;"")*(1/(1+EXP(-(N755-'03_Lap_b'!$B$20:$AW$20))))^2)</f>
        <v/>
      </c>
      <c r="Q755" s="5">
        <f>MEDIAN(-6,N755+(C755-O755)/MAX(O755-P755,0.000000001),6)</f>
        <v/>
      </c>
      <c r="R755" s="5">
        <f>SUMPRODUCT(('01_Data'!$B755:$AW755&lt;&gt;"")*(1/(1+EXP(-(Q755-'03_Lap_b'!$B$25:$AW$25)))))</f>
        <v/>
      </c>
      <c r="S755" s="5">
        <f>SUMPRODUCT(('01_Data'!$B755:$AW755&lt;&gt;"")*(1/(1+EXP(-(Q755-'03_Lap_b'!$B$25:$AW$25))))^2)</f>
        <v/>
      </c>
      <c r="T755" s="5">
        <f>MEDIAN(-6,Q755+(C755-R755)/MAX(R755-S755,0.000000001),6)</f>
        <v/>
      </c>
      <c r="U755" s="5">
        <f>SUMPRODUCT(('01_Data'!$B755:$AW755&lt;&gt;"")*(1/(1+EXP(-(T755-'03_Lap_b'!$B$30:$AW$30)))))</f>
        <v/>
      </c>
      <c r="V755" s="5">
        <f>SUMPRODUCT(('01_Data'!$B755:$AW755&lt;&gt;"")*(1/(1+EXP(-(T755-'03_Lap_b'!$B$30:$AW$30))))^2)</f>
        <v/>
      </c>
      <c r="W755" s="5">
        <f>MEDIAN(-6,T755+(C755-U755)/MAX(U755-V755,0.000000001),6)</f>
        <v/>
      </c>
      <c r="X755" s="5">
        <f>SUMPRODUCT(('01_Data'!$B755:$AW755&lt;&gt;"")*(1/(1+EXP(-(W755-'03_Lap_b'!$B$35:$AW$35)))))</f>
        <v/>
      </c>
      <c r="Y755" s="5">
        <f>SUMPRODUCT(('01_Data'!$B755:$AW755&lt;&gt;"")*(1/(1+EXP(-(W755-'03_Lap_b'!$B$35:$AW$35))))^2)</f>
        <v/>
      </c>
      <c r="Z755" s="5">
        <f>MEDIAN(-6,W755+(C755-X755)/MAX(X755-Y755,0.000000001),6)</f>
        <v/>
      </c>
      <c r="AA755" s="5">
        <f>SUMPRODUCT(('01_Data'!$B755:$AW755&lt;&gt;"")*(1/(1+EXP(-(Z755-'03_Lap_b'!$B$40:$AW$40)))))</f>
        <v/>
      </c>
      <c r="AB755" s="5">
        <f>SUMPRODUCT(('01_Data'!$B755:$AW755&lt;&gt;"")*(1/(1+EXP(-(Z755-'03_Lap_b'!$B$40:$AW$40))))^2)</f>
        <v/>
      </c>
      <c r="AC755" s="5">
        <f>MEDIAN(-6,Z755+(C755-AA755)/MAX(AA755-AB755,0.000000001),6)</f>
        <v/>
      </c>
    </row>
    <row r="756">
      <c r="A756" t="n">
        <v>755</v>
      </c>
      <c r="B756">
        <f>'01_Data'!A756</f>
        <v/>
      </c>
      <c r="C756">
        <f>SUM('01_Data'!$B756:$AW756)</f>
        <v/>
      </c>
      <c r="D756">
        <f>COUNT('01_Data'!$B756:$AW756)</f>
        <v/>
      </c>
      <c r="E756" s="5">
        <f>MEDIAN(-6,LN((C756+0.3)/(D756-C756+0.3)),6)</f>
        <v/>
      </c>
      <c r="F756" s="5">
        <f>SUMPRODUCT(('01_Data'!$B756:$AW756&lt;&gt;"")*(1/(1+EXP(-(E756-'03_Lap_b'!$B$5:$AW$5)))))</f>
        <v/>
      </c>
      <c r="G756" s="5">
        <f>SUMPRODUCT(('01_Data'!$B756:$AW756&lt;&gt;"")*(1/(1+EXP(-(E756-'03_Lap_b'!$B$5:$AW$5))))^2)</f>
        <v/>
      </c>
      <c r="H756" s="5">
        <f>MEDIAN(-6,E756+(C756-F756)/MAX(F756-G756,0.000000001),6)</f>
        <v/>
      </c>
      <c r="I756" s="5">
        <f>SUMPRODUCT(('01_Data'!$B756:$AW756&lt;&gt;"")*(1/(1+EXP(-(H756-'03_Lap_b'!$B$10:$AW$10)))))</f>
        <v/>
      </c>
      <c r="J756" s="5">
        <f>SUMPRODUCT(('01_Data'!$B756:$AW756&lt;&gt;"")*(1/(1+EXP(-(H756-'03_Lap_b'!$B$10:$AW$10))))^2)</f>
        <v/>
      </c>
      <c r="K756" s="5">
        <f>MEDIAN(-6,H756+(C756-I756)/MAX(I756-J756,0.000000001),6)</f>
        <v/>
      </c>
      <c r="L756" s="5">
        <f>SUMPRODUCT(('01_Data'!$B756:$AW756&lt;&gt;"")*(1/(1+EXP(-(K756-'03_Lap_b'!$B$15:$AW$15)))))</f>
        <v/>
      </c>
      <c r="M756" s="5">
        <f>SUMPRODUCT(('01_Data'!$B756:$AW756&lt;&gt;"")*(1/(1+EXP(-(K756-'03_Lap_b'!$B$15:$AW$15))))^2)</f>
        <v/>
      </c>
      <c r="N756" s="5">
        <f>MEDIAN(-6,K756+(C756-L756)/MAX(L756-M756,0.000000001),6)</f>
        <v/>
      </c>
      <c r="O756" s="5">
        <f>SUMPRODUCT(('01_Data'!$B756:$AW756&lt;&gt;"")*(1/(1+EXP(-(N756-'03_Lap_b'!$B$20:$AW$20)))))</f>
        <v/>
      </c>
      <c r="P756" s="5">
        <f>SUMPRODUCT(('01_Data'!$B756:$AW756&lt;&gt;"")*(1/(1+EXP(-(N756-'03_Lap_b'!$B$20:$AW$20))))^2)</f>
        <v/>
      </c>
      <c r="Q756" s="5">
        <f>MEDIAN(-6,N756+(C756-O756)/MAX(O756-P756,0.000000001),6)</f>
        <v/>
      </c>
      <c r="R756" s="5">
        <f>SUMPRODUCT(('01_Data'!$B756:$AW756&lt;&gt;"")*(1/(1+EXP(-(Q756-'03_Lap_b'!$B$25:$AW$25)))))</f>
        <v/>
      </c>
      <c r="S756" s="5">
        <f>SUMPRODUCT(('01_Data'!$B756:$AW756&lt;&gt;"")*(1/(1+EXP(-(Q756-'03_Lap_b'!$B$25:$AW$25))))^2)</f>
        <v/>
      </c>
      <c r="T756" s="5">
        <f>MEDIAN(-6,Q756+(C756-R756)/MAX(R756-S756,0.000000001),6)</f>
        <v/>
      </c>
      <c r="U756" s="5">
        <f>SUMPRODUCT(('01_Data'!$B756:$AW756&lt;&gt;"")*(1/(1+EXP(-(T756-'03_Lap_b'!$B$30:$AW$30)))))</f>
        <v/>
      </c>
      <c r="V756" s="5">
        <f>SUMPRODUCT(('01_Data'!$B756:$AW756&lt;&gt;"")*(1/(1+EXP(-(T756-'03_Lap_b'!$B$30:$AW$30))))^2)</f>
        <v/>
      </c>
      <c r="W756" s="5">
        <f>MEDIAN(-6,T756+(C756-U756)/MAX(U756-V756,0.000000001),6)</f>
        <v/>
      </c>
      <c r="X756" s="5">
        <f>SUMPRODUCT(('01_Data'!$B756:$AW756&lt;&gt;"")*(1/(1+EXP(-(W756-'03_Lap_b'!$B$35:$AW$35)))))</f>
        <v/>
      </c>
      <c r="Y756" s="5">
        <f>SUMPRODUCT(('01_Data'!$B756:$AW756&lt;&gt;"")*(1/(1+EXP(-(W756-'03_Lap_b'!$B$35:$AW$35))))^2)</f>
        <v/>
      </c>
      <c r="Z756" s="5">
        <f>MEDIAN(-6,W756+(C756-X756)/MAX(X756-Y756,0.000000001),6)</f>
        <v/>
      </c>
      <c r="AA756" s="5">
        <f>SUMPRODUCT(('01_Data'!$B756:$AW756&lt;&gt;"")*(1/(1+EXP(-(Z756-'03_Lap_b'!$B$40:$AW$40)))))</f>
        <v/>
      </c>
      <c r="AB756" s="5">
        <f>SUMPRODUCT(('01_Data'!$B756:$AW756&lt;&gt;"")*(1/(1+EXP(-(Z756-'03_Lap_b'!$B$40:$AW$40))))^2)</f>
        <v/>
      </c>
      <c r="AC756" s="5">
        <f>MEDIAN(-6,Z756+(C756-AA756)/MAX(AA756-AB756,0.000000001),6)</f>
        <v/>
      </c>
    </row>
    <row r="757">
      <c r="A757" t="n">
        <v>756</v>
      </c>
      <c r="B757">
        <f>'01_Data'!A757</f>
        <v/>
      </c>
      <c r="C757">
        <f>SUM('01_Data'!$B757:$AW757)</f>
        <v/>
      </c>
      <c r="D757">
        <f>COUNT('01_Data'!$B757:$AW757)</f>
        <v/>
      </c>
      <c r="E757" s="5">
        <f>MEDIAN(-6,LN((C757+0.3)/(D757-C757+0.3)),6)</f>
        <v/>
      </c>
      <c r="F757" s="5">
        <f>SUMPRODUCT(('01_Data'!$B757:$AW757&lt;&gt;"")*(1/(1+EXP(-(E757-'03_Lap_b'!$B$5:$AW$5)))))</f>
        <v/>
      </c>
      <c r="G757" s="5">
        <f>SUMPRODUCT(('01_Data'!$B757:$AW757&lt;&gt;"")*(1/(1+EXP(-(E757-'03_Lap_b'!$B$5:$AW$5))))^2)</f>
        <v/>
      </c>
      <c r="H757" s="5">
        <f>MEDIAN(-6,E757+(C757-F757)/MAX(F757-G757,0.000000001),6)</f>
        <v/>
      </c>
      <c r="I757" s="5">
        <f>SUMPRODUCT(('01_Data'!$B757:$AW757&lt;&gt;"")*(1/(1+EXP(-(H757-'03_Lap_b'!$B$10:$AW$10)))))</f>
        <v/>
      </c>
      <c r="J757" s="5">
        <f>SUMPRODUCT(('01_Data'!$B757:$AW757&lt;&gt;"")*(1/(1+EXP(-(H757-'03_Lap_b'!$B$10:$AW$10))))^2)</f>
        <v/>
      </c>
      <c r="K757" s="5">
        <f>MEDIAN(-6,H757+(C757-I757)/MAX(I757-J757,0.000000001),6)</f>
        <v/>
      </c>
      <c r="L757" s="5">
        <f>SUMPRODUCT(('01_Data'!$B757:$AW757&lt;&gt;"")*(1/(1+EXP(-(K757-'03_Lap_b'!$B$15:$AW$15)))))</f>
        <v/>
      </c>
      <c r="M757" s="5">
        <f>SUMPRODUCT(('01_Data'!$B757:$AW757&lt;&gt;"")*(1/(1+EXP(-(K757-'03_Lap_b'!$B$15:$AW$15))))^2)</f>
        <v/>
      </c>
      <c r="N757" s="5">
        <f>MEDIAN(-6,K757+(C757-L757)/MAX(L757-M757,0.000000001),6)</f>
        <v/>
      </c>
      <c r="O757" s="5">
        <f>SUMPRODUCT(('01_Data'!$B757:$AW757&lt;&gt;"")*(1/(1+EXP(-(N757-'03_Lap_b'!$B$20:$AW$20)))))</f>
        <v/>
      </c>
      <c r="P757" s="5">
        <f>SUMPRODUCT(('01_Data'!$B757:$AW757&lt;&gt;"")*(1/(1+EXP(-(N757-'03_Lap_b'!$B$20:$AW$20))))^2)</f>
        <v/>
      </c>
      <c r="Q757" s="5">
        <f>MEDIAN(-6,N757+(C757-O757)/MAX(O757-P757,0.000000001),6)</f>
        <v/>
      </c>
      <c r="R757" s="5">
        <f>SUMPRODUCT(('01_Data'!$B757:$AW757&lt;&gt;"")*(1/(1+EXP(-(Q757-'03_Lap_b'!$B$25:$AW$25)))))</f>
        <v/>
      </c>
      <c r="S757" s="5">
        <f>SUMPRODUCT(('01_Data'!$B757:$AW757&lt;&gt;"")*(1/(1+EXP(-(Q757-'03_Lap_b'!$B$25:$AW$25))))^2)</f>
        <v/>
      </c>
      <c r="T757" s="5">
        <f>MEDIAN(-6,Q757+(C757-R757)/MAX(R757-S757,0.000000001),6)</f>
        <v/>
      </c>
      <c r="U757" s="5">
        <f>SUMPRODUCT(('01_Data'!$B757:$AW757&lt;&gt;"")*(1/(1+EXP(-(T757-'03_Lap_b'!$B$30:$AW$30)))))</f>
        <v/>
      </c>
      <c r="V757" s="5">
        <f>SUMPRODUCT(('01_Data'!$B757:$AW757&lt;&gt;"")*(1/(1+EXP(-(T757-'03_Lap_b'!$B$30:$AW$30))))^2)</f>
        <v/>
      </c>
      <c r="W757" s="5">
        <f>MEDIAN(-6,T757+(C757-U757)/MAX(U757-V757,0.000000001),6)</f>
        <v/>
      </c>
      <c r="X757" s="5">
        <f>SUMPRODUCT(('01_Data'!$B757:$AW757&lt;&gt;"")*(1/(1+EXP(-(W757-'03_Lap_b'!$B$35:$AW$35)))))</f>
        <v/>
      </c>
      <c r="Y757" s="5">
        <f>SUMPRODUCT(('01_Data'!$B757:$AW757&lt;&gt;"")*(1/(1+EXP(-(W757-'03_Lap_b'!$B$35:$AW$35))))^2)</f>
        <v/>
      </c>
      <c r="Z757" s="5">
        <f>MEDIAN(-6,W757+(C757-X757)/MAX(X757-Y757,0.000000001),6)</f>
        <v/>
      </c>
      <c r="AA757" s="5">
        <f>SUMPRODUCT(('01_Data'!$B757:$AW757&lt;&gt;"")*(1/(1+EXP(-(Z757-'03_Lap_b'!$B$40:$AW$40)))))</f>
        <v/>
      </c>
      <c r="AB757" s="5">
        <f>SUMPRODUCT(('01_Data'!$B757:$AW757&lt;&gt;"")*(1/(1+EXP(-(Z757-'03_Lap_b'!$B$40:$AW$40))))^2)</f>
        <v/>
      </c>
      <c r="AC757" s="5">
        <f>MEDIAN(-6,Z757+(C757-AA757)/MAX(AA757-AB757,0.000000001),6)</f>
        <v/>
      </c>
    </row>
    <row r="758">
      <c r="A758" t="n">
        <v>757</v>
      </c>
      <c r="B758">
        <f>'01_Data'!A758</f>
        <v/>
      </c>
      <c r="C758">
        <f>SUM('01_Data'!$B758:$AW758)</f>
        <v/>
      </c>
      <c r="D758">
        <f>COUNT('01_Data'!$B758:$AW758)</f>
        <v/>
      </c>
      <c r="E758" s="5">
        <f>MEDIAN(-6,LN((C758+0.3)/(D758-C758+0.3)),6)</f>
        <v/>
      </c>
      <c r="F758" s="5">
        <f>SUMPRODUCT(('01_Data'!$B758:$AW758&lt;&gt;"")*(1/(1+EXP(-(E758-'03_Lap_b'!$B$5:$AW$5)))))</f>
        <v/>
      </c>
      <c r="G758" s="5">
        <f>SUMPRODUCT(('01_Data'!$B758:$AW758&lt;&gt;"")*(1/(1+EXP(-(E758-'03_Lap_b'!$B$5:$AW$5))))^2)</f>
        <v/>
      </c>
      <c r="H758" s="5">
        <f>MEDIAN(-6,E758+(C758-F758)/MAX(F758-G758,0.000000001),6)</f>
        <v/>
      </c>
      <c r="I758" s="5">
        <f>SUMPRODUCT(('01_Data'!$B758:$AW758&lt;&gt;"")*(1/(1+EXP(-(H758-'03_Lap_b'!$B$10:$AW$10)))))</f>
        <v/>
      </c>
      <c r="J758" s="5">
        <f>SUMPRODUCT(('01_Data'!$B758:$AW758&lt;&gt;"")*(1/(1+EXP(-(H758-'03_Lap_b'!$B$10:$AW$10))))^2)</f>
        <v/>
      </c>
      <c r="K758" s="5">
        <f>MEDIAN(-6,H758+(C758-I758)/MAX(I758-J758,0.000000001),6)</f>
        <v/>
      </c>
      <c r="L758" s="5">
        <f>SUMPRODUCT(('01_Data'!$B758:$AW758&lt;&gt;"")*(1/(1+EXP(-(K758-'03_Lap_b'!$B$15:$AW$15)))))</f>
        <v/>
      </c>
      <c r="M758" s="5">
        <f>SUMPRODUCT(('01_Data'!$B758:$AW758&lt;&gt;"")*(1/(1+EXP(-(K758-'03_Lap_b'!$B$15:$AW$15))))^2)</f>
        <v/>
      </c>
      <c r="N758" s="5">
        <f>MEDIAN(-6,K758+(C758-L758)/MAX(L758-M758,0.000000001),6)</f>
        <v/>
      </c>
      <c r="O758" s="5">
        <f>SUMPRODUCT(('01_Data'!$B758:$AW758&lt;&gt;"")*(1/(1+EXP(-(N758-'03_Lap_b'!$B$20:$AW$20)))))</f>
        <v/>
      </c>
      <c r="P758" s="5">
        <f>SUMPRODUCT(('01_Data'!$B758:$AW758&lt;&gt;"")*(1/(1+EXP(-(N758-'03_Lap_b'!$B$20:$AW$20))))^2)</f>
        <v/>
      </c>
      <c r="Q758" s="5">
        <f>MEDIAN(-6,N758+(C758-O758)/MAX(O758-P758,0.000000001),6)</f>
        <v/>
      </c>
      <c r="R758" s="5">
        <f>SUMPRODUCT(('01_Data'!$B758:$AW758&lt;&gt;"")*(1/(1+EXP(-(Q758-'03_Lap_b'!$B$25:$AW$25)))))</f>
        <v/>
      </c>
      <c r="S758" s="5">
        <f>SUMPRODUCT(('01_Data'!$B758:$AW758&lt;&gt;"")*(1/(1+EXP(-(Q758-'03_Lap_b'!$B$25:$AW$25))))^2)</f>
        <v/>
      </c>
      <c r="T758" s="5">
        <f>MEDIAN(-6,Q758+(C758-R758)/MAX(R758-S758,0.000000001),6)</f>
        <v/>
      </c>
      <c r="U758" s="5">
        <f>SUMPRODUCT(('01_Data'!$B758:$AW758&lt;&gt;"")*(1/(1+EXP(-(T758-'03_Lap_b'!$B$30:$AW$30)))))</f>
        <v/>
      </c>
      <c r="V758" s="5">
        <f>SUMPRODUCT(('01_Data'!$B758:$AW758&lt;&gt;"")*(1/(1+EXP(-(T758-'03_Lap_b'!$B$30:$AW$30))))^2)</f>
        <v/>
      </c>
      <c r="W758" s="5">
        <f>MEDIAN(-6,T758+(C758-U758)/MAX(U758-V758,0.000000001),6)</f>
        <v/>
      </c>
      <c r="X758" s="5">
        <f>SUMPRODUCT(('01_Data'!$B758:$AW758&lt;&gt;"")*(1/(1+EXP(-(W758-'03_Lap_b'!$B$35:$AW$35)))))</f>
        <v/>
      </c>
      <c r="Y758" s="5">
        <f>SUMPRODUCT(('01_Data'!$B758:$AW758&lt;&gt;"")*(1/(1+EXP(-(W758-'03_Lap_b'!$B$35:$AW$35))))^2)</f>
        <v/>
      </c>
      <c r="Z758" s="5">
        <f>MEDIAN(-6,W758+(C758-X758)/MAX(X758-Y758,0.000000001),6)</f>
        <v/>
      </c>
      <c r="AA758" s="5">
        <f>SUMPRODUCT(('01_Data'!$B758:$AW758&lt;&gt;"")*(1/(1+EXP(-(Z758-'03_Lap_b'!$B$40:$AW$40)))))</f>
        <v/>
      </c>
      <c r="AB758" s="5">
        <f>SUMPRODUCT(('01_Data'!$B758:$AW758&lt;&gt;"")*(1/(1+EXP(-(Z758-'03_Lap_b'!$B$40:$AW$40))))^2)</f>
        <v/>
      </c>
      <c r="AC758" s="5">
        <f>MEDIAN(-6,Z758+(C758-AA758)/MAX(AA758-AB758,0.000000001),6)</f>
        <v/>
      </c>
    </row>
    <row r="759">
      <c r="A759" t="n">
        <v>758</v>
      </c>
      <c r="B759">
        <f>'01_Data'!A759</f>
        <v/>
      </c>
      <c r="C759">
        <f>SUM('01_Data'!$B759:$AW759)</f>
        <v/>
      </c>
      <c r="D759">
        <f>COUNT('01_Data'!$B759:$AW759)</f>
        <v/>
      </c>
      <c r="E759" s="5">
        <f>MEDIAN(-6,LN((C759+0.3)/(D759-C759+0.3)),6)</f>
        <v/>
      </c>
      <c r="F759" s="5">
        <f>SUMPRODUCT(('01_Data'!$B759:$AW759&lt;&gt;"")*(1/(1+EXP(-(E759-'03_Lap_b'!$B$5:$AW$5)))))</f>
        <v/>
      </c>
      <c r="G759" s="5">
        <f>SUMPRODUCT(('01_Data'!$B759:$AW759&lt;&gt;"")*(1/(1+EXP(-(E759-'03_Lap_b'!$B$5:$AW$5))))^2)</f>
        <v/>
      </c>
      <c r="H759" s="5">
        <f>MEDIAN(-6,E759+(C759-F759)/MAX(F759-G759,0.000000001),6)</f>
        <v/>
      </c>
      <c r="I759" s="5">
        <f>SUMPRODUCT(('01_Data'!$B759:$AW759&lt;&gt;"")*(1/(1+EXP(-(H759-'03_Lap_b'!$B$10:$AW$10)))))</f>
        <v/>
      </c>
      <c r="J759" s="5">
        <f>SUMPRODUCT(('01_Data'!$B759:$AW759&lt;&gt;"")*(1/(1+EXP(-(H759-'03_Lap_b'!$B$10:$AW$10))))^2)</f>
        <v/>
      </c>
      <c r="K759" s="5">
        <f>MEDIAN(-6,H759+(C759-I759)/MAX(I759-J759,0.000000001),6)</f>
        <v/>
      </c>
      <c r="L759" s="5">
        <f>SUMPRODUCT(('01_Data'!$B759:$AW759&lt;&gt;"")*(1/(1+EXP(-(K759-'03_Lap_b'!$B$15:$AW$15)))))</f>
        <v/>
      </c>
      <c r="M759" s="5">
        <f>SUMPRODUCT(('01_Data'!$B759:$AW759&lt;&gt;"")*(1/(1+EXP(-(K759-'03_Lap_b'!$B$15:$AW$15))))^2)</f>
        <v/>
      </c>
      <c r="N759" s="5">
        <f>MEDIAN(-6,K759+(C759-L759)/MAX(L759-M759,0.000000001),6)</f>
        <v/>
      </c>
      <c r="O759" s="5">
        <f>SUMPRODUCT(('01_Data'!$B759:$AW759&lt;&gt;"")*(1/(1+EXP(-(N759-'03_Lap_b'!$B$20:$AW$20)))))</f>
        <v/>
      </c>
      <c r="P759" s="5">
        <f>SUMPRODUCT(('01_Data'!$B759:$AW759&lt;&gt;"")*(1/(1+EXP(-(N759-'03_Lap_b'!$B$20:$AW$20))))^2)</f>
        <v/>
      </c>
      <c r="Q759" s="5">
        <f>MEDIAN(-6,N759+(C759-O759)/MAX(O759-P759,0.000000001),6)</f>
        <v/>
      </c>
      <c r="R759" s="5">
        <f>SUMPRODUCT(('01_Data'!$B759:$AW759&lt;&gt;"")*(1/(1+EXP(-(Q759-'03_Lap_b'!$B$25:$AW$25)))))</f>
        <v/>
      </c>
      <c r="S759" s="5">
        <f>SUMPRODUCT(('01_Data'!$B759:$AW759&lt;&gt;"")*(1/(1+EXP(-(Q759-'03_Lap_b'!$B$25:$AW$25))))^2)</f>
        <v/>
      </c>
      <c r="T759" s="5">
        <f>MEDIAN(-6,Q759+(C759-R759)/MAX(R759-S759,0.000000001),6)</f>
        <v/>
      </c>
      <c r="U759" s="5">
        <f>SUMPRODUCT(('01_Data'!$B759:$AW759&lt;&gt;"")*(1/(1+EXP(-(T759-'03_Lap_b'!$B$30:$AW$30)))))</f>
        <v/>
      </c>
      <c r="V759" s="5">
        <f>SUMPRODUCT(('01_Data'!$B759:$AW759&lt;&gt;"")*(1/(1+EXP(-(T759-'03_Lap_b'!$B$30:$AW$30))))^2)</f>
        <v/>
      </c>
      <c r="W759" s="5">
        <f>MEDIAN(-6,T759+(C759-U759)/MAX(U759-V759,0.000000001),6)</f>
        <v/>
      </c>
      <c r="X759" s="5">
        <f>SUMPRODUCT(('01_Data'!$B759:$AW759&lt;&gt;"")*(1/(1+EXP(-(W759-'03_Lap_b'!$B$35:$AW$35)))))</f>
        <v/>
      </c>
      <c r="Y759" s="5">
        <f>SUMPRODUCT(('01_Data'!$B759:$AW759&lt;&gt;"")*(1/(1+EXP(-(W759-'03_Lap_b'!$B$35:$AW$35))))^2)</f>
        <v/>
      </c>
      <c r="Z759" s="5">
        <f>MEDIAN(-6,W759+(C759-X759)/MAX(X759-Y759,0.000000001),6)</f>
        <v/>
      </c>
      <c r="AA759" s="5">
        <f>SUMPRODUCT(('01_Data'!$B759:$AW759&lt;&gt;"")*(1/(1+EXP(-(Z759-'03_Lap_b'!$B$40:$AW$40)))))</f>
        <v/>
      </c>
      <c r="AB759" s="5">
        <f>SUMPRODUCT(('01_Data'!$B759:$AW759&lt;&gt;"")*(1/(1+EXP(-(Z759-'03_Lap_b'!$B$40:$AW$40))))^2)</f>
        <v/>
      </c>
      <c r="AC759" s="5">
        <f>MEDIAN(-6,Z759+(C759-AA759)/MAX(AA759-AB759,0.000000001),6)</f>
        <v/>
      </c>
    </row>
    <row r="760">
      <c r="A760" t="n">
        <v>759</v>
      </c>
      <c r="B760">
        <f>'01_Data'!A760</f>
        <v/>
      </c>
      <c r="C760">
        <f>SUM('01_Data'!$B760:$AW760)</f>
        <v/>
      </c>
      <c r="D760">
        <f>COUNT('01_Data'!$B760:$AW760)</f>
        <v/>
      </c>
      <c r="E760" s="5">
        <f>MEDIAN(-6,LN((C760+0.3)/(D760-C760+0.3)),6)</f>
        <v/>
      </c>
      <c r="F760" s="5">
        <f>SUMPRODUCT(('01_Data'!$B760:$AW760&lt;&gt;"")*(1/(1+EXP(-(E760-'03_Lap_b'!$B$5:$AW$5)))))</f>
        <v/>
      </c>
      <c r="G760" s="5">
        <f>SUMPRODUCT(('01_Data'!$B760:$AW760&lt;&gt;"")*(1/(1+EXP(-(E760-'03_Lap_b'!$B$5:$AW$5))))^2)</f>
        <v/>
      </c>
      <c r="H760" s="5">
        <f>MEDIAN(-6,E760+(C760-F760)/MAX(F760-G760,0.000000001),6)</f>
        <v/>
      </c>
      <c r="I760" s="5">
        <f>SUMPRODUCT(('01_Data'!$B760:$AW760&lt;&gt;"")*(1/(1+EXP(-(H760-'03_Lap_b'!$B$10:$AW$10)))))</f>
        <v/>
      </c>
      <c r="J760" s="5">
        <f>SUMPRODUCT(('01_Data'!$B760:$AW760&lt;&gt;"")*(1/(1+EXP(-(H760-'03_Lap_b'!$B$10:$AW$10))))^2)</f>
        <v/>
      </c>
      <c r="K760" s="5">
        <f>MEDIAN(-6,H760+(C760-I760)/MAX(I760-J760,0.000000001),6)</f>
        <v/>
      </c>
      <c r="L760" s="5">
        <f>SUMPRODUCT(('01_Data'!$B760:$AW760&lt;&gt;"")*(1/(1+EXP(-(K760-'03_Lap_b'!$B$15:$AW$15)))))</f>
        <v/>
      </c>
      <c r="M760" s="5">
        <f>SUMPRODUCT(('01_Data'!$B760:$AW760&lt;&gt;"")*(1/(1+EXP(-(K760-'03_Lap_b'!$B$15:$AW$15))))^2)</f>
        <v/>
      </c>
      <c r="N760" s="5">
        <f>MEDIAN(-6,K760+(C760-L760)/MAX(L760-M760,0.000000001),6)</f>
        <v/>
      </c>
      <c r="O760" s="5">
        <f>SUMPRODUCT(('01_Data'!$B760:$AW760&lt;&gt;"")*(1/(1+EXP(-(N760-'03_Lap_b'!$B$20:$AW$20)))))</f>
        <v/>
      </c>
      <c r="P760" s="5">
        <f>SUMPRODUCT(('01_Data'!$B760:$AW760&lt;&gt;"")*(1/(1+EXP(-(N760-'03_Lap_b'!$B$20:$AW$20))))^2)</f>
        <v/>
      </c>
      <c r="Q760" s="5">
        <f>MEDIAN(-6,N760+(C760-O760)/MAX(O760-P760,0.000000001),6)</f>
        <v/>
      </c>
      <c r="R760" s="5">
        <f>SUMPRODUCT(('01_Data'!$B760:$AW760&lt;&gt;"")*(1/(1+EXP(-(Q760-'03_Lap_b'!$B$25:$AW$25)))))</f>
        <v/>
      </c>
      <c r="S760" s="5">
        <f>SUMPRODUCT(('01_Data'!$B760:$AW760&lt;&gt;"")*(1/(1+EXP(-(Q760-'03_Lap_b'!$B$25:$AW$25))))^2)</f>
        <v/>
      </c>
      <c r="T760" s="5">
        <f>MEDIAN(-6,Q760+(C760-R760)/MAX(R760-S760,0.000000001),6)</f>
        <v/>
      </c>
      <c r="U760" s="5">
        <f>SUMPRODUCT(('01_Data'!$B760:$AW760&lt;&gt;"")*(1/(1+EXP(-(T760-'03_Lap_b'!$B$30:$AW$30)))))</f>
        <v/>
      </c>
      <c r="V760" s="5">
        <f>SUMPRODUCT(('01_Data'!$B760:$AW760&lt;&gt;"")*(1/(1+EXP(-(T760-'03_Lap_b'!$B$30:$AW$30))))^2)</f>
        <v/>
      </c>
      <c r="W760" s="5">
        <f>MEDIAN(-6,T760+(C760-U760)/MAX(U760-V760,0.000000001),6)</f>
        <v/>
      </c>
      <c r="X760" s="5">
        <f>SUMPRODUCT(('01_Data'!$B760:$AW760&lt;&gt;"")*(1/(1+EXP(-(W760-'03_Lap_b'!$B$35:$AW$35)))))</f>
        <v/>
      </c>
      <c r="Y760" s="5">
        <f>SUMPRODUCT(('01_Data'!$B760:$AW760&lt;&gt;"")*(1/(1+EXP(-(W760-'03_Lap_b'!$B$35:$AW$35))))^2)</f>
        <v/>
      </c>
      <c r="Z760" s="5">
        <f>MEDIAN(-6,W760+(C760-X760)/MAX(X760-Y760,0.000000001),6)</f>
        <v/>
      </c>
      <c r="AA760" s="5">
        <f>SUMPRODUCT(('01_Data'!$B760:$AW760&lt;&gt;"")*(1/(1+EXP(-(Z760-'03_Lap_b'!$B$40:$AW$40)))))</f>
        <v/>
      </c>
      <c r="AB760" s="5">
        <f>SUMPRODUCT(('01_Data'!$B760:$AW760&lt;&gt;"")*(1/(1+EXP(-(Z760-'03_Lap_b'!$B$40:$AW$40))))^2)</f>
        <v/>
      </c>
      <c r="AC760" s="5">
        <f>MEDIAN(-6,Z760+(C760-AA760)/MAX(AA760-AB760,0.000000001),6)</f>
        <v/>
      </c>
    </row>
    <row r="761">
      <c r="A761" t="n">
        <v>760</v>
      </c>
      <c r="B761">
        <f>'01_Data'!A761</f>
        <v/>
      </c>
      <c r="C761">
        <f>SUM('01_Data'!$B761:$AW761)</f>
        <v/>
      </c>
      <c r="D761">
        <f>COUNT('01_Data'!$B761:$AW761)</f>
        <v/>
      </c>
      <c r="E761" s="5">
        <f>MEDIAN(-6,LN((C761+0.3)/(D761-C761+0.3)),6)</f>
        <v/>
      </c>
      <c r="F761" s="5">
        <f>SUMPRODUCT(('01_Data'!$B761:$AW761&lt;&gt;"")*(1/(1+EXP(-(E761-'03_Lap_b'!$B$5:$AW$5)))))</f>
        <v/>
      </c>
      <c r="G761" s="5">
        <f>SUMPRODUCT(('01_Data'!$B761:$AW761&lt;&gt;"")*(1/(1+EXP(-(E761-'03_Lap_b'!$B$5:$AW$5))))^2)</f>
        <v/>
      </c>
      <c r="H761" s="5">
        <f>MEDIAN(-6,E761+(C761-F761)/MAX(F761-G761,0.000000001),6)</f>
        <v/>
      </c>
      <c r="I761" s="5">
        <f>SUMPRODUCT(('01_Data'!$B761:$AW761&lt;&gt;"")*(1/(1+EXP(-(H761-'03_Lap_b'!$B$10:$AW$10)))))</f>
        <v/>
      </c>
      <c r="J761" s="5">
        <f>SUMPRODUCT(('01_Data'!$B761:$AW761&lt;&gt;"")*(1/(1+EXP(-(H761-'03_Lap_b'!$B$10:$AW$10))))^2)</f>
        <v/>
      </c>
      <c r="K761" s="5">
        <f>MEDIAN(-6,H761+(C761-I761)/MAX(I761-J761,0.000000001),6)</f>
        <v/>
      </c>
      <c r="L761" s="5">
        <f>SUMPRODUCT(('01_Data'!$B761:$AW761&lt;&gt;"")*(1/(1+EXP(-(K761-'03_Lap_b'!$B$15:$AW$15)))))</f>
        <v/>
      </c>
      <c r="M761" s="5">
        <f>SUMPRODUCT(('01_Data'!$B761:$AW761&lt;&gt;"")*(1/(1+EXP(-(K761-'03_Lap_b'!$B$15:$AW$15))))^2)</f>
        <v/>
      </c>
      <c r="N761" s="5">
        <f>MEDIAN(-6,K761+(C761-L761)/MAX(L761-M761,0.000000001),6)</f>
        <v/>
      </c>
      <c r="O761" s="5">
        <f>SUMPRODUCT(('01_Data'!$B761:$AW761&lt;&gt;"")*(1/(1+EXP(-(N761-'03_Lap_b'!$B$20:$AW$20)))))</f>
        <v/>
      </c>
      <c r="P761" s="5">
        <f>SUMPRODUCT(('01_Data'!$B761:$AW761&lt;&gt;"")*(1/(1+EXP(-(N761-'03_Lap_b'!$B$20:$AW$20))))^2)</f>
        <v/>
      </c>
      <c r="Q761" s="5">
        <f>MEDIAN(-6,N761+(C761-O761)/MAX(O761-P761,0.000000001),6)</f>
        <v/>
      </c>
      <c r="R761" s="5">
        <f>SUMPRODUCT(('01_Data'!$B761:$AW761&lt;&gt;"")*(1/(1+EXP(-(Q761-'03_Lap_b'!$B$25:$AW$25)))))</f>
        <v/>
      </c>
      <c r="S761" s="5">
        <f>SUMPRODUCT(('01_Data'!$B761:$AW761&lt;&gt;"")*(1/(1+EXP(-(Q761-'03_Lap_b'!$B$25:$AW$25))))^2)</f>
        <v/>
      </c>
      <c r="T761" s="5">
        <f>MEDIAN(-6,Q761+(C761-R761)/MAX(R761-S761,0.000000001),6)</f>
        <v/>
      </c>
      <c r="U761" s="5">
        <f>SUMPRODUCT(('01_Data'!$B761:$AW761&lt;&gt;"")*(1/(1+EXP(-(T761-'03_Lap_b'!$B$30:$AW$30)))))</f>
        <v/>
      </c>
      <c r="V761" s="5">
        <f>SUMPRODUCT(('01_Data'!$B761:$AW761&lt;&gt;"")*(1/(1+EXP(-(T761-'03_Lap_b'!$B$30:$AW$30))))^2)</f>
        <v/>
      </c>
      <c r="W761" s="5">
        <f>MEDIAN(-6,T761+(C761-U761)/MAX(U761-V761,0.000000001),6)</f>
        <v/>
      </c>
      <c r="X761" s="5">
        <f>SUMPRODUCT(('01_Data'!$B761:$AW761&lt;&gt;"")*(1/(1+EXP(-(W761-'03_Lap_b'!$B$35:$AW$35)))))</f>
        <v/>
      </c>
      <c r="Y761" s="5">
        <f>SUMPRODUCT(('01_Data'!$B761:$AW761&lt;&gt;"")*(1/(1+EXP(-(W761-'03_Lap_b'!$B$35:$AW$35))))^2)</f>
        <v/>
      </c>
      <c r="Z761" s="5">
        <f>MEDIAN(-6,W761+(C761-X761)/MAX(X761-Y761,0.000000001),6)</f>
        <v/>
      </c>
      <c r="AA761" s="5">
        <f>SUMPRODUCT(('01_Data'!$B761:$AW761&lt;&gt;"")*(1/(1+EXP(-(Z761-'03_Lap_b'!$B$40:$AW$40)))))</f>
        <v/>
      </c>
      <c r="AB761" s="5">
        <f>SUMPRODUCT(('01_Data'!$B761:$AW761&lt;&gt;"")*(1/(1+EXP(-(Z761-'03_Lap_b'!$B$40:$AW$40))))^2)</f>
        <v/>
      </c>
      <c r="AC761" s="5">
        <f>MEDIAN(-6,Z761+(C761-AA761)/MAX(AA761-AB761,0.000000001),6)</f>
        <v/>
      </c>
    </row>
    <row r="762">
      <c r="A762" t="n">
        <v>761</v>
      </c>
      <c r="B762">
        <f>'01_Data'!A762</f>
        <v/>
      </c>
      <c r="C762">
        <f>SUM('01_Data'!$B762:$AW762)</f>
        <v/>
      </c>
      <c r="D762">
        <f>COUNT('01_Data'!$B762:$AW762)</f>
        <v/>
      </c>
      <c r="E762" s="5">
        <f>MEDIAN(-6,LN((C762+0.3)/(D762-C762+0.3)),6)</f>
        <v/>
      </c>
      <c r="F762" s="5">
        <f>SUMPRODUCT(('01_Data'!$B762:$AW762&lt;&gt;"")*(1/(1+EXP(-(E762-'03_Lap_b'!$B$5:$AW$5)))))</f>
        <v/>
      </c>
      <c r="G762" s="5">
        <f>SUMPRODUCT(('01_Data'!$B762:$AW762&lt;&gt;"")*(1/(1+EXP(-(E762-'03_Lap_b'!$B$5:$AW$5))))^2)</f>
        <v/>
      </c>
      <c r="H762" s="5">
        <f>MEDIAN(-6,E762+(C762-F762)/MAX(F762-G762,0.000000001),6)</f>
        <v/>
      </c>
      <c r="I762" s="5">
        <f>SUMPRODUCT(('01_Data'!$B762:$AW762&lt;&gt;"")*(1/(1+EXP(-(H762-'03_Lap_b'!$B$10:$AW$10)))))</f>
        <v/>
      </c>
      <c r="J762" s="5">
        <f>SUMPRODUCT(('01_Data'!$B762:$AW762&lt;&gt;"")*(1/(1+EXP(-(H762-'03_Lap_b'!$B$10:$AW$10))))^2)</f>
        <v/>
      </c>
      <c r="K762" s="5">
        <f>MEDIAN(-6,H762+(C762-I762)/MAX(I762-J762,0.000000001),6)</f>
        <v/>
      </c>
      <c r="L762" s="5">
        <f>SUMPRODUCT(('01_Data'!$B762:$AW762&lt;&gt;"")*(1/(1+EXP(-(K762-'03_Lap_b'!$B$15:$AW$15)))))</f>
        <v/>
      </c>
      <c r="M762" s="5">
        <f>SUMPRODUCT(('01_Data'!$B762:$AW762&lt;&gt;"")*(1/(1+EXP(-(K762-'03_Lap_b'!$B$15:$AW$15))))^2)</f>
        <v/>
      </c>
      <c r="N762" s="5">
        <f>MEDIAN(-6,K762+(C762-L762)/MAX(L762-M762,0.000000001),6)</f>
        <v/>
      </c>
      <c r="O762" s="5">
        <f>SUMPRODUCT(('01_Data'!$B762:$AW762&lt;&gt;"")*(1/(1+EXP(-(N762-'03_Lap_b'!$B$20:$AW$20)))))</f>
        <v/>
      </c>
      <c r="P762" s="5">
        <f>SUMPRODUCT(('01_Data'!$B762:$AW762&lt;&gt;"")*(1/(1+EXP(-(N762-'03_Lap_b'!$B$20:$AW$20))))^2)</f>
        <v/>
      </c>
      <c r="Q762" s="5">
        <f>MEDIAN(-6,N762+(C762-O762)/MAX(O762-P762,0.000000001),6)</f>
        <v/>
      </c>
      <c r="R762" s="5">
        <f>SUMPRODUCT(('01_Data'!$B762:$AW762&lt;&gt;"")*(1/(1+EXP(-(Q762-'03_Lap_b'!$B$25:$AW$25)))))</f>
        <v/>
      </c>
      <c r="S762" s="5">
        <f>SUMPRODUCT(('01_Data'!$B762:$AW762&lt;&gt;"")*(1/(1+EXP(-(Q762-'03_Lap_b'!$B$25:$AW$25))))^2)</f>
        <v/>
      </c>
      <c r="T762" s="5">
        <f>MEDIAN(-6,Q762+(C762-R762)/MAX(R762-S762,0.000000001),6)</f>
        <v/>
      </c>
      <c r="U762" s="5">
        <f>SUMPRODUCT(('01_Data'!$B762:$AW762&lt;&gt;"")*(1/(1+EXP(-(T762-'03_Lap_b'!$B$30:$AW$30)))))</f>
        <v/>
      </c>
      <c r="V762" s="5">
        <f>SUMPRODUCT(('01_Data'!$B762:$AW762&lt;&gt;"")*(1/(1+EXP(-(T762-'03_Lap_b'!$B$30:$AW$30))))^2)</f>
        <v/>
      </c>
      <c r="W762" s="5">
        <f>MEDIAN(-6,T762+(C762-U762)/MAX(U762-V762,0.000000001),6)</f>
        <v/>
      </c>
      <c r="X762" s="5">
        <f>SUMPRODUCT(('01_Data'!$B762:$AW762&lt;&gt;"")*(1/(1+EXP(-(W762-'03_Lap_b'!$B$35:$AW$35)))))</f>
        <v/>
      </c>
      <c r="Y762" s="5">
        <f>SUMPRODUCT(('01_Data'!$B762:$AW762&lt;&gt;"")*(1/(1+EXP(-(W762-'03_Lap_b'!$B$35:$AW$35))))^2)</f>
        <v/>
      </c>
      <c r="Z762" s="5">
        <f>MEDIAN(-6,W762+(C762-X762)/MAX(X762-Y762,0.000000001),6)</f>
        <v/>
      </c>
      <c r="AA762" s="5">
        <f>SUMPRODUCT(('01_Data'!$B762:$AW762&lt;&gt;"")*(1/(1+EXP(-(Z762-'03_Lap_b'!$B$40:$AW$40)))))</f>
        <v/>
      </c>
      <c r="AB762" s="5">
        <f>SUMPRODUCT(('01_Data'!$B762:$AW762&lt;&gt;"")*(1/(1+EXP(-(Z762-'03_Lap_b'!$B$40:$AW$40))))^2)</f>
        <v/>
      </c>
      <c r="AC762" s="5">
        <f>MEDIAN(-6,Z762+(C762-AA762)/MAX(AA762-AB762,0.000000001),6)</f>
        <v/>
      </c>
    </row>
    <row r="763">
      <c r="A763" t="n">
        <v>762</v>
      </c>
      <c r="B763">
        <f>'01_Data'!A763</f>
        <v/>
      </c>
      <c r="C763">
        <f>SUM('01_Data'!$B763:$AW763)</f>
        <v/>
      </c>
      <c r="D763">
        <f>COUNT('01_Data'!$B763:$AW763)</f>
        <v/>
      </c>
      <c r="E763" s="5">
        <f>MEDIAN(-6,LN((C763+0.3)/(D763-C763+0.3)),6)</f>
        <v/>
      </c>
      <c r="F763" s="5">
        <f>SUMPRODUCT(('01_Data'!$B763:$AW763&lt;&gt;"")*(1/(1+EXP(-(E763-'03_Lap_b'!$B$5:$AW$5)))))</f>
        <v/>
      </c>
      <c r="G763" s="5">
        <f>SUMPRODUCT(('01_Data'!$B763:$AW763&lt;&gt;"")*(1/(1+EXP(-(E763-'03_Lap_b'!$B$5:$AW$5))))^2)</f>
        <v/>
      </c>
      <c r="H763" s="5">
        <f>MEDIAN(-6,E763+(C763-F763)/MAX(F763-G763,0.000000001),6)</f>
        <v/>
      </c>
      <c r="I763" s="5">
        <f>SUMPRODUCT(('01_Data'!$B763:$AW763&lt;&gt;"")*(1/(1+EXP(-(H763-'03_Lap_b'!$B$10:$AW$10)))))</f>
        <v/>
      </c>
      <c r="J763" s="5">
        <f>SUMPRODUCT(('01_Data'!$B763:$AW763&lt;&gt;"")*(1/(1+EXP(-(H763-'03_Lap_b'!$B$10:$AW$10))))^2)</f>
        <v/>
      </c>
      <c r="K763" s="5">
        <f>MEDIAN(-6,H763+(C763-I763)/MAX(I763-J763,0.000000001),6)</f>
        <v/>
      </c>
      <c r="L763" s="5">
        <f>SUMPRODUCT(('01_Data'!$B763:$AW763&lt;&gt;"")*(1/(1+EXP(-(K763-'03_Lap_b'!$B$15:$AW$15)))))</f>
        <v/>
      </c>
      <c r="M763" s="5">
        <f>SUMPRODUCT(('01_Data'!$B763:$AW763&lt;&gt;"")*(1/(1+EXP(-(K763-'03_Lap_b'!$B$15:$AW$15))))^2)</f>
        <v/>
      </c>
      <c r="N763" s="5">
        <f>MEDIAN(-6,K763+(C763-L763)/MAX(L763-M763,0.000000001),6)</f>
        <v/>
      </c>
      <c r="O763" s="5">
        <f>SUMPRODUCT(('01_Data'!$B763:$AW763&lt;&gt;"")*(1/(1+EXP(-(N763-'03_Lap_b'!$B$20:$AW$20)))))</f>
        <v/>
      </c>
      <c r="P763" s="5">
        <f>SUMPRODUCT(('01_Data'!$B763:$AW763&lt;&gt;"")*(1/(1+EXP(-(N763-'03_Lap_b'!$B$20:$AW$20))))^2)</f>
        <v/>
      </c>
      <c r="Q763" s="5">
        <f>MEDIAN(-6,N763+(C763-O763)/MAX(O763-P763,0.000000001),6)</f>
        <v/>
      </c>
      <c r="R763" s="5">
        <f>SUMPRODUCT(('01_Data'!$B763:$AW763&lt;&gt;"")*(1/(1+EXP(-(Q763-'03_Lap_b'!$B$25:$AW$25)))))</f>
        <v/>
      </c>
      <c r="S763" s="5">
        <f>SUMPRODUCT(('01_Data'!$B763:$AW763&lt;&gt;"")*(1/(1+EXP(-(Q763-'03_Lap_b'!$B$25:$AW$25))))^2)</f>
        <v/>
      </c>
      <c r="T763" s="5">
        <f>MEDIAN(-6,Q763+(C763-R763)/MAX(R763-S763,0.000000001),6)</f>
        <v/>
      </c>
      <c r="U763" s="5">
        <f>SUMPRODUCT(('01_Data'!$B763:$AW763&lt;&gt;"")*(1/(1+EXP(-(T763-'03_Lap_b'!$B$30:$AW$30)))))</f>
        <v/>
      </c>
      <c r="V763" s="5">
        <f>SUMPRODUCT(('01_Data'!$B763:$AW763&lt;&gt;"")*(1/(1+EXP(-(T763-'03_Lap_b'!$B$30:$AW$30))))^2)</f>
        <v/>
      </c>
      <c r="W763" s="5">
        <f>MEDIAN(-6,T763+(C763-U763)/MAX(U763-V763,0.000000001),6)</f>
        <v/>
      </c>
      <c r="X763" s="5">
        <f>SUMPRODUCT(('01_Data'!$B763:$AW763&lt;&gt;"")*(1/(1+EXP(-(W763-'03_Lap_b'!$B$35:$AW$35)))))</f>
        <v/>
      </c>
      <c r="Y763" s="5">
        <f>SUMPRODUCT(('01_Data'!$B763:$AW763&lt;&gt;"")*(1/(1+EXP(-(W763-'03_Lap_b'!$B$35:$AW$35))))^2)</f>
        <v/>
      </c>
      <c r="Z763" s="5">
        <f>MEDIAN(-6,W763+(C763-X763)/MAX(X763-Y763,0.000000001),6)</f>
        <v/>
      </c>
      <c r="AA763" s="5">
        <f>SUMPRODUCT(('01_Data'!$B763:$AW763&lt;&gt;"")*(1/(1+EXP(-(Z763-'03_Lap_b'!$B$40:$AW$40)))))</f>
        <v/>
      </c>
      <c r="AB763" s="5">
        <f>SUMPRODUCT(('01_Data'!$B763:$AW763&lt;&gt;"")*(1/(1+EXP(-(Z763-'03_Lap_b'!$B$40:$AW$40))))^2)</f>
        <v/>
      </c>
      <c r="AC763" s="5">
        <f>MEDIAN(-6,Z763+(C763-AA763)/MAX(AA763-AB763,0.000000001),6)</f>
        <v/>
      </c>
    </row>
    <row r="764">
      <c r="A764" t="n">
        <v>763</v>
      </c>
      <c r="B764">
        <f>'01_Data'!A764</f>
        <v/>
      </c>
      <c r="C764">
        <f>SUM('01_Data'!$B764:$AW764)</f>
        <v/>
      </c>
      <c r="D764">
        <f>COUNT('01_Data'!$B764:$AW764)</f>
        <v/>
      </c>
      <c r="E764" s="5">
        <f>MEDIAN(-6,LN((C764+0.3)/(D764-C764+0.3)),6)</f>
        <v/>
      </c>
      <c r="F764" s="5">
        <f>SUMPRODUCT(('01_Data'!$B764:$AW764&lt;&gt;"")*(1/(1+EXP(-(E764-'03_Lap_b'!$B$5:$AW$5)))))</f>
        <v/>
      </c>
      <c r="G764" s="5">
        <f>SUMPRODUCT(('01_Data'!$B764:$AW764&lt;&gt;"")*(1/(1+EXP(-(E764-'03_Lap_b'!$B$5:$AW$5))))^2)</f>
        <v/>
      </c>
      <c r="H764" s="5">
        <f>MEDIAN(-6,E764+(C764-F764)/MAX(F764-G764,0.000000001),6)</f>
        <v/>
      </c>
      <c r="I764" s="5">
        <f>SUMPRODUCT(('01_Data'!$B764:$AW764&lt;&gt;"")*(1/(1+EXP(-(H764-'03_Lap_b'!$B$10:$AW$10)))))</f>
        <v/>
      </c>
      <c r="J764" s="5">
        <f>SUMPRODUCT(('01_Data'!$B764:$AW764&lt;&gt;"")*(1/(1+EXP(-(H764-'03_Lap_b'!$B$10:$AW$10))))^2)</f>
        <v/>
      </c>
      <c r="K764" s="5">
        <f>MEDIAN(-6,H764+(C764-I764)/MAX(I764-J764,0.000000001),6)</f>
        <v/>
      </c>
      <c r="L764" s="5">
        <f>SUMPRODUCT(('01_Data'!$B764:$AW764&lt;&gt;"")*(1/(1+EXP(-(K764-'03_Lap_b'!$B$15:$AW$15)))))</f>
        <v/>
      </c>
      <c r="M764" s="5">
        <f>SUMPRODUCT(('01_Data'!$B764:$AW764&lt;&gt;"")*(1/(1+EXP(-(K764-'03_Lap_b'!$B$15:$AW$15))))^2)</f>
        <v/>
      </c>
      <c r="N764" s="5">
        <f>MEDIAN(-6,K764+(C764-L764)/MAX(L764-M764,0.000000001),6)</f>
        <v/>
      </c>
      <c r="O764" s="5">
        <f>SUMPRODUCT(('01_Data'!$B764:$AW764&lt;&gt;"")*(1/(1+EXP(-(N764-'03_Lap_b'!$B$20:$AW$20)))))</f>
        <v/>
      </c>
      <c r="P764" s="5">
        <f>SUMPRODUCT(('01_Data'!$B764:$AW764&lt;&gt;"")*(1/(1+EXP(-(N764-'03_Lap_b'!$B$20:$AW$20))))^2)</f>
        <v/>
      </c>
      <c r="Q764" s="5">
        <f>MEDIAN(-6,N764+(C764-O764)/MAX(O764-P764,0.000000001),6)</f>
        <v/>
      </c>
      <c r="R764" s="5">
        <f>SUMPRODUCT(('01_Data'!$B764:$AW764&lt;&gt;"")*(1/(1+EXP(-(Q764-'03_Lap_b'!$B$25:$AW$25)))))</f>
        <v/>
      </c>
      <c r="S764" s="5">
        <f>SUMPRODUCT(('01_Data'!$B764:$AW764&lt;&gt;"")*(1/(1+EXP(-(Q764-'03_Lap_b'!$B$25:$AW$25))))^2)</f>
        <v/>
      </c>
      <c r="T764" s="5">
        <f>MEDIAN(-6,Q764+(C764-R764)/MAX(R764-S764,0.000000001),6)</f>
        <v/>
      </c>
      <c r="U764" s="5">
        <f>SUMPRODUCT(('01_Data'!$B764:$AW764&lt;&gt;"")*(1/(1+EXP(-(T764-'03_Lap_b'!$B$30:$AW$30)))))</f>
        <v/>
      </c>
      <c r="V764" s="5">
        <f>SUMPRODUCT(('01_Data'!$B764:$AW764&lt;&gt;"")*(1/(1+EXP(-(T764-'03_Lap_b'!$B$30:$AW$30))))^2)</f>
        <v/>
      </c>
      <c r="W764" s="5">
        <f>MEDIAN(-6,T764+(C764-U764)/MAX(U764-V764,0.000000001),6)</f>
        <v/>
      </c>
      <c r="X764" s="5">
        <f>SUMPRODUCT(('01_Data'!$B764:$AW764&lt;&gt;"")*(1/(1+EXP(-(W764-'03_Lap_b'!$B$35:$AW$35)))))</f>
        <v/>
      </c>
      <c r="Y764" s="5">
        <f>SUMPRODUCT(('01_Data'!$B764:$AW764&lt;&gt;"")*(1/(1+EXP(-(W764-'03_Lap_b'!$B$35:$AW$35))))^2)</f>
        <v/>
      </c>
      <c r="Z764" s="5">
        <f>MEDIAN(-6,W764+(C764-X764)/MAX(X764-Y764,0.000000001),6)</f>
        <v/>
      </c>
      <c r="AA764" s="5">
        <f>SUMPRODUCT(('01_Data'!$B764:$AW764&lt;&gt;"")*(1/(1+EXP(-(Z764-'03_Lap_b'!$B$40:$AW$40)))))</f>
        <v/>
      </c>
      <c r="AB764" s="5">
        <f>SUMPRODUCT(('01_Data'!$B764:$AW764&lt;&gt;"")*(1/(1+EXP(-(Z764-'03_Lap_b'!$B$40:$AW$40))))^2)</f>
        <v/>
      </c>
      <c r="AC764" s="5">
        <f>MEDIAN(-6,Z764+(C764-AA764)/MAX(AA764-AB764,0.000000001),6)</f>
        <v/>
      </c>
    </row>
    <row r="765">
      <c r="A765" t="n">
        <v>764</v>
      </c>
      <c r="B765">
        <f>'01_Data'!A765</f>
        <v/>
      </c>
      <c r="C765">
        <f>SUM('01_Data'!$B765:$AW765)</f>
        <v/>
      </c>
      <c r="D765">
        <f>COUNT('01_Data'!$B765:$AW765)</f>
        <v/>
      </c>
      <c r="E765" s="5">
        <f>MEDIAN(-6,LN((C765+0.3)/(D765-C765+0.3)),6)</f>
        <v/>
      </c>
      <c r="F765" s="5">
        <f>SUMPRODUCT(('01_Data'!$B765:$AW765&lt;&gt;"")*(1/(1+EXP(-(E765-'03_Lap_b'!$B$5:$AW$5)))))</f>
        <v/>
      </c>
      <c r="G765" s="5">
        <f>SUMPRODUCT(('01_Data'!$B765:$AW765&lt;&gt;"")*(1/(1+EXP(-(E765-'03_Lap_b'!$B$5:$AW$5))))^2)</f>
        <v/>
      </c>
      <c r="H765" s="5">
        <f>MEDIAN(-6,E765+(C765-F765)/MAX(F765-G765,0.000000001),6)</f>
        <v/>
      </c>
      <c r="I765" s="5">
        <f>SUMPRODUCT(('01_Data'!$B765:$AW765&lt;&gt;"")*(1/(1+EXP(-(H765-'03_Lap_b'!$B$10:$AW$10)))))</f>
        <v/>
      </c>
      <c r="J765" s="5">
        <f>SUMPRODUCT(('01_Data'!$B765:$AW765&lt;&gt;"")*(1/(1+EXP(-(H765-'03_Lap_b'!$B$10:$AW$10))))^2)</f>
        <v/>
      </c>
      <c r="K765" s="5">
        <f>MEDIAN(-6,H765+(C765-I765)/MAX(I765-J765,0.000000001),6)</f>
        <v/>
      </c>
      <c r="L765" s="5">
        <f>SUMPRODUCT(('01_Data'!$B765:$AW765&lt;&gt;"")*(1/(1+EXP(-(K765-'03_Lap_b'!$B$15:$AW$15)))))</f>
        <v/>
      </c>
      <c r="M765" s="5">
        <f>SUMPRODUCT(('01_Data'!$B765:$AW765&lt;&gt;"")*(1/(1+EXP(-(K765-'03_Lap_b'!$B$15:$AW$15))))^2)</f>
        <v/>
      </c>
      <c r="N765" s="5">
        <f>MEDIAN(-6,K765+(C765-L765)/MAX(L765-M765,0.000000001),6)</f>
        <v/>
      </c>
      <c r="O765" s="5">
        <f>SUMPRODUCT(('01_Data'!$B765:$AW765&lt;&gt;"")*(1/(1+EXP(-(N765-'03_Lap_b'!$B$20:$AW$20)))))</f>
        <v/>
      </c>
      <c r="P765" s="5">
        <f>SUMPRODUCT(('01_Data'!$B765:$AW765&lt;&gt;"")*(1/(1+EXP(-(N765-'03_Lap_b'!$B$20:$AW$20))))^2)</f>
        <v/>
      </c>
      <c r="Q765" s="5">
        <f>MEDIAN(-6,N765+(C765-O765)/MAX(O765-P765,0.000000001),6)</f>
        <v/>
      </c>
      <c r="R765" s="5">
        <f>SUMPRODUCT(('01_Data'!$B765:$AW765&lt;&gt;"")*(1/(1+EXP(-(Q765-'03_Lap_b'!$B$25:$AW$25)))))</f>
        <v/>
      </c>
      <c r="S765" s="5">
        <f>SUMPRODUCT(('01_Data'!$B765:$AW765&lt;&gt;"")*(1/(1+EXP(-(Q765-'03_Lap_b'!$B$25:$AW$25))))^2)</f>
        <v/>
      </c>
      <c r="T765" s="5">
        <f>MEDIAN(-6,Q765+(C765-R765)/MAX(R765-S765,0.000000001),6)</f>
        <v/>
      </c>
      <c r="U765" s="5">
        <f>SUMPRODUCT(('01_Data'!$B765:$AW765&lt;&gt;"")*(1/(1+EXP(-(T765-'03_Lap_b'!$B$30:$AW$30)))))</f>
        <v/>
      </c>
      <c r="V765" s="5">
        <f>SUMPRODUCT(('01_Data'!$B765:$AW765&lt;&gt;"")*(1/(1+EXP(-(T765-'03_Lap_b'!$B$30:$AW$30))))^2)</f>
        <v/>
      </c>
      <c r="W765" s="5">
        <f>MEDIAN(-6,T765+(C765-U765)/MAX(U765-V765,0.000000001),6)</f>
        <v/>
      </c>
      <c r="X765" s="5">
        <f>SUMPRODUCT(('01_Data'!$B765:$AW765&lt;&gt;"")*(1/(1+EXP(-(W765-'03_Lap_b'!$B$35:$AW$35)))))</f>
        <v/>
      </c>
      <c r="Y765" s="5">
        <f>SUMPRODUCT(('01_Data'!$B765:$AW765&lt;&gt;"")*(1/(1+EXP(-(W765-'03_Lap_b'!$B$35:$AW$35))))^2)</f>
        <v/>
      </c>
      <c r="Z765" s="5">
        <f>MEDIAN(-6,W765+(C765-X765)/MAX(X765-Y765,0.000000001),6)</f>
        <v/>
      </c>
      <c r="AA765" s="5">
        <f>SUMPRODUCT(('01_Data'!$B765:$AW765&lt;&gt;"")*(1/(1+EXP(-(Z765-'03_Lap_b'!$B$40:$AW$40)))))</f>
        <v/>
      </c>
      <c r="AB765" s="5">
        <f>SUMPRODUCT(('01_Data'!$B765:$AW765&lt;&gt;"")*(1/(1+EXP(-(Z765-'03_Lap_b'!$B$40:$AW$40))))^2)</f>
        <v/>
      </c>
      <c r="AC765" s="5">
        <f>MEDIAN(-6,Z765+(C765-AA765)/MAX(AA765-AB765,0.000000001),6)</f>
        <v/>
      </c>
    </row>
    <row r="766">
      <c r="A766" t="n">
        <v>765</v>
      </c>
      <c r="B766">
        <f>'01_Data'!A766</f>
        <v/>
      </c>
      <c r="C766">
        <f>SUM('01_Data'!$B766:$AW766)</f>
        <v/>
      </c>
      <c r="D766">
        <f>COUNT('01_Data'!$B766:$AW766)</f>
        <v/>
      </c>
      <c r="E766" s="5">
        <f>MEDIAN(-6,LN((C766+0.3)/(D766-C766+0.3)),6)</f>
        <v/>
      </c>
      <c r="F766" s="5">
        <f>SUMPRODUCT(('01_Data'!$B766:$AW766&lt;&gt;"")*(1/(1+EXP(-(E766-'03_Lap_b'!$B$5:$AW$5)))))</f>
        <v/>
      </c>
      <c r="G766" s="5">
        <f>SUMPRODUCT(('01_Data'!$B766:$AW766&lt;&gt;"")*(1/(1+EXP(-(E766-'03_Lap_b'!$B$5:$AW$5))))^2)</f>
        <v/>
      </c>
      <c r="H766" s="5">
        <f>MEDIAN(-6,E766+(C766-F766)/MAX(F766-G766,0.000000001),6)</f>
        <v/>
      </c>
      <c r="I766" s="5">
        <f>SUMPRODUCT(('01_Data'!$B766:$AW766&lt;&gt;"")*(1/(1+EXP(-(H766-'03_Lap_b'!$B$10:$AW$10)))))</f>
        <v/>
      </c>
      <c r="J766" s="5">
        <f>SUMPRODUCT(('01_Data'!$B766:$AW766&lt;&gt;"")*(1/(1+EXP(-(H766-'03_Lap_b'!$B$10:$AW$10))))^2)</f>
        <v/>
      </c>
      <c r="K766" s="5">
        <f>MEDIAN(-6,H766+(C766-I766)/MAX(I766-J766,0.000000001),6)</f>
        <v/>
      </c>
      <c r="L766" s="5">
        <f>SUMPRODUCT(('01_Data'!$B766:$AW766&lt;&gt;"")*(1/(1+EXP(-(K766-'03_Lap_b'!$B$15:$AW$15)))))</f>
        <v/>
      </c>
      <c r="M766" s="5">
        <f>SUMPRODUCT(('01_Data'!$B766:$AW766&lt;&gt;"")*(1/(1+EXP(-(K766-'03_Lap_b'!$B$15:$AW$15))))^2)</f>
        <v/>
      </c>
      <c r="N766" s="5">
        <f>MEDIAN(-6,K766+(C766-L766)/MAX(L766-M766,0.000000001),6)</f>
        <v/>
      </c>
      <c r="O766" s="5">
        <f>SUMPRODUCT(('01_Data'!$B766:$AW766&lt;&gt;"")*(1/(1+EXP(-(N766-'03_Lap_b'!$B$20:$AW$20)))))</f>
        <v/>
      </c>
      <c r="P766" s="5">
        <f>SUMPRODUCT(('01_Data'!$B766:$AW766&lt;&gt;"")*(1/(1+EXP(-(N766-'03_Lap_b'!$B$20:$AW$20))))^2)</f>
        <v/>
      </c>
      <c r="Q766" s="5">
        <f>MEDIAN(-6,N766+(C766-O766)/MAX(O766-P766,0.000000001),6)</f>
        <v/>
      </c>
      <c r="R766" s="5">
        <f>SUMPRODUCT(('01_Data'!$B766:$AW766&lt;&gt;"")*(1/(1+EXP(-(Q766-'03_Lap_b'!$B$25:$AW$25)))))</f>
        <v/>
      </c>
      <c r="S766" s="5">
        <f>SUMPRODUCT(('01_Data'!$B766:$AW766&lt;&gt;"")*(1/(1+EXP(-(Q766-'03_Lap_b'!$B$25:$AW$25))))^2)</f>
        <v/>
      </c>
      <c r="T766" s="5">
        <f>MEDIAN(-6,Q766+(C766-R766)/MAX(R766-S766,0.000000001),6)</f>
        <v/>
      </c>
      <c r="U766" s="5">
        <f>SUMPRODUCT(('01_Data'!$B766:$AW766&lt;&gt;"")*(1/(1+EXP(-(T766-'03_Lap_b'!$B$30:$AW$30)))))</f>
        <v/>
      </c>
      <c r="V766" s="5">
        <f>SUMPRODUCT(('01_Data'!$B766:$AW766&lt;&gt;"")*(1/(1+EXP(-(T766-'03_Lap_b'!$B$30:$AW$30))))^2)</f>
        <v/>
      </c>
      <c r="W766" s="5">
        <f>MEDIAN(-6,T766+(C766-U766)/MAX(U766-V766,0.000000001),6)</f>
        <v/>
      </c>
      <c r="X766" s="5">
        <f>SUMPRODUCT(('01_Data'!$B766:$AW766&lt;&gt;"")*(1/(1+EXP(-(W766-'03_Lap_b'!$B$35:$AW$35)))))</f>
        <v/>
      </c>
      <c r="Y766" s="5">
        <f>SUMPRODUCT(('01_Data'!$B766:$AW766&lt;&gt;"")*(1/(1+EXP(-(W766-'03_Lap_b'!$B$35:$AW$35))))^2)</f>
        <v/>
      </c>
      <c r="Z766" s="5">
        <f>MEDIAN(-6,W766+(C766-X766)/MAX(X766-Y766,0.000000001),6)</f>
        <v/>
      </c>
      <c r="AA766" s="5">
        <f>SUMPRODUCT(('01_Data'!$B766:$AW766&lt;&gt;"")*(1/(1+EXP(-(Z766-'03_Lap_b'!$B$40:$AW$40)))))</f>
        <v/>
      </c>
      <c r="AB766" s="5">
        <f>SUMPRODUCT(('01_Data'!$B766:$AW766&lt;&gt;"")*(1/(1+EXP(-(Z766-'03_Lap_b'!$B$40:$AW$40))))^2)</f>
        <v/>
      </c>
      <c r="AC766" s="5">
        <f>MEDIAN(-6,Z766+(C766-AA766)/MAX(AA766-AB766,0.000000001),6)</f>
        <v/>
      </c>
    </row>
    <row r="767">
      <c r="A767" t="n">
        <v>766</v>
      </c>
      <c r="B767">
        <f>'01_Data'!A767</f>
        <v/>
      </c>
      <c r="C767">
        <f>SUM('01_Data'!$B767:$AW767)</f>
        <v/>
      </c>
      <c r="D767">
        <f>COUNT('01_Data'!$B767:$AW767)</f>
        <v/>
      </c>
      <c r="E767" s="5">
        <f>MEDIAN(-6,LN((C767+0.3)/(D767-C767+0.3)),6)</f>
        <v/>
      </c>
      <c r="F767" s="5">
        <f>SUMPRODUCT(('01_Data'!$B767:$AW767&lt;&gt;"")*(1/(1+EXP(-(E767-'03_Lap_b'!$B$5:$AW$5)))))</f>
        <v/>
      </c>
      <c r="G767" s="5">
        <f>SUMPRODUCT(('01_Data'!$B767:$AW767&lt;&gt;"")*(1/(1+EXP(-(E767-'03_Lap_b'!$B$5:$AW$5))))^2)</f>
        <v/>
      </c>
      <c r="H767" s="5">
        <f>MEDIAN(-6,E767+(C767-F767)/MAX(F767-G767,0.000000001),6)</f>
        <v/>
      </c>
      <c r="I767" s="5">
        <f>SUMPRODUCT(('01_Data'!$B767:$AW767&lt;&gt;"")*(1/(1+EXP(-(H767-'03_Lap_b'!$B$10:$AW$10)))))</f>
        <v/>
      </c>
      <c r="J767" s="5">
        <f>SUMPRODUCT(('01_Data'!$B767:$AW767&lt;&gt;"")*(1/(1+EXP(-(H767-'03_Lap_b'!$B$10:$AW$10))))^2)</f>
        <v/>
      </c>
      <c r="K767" s="5">
        <f>MEDIAN(-6,H767+(C767-I767)/MAX(I767-J767,0.000000001),6)</f>
        <v/>
      </c>
      <c r="L767" s="5">
        <f>SUMPRODUCT(('01_Data'!$B767:$AW767&lt;&gt;"")*(1/(1+EXP(-(K767-'03_Lap_b'!$B$15:$AW$15)))))</f>
        <v/>
      </c>
      <c r="M767" s="5">
        <f>SUMPRODUCT(('01_Data'!$B767:$AW767&lt;&gt;"")*(1/(1+EXP(-(K767-'03_Lap_b'!$B$15:$AW$15))))^2)</f>
        <v/>
      </c>
      <c r="N767" s="5">
        <f>MEDIAN(-6,K767+(C767-L767)/MAX(L767-M767,0.000000001),6)</f>
        <v/>
      </c>
      <c r="O767" s="5">
        <f>SUMPRODUCT(('01_Data'!$B767:$AW767&lt;&gt;"")*(1/(1+EXP(-(N767-'03_Lap_b'!$B$20:$AW$20)))))</f>
        <v/>
      </c>
      <c r="P767" s="5">
        <f>SUMPRODUCT(('01_Data'!$B767:$AW767&lt;&gt;"")*(1/(1+EXP(-(N767-'03_Lap_b'!$B$20:$AW$20))))^2)</f>
        <v/>
      </c>
      <c r="Q767" s="5">
        <f>MEDIAN(-6,N767+(C767-O767)/MAX(O767-P767,0.000000001),6)</f>
        <v/>
      </c>
      <c r="R767" s="5">
        <f>SUMPRODUCT(('01_Data'!$B767:$AW767&lt;&gt;"")*(1/(1+EXP(-(Q767-'03_Lap_b'!$B$25:$AW$25)))))</f>
        <v/>
      </c>
      <c r="S767" s="5">
        <f>SUMPRODUCT(('01_Data'!$B767:$AW767&lt;&gt;"")*(1/(1+EXP(-(Q767-'03_Lap_b'!$B$25:$AW$25))))^2)</f>
        <v/>
      </c>
      <c r="T767" s="5">
        <f>MEDIAN(-6,Q767+(C767-R767)/MAX(R767-S767,0.000000001),6)</f>
        <v/>
      </c>
      <c r="U767" s="5">
        <f>SUMPRODUCT(('01_Data'!$B767:$AW767&lt;&gt;"")*(1/(1+EXP(-(T767-'03_Lap_b'!$B$30:$AW$30)))))</f>
        <v/>
      </c>
      <c r="V767" s="5">
        <f>SUMPRODUCT(('01_Data'!$B767:$AW767&lt;&gt;"")*(1/(1+EXP(-(T767-'03_Lap_b'!$B$30:$AW$30))))^2)</f>
        <v/>
      </c>
      <c r="W767" s="5">
        <f>MEDIAN(-6,T767+(C767-U767)/MAX(U767-V767,0.000000001),6)</f>
        <v/>
      </c>
      <c r="X767" s="5">
        <f>SUMPRODUCT(('01_Data'!$B767:$AW767&lt;&gt;"")*(1/(1+EXP(-(W767-'03_Lap_b'!$B$35:$AW$35)))))</f>
        <v/>
      </c>
      <c r="Y767" s="5">
        <f>SUMPRODUCT(('01_Data'!$B767:$AW767&lt;&gt;"")*(1/(1+EXP(-(W767-'03_Lap_b'!$B$35:$AW$35))))^2)</f>
        <v/>
      </c>
      <c r="Z767" s="5">
        <f>MEDIAN(-6,W767+(C767-X767)/MAX(X767-Y767,0.000000001),6)</f>
        <v/>
      </c>
      <c r="AA767" s="5">
        <f>SUMPRODUCT(('01_Data'!$B767:$AW767&lt;&gt;"")*(1/(1+EXP(-(Z767-'03_Lap_b'!$B$40:$AW$40)))))</f>
        <v/>
      </c>
      <c r="AB767" s="5">
        <f>SUMPRODUCT(('01_Data'!$B767:$AW767&lt;&gt;"")*(1/(1+EXP(-(Z767-'03_Lap_b'!$B$40:$AW$40))))^2)</f>
        <v/>
      </c>
      <c r="AC767" s="5">
        <f>MEDIAN(-6,Z767+(C767-AA767)/MAX(AA767-AB767,0.000000001),6)</f>
        <v/>
      </c>
    </row>
    <row r="768">
      <c r="A768" t="n">
        <v>767</v>
      </c>
      <c r="B768">
        <f>'01_Data'!A768</f>
        <v/>
      </c>
      <c r="C768">
        <f>SUM('01_Data'!$B768:$AW768)</f>
        <v/>
      </c>
      <c r="D768">
        <f>COUNT('01_Data'!$B768:$AW768)</f>
        <v/>
      </c>
      <c r="E768" s="5">
        <f>MEDIAN(-6,LN((C768+0.3)/(D768-C768+0.3)),6)</f>
        <v/>
      </c>
      <c r="F768" s="5">
        <f>SUMPRODUCT(('01_Data'!$B768:$AW768&lt;&gt;"")*(1/(1+EXP(-(E768-'03_Lap_b'!$B$5:$AW$5)))))</f>
        <v/>
      </c>
      <c r="G768" s="5">
        <f>SUMPRODUCT(('01_Data'!$B768:$AW768&lt;&gt;"")*(1/(1+EXP(-(E768-'03_Lap_b'!$B$5:$AW$5))))^2)</f>
        <v/>
      </c>
      <c r="H768" s="5">
        <f>MEDIAN(-6,E768+(C768-F768)/MAX(F768-G768,0.000000001),6)</f>
        <v/>
      </c>
      <c r="I768" s="5">
        <f>SUMPRODUCT(('01_Data'!$B768:$AW768&lt;&gt;"")*(1/(1+EXP(-(H768-'03_Lap_b'!$B$10:$AW$10)))))</f>
        <v/>
      </c>
      <c r="J768" s="5">
        <f>SUMPRODUCT(('01_Data'!$B768:$AW768&lt;&gt;"")*(1/(1+EXP(-(H768-'03_Lap_b'!$B$10:$AW$10))))^2)</f>
        <v/>
      </c>
      <c r="K768" s="5">
        <f>MEDIAN(-6,H768+(C768-I768)/MAX(I768-J768,0.000000001),6)</f>
        <v/>
      </c>
      <c r="L768" s="5">
        <f>SUMPRODUCT(('01_Data'!$B768:$AW768&lt;&gt;"")*(1/(1+EXP(-(K768-'03_Lap_b'!$B$15:$AW$15)))))</f>
        <v/>
      </c>
      <c r="M768" s="5">
        <f>SUMPRODUCT(('01_Data'!$B768:$AW768&lt;&gt;"")*(1/(1+EXP(-(K768-'03_Lap_b'!$B$15:$AW$15))))^2)</f>
        <v/>
      </c>
      <c r="N768" s="5">
        <f>MEDIAN(-6,K768+(C768-L768)/MAX(L768-M768,0.000000001),6)</f>
        <v/>
      </c>
      <c r="O768" s="5">
        <f>SUMPRODUCT(('01_Data'!$B768:$AW768&lt;&gt;"")*(1/(1+EXP(-(N768-'03_Lap_b'!$B$20:$AW$20)))))</f>
        <v/>
      </c>
      <c r="P768" s="5">
        <f>SUMPRODUCT(('01_Data'!$B768:$AW768&lt;&gt;"")*(1/(1+EXP(-(N768-'03_Lap_b'!$B$20:$AW$20))))^2)</f>
        <v/>
      </c>
      <c r="Q768" s="5">
        <f>MEDIAN(-6,N768+(C768-O768)/MAX(O768-P768,0.000000001),6)</f>
        <v/>
      </c>
      <c r="R768" s="5">
        <f>SUMPRODUCT(('01_Data'!$B768:$AW768&lt;&gt;"")*(1/(1+EXP(-(Q768-'03_Lap_b'!$B$25:$AW$25)))))</f>
        <v/>
      </c>
      <c r="S768" s="5">
        <f>SUMPRODUCT(('01_Data'!$B768:$AW768&lt;&gt;"")*(1/(1+EXP(-(Q768-'03_Lap_b'!$B$25:$AW$25))))^2)</f>
        <v/>
      </c>
      <c r="T768" s="5">
        <f>MEDIAN(-6,Q768+(C768-R768)/MAX(R768-S768,0.000000001),6)</f>
        <v/>
      </c>
      <c r="U768" s="5">
        <f>SUMPRODUCT(('01_Data'!$B768:$AW768&lt;&gt;"")*(1/(1+EXP(-(T768-'03_Lap_b'!$B$30:$AW$30)))))</f>
        <v/>
      </c>
      <c r="V768" s="5">
        <f>SUMPRODUCT(('01_Data'!$B768:$AW768&lt;&gt;"")*(1/(1+EXP(-(T768-'03_Lap_b'!$B$30:$AW$30))))^2)</f>
        <v/>
      </c>
      <c r="W768" s="5">
        <f>MEDIAN(-6,T768+(C768-U768)/MAX(U768-V768,0.000000001),6)</f>
        <v/>
      </c>
      <c r="X768" s="5">
        <f>SUMPRODUCT(('01_Data'!$B768:$AW768&lt;&gt;"")*(1/(1+EXP(-(W768-'03_Lap_b'!$B$35:$AW$35)))))</f>
        <v/>
      </c>
      <c r="Y768" s="5">
        <f>SUMPRODUCT(('01_Data'!$B768:$AW768&lt;&gt;"")*(1/(1+EXP(-(W768-'03_Lap_b'!$B$35:$AW$35))))^2)</f>
        <v/>
      </c>
      <c r="Z768" s="5">
        <f>MEDIAN(-6,W768+(C768-X768)/MAX(X768-Y768,0.000000001),6)</f>
        <v/>
      </c>
      <c r="AA768" s="5">
        <f>SUMPRODUCT(('01_Data'!$B768:$AW768&lt;&gt;"")*(1/(1+EXP(-(Z768-'03_Lap_b'!$B$40:$AW$40)))))</f>
        <v/>
      </c>
      <c r="AB768" s="5">
        <f>SUMPRODUCT(('01_Data'!$B768:$AW768&lt;&gt;"")*(1/(1+EXP(-(Z768-'03_Lap_b'!$B$40:$AW$40))))^2)</f>
        <v/>
      </c>
      <c r="AC768" s="5">
        <f>MEDIAN(-6,Z768+(C768-AA768)/MAX(AA768-AB768,0.000000001),6)</f>
        <v/>
      </c>
    </row>
    <row r="769">
      <c r="A769" t="n">
        <v>768</v>
      </c>
      <c r="B769">
        <f>'01_Data'!A769</f>
        <v/>
      </c>
      <c r="C769">
        <f>SUM('01_Data'!$B769:$AW769)</f>
        <v/>
      </c>
      <c r="D769">
        <f>COUNT('01_Data'!$B769:$AW769)</f>
        <v/>
      </c>
      <c r="E769" s="5">
        <f>MEDIAN(-6,LN((C769+0.3)/(D769-C769+0.3)),6)</f>
        <v/>
      </c>
      <c r="F769" s="5">
        <f>SUMPRODUCT(('01_Data'!$B769:$AW769&lt;&gt;"")*(1/(1+EXP(-(E769-'03_Lap_b'!$B$5:$AW$5)))))</f>
        <v/>
      </c>
      <c r="G769" s="5">
        <f>SUMPRODUCT(('01_Data'!$B769:$AW769&lt;&gt;"")*(1/(1+EXP(-(E769-'03_Lap_b'!$B$5:$AW$5))))^2)</f>
        <v/>
      </c>
      <c r="H769" s="5">
        <f>MEDIAN(-6,E769+(C769-F769)/MAX(F769-G769,0.000000001),6)</f>
        <v/>
      </c>
      <c r="I769" s="5">
        <f>SUMPRODUCT(('01_Data'!$B769:$AW769&lt;&gt;"")*(1/(1+EXP(-(H769-'03_Lap_b'!$B$10:$AW$10)))))</f>
        <v/>
      </c>
      <c r="J769" s="5">
        <f>SUMPRODUCT(('01_Data'!$B769:$AW769&lt;&gt;"")*(1/(1+EXP(-(H769-'03_Lap_b'!$B$10:$AW$10))))^2)</f>
        <v/>
      </c>
      <c r="K769" s="5">
        <f>MEDIAN(-6,H769+(C769-I769)/MAX(I769-J769,0.000000001),6)</f>
        <v/>
      </c>
      <c r="L769" s="5">
        <f>SUMPRODUCT(('01_Data'!$B769:$AW769&lt;&gt;"")*(1/(1+EXP(-(K769-'03_Lap_b'!$B$15:$AW$15)))))</f>
        <v/>
      </c>
      <c r="M769" s="5">
        <f>SUMPRODUCT(('01_Data'!$B769:$AW769&lt;&gt;"")*(1/(1+EXP(-(K769-'03_Lap_b'!$B$15:$AW$15))))^2)</f>
        <v/>
      </c>
      <c r="N769" s="5">
        <f>MEDIAN(-6,K769+(C769-L769)/MAX(L769-M769,0.000000001),6)</f>
        <v/>
      </c>
      <c r="O769" s="5">
        <f>SUMPRODUCT(('01_Data'!$B769:$AW769&lt;&gt;"")*(1/(1+EXP(-(N769-'03_Lap_b'!$B$20:$AW$20)))))</f>
        <v/>
      </c>
      <c r="P769" s="5">
        <f>SUMPRODUCT(('01_Data'!$B769:$AW769&lt;&gt;"")*(1/(1+EXP(-(N769-'03_Lap_b'!$B$20:$AW$20))))^2)</f>
        <v/>
      </c>
      <c r="Q769" s="5">
        <f>MEDIAN(-6,N769+(C769-O769)/MAX(O769-P769,0.000000001),6)</f>
        <v/>
      </c>
      <c r="R769" s="5">
        <f>SUMPRODUCT(('01_Data'!$B769:$AW769&lt;&gt;"")*(1/(1+EXP(-(Q769-'03_Lap_b'!$B$25:$AW$25)))))</f>
        <v/>
      </c>
      <c r="S769" s="5">
        <f>SUMPRODUCT(('01_Data'!$B769:$AW769&lt;&gt;"")*(1/(1+EXP(-(Q769-'03_Lap_b'!$B$25:$AW$25))))^2)</f>
        <v/>
      </c>
      <c r="T769" s="5">
        <f>MEDIAN(-6,Q769+(C769-R769)/MAX(R769-S769,0.000000001),6)</f>
        <v/>
      </c>
      <c r="U769" s="5">
        <f>SUMPRODUCT(('01_Data'!$B769:$AW769&lt;&gt;"")*(1/(1+EXP(-(T769-'03_Lap_b'!$B$30:$AW$30)))))</f>
        <v/>
      </c>
      <c r="V769" s="5">
        <f>SUMPRODUCT(('01_Data'!$B769:$AW769&lt;&gt;"")*(1/(1+EXP(-(T769-'03_Lap_b'!$B$30:$AW$30))))^2)</f>
        <v/>
      </c>
      <c r="W769" s="5">
        <f>MEDIAN(-6,T769+(C769-U769)/MAX(U769-V769,0.000000001),6)</f>
        <v/>
      </c>
      <c r="X769" s="5">
        <f>SUMPRODUCT(('01_Data'!$B769:$AW769&lt;&gt;"")*(1/(1+EXP(-(W769-'03_Lap_b'!$B$35:$AW$35)))))</f>
        <v/>
      </c>
      <c r="Y769" s="5">
        <f>SUMPRODUCT(('01_Data'!$B769:$AW769&lt;&gt;"")*(1/(1+EXP(-(W769-'03_Lap_b'!$B$35:$AW$35))))^2)</f>
        <v/>
      </c>
      <c r="Z769" s="5">
        <f>MEDIAN(-6,W769+(C769-X769)/MAX(X769-Y769,0.000000001),6)</f>
        <v/>
      </c>
      <c r="AA769" s="5">
        <f>SUMPRODUCT(('01_Data'!$B769:$AW769&lt;&gt;"")*(1/(1+EXP(-(Z769-'03_Lap_b'!$B$40:$AW$40)))))</f>
        <v/>
      </c>
      <c r="AB769" s="5">
        <f>SUMPRODUCT(('01_Data'!$B769:$AW769&lt;&gt;"")*(1/(1+EXP(-(Z769-'03_Lap_b'!$B$40:$AW$40))))^2)</f>
        <v/>
      </c>
      <c r="AC769" s="5">
        <f>MEDIAN(-6,Z769+(C769-AA769)/MAX(AA769-AB769,0.000000001),6)</f>
        <v/>
      </c>
    </row>
    <row r="770">
      <c r="A770" t="n">
        <v>769</v>
      </c>
      <c r="B770">
        <f>'01_Data'!A770</f>
        <v/>
      </c>
      <c r="C770">
        <f>SUM('01_Data'!$B770:$AW770)</f>
        <v/>
      </c>
      <c r="D770">
        <f>COUNT('01_Data'!$B770:$AW770)</f>
        <v/>
      </c>
      <c r="E770" s="5">
        <f>MEDIAN(-6,LN((C770+0.3)/(D770-C770+0.3)),6)</f>
        <v/>
      </c>
      <c r="F770" s="5">
        <f>SUMPRODUCT(('01_Data'!$B770:$AW770&lt;&gt;"")*(1/(1+EXP(-(E770-'03_Lap_b'!$B$5:$AW$5)))))</f>
        <v/>
      </c>
      <c r="G770" s="5">
        <f>SUMPRODUCT(('01_Data'!$B770:$AW770&lt;&gt;"")*(1/(1+EXP(-(E770-'03_Lap_b'!$B$5:$AW$5))))^2)</f>
        <v/>
      </c>
      <c r="H770" s="5">
        <f>MEDIAN(-6,E770+(C770-F770)/MAX(F770-G770,0.000000001),6)</f>
        <v/>
      </c>
      <c r="I770" s="5">
        <f>SUMPRODUCT(('01_Data'!$B770:$AW770&lt;&gt;"")*(1/(1+EXP(-(H770-'03_Lap_b'!$B$10:$AW$10)))))</f>
        <v/>
      </c>
      <c r="J770" s="5">
        <f>SUMPRODUCT(('01_Data'!$B770:$AW770&lt;&gt;"")*(1/(1+EXP(-(H770-'03_Lap_b'!$B$10:$AW$10))))^2)</f>
        <v/>
      </c>
      <c r="K770" s="5">
        <f>MEDIAN(-6,H770+(C770-I770)/MAX(I770-J770,0.000000001),6)</f>
        <v/>
      </c>
      <c r="L770" s="5">
        <f>SUMPRODUCT(('01_Data'!$B770:$AW770&lt;&gt;"")*(1/(1+EXP(-(K770-'03_Lap_b'!$B$15:$AW$15)))))</f>
        <v/>
      </c>
      <c r="M770" s="5">
        <f>SUMPRODUCT(('01_Data'!$B770:$AW770&lt;&gt;"")*(1/(1+EXP(-(K770-'03_Lap_b'!$B$15:$AW$15))))^2)</f>
        <v/>
      </c>
      <c r="N770" s="5">
        <f>MEDIAN(-6,K770+(C770-L770)/MAX(L770-M770,0.000000001),6)</f>
        <v/>
      </c>
      <c r="O770" s="5">
        <f>SUMPRODUCT(('01_Data'!$B770:$AW770&lt;&gt;"")*(1/(1+EXP(-(N770-'03_Lap_b'!$B$20:$AW$20)))))</f>
        <v/>
      </c>
      <c r="P770" s="5">
        <f>SUMPRODUCT(('01_Data'!$B770:$AW770&lt;&gt;"")*(1/(1+EXP(-(N770-'03_Lap_b'!$B$20:$AW$20))))^2)</f>
        <v/>
      </c>
      <c r="Q770" s="5">
        <f>MEDIAN(-6,N770+(C770-O770)/MAX(O770-P770,0.000000001),6)</f>
        <v/>
      </c>
      <c r="R770" s="5">
        <f>SUMPRODUCT(('01_Data'!$B770:$AW770&lt;&gt;"")*(1/(1+EXP(-(Q770-'03_Lap_b'!$B$25:$AW$25)))))</f>
        <v/>
      </c>
      <c r="S770" s="5">
        <f>SUMPRODUCT(('01_Data'!$B770:$AW770&lt;&gt;"")*(1/(1+EXP(-(Q770-'03_Lap_b'!$B$25:$AW$25))))^2)</f>
        <v/>
      </c>
      <c r="T770" s="5">
        <f>MEDIAN(-6,Q770+(C770-R770)/MAX(R770-S770,0.000000001),6)</f>
        <v/>
      </c>
      <c r="U770" s="5">
        <f>SUMPRODUCT(('01_Data'!$B770:$AW770&lt;&gt;"")*(1/(1+EXP(-(T770-'03_Lap_b'!$B$30:$AW$30)))))</f>
        <v/>
      </c>
      <c r="V770" s="5">
        <f>SUMPRODUCT(('01_Data'!$B770:$AW770&lt;&gt;"")*(1/(1+EXP(-(T770-'03_Lap_b'!$B$30:$AW$30))))^2)</f>
        <v/>
      </c>
      <c r="W770" s="5">
        <f>MEDIAN(-6,T770+(C770-U770)/MAX(U770-V770,0.000000001),6)</f>
        <v/>
      </c>
      <c r="X770" s="5">
        <f>SUMPRODUCT(('01_Data'!$B770:$AW770&lt;&gt;"")*(1/(1+EXP(-(W770-'03_Lap_b'!$B$35:$AW$35)))))</f>
        <v/>
      </c>
      <c r="Y770" s="5">
        <f>SUMPRODUCT(('01_Data'!$B770:$AW770&lt;&gt;"")*(1/(1+EXP(-(W770-'03_Lap_b'!$B$35:$AW$35))))^2)</f>
        <v/>
      </c>
      <c r="Z770" s="5">
        <f>MEDIAN(-6,W770+(C770-X770)/MAX(X770-Y770,0.000000001),6)</f>
        <v/>
      </c>
      <c r="AA770" s="5">
        <f>SUMPRODUCT(('01_Data'!$B770:$AW770&lt;&gt;"")*(1/(1+EXP(-(Z770-'03_Lap_b'!$B$40:$AW$40)))))</f>
        <v/>
      </c>
      <c r="AB770" s="5">
        <f>SUMPRODUCT(('01_Data'!$B770:$AW770&lt;&gt;"")*(1/(1+EXP(-(Z770-'03_Lap_b'!$B$40:$AW$40))))^2)</f>
        <v/>
      </c>
      <c r="AC770" s="5">
        <f>MEDIAN(-6,Z770+(C770-AA770)/MAX(AA770-AB770,0.000000001),6)</f>
        <v/>
      </c>
    </row>
    <row r="771">
      <c r="A771" t="n">
        <v>770</v>
      </c>
      <c r="B771">
        <f>'01_Data'!A771</f>
        <v/>
      </c>
      <c r="C771">
        <f>SUM('01_Data'!$B771:$AW771)</f>
        <v/>
      </c>
      <c r="D771">
        <f>COUNT('01_Data'!$B771:$AW771)</f>
        <v/>
      </c>
      <c r="E771" s="5">
        <f>MEDIAN(-6,LN((C771+0.3)/(D771-C771+0.3)),6)</f>
        <v/>
      </c>
      <c r="F771" s="5">
        <f>SUMPRODUCT(('01_Data'!$B771:$AW771&lt;&gt;"")*(1/(1+EXP(-(E771-'03_Lap_b'!$B$5:$AW$5)))))</f>
        <v/>
      </c>
      <c r="G771" s="5">
        <f>SUMPRODUCT(('01_Data'!$B771:$AW771&lt;&gt;"")*(1/(1+EXP(-(E771-'03_Lap_b'!$B$5:$AW$5))))^2)</f>
        <v/>
      </c>
      <c r="H771" s="5">
        <f>MEDIAN(-6,E771+(C771-F771)/MAX(F771-G771,0.000000001),6)</f>
        <v/>
      </c>
      <c r="I771" s="5">
        <f>SUMPRODUCT(('01_Data'!$B771:$AW771&lt;&gt;"")*(1/(1+EXP(-(H771-'03_Lap_b'!$B$10:$AW$10)))))</f>
        <v/>
      </c>
      <c r="J771" s="5">
        <f>SUMPRODUCT(('01_Data'!$B771:$AW771&lt;&gt;"")*(1/(1+EXP(-(H771-'03_Lap_b'!$B$10:$AW$10))))^2)</f>
        <v/>
      </c>
      <c r="K771" s="5">
        <f>MEDIAN(-6,H771+(C771-I771)/MAX(I771-J771,0.000000001),6)</f>
        <v/>
      </c>
      <c r="L771" s="5">
        <f>SUMPRODUCT(('01_Data'!$B771:$AW771&lt;&gt;"")*(1/(1+EXP(-(K771-'03_Lap_b'!$B$15:$AW$15)))))</f>
        <v/>
      </c>
      <c r="M771" s="5">
        <f>SUMPRODUCT(('01_Data'!$B771:$AW771&lt;&gt;"")*(1/(1+EXP(-(K771-'03_Lap_b'!$B$15:$AW$15))))^2)</f>
        <v/>
      </c>
      <c r="N771" s="5">
        <f>MEDIAN(-6,K771+(C771-L771)/MAX(L771-M771,0.000000001),6)</f>
        <v/>
      </c>
      <c r="O771" s="5">
        <f>SUMPRODUCT(('01_Data'!$B771:$AW771&lt;&gt;"")*(1/(1+EXP(-(N771-'03_Lap_b'!$B$20:$AW$20)))))</f>
        <v/>
      </c>
      <c r="P771" s="5">
        <f>SUMPRODUCT(('01_Data'!$B771:$AW771&lt;&gt;"")*(1/(1+EXP(-(N771-'03_Lap_b'!$B$20:$AW$20))))^2)</f>
        <v/>
      </c>
      <c r="Q771" s="5">
        <f>MEDIAN(-6,N771+(C771-O771)/MAX(O771-P771,0.000000001),6)</f>
        <v/>
      </c>
      <c r="R771" s="5">
        <f>SUMPRODUCT(('01_Data'!$B771:$AW771&lt;&gt;"")*(1/(1+EXP(-(Q771-'03_Lap_b'!$B$25:$AW$25)))))</f>
        <v/>
      </c>
      <c r="S771" s="5">
        <f>SUMPRODUCT(('01_Data'!$B771:$AW771&lt;&gt;"")*(1/(1+EXP(-(Q771-'03_Lap_b'!$B$25:$AW$25))))^2)</f>
        <v/>
      </c>
      <c r="T771" s="5">
        <f>MEDIAN(-6,Q771+(C771-R771)/MAX(R771-S771,0.000000001),6)</f>
        <v/>
      </c>
      <c r="U771" s="5">
        <f>SUMPRODUCT(('01_Data'!$B771:$AW771&lt;&gt;"")*(1/(1+EXP(-(T771-'03_Lap_b'!$B$30:$AW$30)))))</f>
        <v/>
      </c>
      <c r="V771" s="5">
        <f>SUMPRODUCT(('01_Data'!$B771:$AW771&lt;&gt;"")*(1/(1+EXP(-(T771-'03_Lap_b'!$B$30:$AW$30))))^2)</f>
        <v/>
      </c>
      <c r="W771" s="5">
        <f>MEDIAN(-6,T771+(C771-U771)/MAX(U771-V771,0.000000001),6)</f>
        <v/>
      </c>
      <c r="X771" s="5">
        <f>SUMPRODUCT(('01_Data'!$B771:$AW771&lt;&gt;"")*(1/(1+EXP(-(W771-'03_Lap_b'!$B$35:$AW$35)))))</f>
        <v/>
      </c>
      <c r="Y771" s="5">
        <f>SUMPRODUCT(('01_Data'!$B771:$AW771&lt;&gt;"")*(1/(1+EXP(-(W771-'03_Lap_b'!$B$35:$AW$35))))^2)</f>
        <v/>
      </c>
      <c r="Z771" s="5">
        <f>MEDIAN(-6,W771+(C771-X771)/MAX(X771-Y771,0.000000001),6)</f>
        <v/>
      </c>
      <c r="AA771" s="5">
        <f>SUMPRODUCT(('01_Data'!$B771:$AW771&lt;&gt;"")*(1/(1+EXP(-(Z771-'03_Lap_b'!$B$40:$AW$40)))))</f>
        <v/>
      </c>
      <c r="AB771" s="5">
        <f>SUMPRODUCT(('01_Data'!$B771:$AW771&lt;&gt;"")*(1/(1+EXP(-(Z771-'03_Lap_b'!$B$40:$AW$40))))^2)</f>
        <v/>
      </c>
      <c r="AC771" s="5">
        <f>MEDIAN(-6,Z771+(C771-AA771)/MAX(AA771-AB771,0.000000001),6)</f>
        <v/>
      </c>
    </row>
    <row r="772">
      <c r="A772" t="n">
        <v>771</v>
      </c>
      <c r="B772">
        <f>'01_Data'!A772</f>
        <v/>
      </c>
      <c r="C772">
        <f>SUM('01_Data'!$B772:$AW772)</f>
        <v/>
      </c>
      <c r="D772">
        <f>COUNT('01_Data'!$B772:$AW772)</f>
        <v/>
      </c>
      <c r="E772" s="5">
        <f>MEDIAN(-6,LN((C772+0.3)/(D772-C772+0.3)),6)</f>
        <v/>
      </c>
      <c r="F772" s="5">
        <f>SUMPRODUCT(('01_Data'!$B772:$AW772&lt;&gt;"")*(1/(1+EXP(-(E772-'03_Lap_b'!$B$5:$AW$5)))))</f>
        <v/>
      </c>
      <c r="G772" s="5">
        <f>SUMPRODUCT(('01_Data'!$B772:$AW772&lt;&gt;"")*(1/(1+EXP(-(E772-'03_Lap_b'!$B$5:$AW$5))))^2)</f>
        <v/>
      </c>
      <c r="H772" s="5">
        <f>MEDIAN(-6,E772+(C772-F772)/MAX(F772-G772,0.000000001),6)</f>
        <v/>
      </c>
      <c r="I772" s="5">
        <f>SUMPRODUCT(('01_Data'!$B772:$AW772&lt;&gt;"")*(1/(1+EXP(-(H772-'03_Lap_b'!$B$10:$AW$10)))))</f>
        <v/>
      </c>
      <c r="J772" s="5">
        <f>SUMPRODUCT(('01_Data'!$B772:$AW772&lt;&gt;"")*(1/(1+EXP(-(H772-'03_Lap_b'!$B$10:$AW$10))))^2)</f>
        <v/>
      </c>
      <c r="K772" s="5">
        <f>MEDIAN(-6,H772+(C772-I772)/MAX(I772-J772,0.000000001),6)</f>
        <v/>
      </c>
      <c r="L772" s="5">
        <f>SUMPRODUCT(('01_Data'!$B772:$AW772&lt;&gt;"")*(1/(1+EXP(-(K772-'03_Lap_b'!$B$15:$AW$15)))))</f>
        <v/>
      </c>
      <c r="M772" s="5">
        <f>SUMPRODUCT(('01_Data'!$B772:$AW772&lt;&gt;"")*(1/(1+EXP(-(K772-'03_Lap_b'!$B$15:$AW$15))))^2)</f>
        <v/>
      </c>
      <c r="N772" s="5">
        <f>MEDIAN(-6,K772+(C772-L772)/MAX(L772-M772,0.000000001),6)</f>
        <v/>
      </c>
      <c r="O772" s="5">
        <f>SUMPRODUCT(('01_Data'!$B772:$AW772&lt;&gt;"")*(1/(1+EXP(-(N772-'03_Lap_b'!$B$20:$AW$20)))))</f>
        <v/>
      </c>
      <c r="P772" s="5">
        <f>SUMPRODUCT(('01_Data'!$B772:$AW772&lt;&gt;"")*(1/(1+EXP(-(N772-'03_Lap_b'!$B$20:$AW$20))))^2)</f>
        <v/>
      </c>
      <c r="Q772" s="5">
        <f>MEDIAN(-6,N772+(C772-O772)/MAX(O772-P772,0.000000001),6)</f>
        <v/>
      </c>
      <c r="R772" s="5">
        <f>SUMPRODUCT(('01_Data'!$B772:$AW772&lt;&gt;"")*(1/(1+EXP(-(Q772-'03_Lap_b'!$B$25:$AW$25)))))</f>
        <v/>
      </c>
      <c r="S772" s="5">
        <f>SUMPRODUCT(('01_Data'!$B772:$AW772&lt;&gt;"")*(1/(1+EXP(-(Q772-'03_Lap_b'!$B$25:$AW$25))))^2)</f>
        <v/>
      </c>
      <c r="T772" s="5">
        <f>MEDIAN(-6,Q772+(C772-R772)/MAX(R772-S772,0.000000001),6)</f>
        <v/>
      </c>
      <c r="U772" s="5">
        <f>SUMPRODUCT(('01_Data'!$B772:$AW772&lt;&gt;"")*(1/(1+EXP(-(T772-'03_Lap_b'!$B$30:$AW$30)))))</f>
        <v/>
      </c>
      <c r="V772" s="5">
        <f>SUMPRODUCT(('01_Data'!$B772:$AW772&lt;&gt;"")*(1/(1+EXP(-(T772-'03_Lap_b'!$B$30:$AW$30))))^2)</f>
        <v/>
      </c>
      <c r="W772" s="5">
        <f>MEDIAN(-6,T772+(C772-U772)/MAX(U772-V772,0.000000001),6)</f>
        <v/>
      </c>
      <c r="X772" s="5">
        <f>SUMPRODUCT(('01_Data'!$B772:$AW772&lt;&gt;"")*(1/(1+EXP(-(W772-'03_Lap_b'!$B$35:$AW$35)))))</f>
        <v/>
      </c>
      <c r="Y772" s="5">
        <f>SUMPRODUCT(('01_Data'!$B772:$AW772&lt;&gt;"")*(1/(1+EXP(-(W772-'03_Lap_b'!$B$35:$AW$35))))^2)</f>
        <v/>
      </c>
      <c r="Z772" s="5">
        <f>MEDIAN(-6,W772+(C772-X772)/MAX(X772-Y772,0.000000001),6)</f>
        <v/>
      </c>
      <c r="AA772" s="5">
        <f>SUMPRODUCT(('01_Data'!$B772:$AW772&lt;&gt;"")*(1/(1+EXP(-(Z772-'03_Lap_b'!$B$40:$AW$40)))))</f>
        <v/>
      </c>
      <c r="AB772" s="5">
        <f>SUMPRODUCT(('01_Data'!$B772:$AW772&lt;&gt;"")*(1/(1+EXP(-(Z772-'03_Lap_b'!$B$40:$AW$40))))^2)</f>
        <v/>
      </c>
      <c r="AC772" s="5">
        <f>MEDIAN(-6,Z772+(C772-AA772)/MAX(AA772-AB772,0.000000001),6)</f>
        <v/>
      </c>
    </row>
    <row r="773">
      <c r="A773" t="n">
        <v>772</v>
      </c>
      <c r="B773">
        <f>'01_Data'!A773</f>
        <v/>
      </c>
      <c r="C773">
        <f>SUM('01_Data'!$B773:$AW773)</f>
        <v/>
      </c>
      <c r="D773">
        <f>COUNT('01_Data'!$B773:$AW773)</f>
        <v/>
      </c>
      <c r="E773" s="5">
        <f>MEDIAN(-6,LN((C773+0.3)/(D773-C773+0.3)),6)</f>
        <v/>
      </c>
      <c r="F773" s="5">
        <f>SUMPRODUCT(('01_Data'!$B773:$AW773&lt;&gt;"")*(1/(1+EXP(-(E773-'03_Lap_b'!$B$5:$AW$5)))))</f>
        <v/>
      </c>
      <c r="G773" s="5">
        <f>SUMPRODUCT(('01_Data'!$B773:$AW773&lt;&gt;"")*(1/(1+EXP(-(E773-'03_Lap_b'!$B$5:$AW$5))))^2)</f>
        <v/>
      </c>
      <c r="H773" s="5">
        <f>MEDIAN(-6,E773+(C773-F773)/MAX(F773-G773,0.000000001),6)</f>
        <v/>
      </c>
      <c r="I773" s="5">
        <f>SUMPRODUCT(('01_Data'!$B773:$AW773&lt;&gt;"")*(1/(1+EXP(-(H773-'03_Lap_b'!$B$10:$AW$10)))))</f>
        <v/>
      </c>
      <c r="J773" s="5">
        <f>SUMPRODUCT(('01_Data'!$B773:$AW773&lt;&gt;"")*(1/(1+EXP(-(H773-'03_Lap_b'!$B$10:$AW$10))))^2)</f>
        <v/>
      </c>
      <c r="K773" s="5">
        <f>MEDIAN(-6,H773+(C773-I773)/MAX(I773-J773,0.000000001),6)</f>
        <v/>
      </c>
      <c r="L773" s="5">
        <f>SUMPRODUCT(('01_Data'!$B773:$AW773&lt;&gt;"")*(1/(1+EXP(-(K773-'03_Lap_b'!$B$15:$AW$15)))))</f>
        <v/>
      </c>
      <c r="M773" s="5">
        <f>SUMPRODUCT(('01_Data'!$B773:$AW773&lt;&gt;"")*(1/(1+EXP(-(K773-'03_Lap_b'!$B$15:$AW$15))))^2)</f>
        <v/>
      </c>
      <c r="N773" s="5">
        <f>MEDIAN(-6,K773+(C773-L773)/MAX(L773-M773,0.000000001),6)</f>
        <v/>
      </c>
      <c r="O773" s="5">
        <f>SUMPRODUCT(('01_Data'!$B773:$AW773&lt;&gt;"")*(1/(1+EXP(-(N773-'03_Lap_b'!$B$20:$AW$20)))))</f>
        <v/>
      </c>
      <c r="P773" s="5">
        <f>SUMPRODUCT(('01_Data'!$B773:$AW773&lt;&gt;"")*(1/(1+EXP(-(N773-'03_Lap_b'!$B$20:$AW$20))))^2)</f>
        <v/>
      </c>
      <c r="Q773" s="5">
        <f>MEDIAN(-6,N773+(C773-O773)/MAX(O773-P773,0.000000001),6)</f>
        <v/>
      </c>
      <c r="R773" s="5">
        <f>SUMPRODUCT(('01_Data'!$B773:$AW773&lt;&gt;"")*(1/(1+EXP(-(Q773-'03_Lap_b'!$B$25:$AW$25)))))</f>
        <v/>
      </c>
      <c r="S773" s="5">
        <f>SUMPRODUCT(('01_Data'!$B773:$AW773&lt;&gt;"")*(1/(1+EXP(-(Q773-'03_Lap_b'!$B$25:$AW$25))))^2)</f>
        <v/>
      </c>
      <c r="T773" s="5">
        <f>MEDIAN(-6,Q773+(C773-R773)/MAX(R773-S773,0.000000001),6)</f>
        <v/>
      </c>
      <c r="U773" s="5">
        <f>SUMPRODUCT(('01_Data'!$B773:$AW773&lt;&gt;"")*(1/(1+EXP(-(T773-'03_Lap_b'!$B$30:$AW$30)))))</f>
        <v/>
      </c>
      <c r="V773" s="5">
        <f>SUMPRODUCT(('01_Data'!$B773:$AW773&lt;&gt;"")*(1/(1+EXP(-(T773-'03_Lap_b'!$B$30:$AW$30))))^2)</f>
        <v/>
      </c>
      <c r="W773" s="5">
        <f>MEDIAN(-6,T773+(C773-U773)/MAX(U773-V773,0.000000001),6)</f>
        <v/>
      </c>
      <c r="X773" s="5">
        <f>SUMPRODUCT(('01_Data'!$B773:$AW773&lt;&gt;"")*(1/(1+EXP(-(W773-'03_Lap_b'!$B$35:$AW$35)))))</f>
        <v/>
      </c>
      <c r="Y773" s="5">
        <f>SUMPRODUCT(('01_Data'!$B773:$AW773&lt;&gt;"")*(1/(1+EXP(-(W773-'03_Lap_b'!$B$35:$AW$35))))^2)</f>
        <v/>
      </c>
      <c r="Z773" s="5">
        <f>MEDIAN(-6,W773+(C773-X773)/MAX(X773-Y773,0.000000001),6)</f>
        <v/>
      </c>
      <c r="AA773" s="5">
        <f>SUMPRODUCT(('01_Data'!$B773:$AW773&lt;&gt;"")*(1/(1+EXP(-(Z773-'03_Lap_b'!$B$40:$AW$40)))))</f>
        <v/>
      </c>
      <c r="AB773" s="5">
        <f>SUMPRODUCT(('01_Data'!$B773:$AW773&lt;&gt;"")*(1/(1+EXP(-(Z773-'03_Lap_b'!$B$40:$AW$40))))^2)</f>
        <v/>
      </c>
      <c r="AC773" s="5">
        <f>MEDIAN(-6,Z773+(C773-AA773)/MAX(AA773-AB773,0.000000001),6)</f>
        <v/>
      </c>
    </row>
    <row r="774">
      <c r="A774" t="n">
        <v>773</v>
      </c>
      <c r="B774">
        <f>'01_Data'!A774</f>
        <v/>
      </c>
      <c r="C774">
        <f>SUM('01_Data'!$B774:$AW774)</f>
        <v/>
      </c>
      <c r="D774">
        <f>COUNT('01_Data'!$B774:$AW774)</f>
        <v/>
      </c>
      <c r="E774" s="5">
        <f>MEDIAN(-6,LN((C774+0.3)/(D774-C774+0.3)),6)</f>
        <v/>
      </c>
      <c r="F774" s="5">
        <f>SUMPRODUCT(('01_Data'!$B774:$AW774&lt;&gt;"")*(1/(1+EXP(-(E774-'03_Lap_b'!$B$5:$AW$5)))))</f>
        <v/>
      </c>
      <c r="G774" s="5">
        <f>SUMPRODUCT(('01_Data'!$B774:$AW774&lt;&gt;"")*(1/(1+EXP(-(E774-'03_Lap_b'!$B$5:$AW$5))))^2)</f>
        <v/>
      </c>
      <c r="H774" s="5">
        <f>MEDIAN(-6,E774+(C774-F774)/MAX(F774-G774,0.000000001),6)</f>
        <v/>
      </c>
      <c r="I774" s="5">
        <f>SUMPRODUCT(('01_Data'!$B774:$AW774&lt;&gt;"")*(1/(1+EXP(-(H774-'03_Lap_b'!$B$10:$AW$10)))))</f>
        <v/>
      </c>
      <c r="J774" s="5">
        <f>SUMPRODUCT(('01_Data'!$B774:$AW774&lt;&gt;"")*(1/(1+EXP(-(H774-'03_Lap_b'!$B$10:$AW$10))))^2)</f>
        <v/>
      </c>
      <c r="K774" s="5">
        <f>MEDIAN(-6,H774+(C774-I774)/MAX(I774-J774,0.000000001),6)</f>
        <v/>
      </c>
      <c r="L774" s="5">
        <f>SUMPRODUCT(('01_Data'!$B774:$AW774&lt;&gt;"")*(1/(1+EXP(-(K774-'03_Lap_b'!$B$15:$AW$15)))))</f>
        <v/>
      </c>
      <c r="M774" s="5">
        <f>SUMPRODUCT(('01_Data'!$B774:$AW774&lt;&gt;"")*(1/(1+EXP(-(K774-'03_Lap_b'!$B$15:$AW$15))))^2)</f>
        <v/>
      </c>
      <c r="N774" s="5">
        <f>MEDIAN(-6,K774+(C774-L774)/MAX(L774-M774,0.000000001),6)</f>
        <v/>
      </c>
      <c r="O774" s="5">
        <f>SUMPRODUCT(('01_Data'!$B774:$AW774&lt;&gt;"")*(1/(1+EXP(-(N774-'03_Lap_b'!$B$20:$AW$20)))))</f>
        <v/>
      </c>
      <c r="P774" s="5">
        <f>SUMPRODUCT(('01_Data'!$B774:$AW774&lt;&gt;"")*(1/(1+EXP(-(N774-'03_Lap_b'!$B$20:$AW$20))))^2)</f>
        <v/>
      </c>
      <c r="Q774" s="5">
        <f>MEDIAN(-6,N774+(C774-O774)/MAX(O774-P774,0.000000001),6)</f>
        <v/>
      </c>
      <c r="R774" s="5">
        <f>SUMPRODUCT(('01_Data'!$B774:$AW774&lt;&gt;"")*(1/(1+EXP(-(Q774-'03_Lap_b'!$B$25:$AW$25)))))</f>
        <v/>
      </c>
      <c r="S774" s="5">
        <f>SUMPRODUCT(('01_Data'!$B774:$AW774&lt;&gt;"")*(1/(1+EXP(-(Q774-'03_Lap_b'!$B$25:$AW$25))))^2)</f>
        <v/>
      </c>
      <c r="T774" s="5">
        <f>MEDIAN(-6,Q774+(C774-R774)/MAX(R774-S774,0.000000001),6)</f>
        <v/>
      </c>
      <c r="U774" s="5">
        <f>SUMPRODUCT(('01_Data'!$B774:$AW774&lt;&gt;"")*(1/(1+EXP(-(T774-'03_Lap_b'!$B$30:$AW$30)))))</f>
        <v/>
      </c>
      <c r="V774" s="5">
        <f>SUMPRODUCT(('01_Data'!$B774:$AW774&lt;&gt;"")*(1/(1+EXP(-(T774-'03_Lap_b'!$B$30:$AW$30))))^2)</f>
        <v/>
      </c>
      <c r="W774" s="5">
        <f>MEDIAN(-6,T774+(C774-U774)/MAX(U774-V774,0.000000001),6)</f>
        <v/>
      </c>
      <c r="X774" s="5">
        <f>SUMPRODUCT(('01_Data'!$B774:$AW774&lt;&gt;"")*(1/(1+EXP(-(W774-'03_Lap_b'!$B$35:$AW$35)))))</f>
        <v/>
      </c>
      <c r="Y774" s="5">
        <f>SUMPRODUCT(('01_Data'!$B774:$AW774&lt;&gt;"")*(1/(1+EXP(-(W774-'03_Lap_b'!$B$35:$AW$35))))^2)</f>
        <v/>
      </c>
      <c r="Z774" s="5">
        <f>MEDIAN(-6,W774+(C774-X774)/MAX(X774-Y774,0.000000001),6)</f>
        <v/>
      </c>
      <c r="AA774" s="5">
        <f>SUMPRODUCT(('01_Data'!$B774:$AW774&lt;&gt;"")*(1/(1+EXP(-(Z774-'03_Lap_b'!$B$40:$AW$40)))))</f>
        <v/>
      </c>
      <c r="AB774" s="5">
        <f>SUMPRODUCT(('01_Data'!$B774:$AW774&lt;&gt;"")*(1/(1+EXP(-(Z774-'03_Lap_b'!$B$40:$AW$40))))^2)</f>
        <v/>
      </c>
      <c r="AC774" s="5">
        <f>MEDIAN(-6,Z774+(C774-AA774)/MAX(AA774-AB774,0.000000001),6)</f>
        <v/>
      </c>
    </row>
    <row r="775">
      <c r="A775" t="n">
        <v>774</v>
      </c>
      <c r="B775">
        <f>'01_Data'!A775</f>
        <v/>
      </c>
      <c r="C775">
        <f>SUM('01_Data'!$B775:$AW775)</f>
        <v/>
      </c>
      <c r="D775">
        <f>COUNT('01_Data'!$B775:$AW775)</f>
        <v/>
      </c>
      <c r="E775" s="5">
        <f>MEDIAN(-6,LN((C775+0.3)/(D775-C775+0.3)),6)</f>
        <v/>
      </c>
      <c r="F775" s="5">
        <f>SUMPRODUCT(('01_Data'!$B775:$AW775&lt;&gt;"")*(1/(1+EXP(-(E775-'03_Lap_b'!$B$5:$AW$5)))))</f>
        <v/>
      </c>
      <c r="G775" s="5">
        <f>SUMPRODUCT(('01_Data'!$B775:$AW775&lt;&gt;"")*(1/(1+EXP(-(E775-'03_Lap_b'!$B$5:$AW$5))))^2)</f>
        <v/>
      </c>
      <c r="H775" s="5">
        <f>MEDIAN(-6,E775+(C775-F775)/MAX(F775-G775,0.000000001),6)</f>
        <v/>
      </c>
      <c r="I775" s="5">
        <f>SUMPRODUCT(('01_Data'!$B775:$AW775&lt;&gt;"")*(1/(1+EXP(-(H775-'03_Lap_b'!$B$10:$AW$10)))))</f>
        <v/>
      </c>
      <c r="J775" s="5">
        <f>SUMPRODUCT(('01_Data'!$B775:$AW775&lt;&gt;"")*(1/(1+EXP(-(H775-'03_Lap_b'!$B$10:$AW$10))))^2)</f>
        <v/>
      </c>
      <c r="K775" s="5">
        <f>MEDIAN(-6,H775+(C775-I775)/MAX(I775-J775,0.000000001),6)</f>
        <v/>
      </c>
      <c r="L775" s="5">
        <f>SUMPRODUCT(('01_Data'!$B775:$AW775&lt;&gt;"")*(1/(1+EXP(-(K775-'03_Lap_b'!$B$15:$AW$15)))))</f>
        <v/>
      </c>
      <c r="M775" s="5">
        <f>SUMPRODUCT(('01_Data'!$B775:$AW775&lt;&gt;"")*(1/(1+EXP(-(K775-'03_Lap_b'!$B$15:$AW$15))))^2)</f>
        <v/>
      </c>
      <c r="N775" s="5">
        <f>MEDIAN(-6,K775+(C775-L775)/MAX(L775-M775,0.000000001),6)</f>
        <v/>
      </c>
      <c r="O775" s="5">
        <f>SUMPRODUCT(('01_Data'!$B775:$AW775&lt;&gt;"")*(1/(1+EXP(-(N775-'03_Lap_b'!$B$20:$AW$20)))))</f>
        <v/>
      </c>
      <c r="P775" s="5">
        <f>SUMPRODUCT(('01_Data'!$B775:$AW775&lt;&gt;"")*(1/(1+EXP(-(N775-'03_Lap_b'!$B$20:$AW$20))))^2)</f>
        <v/>
      </c>
      <c r="Q775" s="5">
        <f>MEDIAN(-6,N775+(C775-O775)/MAX(O775-P775,0.000000001),6)</f>
        <v/>
      </c>
      <c r="R775" s="5">
        <f>SUMPRODUCT(('01_Data'!$B775:$AW775&lt;&gt;"")*(1/(1+EXP(-(Q775-'03_Lap_b'!$B$25:$AW$25)))))</f>
        <v/>
      </c>
      <c r="S775" s="5">
        <f>SUMPRODUCT(('01_Data'!$B775:$AW775&lt;&gt;"")*(1/(1+EXP(-(Q775-'03_Lap_b'!$B$25:$AW$25))))^2)</f>
        <v/>
      </c>
      <c r="T775" s="5">
        <f>MEDIAN(-6,Q775+(C775-R775)/MAX(R775-S775,0.000000001),6)</f>
        <v/>
      </c>
      <c r="U775" s="5">
        <f>SUMPRODUCT(('01_Data'!$B775:$AW775&lt;&gt;"")*(1/(1+EXP(-(T775-'03_Lap_b'!$B$30:$AW$30)))))</f>
        <v/>
      </c>
      <c r="V775" s="5">
        <f>SUMPRODUCT(('01_Data'!$B775:$AW775&lt;&gt;"")*(1/(1+EXP(-(T775-'03_Lap_b'!$B$30:$AW$30))))^2)</f>
        <v/>
      </c>
      <c r="W775" s="5">
        <f>MEDIAN(-6,T775+(C775-U775)/MAX(U775-V775,0.000000001),6)</f>
        <v/>
      </c>
      <c r="X775" s="5">
        <f>SUMPRODUCT(('01_Data'!$B775:$AW775&lt;&gt;"")*(1/(1+EXP(-(W775-'03_Lap_b'!$B$35:$AW$35)))))</f>
        <v/>
      </c>
      <c r="Y775" s="5">
        <f>SUMPRODUCT(('01_Data'!$B775:$AW775&lt;&gt;"")*(1/(1+EXP(-(W775-'03_Lap_b'!$B$35:$AW$35))))^2)</f>
        <v/>
      </c>
      <c r="Z775" s="5">
        <f>MEDIAN(-6,W775+(C775-X775)/MAX(X775-Y775,0.000000001),6)</f>
        <v/>
      </c>
      <c r="AA775" s="5">
        <f>SUMPRODUCT(('01_Data'!$B775:$AW775&lt;&gt;"")*(1/(1+EXP(-(Z775-'03_Lap_b'!$B$40:$AW$40)))))</f>
        <v/>
      </c>
      <c r="AB775" s="5">
        <f>SUMPRODUCT(('01_Data'!$B775:$AW775&lt;&gt;"")*(1/(1+EXP(-(Z775-'03_Lap_b'!$B$40:$AW$40))))^2)</f>
        <v/>
      </c>
      <c r="AC775" s="5">
        <f>MEDIAN(-6,Z775+(C775-AA775)/MAX(AA775-AB775,0.000000001),6)</f>
        <v/>
      </c>
    </row>
    <row r="776">
      <c r="A776" t="n">
        <v>775</v>
      </c>
      <c r="B776">
        <f>'01_Data'!A776</f>
        <v/>
      </c>
      <c r="C776">
        <f>SUM('01_Data'!$B776:$AW776)</f>
        <v/>
      </c>
      <c r="D776">
        <f>COUNT('01_Data'!$B776:$AW776)</f>
        <v/>
      </c>
      <c r="E776" s="5">
        <f>MEDIAN(-6,LN((C776+0.3)/(D776-C776+0.3)),6)</f>
        <v/>
      </c>
      <c r="F776" s="5">
        <f>SUMPRODUCT(('01_Data'!$B776:$AW776&lt;&gt;"")*(1/(1+EXP(-(E776-'03_Lap_b'!$B$5:$AW$5)))))</f>
        <v/>
      </c>
      <c r="G776" s="5">
        <f>SUMPRODUCT(('01_Data'!$B776:$AW776&lt;&gt;"")*(1/(1+EXP(-(E776-'03_Lap_b'!$B$5:$AW$5))))^2)</f>
        <v/>
      </c>
      <c r="H776" s="5">
        <f>MEDIAN(-6,E776+(C776-F776)/MAX(F776-G776,0.000000001),6)</f>
        <v/>
      </c>
      <c r="I776" s="5">
        <f>SUMPRODUCT(('01_Data'!$B776:$AW776&lt;&gt;"")*(1/(1+EXP(-(H776-'03_Lap_b'!$B$10:$AW$10)))))</f>
        <v/>
      </c>
      <c r="J776" s="5">
        <f>SUMPRODUCT(('01_Data'!$B776:$AW776&lt;&gt;"")*(1/(1+EXP(-(H776-'03_Lap_b'!$B$10:$AW$10))))^2)</f>
        <v/>
      </c>
      <c r="K776" s="5">
        <f>MEDIAN(-6,H776+(C776-I776)/MAX(I776-J776,0.000000001),6)</f>
        <v/>
      </c>
      <c r="L776" s="5">
        <f>SUMPRODUCT(('01_Data'!$B776:$AW776&lt;&gt;"")*(1/(1+EXP(-(K776-'03_Lap_b'!$B$15:$AW$15)))))</f>
        <v/>
      </c>
      <c r="M776" s="5">
        <f>SUMPRODUCT(('01_Data'!$B776:$AW776&lt;&gt;"")*(1/(1+EXP(-(K776-'03_Lap_b'!$B$15:$AW$15))))^2)</f>
        <v/>
      </c>
      <c r="N776" s="5">
        <f>MEDIAN(-6,K776+(C776-L776)/MAX(L776-M776,0.000000001),6)</f>
        <v/>
      </c>
      <c r="O776" s="5">
        <f>SUMPRODUCT(('01_Data'!$B776:$AW776&lt;&gt;"")*(1/(1+EXP(-(N776-'03_Lap_b'!$B$20:$AW$20)))))</f>
        <v/>
      </c>
      <c r="P776" s="5">
        <f>SUMPRODUCT(('01_Data'!$B776:$AW776&lt;&gt;"")*(1/(1+EXP(-(N776-'03_Lap_b'!$B$20:$AW$20))))^2)</f>
        <v/>
      </c>
      <c r="Q776" s="5">
        <f>MEDIAN(-6,N776+(C776-O776)/MAX(O776-P776,0.000000001),6)</f>
        <v/>
      </c>
      <c r="R776" s="5">
        <f>SUMPRODUCT(('01_Data'!$B776:$AW776&lt;&gt;"")*(1/(1+EXP(-(Q776-'03_Lap_b'!$B$25:$AW$25)))))</f>
        <v/>
      </c>
      <c r="S776" s="5">
        <f>SUMPRODUCT(('01_Data'!$B776:$AW776&lt;&gt;"")*(1/(1+EXP(-(Q776-'03_Lap_b'!$B$25:$AW$25))))^2)</f>
        <v/>
      </c>
      <c r="T776" s="5">
        <f>MEDIAN(-6,Q776+(C776-R776)/MAX(R776-S776,0.000000001),6)</f>
        <v/>
      </c>
      <c r="U776" s="5">
        <f>SUMPRODUCT(('01_Data'!$B776:$AW776&lt;&gt;"")*(1/(1+EXP(-(T776-'03_Lap_b'!$B$30:$AW$30)))))</f>
        <v/>
      </c>
      <c r="V776" s="5">
        <f>SUMPRODUCT(('01_Data'!$B776:$AW776&lt;&gt;"")*(1/(1+EXP(-(T776-'03_Lap_b'!$B$30:$AW$30))))^2)</f>
        <v/>
      </c>
      <c r="W776" s="5">
        <f>MEDIAN(-6,T776+(C776-U776)/MAX(U776-V776,0.000000001),6)</f>
        <v/>
      </c>
      <c r="X776" s="5">
        <f>SUMPRODUCT(('01_Data'!$B776:$AW776&lt;&gt;"")*(1/(1+EXP(-(W776-'03_Lap_b'!$B$35:$AW$35)))))</f>
        <v/>
      </c>
      <c r="Y776" s="5">
        <f>SUMPRODUCT(('01_Data'!$B776:$AW776&lt;&gt;"")*(1/(1+EXP(-(W776-'03_Lap_b'!$B$35:$AW$35))))^2)</f>
        <v/>
      </c>
      <c r="Z776" s="5">
        <f>MEDIAN(-6,W776+(C776-X776)/MAX(X776-Y776,0.000000001),6)</f>
        <v/>
      </c>
      <c r="AA776" s="5">
        <f>SUMPRODUCT(('01_Data'!$B776:$AW776&lt;&gt;"")*(1/(1+EXP(-(Z776-'03_Lap_b'!$B$40:$AW$40)))))</f>
        <v/>
      </c>
      <c r="AB776" s="5">
        <f>SUMPRODUCT(('01_Data'!$B776:$AW776&lt;&gt;"")*(1/(1+EXP(-(Z776-'03_Lap_b'!$B$40:$AW$40))))^2)</f>
        <v/>
      </c>
      <c r="AC776" s="5">
        <f>MEDIAN(-6,Z776+(C776-AA776)/MAX(AA776-AB776,0.000000001),6)</f>
        <v/>
      </c>
    </row>
    <row r="777">
      <c r="A777" t="n">
        <v>776</v>
      </c>
      <c r="B777">
        <f>'01_Data'!A777</f>
        <v/>
      </c>
      <c r="C777">
        <f>SUM('01_Data'!$B777:$AW777)</f>
        <v/>
      </c>
      <c r="D777">
        <f>COUNT('01_Data'!$B777:$AW777)</f>
        <v/>
      </c>
      <c r="E777" s="5">
        <f>MEDIAN(-6,LN((C777+0.3)/(D777-C777+0.3)),6)</f>
        <v/>
      </c>
      <c r="F777" s="5">
        <f>SUMPRODUCT(('01_Data'!$B777:$AW777&lt;&gt;"")*(1/(1+EXP(-(E777-'03_Lap_b'!$B$5:$AW$5)))))</f>
        <v/>
      </c>
      <c r="G777" s="5">
        <f>SUMPRODUCT(('01_Data'!$B777:$AW777&lt;&gt;"")*(1/(1+EXP(-(E777-'03_Lap_b'!$B$5:$AW$5))))^2)</f>
        <v/>
      </c>
      <c r="H777" s="5">
        <f>MEDIAN(-6,E777+(C777-F777)/MAX(F777-G777,0.000000001),6)</f>
        <v/>
      </c>
      <c r="I777" s="5">
        <f>SUMPRODUCT(('01_Data'!$B777:$AW777&lt;&gt;"")*(1/(1+EXP(-(H777-'03_Lap_b'!$B$10:$AW$10)))))</f>
        <v/>
      </c>
      <c r="J777" s="5">
        <f>SUMPRODUCT(('01_Data'!$B777:$AW777&lt;&gt;"")*(1/(1+EXP(-(H777-'03_Lap_b'!$B$10:$AW$10))))^2)</f>
        <v/>
      </c>
      <c r="K777" s="5">
        <f>MEDIAN(-6,H777+(C777-I777)/MAX(I777-J777,0.000000001),6)</f>
        <v/>
      </c>
      <c r="L777" s="5">
        <f>SUMPRODUCT(('01_Data'!$B777:$AW777&lt;&gt;"")*(1/(1+EXP(-(K777-'03_Lap_b'!$B$15:$AW$15)))))</f>
        <v/>
      </c>
      <c r="M777" s="5">
        <f>SUMPRODUCT(('01_Data'!$B777:$AW777&lt;&gt;"")*(1/(1+EXP(-(K777-'03_Lap_b'!$B$15:$AW$15))))^2)</f>
        <v/>
      </c>
      <c r="N777" s="5">
        <f>MEDIAN(-6,K777+(C777-L777)/MAX(L777-M777,0.000000001),6)</f>
        <v/>
      </c>
      <c r="O777" s="5">
        <f>SUMPRODUCT(('01_Data'!$B777:$AW777&lt;&gt;"")*(1/(1+EXP(-(N777-'03_Lap_b'!$B$20:$AW$20)))))</f>
        <v/>
      </c>
      <c r="P777" s="5">
        <f>SUMPRODUCT(('01_Data'!$B777:$AW777&lt;&gt;"")*(1/(1+EXP(-(N777-'03_Lap_b'!$B$20:$AW$20))))^2)</f>
        <v/>
      </c>
      <c r="Q777" s="5">
        <f>MEDIAN(-6,N777+(C777-O777)/MAX(O777-P777,0.000000001),6)</f>
        <v/>
      </c>
      <c r="R777" s="5">
        <f>SUMPRODUCT(('01_Data'!$B777:$AW777&lt;&gt;"")*(1/(1+EXP(-(Q777-'03_Lap_b'!$B$25:$AW$25)))))</f>
        <v/>
      </c>
      <c r="S777" s="5">
        <f>SUMPRODUCT(('01_Data'!$B777:$AW777&lt;&gt;"")*(1/(1+EXP(-(Q777-'03_Lap_b'!$B$25:$AW$25))))^2)</f>
        <v/>
      </c>
      <c r="T777" s="5">
        <f>MEDIAN(-6,Q777+(C777-R777)/MAX(R777-S777,0.000000001),6)</f>
        <v/>
      </c>
      <c r="U777" s="5">
        <f>SUMPRODUCT(('01_Data'!$B777:$AW777&lt;&gt;"")*(1/(1+EXP(-(T777-'03_Lap_b'!$B$30:$AW$30)))))</f>
        <v/>
      </c>
      <c r="V777" s="5">
        <f>SUMPRODUCT(('01_Data'!$B777:$AW777&lt;&gt;"")*(1/(1+EXP(-(T777-'03_Lap_b'!$B$30:$AW$30))))^2)</f>
        <v/>
      </c>
      <c r="W777" s="5">
        <f>MEDIAN(-6,T777+(C777-U777)/MAX(U777-V777,0.000000001),6)</f>
        <v/>
      </c>
      <c r="X777" s="5">
        <f>SUMPRODUCT(('01_Data'!$B777:$AW777&lt;&gt;"")*(1/(1+EXP(-(W777-'03_Lap_b'!$B$35:$AW$35)))))</f>
        <v/>
      </c>
      <c r="Y777" s="5">
        <f>SUMPRODUCT(('01_Data'!$B777:$AW777&lt;&gt;"")*(1/(1+EXP(-(W777-'03_Lap_b'!$B$35:$AW$35))))^2)</f>
        <v/>
      </c>
      <c r="Z777" s="5">
        <f>MEDIAN(-6,W777+(C777-X777)/MAX(X777-Y777,0.000000001),6)</f>
        <v/>
      </c>
      <c r="AA777" s="5">
        <f>SUMPRODUCT(('01_Data'!$B777:$AW777&lt;&gt;"")*(1/(1+EXP(-(Z777-'03_Lap_b'!$B$40:$AW$40)))))</f>
        <v/>
      </c>
      <c r="AB777" s="5">
        <f>SUMPRODUCT(('01_Data'!$B777:$AW777&lt;&gt;"")*(1/(1+EXP(-(Z777-'03_Lap_b'!$B$40:$AW$40))))^2)</f>
        <v/>
      </c>
      <c r="AC777" s="5">
        <f>MEDIAN(-6,Z777+(C777-AA777)/MAX(AA777-AB777,0.000000001),6)</f>
        <v/>
      </c>
    </row>
    <row r="778">
      <c r="A778" t="n">
        <v>777</v>
      </c>
      <c r="B778">
        <f>'01_Data'!A778</f>
        <v/>
      </c>
      <c r="C778">
        <f>SUM('01_Data'!$B778:$AW778)</f>
        <v/>
      </c>
      <c r="D778">
        <f>COUNT('01_Data'!$B778:$AW778)</f>
        <v/>
      </c>
      <c r="E778" s="5">
        <f>MEDIAN(-6,LN((C778+0.3)/(D778-C778+0.3)),6)</f>
        <v/>
      </c>
      <c r="F778" s="5">
        <f>SUMPRODUCT(('01_Data'!$B778:$AW778&lt;&gt;"")*(1/(1+EXP(-(E778-'03_Lap_b'!$B$5:$AW$5)))))</f>
        <v/>
      </c>
      <c r="G778" s="5">
        <f>SUMPRODUCT(('01_Data'!$B778:$AW778&lt;&gt;"")*(1/(1+EXP(-(E778-'03_Lap_b'!$B$5:$AW$5))))^2)</f>
        <v/>
      </c>
      <c r="H778" s="5">
        <f>MEDIAN(-6,E778+(C778-F778)/MAX(F778-G778,0.000000001),6)</f>
        <v/>
      </c>
      <c r="I778" s="5">
        <f>SUMPRODUCT(('01_Data'!$B778:$AW778&lt;&gt;"")*(1/(1+EXP(-(H778-'03_Lap_b'!$B$10:$AW$10)))))</f>
        <v/>
      </c>
      <c r="J778" s="5">
        <f>SUMPRODUCT(('01_Data'!$B778:$AW778&lt;&gt;"")*(1/(1+EXP(-(H778-'03_Lap_b'!$B$10:$AW$10))))^2)</f>
        <v/>
      </c>
      <c r="K778" s="5">
        <f>MEDIAN(-6,H778+(C778-I778)/MAX(I778-J778,0.000000001),6)</f>
        <v/>
      </c>
      <c r="L778" s="5">
        <f>SUMPRODUCT(('01_Data'!$B778:$AW778&lt;&gt;"")*(1/(1+EXP(-(K778-'03_Lap_b'!$B$15:$AW$15)))))</f>
        <v/>
      </c>
      <c r="M778" s="5">
        <f>SUMPRODUCT(('01_Data'!$B778:$AW778&lt;&gt;"")*(1/(1+EXP(-(K778-'03_Lap_b'!$B$15:$AW$15))))^2)</f>
        <v/>
      </c>
      <c r="N778" s="5">
        <f>MEDIAN(-6,K778+(C778-L778)/MAX(L778-M778,0.000000001),6)</f>
        <v/>
      </c>
      <c r="O778" s="5">
        <f>SUMPRODUCT(('01_Data'!$B778:$AW778&lt;&gt;"")*(1/(1+EXP(-(N778-'03_Lap_b'!$B$20:$AW$20)))))</f>
        <v/>
      </c>
      <c r="P778" s="5">
        <f>SUMPRODUCT(('01_Data'!$B778:$AW778&lt;&gt;"")*(1/(1+EXP(-(N778-'03_Lap_b'!$B$20:$AW$20))))^2)</f>
        <v/>
      </c>
      <c r="Q778" s="5">
        <f>MEDIAN(-6,N778+(C778-O778)/MAX(O778-P778,0.000000001),6)</f>
        <v/>
      </c>
      <c r="R778" s="5">
        <f>SUMPRODUCT(('01_Data'!$B778:$AW778&lt;&gt;"")*(1/(1+EXP(-(Q778-'03_Lap_b'!$B$25:$AW$25)))))</f>
        <v/>
      </c>
      <c r="S778" s="5">
        <f>SUMPRODUCT(('01_Data'!$B778:$AW778&lt;&gt;"")*(1/(1+EXP(-(Q778-'03_Lap_b'!$B$25:$AW$25))))^2)</f>
        <v/>
      </c>
      <c r="T778" s="5">
        <f>MEDIAN(-6,Q778+(C778-R778)/MAX(R778-S778,0.000000001),6)</f>
        <v/>
      </c>
      <c r="U778" s="5">
        <f>SUMPRODUCT(('01_Data'!$B778:$AW778&lt;&gt;"")*(1/(1+EXP(-(T778-'03_Lap_b'!$B$30:$AW$30)))))</f>
        <v/>
      </c>
      <c r="V778" s="5">
        <f>SUMPRODUCT(('01_Data'!$B778:$AW778&lt;&gt;"")*(1/(1+EXP(-(T778-'03_Lap_b'!$B$30:$AW$30))))^2)</f>
        <v/>
      </c>
      <c r="W778" s="5">
        <f>MEDIAN(-6,T778+(C778-U778)/MAX(U778-V778,0.000000001),6)</f>
        <v/>
      </c>
      <c r="X778" s="5">
        <f>SUMPRODUCT(('01_Data'!$B778:$AW778&lt;&gt;"")*(1/(1+EXP(-(W778-'03_Lap_b'!$B$35:$AW$35)))))</f>
        <v/>
      </c>
      <c r="Y778" s="5">
        <f>SUMPRODUCT(('01_Data'!$B778:$AW778&lt;&gt;"")*(1/(1+EXP(-(W778-'03_Lap_b'!$B$35:$AW$35))))^2)</f>
        <v/>
      </c>
      <c r="Z778" s="5">
        <f>MEDIAN(-6,W778+(C778-X778)/MAX(X778-Y778,0.000000001),6)</f>
        <v/>
      </c>
      <c r="AA778" s="5">
        <f>SUMPRODUCT(('01_Data'!$B778:$AW778&lt;&gt;"")*(1/(1+EXP(-(Z778-'03_Lap_b'!$B$40:$AW$40)))))</f>
        <v/>
      </c>
      <c r="AB778" s="5">
        <f>SUMPRODUCT(('01_Data'!$B778:$AW778&lt;&gt;"")*(1/(1+EXP(-(Z778-'03_Lap_b'!$B$40:$AW$40))))^2)</f>
        <v/>
      </c>
      <c r="AC778" s="5">
        <f>MEDIAN(-6,Z778+(C778-AA778)/MAX(AA778-AB778,0.000000001),6)</f>
        <v/>
      </c>
    </row>
    <row r="779">
      <c r="A779" t="n">
        <v>778</v>
      </c>
      <c r="B779">
        <f>'01_Data'!A779</f>
        <v/>
      </c>
      <c r="C779">
        <f>SUM('01_Data'!$B779:$AW779)</f>
        <v/>
      </c>
      <c r="D779">
        <f>COUNT('01_Data'!$B779:$AW779)</f>
        <v/>
      </c>
      <c r="E779" s="5">
        <f>MEDIAN(-6,LN((C779+0.3)/(D779-C779+0.3)),6)</f>
        <v/>
      </c>
      <c r="F779" s="5">
        <f>SUMPRODUCT(('01_Data'!$B779:$AW779&lt;&gt;"")*(1/(1+EXP(-(E779-'03_Lap_b'!$B$5:$AW$5)))))</f>
        <v/>
      </c>
      <c r="G779" s="5">
        <f>SUMPRODUCT(('01_Data'!$B779:$AW779&lt;&gt;"")*(1/(1+EXP(-(E779-'03_Lap_b'!$B$5:$AW$5))))^2)</f>
        <v/>
      </c>
      <c r="H779" s="5">
        <f>MEDIAN(-6,E779+(C779-F779)/MAX(F779-G779,0.000000001),6)</f>
        <v/>
      </c>
      <c r="I779" s="5">
        <f>SUMPRODUCT(('01_Data'!$B779:$AW779&lt;&gt;"")*(1/(1+EXP(-(H779-'03_Lap_b'!$B$10:$AW$10)))))</f>
        <v/>
      </c>
      <c r="J779" s="5">
        <f>SUMPRODUCT(('01_Data'!$B779:$AW779&lt;&gt;"")*(1/(1+EXP(-(H779-'03_Lap_b'!$B$10:$AW$10))))^2)</f>
        <v/>
      </c>
      <c r="K779" s="5">
        <f>MEDIAN(-6,H779+(C779-I779)/MAX(I779-J779,0.000000001),6)</f>
        <v/>
      </c>
      <c r="L779" s="5">
        <f>SUMPRODUCT(('01_Data'!$B779:$AW779&lt;&gt;"")*(1/(1+EXP(-(K779-'03_Lap_b'!$B$15:$AW$15)))))</f>
        <v/>
      </c>
      <c r="M779" s="5">
        <f>SUMPRODUCT(('01_Data'!$B779:$AW779&lt;&gt;"")*(1/(1+EXP(-(K779-'03_Lap_b'!$B$15:$AW$15))))^2)</f>
        <v/>
      </c>
      <c r="N779" s="5">
        <f>MEDIAN(-6,K779+(C779-L779)/MAX(L779-M779,0.000000001),6)</f>
        <v/>
      </c>
      <c r="O779" s="5">
        <f>SUMPRODUCT(('01_Data'!$B779:$AW779&lt;&gt;"")*(1/(1+EXP(-(N779-'03_Lap_b'!$B$20:$AW$20)))))</f>
        <v/>
      </c>
      <c r="P779" s="5">
        <f>SUMPRODUCT(('01_Data'!$B779:$AW779&lt;&gt;"")*(1/(1+EXP(-(N779-'03_Lap_b'!$B$20:$AW$20))))^2)</f>
        <v/>
      </c>
      <c r="Q779" s="5">
        <f>MEDIAN(-6,N779+(C779-O779)/MAX(O779-P779,0.000000001),6)</f>
        <v/>
      </c>
      <c r="R779" s="5">
        <f>SUMPRODUCT(('01_Data'!$B779:$AW779&lt;&gt;"")*(1/(1+EXP(-(Q779-'03_Lap_b'!$B$25:$AW$25)))))</f>
        <v/>
      </c>
      <c r="S779" s="5">
        <f>SUMPRODUCT(('01_Data'!$B779:$AW779&lt;&gt;"")*(1/(1+EXP(-(Q779-'03_Lap_b'!$B$25:$AW$25))))^2)</f>
        <v/>
      </c>
      <c r="T779" s="5">
        <f>MEDIAN(-6,Q779+(C779-R779)/MAX(R779-S779,0.000000001),6)</f>
        <v/>
      </c>
      <c r="U779" s="5">
        <f>SUMPRODUCT(('01_Data'!$B779:$AW779&lt;&gt;"")*(1/(1+EXP(-(T779-'03_Lap_b'!$B$30:$AW$30)))))</f>
        <v/>
      </c>
      <c r="V779" s="5">
        <f>SUMPRODUCT(('01_Data'!$B779:$AW779&lt;&gt;"")*(1/(1+EXP(-(T779-'03_Lap_b'!$B$30:$AW$30))))^2)</f>
        <v/>
      </c>
      <c r="W779" s="5">
        <f>MEDIAN(-6,T779+(C779-U779)/MAX(U779-V779,0.000000001),6)</f>
        <v/>
      </c>
      <c r="X779" s="5">
        <f>SUMPRODUCT(('01_Data'!$B779:$AW779&lt;&gt;"")*(1/(1+EXP(-(W779-'03_Lap_b'!$B$35:$AW$35)))))</f>
        <v/>
      </c>
      <c r="Y779" s="5">
        <f>SUMPRODUCT(('01_Data'!$B779:$AW779&lt;&gt;"")*(1/(1+EXP(-(W779-'03_Lap_b'!$B$35:$AW$35))))^2)</f>
        <v/>
      </c>
      <c r="Z779" s="5">
        <f>MEDIAN(-6,W779+(C779-X779)/MAX(X779-Y779,0.000000001),6)</f>
        <v/>
      </c>
      <c r="AA779" s="5">
        <f>SUMPRODUCT(('01_Data'!$B779:$AW779&lt;&gt;"")*(1/(1+EXP(-(Z779-'03_Lap_b'!$B$40:$AW$40)))))</f>
        <v/>
      </c>
      <c r="AB779" s="5">
        <f>SUMPRODUCT(('01_Data'!$B779:$AW779&lt;&gt;"")*(1/(1+EXP(-(Z779-'03_Lap_b'!$B$40:$AW$40))))^2)</f>
        <v/>
      </c>
      <c r="AC779" s="5">
        <f>MEDIAN(-6,Z779+(C779-AA779)/MAX(AA779-AB779,0.000000001),6)</f>
        <v/>
      </c>
    </row>
    <row r="780">
      <c r="A780" t="n">
        <v>779</v>
      </c>
      <c r="B780">
        <f>'01_Data'!A780</f>
        <v/>
      </c>
      <c r="C780">
        <f>SUM('01_Data'!$B780:$AW780)</f>
        <v/>
      </c>
      <c r="D780">
        <f>COUNT('01_Data'!$B780:$AW780)</f>
        <v/>
      </c>
      <c r="E780" s="5">
        <f>MEDIAN(-6,LN((C780+0.3)/(D780-C780+0.3)),6)</f>
        <v/>
      </c>
      <c r="F780" s="5">
        <f>SUMPRODUCT(('01_Data'!$B780:$AW780&lt;&gt;"")*(1/(1+EXP(-(E780-'03_Lap_b'!$B$5:$AW$5)))))</f>
        <v/>
      </c>
      <c r="G780" s="5">
        <f>SUMPRODUCT(('01_Data'!$B780:$AW780&lt;&gt;"")*(1/(1+EXP(-(E780-'03_Lap_b'!$B$5:$AW$5))))^2)</f>
        <v/>
      </c>
      <c r="H780" s="5">
        <f>MEDIAN(-6,E780+(C780-F780)/MAX(F780-G780,0.000000001),6)</f>
        <v/>
      </c>
      <c r="I780" s="5">
        <f>SUMPRODUCT(('01_Data'!$B780:$AW780&lt;&gt;"")*(1/(1+EXP(-(H780-'03_Lap_b'!$B$10:$AW$10)))))</f>
        <v/>
      </c>
      <c r="J780" s="5">
        <f>SUMPRODUCT(('01_Data'!$B780:$AW780&lt;&gt;"")*(1/(1+EXP(-(H780-'03_Lap_b'!$B$10:$AW$10))))^2)</f>
        <v/>
      </c>
      <c r="K780" s="5">
        <f>MEDIAN(-6,H780+(C780-I780)/MAX(I780-J780,0.000000001),6)</f>
        <v/>
      </c>
      <c r="L780" s="5">
        <f>SUMPRODUCT(('01_Data'!$B780:$AW780&lt;&gt;"")*(1/(1+EXP(-(K780-'03_Lap_b'!$B$15:$AW$15)))))</f>
        <v/>
      </c>
      <c r="M780" s="5">
        <f>SUMPRODUCT(('01_Data'!$B780:$AW780&lt;&gt;"")*(1/(1+EXP(-(K780-'03_Lap_b'!$B$15:$AW$15))))^2)</f>
        <v/>
      </c>
      <c r="N780" s="5">
        <f>MEDIAN(-6,K780+(C780-L780)/MAX(L780-M780,0.000000001),6)</f>
        <v/>
      </c>
      <c r="O780" s="5">
        <f>SUMPRODUCT(('01_Data'!$B780:$AW780&lt;&gt;"")*(1/(1+EXP(-(N780-'03_Lap_b'!$B$20:$AW$20)))))</f>
        <v/>
      </c>
      <c r="P780" s="5">
        <f>SUMPRODUCT(('01_Data'!$B780:$AW780&lt;&gt;"")*(1/(1+EXP(-(N780-'03_Lap_b'!$B$20:$AW$20))))^2)</f>
        <v/>
      </c>
      <c r="Q780" s="5">
        <f>MEDIAN(-6,N780+(C780-O780)/MAX(O780-P780,0.000000001),6)</f>
        <v/>
      </c>
      <c r="R780" s="5">
        <f>SUMPRODUCT(('01_Data'!$B780:$AW780&lt;&gt;"")*(1/(1+EXP(-(Q780-'03_Lap_b'!$B$25:$AW$25)))))</f>
        <v/>
      </c>
      <c r="S780" s="5">
        <f>SUMPRODUCT(('01_Data'!$B780:$AW780&lt;&gt;"")*(1/(1+EXP(-(Q780-'03_Lap_b'!$B$25:$AW$25))))^2)</f>
        <v/>
      </c>
      <c r="T780" s="5">
        <f>MEDIAN(-6,Q780+(C780-R780)/MAX(R780-S780,0.000000001),6)</f>
        <v/>
      </c>
      <c r="U780" s="5">
        <f>SUMPRODUCT(('01_Data'!$B780:$AW780&lt;&gt;"")*(1/(1+EXP(-(T780-'03_Lap_b'!$B$30:$AW$30)))))</f>
        <v/>
      </c>
      <c r="V780" s="5">
        <f>SUMPRODUCT(('01_Data'!$B780:$AW780&lt;&gt;"")*(1/(1+EXP(-(T780-'03_Lap_b'!$B$30:$AW$30))))^2)</f>
        <v/>
      </c>
      <c r="W780" s="5">
        <f>MEDIAN(-6,T780+(C780-U780)/MAX(U780-V780,0.000000001),6)</f>
        <v/>
      </c>
      <c r="X780" s="5">
        <f>SUMPRODUCT(('01_Data'!$B780:$AW780&lt;&gt;"")*(1/(1+EXP(-(W780-'03_Lap_b'!$B$35:$AW$35)))))</f>
        <v/>
      </c>
      <c r="Y780" s="5">
        <f>SUMPRODUCT(('01_Data'!$B780:$AW780&lt;&gt;"")*(1/(1+EXP(-(W780-'03_Lap_b'!$B$35:$AW$35))))^2)</f>
        <v/>
      </c>
      <c r="Z780" s="5">
        <f>MEDIAN(-6,W780+(C780-X780)/MAX(X780-Y780,0.000000001),6)</f>
        <v/>
      </c>
      <c r="AA780" s="5">
        <f>SUMPRODUCT(('01_Data'!$B780:$AW780&lt;&gt;"")*(1/(1+EXP(-(Z780-'03_Lap_b'!$B$40:$AW$40)))))</f>
        <v/>
      </c>
      <c r="AB780" s="5">
        <f>SUMPRODUCT(('01_Data'!$B780:$AW780&lt;&gt;"")*(1/(1+EXP(-(Z780-'03_Lap_b'!$B$40:$AW$40))))^2)</f>
        <v/>
      </c>
      <c r="AC780" s="5">
        <f>MEDIAN(-6,Z780+(C780-AA780)/MAX(AA780-AB780,0.000000001),6)</f>
        <v/>
      </c>
    </row>
    <row r="781">
      <c r="A781" t="n">
        <v>780</v>
      </c>
      <c r="B781">
        <f>'01_Data'!A781</f>
        <v/>
      </c>
      <c r="C781">
        <f>SUM('01_Data'!$B781:$AW781)</f>
        <v/>
      </c>
      <c r="D781">
        <f>COUNT('01_Data'!$B781:$AW781)</f>
        <v/>
      </c>
      <c r="E781" s="5">
        <f>MEDIAN(-6,LN((C781+0.3)/(D781-C781+0.3)),6)</f>
        <v/>
      </c>
      <c r="F781" s="5">
        <f>SUMPRODUCT(('01_Data'!$B781:$AW781&lt;&gt;"")*(1/(1+EXP(-(E781-'03_Lap_b'!$B$5:$AW$5)))))</f>
        <v/>
      </c>
      <c r="G781" s="5">
        <f>SUMPRODUCT(('01_Data'!$B781:$AW781&lt;&gt;"")*(1/(1+EXP(-(E781-'03_Lap_b'!$B$5:$AW$5))))^2)</f>
        <v/>
      </c>
      <c r="H781" s="5">
        <f>MEDIAN(-6,E781+(C781-F781)/MAX(F781-G781,0.000000001),6)</f>
        <v/>
      </c>
      <c r="I781" s="5">
        <f>SUMPRODUCT(('01_Data'!$B781:$AW781&lt;&gt;"")*(1/(1+EXP(-(H781-'03_Lap_b'!$B$10:$AW$10)))))</f>
        <v/>
      </c>
      <c r="J781" s="5">
        <f>SUMPRODUCT(('01_Data'!$B781:$AW781&lt;&gt;"")*(1/(1+EXP(-(H781-'03_Lap_b'!$B$10:$AW$10))))^2)</f>
        <v/>
      </c>
      <c r="K781" s="5">
        <f>MEDIAN(-6,H781+(C781-I781)/MAX(I781-J781,0.000000001),6)</f>
        <v/>
      </c>
      <c r="L781" s="5">
        <f>SUMPRODUCT(('01_Data'!$B781:$AW781&lt;&gt;"")*(1/(1+EXP(-(K781-'03_Lap_b'!$B$15:$AW$15)))))</f>
        <v/>
      </c>
      <c r="M781" s="5">
        <f>SUMPRODUCT(('01_Data'!$B781:$AW781&lt;&gt;"")*(1/(1+EXP(-(K781-'03_Lap_b'!$B$15:$AW$15))))^2)</f>
        <v/>
      </c>
      <c r="N781" s="5">
        <f>MEDIAN(-6,K781+(C781-L781)/MAX(L781-M781,0.000000001),6)</f>
        <v/>
      </c>
      <c r="O781" s="5">
        <f>SUMPRODUCT(('01_Data'!$B781:$AW781&lt;&gt;"")*(1/(1+EXP(-(N781-'03_Lap_b'!$B$20:$AW$20)))))</f>
        <v/>
      </c>
      <c r="P781" s="5">
        <f>SUMPRODUCT(('01_Data'!$B781:$AW781&lt;&gt;"")*(1/(1+EXP(-(N781-'03_Lap_b'!$B$20:$AW$20))))^2)</f>
        <v/>
      </c>
      <c r="Q781" s="5">
        <f>MEDIAN(-6,N781+(C781-O781)/MAX(O781-P781,0.000000001),6)</f>
        <v/>
      </c>
      <c r="R781" s="5">
        <f>SUMPRODUCT(('01_Data'!$B781:$AW781&lt;&gt;"")*(1/(1+EXP(-(Q781-'03_Lap_b'!$B$25:$AW$25)))))</f>
        <v/>
      </c>
      <c r="S781" s="5">
        <f>SUMPRODUCT(('01_Data'!$B781:$AW781&lt;&gt;"")*(1/(1+EXP(-(Q781-'03_Lap_b'!$B$25:$AW$25))))^2)</f>
        <v/>
      </c>
      <c r="T781" s="5">
        <f>MEDIAN(-6,Q781+(C781-R781)/MAX(R781-S781,0.000000001),6)</f>
        <v/>
      </c>
      <c r="U781" s="5">
        <f>SUMPRODUCT(('01_Data'!$B781:$AW781&lt;&gt;"")*(1/(1+EXP(-(T781-'03_Lap_b'!$B$30:$AW$30)))))</f>
        <v/>
      </c>
      <c r="V781" s="5">
        <f>SUMPRODUCT(('01_Data'!$B781:$AW781&lt;&gt;"")*(1/(1+EXP(-(T781-'03_Lap_b'!$B$30:$AW$30))))^2)</f>
        <v/>
      </c>
      <c r="W781" s="5">
        <f>MEDIAN(-6,T781+(C781-U781)/MAX(U781-V781,0.000000001),6)</f>
        <v/>
      </c>
      <c r="X781" s="5">
        <f>SUMPRODUCT(('01_Data'!$B781:$AW781&lt;&gt;"")*(1/(1+EXP(-(W781-'03_Lap_b'!$B$35:$AW$35)))))</f>
        <v/>
      </c>
      <c r="Y781" s="5">
        <f>SUMPRODUCT(('01_Data'!$B781:$AW781&lt;&gt;"")*(1/(1+EXP(-(W781-'03_Lap_b'!$B$35:$AW$35))))^2)</f>
        <v/>
      </c>
      <c r="Z781" s="5">
        <f>MEDIAN(-6,W781+(C781-X781)/MAX(X781-Y781,0.000000001),6)</f>
        <v/>
      </c>
      <c r="AA781" s="5">
        <f>SUMPRODUCT(('01_Data'!$B781:$AW781&lt;&gt;"")*(1/(1+EXP(-(Z781-'03_Lap_b'!$B$40:$AW$40)))))</f>
        <v/>
      </c>
      <c r="AB781" s="5">
        <f>SUMPRODUCT(('01_Data'!$B781:$AW781&lt;&gt;"")*(1/(1+EXP(-(Z781-'03_Lap_b'!$B$40:$AW$40))))^2)</f>
        <v/>
      </c>
      <c r="AC781" s="5">
        <f>MEDIAN(-6,Z781+(C781-AA781)/MAX(AA781-AB781,0.000000001),6)</f>
        <v/>
      </c>
    </row>
    <row r="782">
      <c r="A782" t="n">
        <v>781</v>
      </c>
      <c r="B782">
        <f>'01_Data'!A782</f>
        <v/>
      </c>
      <c r="C782">
        <f>SUM('01_Data'!$B782:$AW782)</f>
        <v/>
      </c>
      <c r="D782">
        <f>COUNT('01_Data'!$B782:$AW782)</f>
        <v/>
      </c>
      <c r="E782" s="5">
        <f>MEDIAN(-6,LN((C782+0.3)/(D782-C782+0.3)),6)</f>
        <v/>
      </c>
      <c r="F782" s="5">
        <f>SUMPRODUCT(('01_Data'!$B782:$AW782&lt;&gt;"")*(1/(1+EXP(-(E782-'03_Lap_b'!$B$5:$AW$5)))))</f>
        <v/>
      </c>
      <c r="G782" s="5">
        <f>SUMPRODUCT(('01_Data'!$B782:$AW782&lt;&gt;"")*(1/(1+EXP(-(E782-'03_Lap_b'!$B$5:$AW$5))))^2)</f>
        <v/>
      </c>
      <c r="H782" s="5">
        <f>MEDIAN(-6,E782+(C782-F782)/MAX(F782-G782,0.000000001),6)</f>
        <v/>
      </c>
      <c r="I782" s="5">
        <f>SUMPRODUCT(('01_Data'!$B782:$AW782&lt;&gt;"")*(1/(1+EXP(-(H782-'03_Lap_b'!$B$10:$AW$10)))))</f>
        <v/>
      </c>
      <c r="J782" s="5">
        <f>SUMPRODUCT(('01_Data'!$B782:$AW782&lt;&gt;"")*(1/(1+EXP(-(H782-'03_Lap_b'!$B$10:$AW$10))))^2)</f>
        <v/>
      </c>
      <c r="K782" s="5">
        <f>MEDIAN(-6,H782+(C782-I782)/MAX(I782-J782,0.000000001),6)</f>
        <v/>
      </c>
      <c r="L782" s="5">
        <f>SUMPRODUCT(('01_Data'!$B782:$AW782&lt;&gt;"")*(1/(1+EXP(-(K782-'03_Lap_b'!$B$15:$AW$15)))))</f>
        <v/>
      </c>
      <c r="M782" s="5">
        <f>SUMPRODUCT(('01_Data'!$B782:$AW782&lt;&gt;"")*(1/(1+EXP(-(K782-'03_Lap_b'!$B$15:$AW$15))))^2)</f>
        <v/>
      </c>
      <c r="N782" s="5">
        <f>MEDIAN(-6,K782+(C782-L782)/MAX(L782-M782,0.000000001),6)</f>
        <v/>
      </c>
      <c r="O782" s="5">
        <f>SUMPRODUCT(('01_Data'!$B782:$AW782&lt;&gt;"")*(1/(1+EXP(-(N782-'03_Lap_b'!$B$20:$AW$20)))))</f>
        <v/>
      </c>
      <c r="P782" s="5">
        <f>SUMPRODUCT(('01_Data'!$B782:$AW782&lt;&gt;"")*(1/(1+EXP(-(N782-'03_Lap_b'!$B$20:$AW$20))))^2)</f>
        <v/>
      </c>
      <c r="Q782" s="5">
        <f>MEDIAN(-6,N782+(C782-O782)/MAX(O782-P782,0.000000001),6)</f>
        <v/>
      </c>
      <c r="R782" s="5">
        <f>SUMPRODUCT(('01_Data'!$B782:$AW782&lt;&gt;"")*(1/(1+EXP(-(Q782-'03_Lap_b'!$B$25:$AW$25)))))</f>
        <v/>
      </c>
      <c r="S782" s="5">
        <f>SUMPRODUCT(('01_Data'!$B782:$AW782&lt;&gt;"")*(1/(1+EXP(-(Q782-'03_Lap_b'!$B$25:$AW$25))))^2)</f>
        <v/>
      </c>
      <c r="T782" s="5">
        <f>MEDIAN(-6,Q782+(C782-R782)/MAX(R782-S782,0.000000001),6)</f>
        <v/>
      </c>
      <c r="U782" s="5">
        <f>SUMPRODUCT(('01_Data'!$B782:$AW782&lt;&gt;"")*(1/(1+EXP(-(T782-'03_Lap_b'!$B$30:$AW$30)))))</f>
        <v/>
      </c>
      <c r="V782" s="5">
        <f>SUMPRODUCT(('01_Data'!$B782:$AW782&lt;&gt;"")*(1/(1+EXP(-(T782-'03_Lap_b'!$B$30:$AW$30))))^2)</f>
        <v/>
      </c>
      <c r="W782" s="5">
        <f>MEDIAN(-6,T782+(C782-U782)/MAX(U782-V782,0.000000001),6)</f>
        <v/>
      </c>
      <c r="X782" s="5">
        <f>SUMPRODUCT(('01_Data'!$B782:$AW782&lt;&gt;"")*(1/(1+EXP(-(W782-'03_Lap_b'!$B$35:$AW$35)))))</f>
        <v/>
      </c>
      <c r="Y782" s="5">
        <f>SUMPRODUCT(('01_Data'!$B782:$AW782&lt;&gt;"")*(1/(1+EXP(-(W782-'03_Lap_b'!$B$35:$AW$35))))^2)</f>
        <v/>
      </c>
      <c r="Z782" s="5">
        <f>MEDIAN(-6,W782+(C782-X782)/MAX(X782-Y782,0.000000001),6)</f>
        <v/>
      </c>
      <c r="AA782" s="5">
        <f>SUMPRODUCT(('01_Data'!$B782:$AW782&lt;&gt;"")*(1/(1+EXP(-(Z782-'03_Lap_b'!$B$40:$AW$40)))))</f>
        <v/>
      </c>
      <c r="AB782" s="5">
        <f>SUMPRODUCT(('01_Data'!$B782:$AW782&lt;&gt;"")*(1/(1+EXP(-(Z782-'03_Lap_b'!$B$40:$AW$40))))^2)</f>
        <v/>
      </c>
      <c r="AC782" s="5">
        <f>MEDIAN(-6,Z782+(C782-AA782)/MAX(AA782-AB782,0.000000001),6)</f>
        <v/>
      </c>
    </row>
    <row r="783">
      <c r="A783" t="n">
        <v>782</v>
      </c>
      <c r="B783">
        <f>'01_Data'!A783</f>
        <v/>
      </c>
      <c r="C783">
        <f>SUM('01_Data'!$B783:$AW783)</f>
        <v/>
      </c>
      <c r="D783">
        <f>COUNT('01_Data'!$B783:$AW783)</f>
        <v/>
      </c>
      <c r="E783" s="5">
        <f>MEDIAN(-6,LN((C783+0.3)/(D783-C783+0.3)),6)</f>
        <v/>
      </c>
      <c r="F783" s="5">
        <f>SUMPRODUCT(('01_Data'!$B783:$AW783&lt;&gt;"")*(1/(1+EXP(-(E783-'03_Lap_b'!$B$5:$AW$5)))))</f>
        <v/>
      </c>
      <c r="G783" s="5">
        <f>SUMPRODUCT(('01_Data'!$B783:$AW783&lt;&gt;"")*(1/(1+EXP(-(E783-'03_Lap_b'!$B$5:$AW$5))))^2)</f>
        <v/>
      </c>
      <c r="H783" s="5">
        <f>MEDIAN(-6,E783+(C783-F783)/MAX(F783-G783,0.000000001),6)</f>
        <v/>
      </c>
      <c r="I783" s="5">
        <f>SUMPRODUCT(('01_Data'!$B783:$AW783&lt;&gt;"")*(1/(1+EXP(-(H783-'03_Lap_b'!$B$10:$AW$10)))))</f>
        <v/>
      </c>
      <c r="J783" s="5">
        <f>SUMPRODUCT(('01_Data'!$B783:$AW783&lt;&gt;"")*(1/(1+EXP(-(H783-'03_Lap_b'!$B$10:$AW$10))))^2)</f>
        <v/>
      </c>
      <c r="K783" s="5">
        <f>MEDIAN(-6,H783+(C783-I783)/MAX(I783-J783,0.000000001),6)</f>
        <v/>
      </c>
      <c r="L783" s="5">
        <f>SUMPRODUCT(('01_Data'!$B783:$AW783&lt;&gt;"")*(1/(1+EXP(-(K783-'03_Lap_b'!$B$15:$AW$15)))))</f>
        <v/>
      </c>
      <c r="M783" s="5">
        <f>SUMPRODUCT(('01_Data'!$B783:$AW783&lt;&gt;"")*(1/(1+EXP(-(K783-'03_Lap_b'!$B$15:$AW$15))))^2)</f>
        <v/>
      </c>
      <c r="N783" s="5">
        <f>MEDIAN(-6,K783+(C783-L783)/MAX(L783-M783,0.000000001),6)</f>
        <v/>
      </c>
      <c r="O783" s="5">
        <f>SUMPRODUCT(('01_Data'!$B783:$AW783&lt;&gt;"")*(1/(1+EXP(-(N783-'03_Lap_b'!$B$20:$AW$20)))))</f>
        <v/>
      </c>
      <c r="P783" s="5">
        <f>SUMPRODUCT(('01_Data'!$B783:$AW783&lt;&gt;"")*(1/(1+EXP(-(N783-'03_Lap_b'!$B$20:$AW$20))))^2)</f>
        <v/>
      </c>
      <c r="Q783" s="5">
        <f>MEDIAN(-6,N783+(C783-O783)/MAX(O783-P783,0.000000001),6)</f>
        <v/>
      </c>
      <c r="R783" s="5">
        <f>SUMPRODUCT(('01_Data'!$B783:$AW783&lt;&gt;"")*(1/(1+EXP(-(Q783-'03_Lap_b'!$B$25:$AW$25)))))</f>
        <v/>
      </c>
      <c r="S783" s="5">
        <f>SUMPRODUCT(('01_Data'!$B783:$AW783&lt;&gt;"")*(1/(1+EXP(-(Q783-'03_Lap_b'!$B$25:$AW$25))))^2)</f>
        <v/>
      </c>
      <c r="T783" s="5">
        <f>MEDIAN(-6,Q783+(C783-R783)/MAX(R783-S783,0.000000001),6)</f>
        <v/>
      </c>
      <c r="U783" s="5">
        <f>SUMPRODUCT(('01_Data'!$B783:$AW783&lt;&gt;"")*(1/(1+EXP(-(T783-'03_Lap_b'!$B$30:$AW$30)))))</f>
        <v/>
      </c>
      <c r="V783" s="5">
        <f>SUMPRODUCT(('01_Data'!$B783:$AW783&lt;&gt;"")*(1/(1+EXP(-(T783-'03_Lap_b'!$B$30:$AW$30))))^2)</f>
        <v/>
      </c>
      <c r="W783" s="5">
        <f>MEDIAN(-6,T783+(C783-U783)/MAX(U783-V783,0.000000001),6)</f>
        <v/>
      </c>
      <c r="X783" s="5">
        <f>SUMPRODUCT(('01_Data'!$B783:$AW783&lt;&gt;"")*(1/(1+EXP(-(W783-'03_Lap_b'!$B$35:$AW$35)))))</f>
        <v/>
      </c>
      <c r="Y783" s="5">
        <f>SUMPRODUCT(('01_Data'!$B783:$AW783&lt;&gt;"")*(1/(1+EXP(-(W783-'03_Lap_b'!$B$35:$AW$35))))^2)</f>
        <v/>
      </c>
      <c r="Z783" s="5">
        <f>MEDIAN(-6,W783+(C783-X783)/MAX(X783-Y783,0.000000001),6)</f>
        <v/>
      </c>
      <c r="AA783" s="5">
        <f>SUMPRODUCT(('01_Data'!$B783:$AW783&lt;&gt;"")*(1/(1+EXP(-(Z783-'03_Lap_b'!$B$40:$AW$40)))))</f>
        <v/>
      </c>
      <c r="AB783" s="5">
        <f>SUMPRODUCT(('01_Data'!$B783:$AW783&lt;&gt;"")*(1/(1+EXP(-(Z783-'03_Lap_b'!$B$40:$AW$40))))^2)</f>
        <v/>
      </c>
      <c r="AC783" s="5">
        <f>MEDIAN(-6,Z783+(C783-AA783)/MAX(AA783-AB783,0.000000001),6)</f>
        <v/>
      </c>
    </row>
    <row r="784">
      <c r="A784" t="n">
        <v>783</v>
      </c>
      <c r="B784">
        <f>'01_Data'!A784</f>
        <v/>
      </c>
      <c r="C784">
        <f>SUM('01_Data'!$B784:$AW784)</f>
        <v/>
      </c>
      <c r="D784">
        <f>COUNT('01_Data'!$B784:$AW784)</f>
        <v/>
      </c>
      <c r="E784" s="5">
        <f>MEDIAN(-6,LN((C784+0.3)/(D784-C784+0.3)),6)</f>
        <v/>
      </c>
      <c r="F784" s="5">
        <f>SUMPRODUCT(('01_Data'!$B784:$AW784&lt;&gt;"")*(1/(1+EXP(-(E784-'03_Lap_b'!$B$5:$AW$5)))))</f>
        <v/>
      </c>
      <c r="G784" s="5">
        <f>SUMPRODUCT(('01_Data'!$B784:$AW784&lt;&gt;"")*(1/(1+EXP(-(E784-'03_Lap_b'!$B$5:$AW$5))))^2)</f>
        <v/>
      </c>
      <c r="H784" s="5">
        <f>MEDIAN(-6,E784+(C784-F784)/MAX(F784-G784,0.000000001),6)</f>
        <v/>
      </c>
      <c r="I784" s="5">
        <f>SUMPRODUCT(('01_Data'!$B784:$AW784&lt;&gt;"")*(1/(1+EXP(-(H784-'03_Lap_b'!$B$10:$AW$10)))))</f>
        <v/>
      </c>
      <c r="J784" s="5">
        <f>SUMPRODUCT(('01_Data'!$B784:$AW784&lt;&gt;"")*(1/(1+EXP(-(H784-'03_Lap_b'!$B$10:$AW$10))))^2)</f>
        <v/>
      </c>
      <c r="K784" s="5">
        <f>MEDIAN(-6,H784+(C784-I784)/MAX(I784-J784,0.000000001),6)</f>
        <v/>
      </c>
      <c r="L784" s="5">
        <f>SUMPRODUCT(('01_Data'!$B784:$AW784&lt;&gt;"")*(1/(1+EXP(-(K784-'03_Lap_b'!$B$15:$AW$15)))))</f>
        <v/>
      </c>
      <c r="M784" s="5">
        <f>SUMPRODUCT(('01_Data'!$B784:$AW784&lt;&gt;"")*(1/(1+EXP(-(K784-'03_Lap_b'!$B$15:$AW$15))))^2)</f>
        <v/>
      </c>
      <c r="N784" s="5">
        <f>MEDIAN(-6,K784+(C784-L784)/MAX(L784-M784,0.000000001),6)</f>
        <v/>
      </c>
      <c r="O784" s="5">
        <f>SUMPRODUCT(('01_Data'!$B784:$AW784&lt;&gt;"")*(1/(1+EXP(-(N784-'03_Lap_b'!$B$20:$AW$20)))))</f>
        <v/>
      </c>
      <c r="P784" s="5">
        <f>SUMPRODUCT(('01_Data'!$B784:$AW784&lt;&gt;"")*(1/(1+EXP(-(N784-'03_Lap_b'!$B$20:$AW$20))))^2)</f>
        <v/>
      </c>
      <c r="Q784" s="5">
        <f>MEDIAN(-6,N784+(C784-O784)/MAX(O784-P784,0.000000001),6)</f>
        <v/>
      </c>
      <c r="R784" s="5">
        <f>SUMPRODUCT(('01_Data'!$B784:$AW784&lt;&gt;"")*(1/(1+EXP(-(Q784-'03_Lap_b'!$B$25:$AW$25)))))</f>
        <v/>
      </c>
      <c r="S784" s="5">
        <f>SUMPRODUCT(('01_Data'!$B784:$AW784&lt;&gt;"")*(1/(1+EXP(-(Q784-'03_Lap_b'!$B$25:$AW$25))))^2)</f>
        <v/>
      </c>
      <c r="T784" s="5">
        <f>MEDIAN(-6,Q784+(C784-R784)/MAX(R784-S784,0.000000001),6)</f>
        <v/>
      </c>
      <c r="U784" s="5">
        <f>SUMPRODUCT(('01_Data'!$B784:$AW784&lt;&gt;"")*(1/(1+EXP(-(T784-'03_Lap_b'!$B$30:$AW$30)))))</f>
        <v/>
      </c>
      <c r="V784" s="5">
        <f>SUMPRODUCT(('01_Data'!$B784:$AW784&lt;&gt;"")*(1/(1+EXP(-(T784-'03_Lap_b'!$B$30:$AW$30))))^2)</f>
        <v/>
      </c>
      <c r="W784" s="5">
        <f>MEDIAN(-6,T784+(C784-U784)/MAX(U784-V784,0.000000001),6)</f>
        <v/>
      </c>
      <c r="X784" s="5">
        <f>SUMPRODUCT(('01_Data'!$B784:$AW784&lt;&gt;"")*(1/(1+EXP(-(W784-'03_Lap_b'!$B$35:$AW$35)))))</f>
        <v/>
      </c>
      <c r="Y784" s="5">
        <f>SUMPRODUCT(('01_Data'!$B784:$AW784&lt;&gt;"")*(1/(1+EXP(-(W784-'03_Lap_b'!$B$35:$AW$35))))^2)</f>
        <v/>
      </c>
      <c r="Z784" s="5">
        <f>MEDIAN(-6,W784+(C784-X784)/MAX(X784-Y784,0.000000001),6)</f>
        <v/>
      </c>
      <c r="AA784" s="5">
        <f>SUMPRODUCT(('01_Data'!$B784:$AW784&lt;&gt;"")*(1/(1+EXP(-(Z784-'03_Lap_b'!$B$40:$AW$40)))))</f>
        <v/>
      </c>
      <c r="AB784" s="5">
        <f>SUMPRODUCT(('01_Data'!$B784:$AW784&lt;&gt;"")*(1/(1+EXP(-(Z784-'03_Lap_b'!$B$40:$AW$40))))^2)</f>
        <v/>
      </c>
      <c r="AC784" s="5">
        <f>MEDIAN(-6,Z784+(C784-AA784)/MAX(AA784-AB784,0.000000001),6)</f>
        <v/>
      </c>
    </row>
    <row r="785">
      <c r="A785" t="n">
        <v>784</v>
      </c>
      <c r="B785">
        <f>'01_Data'!A785</f>
        <v/>
      </c>
      <c r="C785">
        <f>SUM('01_Data'!$B785:$AW785)</f>
        <v/>
      </c>
      <c r="D785">
        <f>COUNT('01_Data'!$B785:$AW785)</f>
        <v/>
      </c>
      <c r="E785" s="5">
        <f>MEDIAN(-6,LN((C785+0.3)/(D785-C785+0.3)),6)</f>
        <v/>
      </c>
      <c r="F785" s="5">
        <f>SUMPRODUCT(('01_Data'!$B785:$AW785&lt;&gt;"")*(1/(1+EXP(-(E785-'03_Lap_b'!$B$5:$AW$5)))))</f>
        <v/>
      </c>
      <c r="G785" s="5">
        <f>SUMPRODUCT(('01_Data'!$B785:$AW785&lt;&gt;"")*(1/(1+EXP(-(E785-'03_Lap_b'!$B$5:$AW$5))))^2)</f>
        <v/>
      </c>
      <c r="H785" s="5">
        <f>MEDIAN(-6,E785+(C785-F785)/MAX(F785-G785,0.000000001),6)</f>
        <v/>
      </c>
      <c r="I785" s="5">
        <f>SUMPRODUCT(('01_Data'!$B785:$AW785&lt;&gt;"")*(1/(1+EXP(-(H785-'03_Lap_b'!$B$10:$AW$10)))))</f>
        <v/>
      </c>
      <c r="J785" s="5">
        <f>SUMPRODUCT(('01_Data'!$B785:$AW785&lt;&gt;"")*(1/(1+EXP(-(H785-'03_Lap_b'!$B$10:$AW$10))))^2)</f>
        <v/>
      </c>
      <c r="K785" s="5">
        <f>MEDIAN(-6,H785+(C785-I785)/MAX(I785-J785,0.000000001),6)</f>
        <v/>
      </c>
      <c r="L785" s="5">
        <f>SUMPRODUCT(('01_Data'!$B785:$AW785&lt;&gt;"")*(1/(1+EXP(-(K785-'03_Lap_b'!$B$15:$AW$15)))))</f>
        <v/>
      </c>
      <c r="M785" s="5">
        <f>SUMPRODUCT(('01_Data'!$B785:$AW785&lt;&gt;"")*(1/(1+EXP(-(K785-'03_Lap_b'!$B$15:$AW$15))))^2)</f>
        <v/>
      </c>
      <c r="N785" s="5">
        <f>MEDIAN(-6,K785+(C785-L785)/MAX(L785-M785,0.000000001),6)</f>
        <v/>
      </c>
      <c r="O785" s="5">
        <f>SUMPRODUCT(('01_Data'!$B785:$AW785&lt;&gt;"")*(1/(1+EXP(-(N785-'03_Lap_b'!$B$20:$AW$20)))))</f>
        <v/>
      </c>
      <c r="P785" s="5">
        <f>SUMPRODUCT(('01_Data'!$B785:$AW785&lt;&gt;"")*(1/(1+EXP(-(N785-'03_Lap_b'!$B$20:$AW$20))))^2)</f>
        <v/>
      </c>
      <c r="Q785" s="5">
        <f>MEDIAN(-6,N785+(C785-O785)/MAX(O785-P785,0.000000001),6)</f>
        <v/>
      </c>
      <c r="R785" s="5">
        <f>SUMPRODUCT(('01_Data'!$B785:$AW785&lt;&gt;"")*(1/(1+EXP(-(Q785-'03_Lap_b'!$B$25:$AW$25)))))</f>
        <v/>
      </c>
      <c r="S785" s="5">
        <f>SUMPRODUCT(('01_Data'!$B785:$AW785&lt;&gt;"")*(1/(1+EXP(-(Q785-'03_Lap_b'!$B$25:$AW$25))))^2)</f>
        <v/>
      </c>
      <c r="T785" s="5">
        <f>MEDIAN(-6,Q785+(C785-R785)/MAX(R785-S785,0.000000001),6)</f>
        <v/>
      </c>
      <c r="U785" s="5">
        <f>SUMPRODUCT(('01_Data'!$B785:$AW785&lt;&gt;"")*(1/(1+EXP(-(T785-'03_Lap_b'!$B$30:$AW$30)))))</f>
        <v/>
      </c>
      <c r="V785" s="5">
        <f>SUMPRODUCT(('01_Data'!$B785:$AW785&lt;&gt;"")*(1/(1+EXP(-(T785-'03_Lap_b'!$B$30:$AW$30))))^2)</f>
        <v/>
      </c>
      <c r="W785" s="5">
        <f>MEDIAN(-6,T785+(C785-U785)/MAX(U785-V785,0.000000001),6)</f>
        <v/>
      </c>
      <c r="X785" s="5">
        <f>SUMPRODUCT(('01_Data'!$B785:$AW785&lt;&gt;"")*(1/(1+EXP(-(W785-'03_Lap_b'!$B$35:$AW$35)))))</f>
        <v/>
      </c>
      <c r="Y785" s="5">
        <f>SUMPRODUCT(('01_Data'!$B785:$AW785&lt;&gt;"")*(1/(1+EXP(-(W785-'03_Lap_b'!$B$35:$AW$35))))^2)</f>
        <v/>
      </c>
      <c r="Z785" s="5">
        <f>MEDIAN(-6,W785+(C785-X785)/MAX(X785-Y785,0.000000001),6)</f>
        <v/>
      </c>
      <c r="AA785" s="5">
        <f>SUMPRODUCT(('01_Data'!$B785:$AW785&lt;&gt;"")*(1/(1+EXP(-(Z785-'03_Lap_b'!$B$40:$AW$40)))))</f>
        <v/>
      </c>
      <c r="AB785" s="5">
        <f>SUMPRODUCT(('01_Data'!$B785:$AW785&lt;&gt;"")*(1/(1+EXP(-(Z785-'03_Lap_b'!$B$40:$AW$40))))^2)</f>
        <v/>
      </c>
      <c r="AC785" s="5">
        <f>MEDIAN(-6,Z785+(C785-AA785)/MAX(AA785-AB785,0.000000001),6)</f>
        <v/>
      </c>
    </row>
    <row r="786">
      <c r="A786" t="n">
        <v>785</v>
      </c>
      <c r="B786">
        <f>'01_Data'!A786</f>
        <v/>
      </c>
      <c r="C786">
        <f>SUM('01_Data'!$B786:$AW786)</f>
        <v/>
      </c>
      <c r="D786">
        <f>COUNT('01_Data'!$B786:$AW786)</f>
        <v/>
      </c>
      <c r="E786" s="5">
        <f>MEDIAN(-6,LN((C786+0.3)/(D786-C786+0.3)),6)</f>
        <v/>
      </c>
      <c r="F786" s="5">
        <f>SUMPRODUCT(('01_Data'!$B786:$AW786&lt;&gt;"")*(1/(1+EXP(-(E786-'03_Lap_b'!$B$5:$AW$5)))))</f>
        <v/>
      </c>
      <c r="G786" s="5">
        <f>SUMPRODUCT(('01_Data'!$B786:$AW786&lt;&gt;"")*(1/(1+EXP(-(E786-'03_Lap_b'!$B$5:$AW$5))))^2)</f>
        <v/>
      </c>
      <c r="H786" s="5">
        <f>MEDIAN(-6,E786+(C786-F786)/MAX(F786-G786,0.000000001),6)</f>
        <v/>
      </c>
      <c r="I786" s="5">
        <f>SUMPRODUCT(('01_Data'!$B786:$AW786&lt;&gt;"")*(1/(1+EXP(-(H786-'03_Lap_b'!$B$10:$AW$10)))))</f>
        <v/>
      </c>
      <c r="J786" s="5">
        <f>SUMPRODUCT(('01_Data'!$B786:$AW786&lt;&gt;"")*(1/(1+EXP(-(H786-'03_Lap_b'!$B$10:$AW$10))))^2)</f>
        <v/>
      </c>
      <c r="K786" s="5">
        <f>MEDIAN(-6,H786+(C786-I786)/MAX(I786-J786,0.000000001),6)</f>
        <v/>
      </c>
      <c r="L786" s="5">
        <f>SUMPRODUCT(('01_Data'!$B786:$AW786&lt;&gt;"")*(1/(1+EXP(-(K786-'03_Lap_b'!$B$15:$AW$15)))))</f>
        <v/>
      </c>
      <c r="M786" s="5">
        <f>SUMPRODUCT(('01_Data'!$B786:$AW786&lt;&gt;"")*(1/(1+EXP(-(K786-'03_Lap_b'!$B$15:$AW$15))))^2)</f>
        <v/>
      </c>
      <c r="N786" s="5">
        <f>MEDIAN(-6,K786+(C786-L786)/MAX(L786-M786,0.000000001),6)</f>
        <v/>
      </c>
      <c r="O786" s="5">
        <f>SUMPRODUCT(('01_Data'!$B786:$AW786&lt;&gt;"")*(1/(1+EXP(-(N786-'03_Lap_b'!$B$20:$AW$20)))))</f>
        <v/>
      </c>
      <c r="P786" s="5">
        <f>SUMPRODUCT(('01_Data'!$B786:$AW786&lt;&gt;"")*(1/(1+EXP(-(N786-'03_Lap_b'!$B$20:$AW$20))))^2)</f>
        <v/>
      </c>
      <c r="Q786" s="5">
        <f>MEDIAN(-6,N786+(C786-O786)/MAX(O786-P786,0.000000001),6)</f>
        <v/>
      </c>
      <c r="R786" s="5">
        <f>SUMPRODUCT(('01_Data'!$B786:$AW786&lt;&gt;"")*(1/(1+EXP(-(Q786-'03_Lap_b'!$B$25:$AW$25)))))</f>
        <v/>
      </c>
      <c r="S786" s="5">
        <f>SUMPRODUCT(('01_Data'!$B786:$AW786&lt;&gt;"")*(1/(1+EXP(-(Q786-'03_Lap_b'!$B$25:$AW$25))))^2)</f>
        <v/>
      </c>
      <c r="T786" s="5">
        <f>MEDIAN(-6,Q786+(C786-R786)/MAX(R786-S786,0.000000001),6)</f>
        <v/>
      </c>
      <c r="U786" s="5">
        <f>SUMPRODUCT(('01_Data'!$B786:$AW786&lt;&gt;"")*(1/(1+EXP(-(T786-'03_Lap_b'!$B$30:$AW$30)))))</f>
        <v/>
      </c>
      <c r="V786" s="5">
        <f>SUMPRODUCT(('01_Data'!$B786:$AW786&lt;&gt;"")*(1/(1+EXP(-(T786-'03_Lap_b'!$B$30:$AW$30))))^2)</f>
        <v/>
      </c>
      <c r="W786" s="5">
        <f>MEDIAN(-6,T786+(C786-U786)/MAX(U786-V786,0.000000001),6)</f>
        <v/>
      </c>
      <c r="X786" s="5">
        <f>SUMPRODUCT(('01_Data'!$B786:$AW786&lt;&gt;"")*(1/(1+EXP(-(W786-'03_Lap_b'!$B$35:$AW$35)))))</f>
        <v/>
      </c>
      <c r="Y786" s="5">
        <f>SUMPRODUCT(('01_Data'!$B786:$AW786&lt;&gt;"")*(1/(1+EXP(-(W786-'03_Lap_b'!$B$35:$AW$35))))^2)</f>
        <v/>
      </c>
      <c r="Z786" s="5">
        <f>MEDIAN(-6,W786+(C786-X786)/MAX(X786-Y786,0.000000001),6)</f>
        <v/>
      </c>
      <c r="AA786" s="5">
        <f>SUMPRODUCT(('01_Data'!$B786:$AW786&lt;&gt;"")*(1/(1+EXP(-(Z786-'03_Lap_b'!$B$40:$AW$40)))))</f>
        <v/>
      </c>
      <c r="AB786" s="5">
        <f>SUMPRODUCT(('01_Data'!$B786:$AW786&lt;&gt;"")*(1/(1+EXP(-(Z786-'03_Lap_b'!$B$40:$AW$40))))^2)</f>
        <v/>
      </c>
      <c r="AC786" s="5">
        <f>MEDIAN(-6,Z786+(C786-AA786)/MAX(AA786-AB786,0.000000001),6)</f>
        <v/>
      </c>
    </row>
    <row r="787">
      <c r="A787" t="n">
        <v>786</v>
      </c>
      <c r="B787">
        <f>'01_Data'!A787</f>
        <v/>
      </c>
      <c r="C787">
        <f>SUM('01_Data'!$B787:$AW787)</f>
        <v/>
      </c>
      <c r="D787">
        <f>COUNT('01_Data'!$B787:$AW787)</f>
        <v/>
      </c>
      <c r="E787" s="5">
        <f>MEDIAN(-6,LN((C787+0.3)/(D787-C787+0.3)),6)</f>
        <v/>
      </c>
      <c r="F787" s="5">
        <f>SUMPRODUCT(('01_Data'!$B787:$AW787&lt;&gt;"")*(1/(1+EXP(-(E787-'03_Lap_b'!$B$5:$AW$5)))))</f>
        <v/>
      </c>
      <c r="G787" s="5">
        <f>SUMPRODUCT(('01_Data'!$B787:$AW787&lt;&gt;"")*(1/(1+EXP(-(E787-'03_Lap_b'!$B$5:$AW$5))))^2)</f>
        <v/>
      </c>
      <c r="H787" s="5">
        <f>MEDIAN(-6,E787+(C787-F787)/MAX(F787-G787,0.000000001),6)</f>
        <v/>
      </c>
      <c r="I787" s="5">
        <f>SUMPRODUCT(('01_Data'!$B787:$AW787&lt;&gt;"")*(1/(1+EXP(-(H787-'03_Lap_b'!$B$10:$AW$10)))))</f>
        <v/>
      </c>
      <c r="J787" s="5">
        <f>SUMPRODUCT(('01_Data'!$B787:$AW787&lt;&gt;"")*(1/(1+EXP(-(H787-'03_Lap_b'!$B$10:$AW$10))))^2)</f>
        <v/>
      </c>
      <c r="K787" s="5">
        <f>MEDIAN(-6,H787+(C787-I787)/MAX(I787-J787,0.000000001),6)</f>
        <v/>
      </c>
      <c r="L787" s="5">
        <f>SUMPRODUCT(('01_Data'!$B787:$AW787&lt;&gt;"")*(1/(1+EXP(-(K787-'03_Lap_b'!$B$15:$AW$15)))))</f>
        <v/>
      </c>
      <c r="M787" s="5">
        <f>SUMPRODUCT(('01_Data'!$B787:$AW787&lt;&gt;"")*(1/(1+EXP(-(K787-'03_Lap_b'!$B$15:$AW$15))))^2)</f>
        <v/>
      </c>
      <c r="N787" s="5">
        <f>MEDIAN(-6,K787+(C787-L787)/MAX(L787-M787,0.000000001),6)</f>
        <v/>
      </c>
      <c r="O787" s="5">
        <f>SUMPRODUCT(('01_Data'!$B787:$AW787&lt;&gt;"")*(1/(1+EXP(-(N787-'03_Lap_b'!$B$20:$AW$20)))))</f>
        <v/>
      </c>
      <c r="P787" s="5">
        <f>SUMPRODUCT(('01_Data'!$B787:$AW787&lt;&gt;"")*(1/(1+EXP(-(N787-'03_Lap_b'!$B$20:$AW$20))))^2)</f>
        <v/>
      </c>
      <c r="Q787" s="5">
        <f>MEDIAN(-6,N787+(C787-O787)/MAX(O787-P787,0.000000001),6)</f>
        <v/>
      </c>
      <c r="R787" s="5">
        <f>SUMPRODUCT(('01_Data'!$B787:$AW787&lt;&gt;"")*(1/(1+EXP(-(Q787-'03_Lap_b'!$B$25:$AW$25)))))</f>
        <v/>
      </c>
      <c r="S787" s="5">
        <f>SUMPRODUCT(('01_Data'!$B787:$AW787&lt;&gt;"")*(1/(1+EXP(-(Q787-'03_Lap_b'!$B$25:$AW$25))))^2)</f>
        <v/>
      </c>
      <c r="T787" s="5">
        <f>MEDIAN(-6,Q787+(C787-R787)/MAX(R787-S787,0.000000001),6)</f>
        <v/>
      </c>
      <c r="U787" s="5">
        <f>SUMPRODUCT(('01_Data'!$B787:$AW787&lt;&gt;"")*(1/(1+EXP(-(T787-'03_Lap_b'!$B$30:$AW$30)))))</f>
        <v/>
      </c>
      <c r="V787" s="5">
        <f>SUMPRODUCT(('01_Data'!$B787:$AW787&lt;&gt;"")*(1/(1+EXP(-(T787-'03_Lap_b'!$B$30:$AW$30))))^2)</f>
        <v/>
      </c>
      <c r="W787" s="5">
        <f>MEDIAN(-6,T787+(C787-U787)/MAX(U787-V787,0.000000001),6)</f>
        <v/>
      </c>
      <c r="X787" s="5">
        <f>SUMPRODUCT(('01_Data'!$B787:$AW787&lt;&gt;"")*(1/(1+EXP(-(W787-'03_Lap_b'!$B$35:$AW$35)))))</f>
        <v/>
      </c>
      <c r="Y787" s="5">
        <f>SUMPRODUCT(('01_Data'!$B787:$AW787&lt;&gt;"")*(1/(1+EXP(-(W787-'03_Lap_b'!$B$35:$AW$35))))^2)</f>
        <v/>
      </c>
      <c r="Z787" s="5">
        <f>MEDIAN(-6,W787+(C787-X787)/MAX(X787-Y787,0.000000001),6)</f>
        <v/>
      </c>
      <c r="AA787" s="5">
        <f>SUMPRODUCT(('01_Data'!$B787:$AW787&lt;&gt;"")*(1/(1+EXP(-(Z787-'03_Lap_b'!$B$40:$AW$40)))))</f>
        <v/>
      </c>
      <c r="AB787" s="5">
        <f>SUMPRODUCT(('01_Data'!$B787:$AW787&lt;&gt;"")*(1/(1+EXP(-(Z787-'03_Lap_b'!$B$40:$AW$40))))^2)</f>
        <v/>
      </c>
      <c r="AC787" s="5">
        <f>MEDIAN(-6,Z787+(C787-AA787)/MAX(AA787-AB787,0.000000001),6)</f>
        <v/>
      </c>
    </row>
    <row r="788">
      <c r="A788" t="n">
        <v>787</v>
      </c>
      <c r="B788">
        <f>'01_Data'!A788</f>
        <v/>
      </c>
      <c r="C788">
        <f>SUM('01_Data'!$B788:$AW788)</f>
        <v/>
      </c>
      <c r="D788">
        <f>COUNT('01_Data'!$B788:$AW788)</f>
        <v/>
      </c>
      <c r="E788" s="5">
        <f>MEDIAN(-6,LN((C788+0.3)/(D788-C788+0.3)),6)</f>
        <v/>
      </c>
      <c r="F788" s="5">
        <f>SUMPRODUCT(('01_Data'!$B788:$AW788&lt;&gt;"")*(1/(1+EXP(-(E788-'03_Lap_b'!$B$5:$AW$5)))))</f>
        <v/>
      </c>
      <c r="G788" s="5">
        <f>SUMPRODUCT(('01_Data'!$B788:$AW788&lt;&gt;"")*(1/(1+EXP(-(E788-'03_Lap_b'!$B$5:$AW$5))))^2)</f>
        <v/>
      </c>
      <c r="H788" s="5">
        <f>MEDIAN(-6,E788+(C788-F788)/MAX(F788-G788,0.000000001),6)</f>
        <v/>
      </c>
      <c r="I788" s="5">
        <f>SUMPRODUCT(('01_Data'!$B788:$AW788&lt;&gt;"")*(1/(1+EXP(-(H788-'03_Lap_b'!$B$10:$AW$10)))))</f>
        <v/>
      </c>
      <c r="J788" s="5">
        <f>SUMPRODUCT(('01_Data'!$B788:$AW788&lt;&gt;"")*(1/(1+EXP(-(H788-'03_Lap_b'!$B$10:$AW$10))))^2)</f>
        <v/>
      </c>
      <c r="K788" s="5">
        <f>MEDIAN(-6,H788+(C788-I788)/MAX(I788-J788,0.000000001),6)</f>
        <v/>
      </c>
      <c r="L788" s="5">
        <f>SUMPRODUCT(('01_Data'!$B788:$AW788&lt;&gt;"")*(1/(1+EXP(-(K788-'03_Lap_b'!$B$15:$AW$15)))))</f>
        <v/>
      </c>
      <c r="M788" s="5">
        <f>SUMPRODUCT(('01_Data'!$B788:$AW788&lt;&gt;"")*(1/(1+EXP(-(K788-'03_Lap_b'!$B$15:$AW$15))))^2)</f>
        <v/>
      </c>
      <c r="N788" s="5">
        <f>MEDIAN(-6,K788+(C788-L788)/MAX(L788-M788,0.000000001),6)</f>
        <v/>
      </c>
      <c r="O788" s="5">
        <f>SUMPRODUCT(('01_Data'!$B788:$AW788&lt;&gt;"")*(1/(1+EXP(-(N788-'03_Lap_b'!$B$20:$AW$20)))))</f>
        <v/>
      </c>
      <c r="P788" s="5">
        <f>SUMPRODUCT(('01_Data'!$B788:$AW788&lt;&gt;"")*(1/(1+EXP(-(N788-'03_Lap_b'!$B$20:$AW$20))))^2)</f>
        <v/>
      </c>
      <c r="Q788" s="5">
        <f>MEDIAN(-6,N788+(C788-O788)/MAX(O788-P788,0.000000001),6)</f>
        <v/>
      </c>
      <c r="R788" s="5">
        <f>SUMPRODUCT(('01_Data'!$B788:$AW788&lt;&gt;"")*(1/(1+EXP(-(Q788-'03_Lap_b'!$B$25:$AW$25)))))</f>
        <v/>
      </c>
      <c r="S788" s="5">
        <f>SUMPRODUCT(('01_Data'!$B788:$AW788&lt;&gt;"")*(1/(1+EXP(-(Q788-'03_Lap_b'!$B$25:$AW$25))))^2)</f>
        <v/>
      </c>
      <c r="T788" s="5">
        <f>MEDIAN(-6,Q788+(C788-R788)/MAX(R788-S788,0.000000001),6)</f>
        <v/>
      </c>
      <c r="U788" s="5">
        <f>SUMPRODUCT(('01_Data'!$B788:$AW788&lt;&gt;"")*(1/(1+EXP(-(T788-'03_Lap_b'!$B$30:$AW$30)))))</f>
        <v/>
      </c>
      <c r="V788" s="5">
        <f>SUMPRODUCT(('01_Data'!$B788:$AW788&lt;&gt;"")*(1/(1+EXP(-(T788-'03_Lap_b'!$B$30:$AW$30))))^2)</f>
        <v/>
      </c>
      <c r="W788" s="5">
        <f>MEDIAN(-6,T788+(C788-U788)/MAX(U788-V788,0.000000001),6)</f>
        <v/>
      </c>
      <c r="X788" s="5">
        <f>SUMPRODUCT(('01_Data'!$B788:$AW788&lt;&gt;"")*(1/(1+EXP(-(W788-'03_Lap_b'!$B$35:$AW$35)))))</f>
        <v/>
      </c>
      <c r="Y788" s="5">
        <f>SUMPRODUCT(('01_Data'!$B788:$AW788&lt;&gt;"")*(1/(1+EXP(-(W788-'03_Lap_b'!$B$35:$AW$35))))^2)</f>
        <v/>
      </c>
      <c r="Z788" s="5">
        <f>MEDIAN(-6,W788+(C788-X788)/MAX(X788-Y788,0.000000001),6)</f>
        <v/>
      </c>
      <c r="AA788" s="5">
        <f>SUMPRODUCT(('01_Data'!$B788:$AW788&lt;&gt;"")*(1/(1+EXP(-(Z788-'03_Lap_b'!$B$40:$AW$40)))))</f>
        <v/>
      </c>
      <c r="AB788" s="5">
        <f>SUMPRODUCT(('01_Data'!$B788:$AW788&lt;&gt;"")*(1/(1+EXP(-(Z788-'03_Lap_b'!$B$40:$AW$40))))^2)</f>
        <v/>
      </c>
      <c r="AC788" s="5">
        <f>MEDIAN(-6,Z788+(C788-AA788)/MAX(AA788-AB788,0.000000001),6)</f>
        <v/>
      </c>
    </row>
    <row r="789">
      <c r="A789" t="n">
        <v>788</v>
      </c>
      <c r="B789">
        <f>'01_Data'!A789</f>
        <v/>
      </c>
      <c r="C789">
        <f>SUM('01_Data'!$B789:$AW789)</f>
        <v/>
      </c>
      <c r="D789">
        <f>COUNT('01_Data'!$B789:$AW789)</f>
        <v/>
      </c>
      <c r="E789" s="5">
        <f>MEDIAN(-6,LN((C789+0.3)/(D789-C789+0.3)),6)</f>
        <v/>
      </c>
      <c r="F789" s="5">
        <f>SUMPRODUCT(('01_Data'!$B789:$AW789&lt;&gt;"")*(1/(1+EXP(-(E789-'03_Lap_b'!$B$5:$AW$5)))))</f>
        <v/>
      </c>
      <c r="G789" s="5">
        <f>SUMPRODUCT(('01_Data'!$B789:$AW789&lt;&gt;"")*(1/(1+EXP(-(E789-'03_Lap_b'!$B$5:$AW$5))))^2)</f>
        <v/>
      </c>
      <c r="H789" s="5">
        <f>MEDIAN(-6,E789+(C789-F789)/MAX(F789-G789,0.000000001),6)</f>
        <v/>
      </c>
      <c r="I789" s="5">
        <f>SUMPRODUCT(('01_Data'!$B789:$AW789&lt;&gt;"")*(1/(1+EXP(-(H789-'03_Lap_b'!$B$10:$AW$10)))))</f>
        <v/>
      </c>
      <c r="J789" s="5">
        <f>SUMPRODUCT(('01_Data'!$B789:$AW789&lt;&gt;"")*(1/(1+EXP(-(H789-'03_Lap_b'!$B$10:$AW$10))))^2)</f>
        <v/>
      </c>
      <c r="K789" s="5">
        <f>MEDIAN(-6,H789+(C789-I789)/MAX(I789-J789,0.000000001),6)</f>
        <v/>
      </c>
      <c r="L789" s="5">
        <f>SUMPRODUCT(('01_Data'!$B789:$AW789&lt;&gt;"")*(1/(1+EXP(-(K789-'03_Lap_b'!$B$15:$AW$15)))))</f>
        <v/>
      </c>
      <c r="M789" s="5">
        <f>SUMPRODUCT(('01_Data'!$B789:$AW789&lt;&gt;"")*(1/(1+EXP(-(K789-'03_Lap_b'!$B$15:$AW$15))))^2)</f>
        <v/>
      </c>
      <c r="N789" s="5">
        <f>MEDIAN(-6,K789+(C789-L789)/MAX(L789-M789,0.000000001),6)</f>
        <v/>
      </c>
      <c r="O789" s="5">
        <f>SUMPRODUCT(('01_Data'!$B789:$AW789&lt;&gt;"")*(1/(1+EXP(-(N789-'03_Lap_b'!$B$20:$AW$20)))))</f>
        <v/>
      </c>
      <c r="P789" s="5">
        <f>SUMPRODUCT(('01_Data'!$B789:$AW789&lt;&gt;"")*(1/(1+EXP(-(N789-'03_Lap_b'!$B$20:$AW$20))))^2)</f>
        <v/>
      </c>
      <c r="Q789" s="5">
        <f>MEDIAN(-6,N789+(C789-O789)/MAX(O789-P789,0.000000001),6)</f>
        <v/>
      </c>
      <c r="R789" s="5">
        <f>SUMPRODUCT(('01_Data'!$B789:$AW789&lt;&gt;"")*(1/(1+EXP(-(Q789-'03_Lap_b'!$B$25:$AW$25)))))</f>
        <v/>
      </c>
      <c r="S789" s="5">
        <f>SUMPRODUCT(('01_Data'!$B789:$AW789&lt;&gt;"")*(1/(1+EXP(-(Q789-'03_Lap_b'!$B$25:$AW$25))))^2)</f>
        <v/>
      </c>
      <c r="T789" s="5">
        <f>MEDIAN(-6,Q789+(C789-R789)/MAX(R789-S789,0.000000001),6)</f>
        <v/>
      </c>
      <c r="U789" s="5">
        <f>SUMPRODUCT(('01_Data'!$B789:$AW789&lt;&gt;"")*(1/(1+EXP(-(T789-'03_Lap_b'!$B$30:$AW$30)))))</f>
        <v/>
      </c>
      <c r="V789" s="5">
        <f>SUMPRODUCT(('01_Data'!$B789:$AW789&lt;&gt;"")*(1/(1+EXP(-(T789-'03_Lap_b'!$B$30:$AW$30))))^2)</f>
        <v/>
      </c>
      <c r="W789" s="5">
        <f>MEDIAN(-6,T789+(C789-U789)/MAX(U789-V789,0.000000001),6)</f>
        <v/>
      </c>
      <c r="X789" s="5">
        <f>SUMPRODUCT(('01_Data'!$B789:$AW789&lt;&gt;"")*(1/(1+EXP(-(W789-'03_Lap_b'!$B$35:$AW$35)))))</f>
        <v/>
      </c>
      <c r="Y789" s="5">
        <f>SUMPRODUCT(('01_Data'!$B789:$AW789&lt;&gt;"")*(1/(1+EXP(-(W789-'03_Lap_b'!$B$35:$AW$35))))^2)</f>
        <v/>
      </c>
      <c r="Z789" s="5">
        <f>MEDIAN(-6,W789+(C789-X789)/MAX(X789-Y789,0.000000001),6)</f>
        <v/>
      </c>
      <c r="AA789" s="5">
        <f>SUMPRODUCT(('01_Data'!$B789:$AW789&lt;&gt;"")*(1/(1+EXP(-(Z789-'03_Lap_b'!$B$40:$AW$40)))))</f>
        <v/>
      </c>
      <c r="AB789" s="5">
        <f>SUMPRODUCT(('01_Data'!$B789:$AW789&lt;&gt;"")*(1/(1+EXP(-(Z789-'03_Lap_b'!$B$40:$AW$40))))^2)</f>
        <v/>
      </c>
      <c r="AC789" s="5">
        <f>MEDIAN(-6,Z789+(C789-AA789)/MAX(AA789-AB789,0.000000001),6)</f>
        <v/>
      </c>
    </row>
    <row r="790">
      <c r="A790" t="n">
        <v>789</v>
      </c>
      <c r="B790">
        <f>'01_Data'!A790</f>
        <v/>
      </c>
      <c r="C790">
        <f>SUM('01_Data'!$B790:$AW790)</f>
        <v/>
      </c>
      <c r="D790">
        <f>COUNT('01_Data'!$B790:$AW790)</f>
        <v/>
      </c>
      <c r="E790" s="5">
        <f>MEDIAN(-6,LN((C790+0.3)/(D790-C790+0.3)),6)</f>
        <v/>
      </c>
      <c r="F790" s="5">
        <f>SUMPRODUCT(('01_Data'!$B790:$AW790&lt;&gt;"")*(1/(1+EXP(-(E790-'03_Lap_b'!$B$5:$AW$5)))))</f>
        <v/>
      </c>
      <c r="G790" s="5">
        <f>SUMPRODUCT(('01_Data'!$B790:$AW790&lt;&gt;"")*(1/(1+EXP(-(E790-'03_Lap_b'!$B$5:$AW$5))))^2)</f>
        <v/>
      </c>
      <c r="H790" s="5">
        <f>MEDIAN(-6,E790+(C790-F790)/MAX(F790-G790,0.000000001),6)</f>
        <v/>
      </c>
      <c r="I790" s="5">
        <f>SUMPRODUCT(('01_Data'!$B790:$AW790&lt;&gt;"")*(1/(1+EXP(-(H790-'03_Lap_b'!$B$10:$AW$10)))))</f>
        <v/>
      </c>
      <c r="J790" s="5">
        <f>SUMPRODUCT(('01_Data'!$B790:$AW790&lt;&gt;"")*(1/(1+EXP(-(H790-'03_Lap_b'!$B$10:$AW$10))))^2)</f>
        <v/>
      </c>
      <c r="K790" s="5">
        <f>MEDIAN(-6,H790+(C790-I790)/MAX(I790-J790,0.000000001),6)</f>
        <v/>
      </c>
      <c r="L790" s="5">
        <f>SUMPRODUCT(('01_Data'!$B790:$AW790&lt;&gt;"")*(1/(1+EXP(-(K790-'03_Lap_b'!$B$15:$AW$15)))))</f>
        <v/>
      </c>
      <c r="M790" s="5">
        <f>SUMPRODUCT(('01_Data'!$B790:$AW790&lt;&gt;"")*(1/(1+EXP(-(K790-'03_Lap_b'!$B$15:$AW$15))))^2)</f>
        <v/>
      </c>
      <c r="N790" s="5">
        <f>MEDIAN(-6,K790+(C790-L790)/MAX(L790-M790,0.000000001),6)</f>
        <v/>
      </c>
      <c r="O790" s="5">
        <f>SUMPRODUCT(('01_Data'!$B790:$AW790&lt;&gt;"")*(1/(1+EXP(-(N790-'03_Lap_b'!$B$20:$AW$20)))))</f>
        <v/>
      </c>
      <c r="P790" s="5">
        <f>SUMPRODUCT(('01_Data'!$B790:$AW790&lt;&gt;"")*(1/(1+EXP(-(N790-'03_Lap_b'!$B$20:$AW$20))))^2)</f>
        <v/>
      </c>
      <c r="Q790" s="5">
        <f>MEDIAN(-6,N790+(C790-O790)/MAX(O790-P790,0.000000001),6)</f>
        <v/>
      </c>
      <c r="R790" s="5">
        <f>SUMPRODUCT(('01_Data'!$B790:$AW790&lt;&gt;"")*(1/(1+EXP(-(Q790-'03_Lap_b'!$B$25:$AW$25)))))</f>
        <v/>
      </c>
      <c r="S790" s="5">
        <f>SUMPRODUCT(('01_Data'!$B790:$AW790&lt;&gt;"")*(1/(1+EXP(-(Q790-'03_Lap_b'!$B$25:$AW$25))))^2)</f>
        <v/>
      </c>
      <c r="T790" s="5">
        <f>MEDIAN(-6,Q790+(C790-R790)/MAX(R790-S790,0.000000001),6)</f>
        <v/>
      </c>
      <c r="U790" s="5">
        <f>SUMPRODUCT(('01_Data'!$B790:$AW790&lt;&gt;"")*(1/(1+EXP(-(T790-'03_Lap_b'!$B$30:$AW$30)))))</f>
        <v/>
      </c>
      <c r="V790" s="5">
        <f>SUMPRODUCT(('01_Data'!$B790:$AW790&lt;&gt;"")*(1/(1+EXP(-(T790-'03_Lap_b'!$B$30:$AW$30))))^2)</f>
        <v/>
      </c>
      <c r="W790" s="5">
        <f>MEDIAN(-6,T790+(C790-U790)/MAX(U790-V790,0.000000001),6)</f>
        <v/>
      </c>
      <c r="X790" s="5">
        <f>SUMPRODUCT(('01_Data'!$B790:$AW790&lt;&gt;"")*(1/(1+EXP(-(W790-'03_Lap_b'!$B$35:$AW$35)))))</f>
        <v/>
      </c>
      <c r="Y790" s="5">
        <f>SUMPRODUCT(('01_Data'!$B790:$AW790&lt;&gt;"")*(1/(1+EXP(-(W790-'03_Lap_b'!$B$35:$AW$35))))^2)</f>
        <v/>
      </c>
      <c r="Z790" s="5">
        <f>MEDIAN(-6,W790+(C790-X790)/MAX(X790-Y790,0.000000001),6)</f>
        <v/>
      </c>
      <c r="AA790" s="5">
        <f>SUMPRODUCT(('01_Data'!$B790:$AW790&lt;&gt;"")*(1/(1+EXP(-(Z790-'03_Lap_b'!$B$40:$AW$40)))))</f>
        <v/>
      </c>
      <c r="AB790" s="5">
        <f>SUMPRODUCT(('01_Data'!$B790:$AW790&lt;&gt;"")*(1/(1+EXP(-(Z790-'03_Lap_b'!$B$40:$AW$40))))^2)</f>
        <v/>
      </c>
      <c r="AC790" s="5">
        <f>MEDIAN(-6,Z790+(C790-AA790)/MAX(AA790-AB790,0.000000001),6)</f>
        <v/>
      </c>
    </row>
    <row r="791">
      <c r="A791" t="n">
        <v>790</v>
      </c>
      <c r="B791">
        <f>'01_Data'!A791</f>
        <v/>
      </c>
      <c r="C791">
        <f>SUM('01_Data'!$B791:$AW791)</f>
        <v/>
      </c>
      <c r="D791">
        <f>COUNT('01_Data'!$B791:$AW791)</f>
        <v/>
      </c>
      <c r="E791" s="5">
        <f>MEDIAN(-6,LN((C791+0.3)/(D791-C791+0.3)),6)</f>
        <v/>
      </c>
      <c r="F791" s="5">
        <f>SUMPRODUCT(('01_Data'!$B791:$AW791&lt;&gt;"")*(1/(1+EXP(-(E791-'03_Lap_b'!$B$5:$AW$5)))))</f>
        <v/>
      </c>
      <c r="G791" s="5">
        <f>SUMPRODUCT(('01_Data'!$B791:$AW791&lt;&gt;"")*(1/(1+EXP(-(E791-'03_Lap_b'!$B$5:$AW$5))))^2)</f>
        <v/>
      </c>
      <c r="H791" s="5">
        <f>MEDIAN(-6,E791+(C791-F791)/MAX(F791-G791,0.000000001),6)</f>
        <v/>
      </c>
      <c r="I791" s="5">
        <f>SUMPRODUCT(('01_Data'!$B791:$AW791&lt;&gt;"")*(1/(1+EXP(-(H791-'03_Lap_b'!$B$10:$AW$10)))))</f>
        <v/>
      </c>
      <c r="J791" s="5">
        <f>SUMPRODUCT(('01_Data'!$B791:$AW791&lt;&gt;"")*(1/(1+EXP(-(H791-'03_Lap_b'!$B$10:$AW$10))))^2)</f>
        <v/>
      </c>
      <c r="K791" s="5">
        <f>MEDIAN(-6,H791+(C791-I791)/MAX(I791-J791,0.000000001),6)</f>
        <v/>
      </c>
      <c r="L791" s="5">
        <f>SUMPRODUCT(('01_Data'!$B791:$AW791&lt;&gt;"")*(1/(1+EXP(-(K791-'03_Lap_b'!$B$15:$AW$15)))))</f>
        <v/>
      </c>
      <c r="M791" s="5">
        <f>SUMPRODUCT(('01_Data'!$B791:$AW791&lt;&gt;"")*(1/(1+EXP(-(K791-'03_Lap_b'!$B$15:$AW$15))))^2)</f>
        <v/>
      </c>
      <c r="N791" s="5">
        <f>MEDIAN(-6,K791+(C791-L791)/MAX(L791-M791,0.000000001),6)</f>
        <v/>
      </c>
      <c r="O791" s="5">
        <f>SUMPRODUCT(('01_Data'!$B791:$AW791&lt;&gt;"")*(1/(1+EXP(-(N791-'03_Lap_b'!$B$20:$AW$20)))))</f>
        <v/>
      </c>
      <c r="P791" s="5">
        <f>SUMPRODUCT(('01_Data'!$B791:$AW791&lt;&gt;"")*(1/(1+EXP(-(N791-'03_Lap_b'!$B$20:$AW$20))))^2)</f>
        <v/>
      </c>
      <c r="Q791" s="5">
        <f>MEDIAN(-6,N791+(C791-O791)/MAX(O791-P791,0.000000001),6)</f>
        <v/>
      </c>
      <c r="R791" s="5">
        <f>SUMPRODUCT(('01_Data'!$B791:$AW791&lt;&gt;"")*(1/(1+EXP(-(Q791-'03_Lap_b'!$B$25:$AW$25)))))</f>
        <v/>
      </c>
      <c r="S791" s="5">
        <f>SUMPRODUCT(('01_Data'!$B791:$AW791&lt;&gt;"")*(1/(1+EXP(-(Q791-'03_Lap_b'!$B$25:$AW$25))))^2)</f>
        <v/>
      </c>
      <c r="T791" s="5">
        <f>MEDIAN(-6,Q791+(C791-R791)/MAX(R791-S791,0.000000001),6)</f>
        <v/>
      </c>
      <c r="U791" s="5">
        <f>SUMPRODUCT(('01_Data'!$B791:$AW791&lt;&gt;"")*(1/(1+EXP(-(T791-'03_Lap_b'!$B$30:$AW$30)))))</f>
        <v/>
      </c>
      <c r="V791" s="5">
        <f>SUMPRODUCT(('01_Data'!$B791:$AW791&lt;&gt;"")*(1/(1+EXP(-(T791-'03_Lap_b'!$B$30:$AW$30))))^2)</f>
        <v/>
      </c>
      <c r="W791" s="5">
        <f>MEDIAN(-6,T791+(C791-U791)/MAX(U791-V791,0.000000001),6)</f>
        <v/>
      </c>
      <c r="X791" s="5">
        <f>SUMPRODUCT(('01_Data'!$B791:$AW791&lt;&gt;"")*(1/(1+EXP(-(W791-'03_Lap_b'!$B$35:$AW$35)))))</f>
        <v/>
      </c>
      <c r="Y791" s="5">
        <f>SUMPRODUCT(('01_Data'!$B791:$AW791&lt;&gt;"")*(1/(1+EXP(-(W791-'03_Lap_b'!$B$35:$AW$35))))^2)</f>
        <v/>
      </c>
      <c r="Z791" s="5">
        <f>MEDIAN(-6,W791+(C791-X791)/MAX(X791-Y791,0.000000001),6)</f>
        <v/>
      </c>
      <c r="AA791" s="5">
        <f>SUMPRODUCT(('01_Data'!$B791:$AW791&lt;&gt;"")*(1/(1+EXP(-(Z791-'03_Lap_b'!$B$40:$AW$40)))))</f>
        <v/>
      </c>
      <c r="AB791" s="5">
        <f>SUMPRODUCT(('01_Data'!$B791:$AW791&lt;&gt;"")*(1/(1+EXP(-(Z791-'03_Lap_b'!$B$40:$AW$40))))^2)</f>
        <v/>
      </c>
      <c r="AC791" s="5">
        <f>MEDIAN(-6,Z791+(C791-AA791)/MAX(AA791-AB791,0.000000001),6)</f>
        <v/>
      </c>
    </row>
    <row r="792">
      <c r="A792" t="n">
        <v>791</v>
      </c>
      <c r="B792">
        <f>'01_Data'!A792</f>
        <v/>
      </c>
      <c r="C792">
        <f>SUM('01_Data'!$B792:$AW792)</f>
        <v/>
      </c>
      <c r="D792">
        <f>COUNT('01_Data'!$B792:$AW792)</f>
        <v/>
      </c>
      <c r="E792" s="5">
        <f>MEDIAN(-6,LN((C792+0.3)/(D792-C792+0.3)),6)</f>
        <v/>
      </c>
      <c r="F792" s="5">
        <f>SUMPRODUCT(('01_Data'!$B792:$AW792&lt;&gt;"")*(1/(1+EXP(-(E792-'03_Lap_b'!$B$5:$AW$5)))))</f>
        <v/>
      </c>
      <c r="G792" s="5">
        <f>SUMPRODUCT(('01_Data'!$B792:$AW792&lt;&gt;"")*(1/(1+EXP(-(E792-'03_Lap_b'!$B$5:$AW$5))))^2)</f>
        <v/>
      </c>
      <c r="H792" s="5">
        <f>MEDIAN(-6,E792+(C792-F792)/MAX(F792-G792,0.000000001),6)</f>
        <v/>
      </c>
      <c r="I792" s="5">
        <f>SUMPRODUCT(('01_Data'!$B792:$AW792&lt;&gt;"")*(1/(1+EXP(-(H792-'03_Lap_b'!$B$10:$AW$10)))))</f>
        <v/>
      </c>
      <c r="J792" s="5">
        <f>SUMPRODUCT(('01_Data'!$B792:$AW792&lt;&gt;"")*(1/(1+EXP(-(H792-'03_Lap_b'!$B$10:$AW$10))))^2)</f>
        <v/>
      </c>
      <c r="K792" s="5">
        <f>MEDIAN(-6,H792+(C792-I792)/MAX(I792-J792,0.000000001),6)</f>
        <v/>
      </c>
      <c r="L792" s="5">
        <f>SUMPRODUCT(('01_Data'!$B792:$AW792&lt;&gt;"")*(1/(1+EXP(-(K792-'03_Lap_b'!$B$15:$AW$15)))))</f>
        <v/>
      </c>
      <c r="M792" s="5">
        <f>SUMPRODUCT(('01_Data'!$B792:$AW792&lt;&gt;"")*(1/(1+EXP(-(K792-'03_Lap_b'!$B$15:$AW$15))))^2)</f>
        <v/>
      </c>
      <c r="N792" s="5">
        <f>MEDIAN(-6,K792+(C792-L792)/MAX(L792-M792,0.000000001),6)</f>
        <v/>
      </c>
      <c r="O792" s="5">
        <f>SUMPRODUCT(('01_Data'!$B792:$AW792&lt;&gt;"")*(1/(1+EXP(-(N792-'03_Lap_b'!$B$20:$AW$20)))))</f>
        <v/>
      </c>
      <c r="P792" s="5">
        <f>SUMPRODUCT(('01_Data'!$B792:$AW792&lt;&gt;"")*(1/(1+EXP(-(N792-'03_Lap_b'!$B$20:$AW$20))))^2)</f>
        <v/>
      </c>
      <c r="Q792" s="5">
        <f>MEDIAN(-6,N792+(C792-O792)/MAX(O792-P792,0.000000001),6)</f>
        <v/>
      </c>
      <c r="R792" s="5">
        <f>SUMPRODUCT(('01_Data'!$B792:$AW792&lt;&gt;"")*(1/(1+EXP(-(Q792-'03_Lap_b'!$B$25:$AW$25)))))</f>
        <v/>
      </c>
      <c r="S792" s="5">
        <f>SUMPRODUCT(('01_Data'!$B792:$AW792&lt;&gt;"")*(1/(1+EXP(-(Q792-'03_Lap_b'!$B$25:$AW$25))))^2)</f>
        <v/>
      </c>
      <c r="T792" s="5">
        <f>MEDIAN(-6,Q792+(C792-R792)/MAX(R792-S792,0.000000001),6)</f>
        <v/>
      </c>
      <c r="U792" s="5">
        <f>SUMPRODUCT(('01_Data'!$B792:$AW792&lt;&gt;"")*(1/(1+EXP(-(T792-'03_Lap_b'!$B$30:$AW$30)))))</f>
        <v/>
      </c>
      <c r="V792" s="5">
        <f>SUMPRODUCT(('01_Data'!$B792:$AW792&lt;&gt;"")*(1/(1+EXP(-(T792-'03_Lap_b'!$B$30:$AW$30))))^2)</f>
        <v/>
      </c>
      <c r="W792" s="5">
        <f>MEDIAN(-6,T792+(C792-U792)/MAX(U792-V792,0.000000001),6)</f>
        <v/>
      </c>
      <c r="X792" s="5">
        <f>SUMPRODUCT(('01_Data'!$B792:$AW792&lt;&gt;"")*(1/(1+EXP(-(W792-'03_Lap_b'!$B$35:$AW$35)))))</f>
        <v/>
      </c>
      <c r="Y792" s="5">
        <f>SUMPRODUCT(('01_Data'!$B792:$AW792&lt;&gt;"")*(1/(1+EXP(-(W792-'03_Lap_b'!$B$35:$AW$35))))^2)</f>
        <v/>
      </c>
      <c r="Z792" s="5">
        <f>MEDIAN(-6,W792+(C792-X792)/MAX(X792-Y792,0.000000001),6)</f>
        <v/>
      </c>
      <c r="AA792" s="5">
        <f>SUMPRODUCT(('01_Data'!$B792:$AW792&lt;&gt;"")*(1/(1+EXP(-(Z792-'03_Lap_b'!$B$40:$AW$40)))))</f>
        <v/>
      </c>
      <c r="AB792" s="5">
        <f>SUMPRODUCT(('01_Data'!$B792:$AW792&lt;&gt;"")*(1/(1+EXP(-(Z792-'03_Lap_b'!$B$40:$AW$40))))^2)</f>
        <v/>
      </c>
      <c r="AC792" s="5">
        <f>MEDIAN(-6,Z792+(C792-AA792)/MAX(AA792-AB792,0.000000001),6)</f>
        <v/>
      </c>
    </row>
    <row r="793">
      <c r="A793" t="n">
        <v>792</v>
      </c>
      <c r="B793">
        <f>'01_Data'!A793</f>
        <v/>
      </c>
      <c r="C793">
        <f>SUM('01_Data'!$B793:$AW793)</f>
        <v/>
      </c>
      <c r="D793">
        <f>COUNT('01_Data'!$B793:$AW793)</f>
        <v/>
      </c>
      <c r="E793" s="5">
        <f>MEDIAN(-6,LN((C793+0.3)/(D793-C793+0.3)),6)</f>
        <v/>
      </c>
      <c r="F793" s="5">
        <f>SUMPRODUCT(('01_Data'!$B793:$AW793&lt;&gt;"")*(1/(1+EXP(-(E793-'03_Lap_b'!$B$5:$AW$5)))))</f>
        <v/>
      </c>
      <c r="G793" s="5">
        <f>SUMPRODUCT(('01_Data'!$B793:$AW793&lt;&gt;"")*(1/(1+EXP(-(E793-'03_Lap_b'!$B$5:$AW$5))))^2)</f>
        <v/>
      </c>
      <c r="H793" s="5">
        <f>MEDIAN(-6,E793+(C793-F793)/MAX(F793-G793,0.000000001),6)</f>
        <v/>
      </c>
      <c r="I793" s="5">
        <f>SUMPRODUCT(('01_Data'!$B793:$AW793&lt;&gt;"")*(1/(1+EXP(-(H793-'03_Lap_b'!$B$10:$AW$10)))))</f>
        <v/>
      </c>
      <c r="J793" s="5">
        <f>SUMPRODUCT(('01_Data'!$B793:$AW793&lt;&gt;"")*(1/(1+EXP(-(H793-'03_Lap_b'!$B$10:$AW$10))))^2)</f>
        <v/>
      </c>
      <c r="K793" s="5">
        <f>MEDIAN(-6,H793+(C793-I793)/MAX(I793-J793,0.000000001),6)</f>
        <v/>
      </c>
      <c r="L793" s="5">
        <f>SUMPRODUCT(('01_Data'!$B793:$AW793&lt;&gt;"")*(1/(1+EXP(-(K793-'03_Lap_b'!$B$15:$AW$15)))))</f>
        <v/>
      </c>
      <c r="M793" s="5">
        <f>SUMPRODUCT(('01_Data'!$B793:$AW793&lt;&gt;"")*(1/(1+EXP(-(K793-'03_Lap_b'!$B$15:$AW$15))))^2)</f>
        <v/>
      </c>
      <c r="N793" s="5">
        <f>MEDIAN(-6,K793+(C793-L793)/MAX(L793-M793,0.000000001),6)</f>
        <v/>
      </c>
      <c r="O793" s="5">
        <f>SUMPRODUCT(('01_Data'!$B793:$AW793&lt;&gt;"")*(1/(1+EXP(-(N793-'03_Lap_b'!$B$20:$AW$20)))))</f>
        <v/>
      </c>
      <c r="P793" s="5">
        <f>SUMPRODUCT(('01_Data'!$B793:$AW793&lt;&gt;"")*(1/(1+EXP(-(N793-'03_Lap_b'!$B$20:$AW$20))))^2)</f>
        <v/>
      </c>
      <c r="Q793" s="5">
        <f>MEDIAN(-6,N793+(C793-O793)/MAX(O793-P793,0.000000001),6)</f>
        <v/>
      </c>
      <c r="R793" s="5">
        <f>SUMPRODUCT(('01_Data'!$B793:$AW793&lt;&gt;"")*(1/(1+EXP(-(Q793-'03_Lap_b'!$B$25:$AW$25)))))</f>
        <v/>
      </c>
      <c r="S793" s="5">
        <f>SUMPRODUCT(('01_Data'!$B793:$AW793&lt;&gt;"")*(1/(1+EXP(-(Q793-'03_Lap_b'!$B$25:$AW$25))))^2)</f>
        <v/>
      </c>
      <c r="T793" s="5">
        <f>MEDIAN(-6,Q793+(C793-R793)/MAX(R793-S793,0.000000001),6)</f>
        <v/>
      </c>
      <c r="U793" s="5">
        <f>SUMPRODUCT(('01_Data'!$B793:$AW793&lt;&gt;"")*(1/(1+EXP(-(T793-'03_Lap_b'!$B$30:$AW$30)))))</f>
        <v/>
      </c>
      <c r="V793" s="5">
        <f>SUMPRODUCT(('01_Data'!$B793:$AW793&lt;&gt;"")*(1/(1+EXP(-(T793-'03_Lap_b'!$B$30:$AW$30))))^2)</f>
        <v/>
      </c>
      <c r="W793" s="5">
        <f>MEDIAN(-6,T793+(C793-U793)/MAX(U793-V793,0.000000001),6)</f>
        <v/>
      </c>
      <c r="X793" s="5">
        <f>SUMPRODUCT(('01_Data'!$B793:$AW793&lt;&gt;"")*(1/(1+EXP(-(W793-'03_Lap_b'!$B$35:$AW$35)))))</f>
        <v/>
      </c>
      <c r="Y793" s="5">
        <f>SUMPRODUCT(('01_Data'!$B793:$AW793&lt;&gt;"")*(1/(1+EXP(-(W793-'03_Lap_b'!$B$35:$AW$35))))^2)</f>
        <v/>
      </c>
      <c r="Z793" s="5">
        <f>MEDIAN(-6,W793+(C793-X793)/MAX(X793-Y793,0.000000001),6)</f>
        <v/>
      </c>
      <c r="AA793" s="5">
        <f>SUMPRODUCT(('01_Data'!$B793:$AW793&lt;&gt;"")*(1/(1+EXP(-(Z793-'03_Lap_b'!$B$40:$AW$40)))))</f>
        <v/>
      </c>
      <c r="AB793" s="5">
        <f>SUMPRODUCT(('01_Data'!$B793:$AW793&lt;&gt;"")*(1/(1+EXP(-(Z793-'03_Lap_b'!$B$40:$AW$40))))^2)</f>
        <v/>
      </c>
      <c r="AC793" s="5">
        <f>MEDIAN(-6,Z793+(C793-AA793)/MAX(AA793-AB793,0.000000001),6)</f>
        <v/>
      </c>
    </row>
    <row r="794">
      <c r="A794" t="n">
        <v>793</v>
      </c>
      <c r="B794">
        <f>'01_Data'!A794</f>
        <v/>
      </c>
      <c r="C794">
        <f>SUM('01_Data'!$B794:$AW794)</f>
        <v/>
      </c>
      <c r="D794">
        <f>COUNT('01_Data'!$B794:$AW794)</f>
        <v/>
      </c>
      <c r="E794" s="5">
        <f>MEDIAN(-6,LN((C794+0.3)/(D794-C794+0.3)),6)</f>
        <v/>
      </c>
      <c r="F794" s="5">
        <f>SUMPRODUCT(('01_Data'!$B794:$AW794&lt;&gt;"")*(1/(1+EXP(-(E794-'03_Lap_b'!$B$5:$AW$5)))))</f>
        <v/>
      </c>
      <c r="G794" s="5">
        <f>SUMPRODUCT(('01_Data'!$B794:$AW794&lt;&gt;"")*(1/(1+EXP(-(E794-'03_Lap_b'!$B$5:$AW$5))))^2)</f>
        <v/>
      </c>
      <c r="H794" s="5">
        <f>MEDIAN(-6,E794+(C794-F794)/MAX(F794-G794,0.000000001),6)</f>
        <v/>
      </c>
      <c r="I794" s="5">
        <f>SUMPRODUCT(('01_Data'!$B794:$AW794&lt;&gt;"")*(1/(1+EXP(-(H794-'03_Lap_b'!$B$10:$AW$10)))))</f>
        <v/>
      </c>
      <c r="J794" s="5">
        <f>SUMPRODUCT(('01_Data'!$B794:$AW794&lt;&gt;"")*(1/(1+EXP(-(H794-'03_Lap_b'!$B$10:$AW$10))))^2)</f>
        <v/>
      </c>
      <c r="K794" s="5">
        <f>MEDIAN(-6,H794+(C794-I794)/MAX(I794-J794,0.000000001),6)</f>
        <v/>
      </c>
      <c r="L794" s="5">
        <f>SUMPRODUCT(('01_Data'!$B794:$AW794&lt;&gt;"")*(1/(1+EXP(-(K794-'03_Lap_b'!$B$15:$AW$15)))))</f>
        <v/>
      </c>
      <c r="M794" s="5">
        <f>SUMPRODUCT(('01_Data'!$B794:$AW794&lt;&gt;"")*(1/(1+EXP(-(K794-'03_Lap_b'!$B$15:$AW$15))))^2)</f>
        <v/>
      </c>
      <c r="N794" s="5">
        <f>MEDIAN(-6,K794+(C794-L794)/MAX(L794-M794,0.000000001),6)</f>
        <v/>
      </c>
      <c r="O794" s="5">
        <f>SUMPRODUCT(('01_Data'!$B794:$AW794&lt;&gt;"")*(1/(1+EXP(-(N794-'03_Lap_b'!$B$20:$AW$20)))))</f>
        <v/>
      </c>
      <c r="P794" s="5">
        <f>SUMPRODUCT(('01_Data'!$B794:$AW794&lt;&gt;"")*(1/(1+EXP(-(N794-'03_Lap_b'!$B$20:$AW$20))))^2)</f>
        <v/>
      </c>
      <c r="Q794" s="5">
        <f>MEDIAN(-6,N794+(C794-O794)/MAX(O794-P794,0.000000001),6)</f>
        <v/>
      </c>
      <c r="R794" s="5">
        <f>SUMPRODUCT(('01_Data'!$B794:$AW794&lt;&gt;"")*(1/(1+EXP(-(Q794-'03_Lap_b'!$B$25:$AW$25)))))</f>
        <v/>
      </c>
      <c r="S794" s="5">
        <f>SUMPRODUCT(('01_Data'!$B794:$AW794&lt;&gt;"")*(1/(1+EXP(-(Q794-'03_Lap_b'!$B$25:$AW$25))))^2)</f>
        <v/>
      </c>
      <c r="T794" s="5">
        <f>MEDIAN(-6,Q794+(C794-R794)/MAX(R794-S794,0.000000001),6)</f>
        <v/>
      </c>
      <c r="U794" s="5">
        <f>SUMPRODUCT(('01_Data'!$B794:$AW794&lt;&gt;"")*(1/(1+EXP(-(T794-'03_Lap_b'!$B$30:$AW$30)))))</f>
        <v/>
      </c>
      <c r="V794" s="5">
        <f>SUMPRODUCT(('01_Data'!$B794:$AW794&lt;&gt;"")*(1/(1+EXP(-(T794-'03_Lap_b'!$B$30:$AW$30))))^2)</f>
        <v/>
      </c>
      <c r="W794" s="5">
        <f>MEDIAN(-6,T794+(C794-U794)/MAX(U794-V794,0.000000001),6)</f>
        <v/>
      </c>
      <c r="X794" s="5">
        <f>SUMPRODUCT(('01_Data'!$B794:$AW794&lt;&gt;"")*(1/(1+EXP(-(W794-'03_Lap_b'!$B$35:$AW$35)))))</f>
        <v/>
      </c>
      <c r="Y794" s="5">
        <f>SUMPRODUCT(('01_Data'!$B794:$AW794&lt;&gt;"")*(1/(1+EXP(-(W794-'03_Lap_b'!$B$35:$AW$35))))^2)</f>
        <v/>
      </c>
      <c r="Z794" s="5">
        <f>MEDIAN(-6,W794+(C794-X794)/MAX(X794-Y794,0.000000001),6)</f>
        <v/>
      </c>
      <c r="AA794" s="5">
        <f>SUMPRODUCT(('01_Data'!$B794:$AW794&lt;&gt;"")*(1/(1+EXP(-(Z794-'03_Lap_b'!$B$40:$AW$40)))))</f>
        <v/>
      </c>
      <c r="AB794" s="5">
        <f>SUMPRODUCT(('01_Data'!$B794:$AW794&lt;&gt;"")*(1/(1+EXP(-(Z794-'03_Lap_b'!$B$40:$AW$40))))^2)</f>
        <v/>
      </c>
      <c r="AC794" s="5">
        <f>MEDIAN(-6,Z794+(C794-AA794)/MAX(AA794-AB794,0.000000001),6)</f>
        <v/>
      </c>
    </row>
    <row r="795">
      <c r="A795" t="n">
        <v>794</v>
      </c>
      <c r="B795">
        <f>'01_Data'!A795</f>
        <v/>
      </c>
      <c r="C795">
        <f>SUM('01_Data'!$B795:$AW795)</f>
        <v/>
      </c>
      <c r="D795">
        <f>COUNT('01_Data'!$B795:$AW795)</f>
        <v/>
      </c>
      <c r="E795" s="5">
        <f>MEDIAN(-6,LN((C795+0.3)/(D795-C795+0.3)),6)</f>
        <v/>
      </c>
      <c r="F795" s="5">
        <f>SUMPRODUCT(('01_Data'!$B795:$AW795&lt;&gt;"")*(1/(1+EXP(-(E795-'03_Lap_b'!$B$5:$AW$5)))))</f>
        <v/>
      </c>
      <c r="G795" s="5">
        <f>SUMPRODUCT(('01_Data'!$B795:$AW795&lt;&gt;"")*(1/(1+EXP(-(E795-'03_Lap_b'!$B$5:$AW$5))))^2)</f>
        <v/>
      </c>
      <c r="H795" s="5">
        <f>MEDIAN(-6,E795+(C795-F795)/MAX(F795-G795,0.000000001),6)</f>
        <v/>
      </c>
      <c r="I795" s="5">
        <f>SUMPRODUCT(('01_Data'!$B795:$AW795&lt;&gt;"")*(1/(1+EXP(-(H795-'03_Lap_b'!$B$10:$AW$10)))))</f>
        <v/>
      </c>
      <c r="J795" s="5">
        <f>SUMPRODUCT(('01_Data'!$B795:$AW795&lt;&gt;"")*(1/(1+EXP(-(H795-'03_Lap_b'!$B$10:$AW$10))))^2)</f>
        <v/>
      </c>
      <c r="K795" s="5">
        <f>MEDIAN(-6,H795+(C795-I795)/MAX(I795-J795,0.000000001),6)</f>
        <v/>
      </c>
      <c r="L795" s="5">
        <f>SUMPRODUCT(('01_Data'!$B795:$AW795&lt;&gt;"")*(1/(1+EXP(-(K795-'03_Lap_b'!$B$15:$AW$15)))))</f>
        <v/>
      </c>
      <c r="M795" s="5">
        <f>SUMPRODUCT(('01_Data'!$B795:$AW795&lt;&gt;"")*(1/(1+EXP(-(K795-'03_Lap_b'!$B$15:$AW$15))))^2)</f>
        <v/>
      </c>
      <c r="N795" s="5">
        <f>MEDIAN(-6,K795+(C795-L795)/MAX(L795-M795,0.000000001),6)</f>
        <v/>
      </c>
      <c r="O795" s="5">
        <f>SUMPRODUCT(('01_Data'!$B795:$AW795&lt;&gt;"")*(1/(1+EXP(-(N795-'03_Lap_b'!$B$20:$AW$20)))))</f>
        <v/>
      </c>
      <c r="P795" s="5">
        <f>SUMPRODUCT(('01_Data'!$B795:$AW795&lt;&gt;"")*(1/(1+EXP(-(N795-'03_Lap_b'!$B$20:$AW$20))))^2)</f>
        <v/>
      </c>
      <c r="Q795" s="5">
        <f>MEDIAN(-6,N795+(C795-O795)/MAX(O795-P795,0.000000001),6)</f>
        <v/>
      </c>
      <c r="R795" s="5">
        <f>SUMPRODUCT(('01_Data'!$B795:$AW795&lt;&gt;"")*(1/(1+EXP(-(Q795-'03_Lap_b'!$B$25:$AW$25)))))</f>
        <v/>
      </c>
      <c r="S795" s="5">
        <f>SUMPRODUCT(('01_Data'!$B795:$AW795&lt;&gt;"")*(1/(1+EXP(-(Q795-'03_Lap_b'!$B$25:$AW$25))))^2)</f>
        <v/>
      </c>
      <c r="T795" s="5">
        <f>MEDIAN(-6,Q795+(C795-R795)/MAX(R795-S795,0.000000001),6)</f>
        <v/>
      </c>
      <c r="U795" s="5">
        <f>SUMPRODUCT(('01_Data'!$B795:$AW795&lt;&gt;"")*(1/(1+EXP(-(T795-'03_Lap_b'!$B$30:$AW$30)))))</f>
        <v/>
      </c>
      <c r="V795" s="5">
        <f>SUMPRODUCT(('01_Data'!$B795:$AW795&lt;&gt;"")*(1/(1+EXP(-(T795-'03_Lap_b'!$B$30:$AW$30))))^2)</f>
        <v/>
      </c>
      <c r="W795" s="5">
        <f>MEDIAN(-6,T795+(C795-U795)/MAX(U795-V795,0.000000001),6)</f>
        <v/>
      </c>
      <c r="X795" s="5">
        <f>SUMPRODUCT(('01_Data'!$B795:$AW795&lt;&gt;"")*(1/(1+EXP(-(W795-'03_Lap_b'!$B$35:$AW$35)))))</f>
        <v/>
      </c>
      <c r="Y795" s="5">
        <f>SUMPRODUCT(('01_Data'!$B795:$AW795&lt;&gt;"")*(1/(1+EXP(-(W795-'03_Lap_b'!$B$35:$AW$35))))^2)</f>
        <v/>
      </c>
      <c r="Z795" s="5">
        <f>MEDIAN(-6,W795+(C795-X795)/MAX(X795-Y795,0.000000001),6)</f>
        <v/>
      </c>
      <c r="AA795" s="5">
        <f>SUMPRODUCT(('01_Data'!$B795:$AW795&lt;&gt;"")*(1/(1+EXP(-(Z795-'03_Lap_b'!$B$40:$AW$40)))))</f>
        <v/>
      </c>
      <c r="AB795" s="5">
        <f>SUMPRODUCT(('01_Data'!$B795:$AW795&lt;&gt;"")*(1/(1+EXP(-(Z795-'03_Lap_b'!$B$40:$AW$40))))^2)</f>
        <v/>
      </c>
      <c r="AC795" s="5">
        <f>MEDIAN(-6,Z795+(C795-AA795)/MAX(AA795-AB795,0.000000001),6)</f>
        <v/>
      </c>
    </row>
    <row r="796">
      <c r="A796" t="n">
        <v>795</v>
      </c>
      <c r="B796">
        <f>'01_Data'!A796</f>
        <v/>
      </c>
      <c r="C796">
        <f>SUM('01_Data'!$B796:$AW796)</f>
        <v/>
      </c>
      <c r="D796">
        <f>COUNT('01_Data'!$B796:$AW796)</f>
        <v/>
      </c>
      <c r="E796" s="5">
        <f>MEDIAN(-6,LN((C796+0.3)/(D796-C796+0.3)),6)</f>
        <v/>
      </c>
      <c r="F796" s="5">
        <f>SUMPRODUCT(('01_Data'!$B796:$AW796&lt;&gt;"")*(1/(1+EXP(-(E796-'03_Lap_b'!$B$5:$AW$5)))))</f>
        <v/>
      </c>
      <c r="G796" s="5">
        <f>SUMPRODUCT(('01_Data'!$B796:$AW796&lt;&gt;"")*(1/(1+EXP(-(E796-'03_Lap_b'!$B$5:$AW$5))))^2)</f>
        <v/>
      </c>
      <c r="H796" s="5">
        <f>MEDIAN(-6,E796+(C796-F796)/MAX(F796-G796,0.000000001),6)</f>
        <v/>
      </c>
      <c r="I796" s="5">
        <f>SUMPRODUCT(('01_Data'!$B796:$AW796&lt;&gt;"")*(1/(1+EXP(-(H796-'03_Lap_b'!$B$10:$AW$10)))))</f>
        <v/>
      </c>
      <c r="J796" s="5">
        <f>SUMPRODUCT(('01_Data'!$B796:$AW796&lt;&gt;"")*(1/(1+EXP(-(H796-'03_Lap_b'!$B$10:$AW$10))))^2)</f>
        <v/>
      </c>
      <c r="K796" s="5">
        <f>MEDIAN(-6,H796+(C796-I796)/MAX(I796-J796,0.000000001),6)</f>
        <v/>
      </c>
      <c r="L796" s="5">
        <f>SUMPRODUCT(('01_Data'!$B796:$AW796&lt;&gt;"")*(1/(1+EXP(-(K796-'03_Lap_b'!$B$15:$AW$15)))))</f>
        <v/>
      </c>
      <c r="M796" s="5">
        <f>SUMPRODUCT(('01_Data'!$B796:$AW796&lt;&gt;"")*(1/(1+EXP(-(K796-'03_Lap_b'!$B$15:$AW$15))))^2)</f>
        <v/>
      </c>
      <c r="N796" s="5">
        <f>MEDIAN(-6,K796+(C796-L796)/MAX(L796-M796,0.000000001),6)</f>
        <v/>
      </c>
      <c r="O796" s="5">
        <f>SUMPRODUCT(('01_Data'!$B796:$AW796&lt;&gt;"")*(1/(1+EXP(-(N796-'03_Lap_b'!$B$20:$AW$20)))))</f>
        <v/>
      </c>
      <c r="P796" s="5">
        <f>SUMPRODUCT(('01_Data'!$B796:$AW796&lt;&gt;"")*(1/(1+EXP(-(N796-'03_Lap_b'!$B$20:$AW$20))))^2)</f>
        <v/>
      </c>
      <c r="Q796" s="5">
        <f>MEDIAN(-6,N796+(C796-O796)/MAX(O796-P796,0.000000001),6)</f>
        <v/>
      </c>
      <c r="R796" s="5">
        <f>SUMPRODUCT(('01_Data'!$B796:$AW796&lt;&gt;"")*(1/(1+EXP(-(Q796-'03_Lap_b'!$B$25:$AW$25)))))</f>
        <v/>
      </c>
      <c r="S796" s="5">
        <f>SUMPRODUCT(('01_Data'!$B796:$AW796&lt;&gt;"")*(1/(1+EXP(-(Q796-'03_Lap_b'!$B$25:$AW$25))))^2)</f>
        <v/>
      </c>
      <c r="T796" s="5">
        <f>MEDIAN(-6,Q796+(C796-R796)/MAX(R796-S796,0.000000001),6)</f>
        <v/>
      </c>
      <c r="U796" s="5">
        <f>SUMPRODUCT(('01_Data'!$B796:$AW796&lt;&gt;"")*(1/(1+EXP(-(T796-'03_Lap_b'!$B$30:$AW$30)))))</f>
        <v/>
      </c>
      <c r="V796" s="5">
        <f>SUMPRODUCT(('01_Data'!$B796:$AW796&lt;&gt;"")*(1/(1+EXP(-(T796-'03_Lap_b'!$B$30:$AW$30))))^2)</f>
        <v/>
      </c>
      <c r="W796" s="5">
        <f>MEDIAN(-6,T796+(C796-U796)/MAX(U796-V796,0.000000001),6)</f>
        <v/>
      </c>
      <c r="X796" s="5">
        <f>SUMPRODUCT(('01_Data'!$B796:$AW796&lt;&gt;"")*(1/(1+EXP(-(W796-'03_Lap_b'!$B$35:$AW$35)))))</f>
        <v/>
      </c>
      <c r="Y796" s="5">
        <f>SUMPRODUCT(('01_Data'!$B796:$AW796&lt;&gt;"")*(1/(1+EXP(-(W796-'03_Lap_b'!$B$35:$AW$35))))^2)</f>
        <v/>
      </c>
      <c r="Z796" s="5">
        <f>MEDIAN(-6,W796+(C796-X796)/MAX(X796-Y796,0.000000001),6)</f>
        <v/>
      </c>
      <c r="AA796" s="5">
        <f>SUMPRODUCT(('01_Data'!$B796:$AW796&lt;&gt;"")*(1/(1+EXP(-(Z796-'03_Lap_b'!$B$40:$AW$40)))))</f>
        <v/>
      </c>
      <c r="AB796" s="5">
        <f>SUMPRODUCT(('01_Data'!$B796:$AW796&lt;&gt;"")*(1/(1+EXP(-(Z796-'03_Lap_b'!$B$40:$AW$40))))^2)</f>
        <v/>
      </c>
      <c r="AC796" s="5">
        <f>MEDIAN(-6,Z796+(C796-AA796)/MAX(AA796-AB796,0.000000001),6)</f>
        <v/>
      </c>
    </row>
    <row r="797">
      <c r="A797" t="n">
        <v>796</v>
      </c>
      <c r="B797">
        <f>'01_Data'!A797</f>
        <v/>
      </c>
      <c r="C797">
        <f>SUM('01_Data'!$B797:$AW797)</f>
        <v/>
      </c>
      <c r="D797">
        <f>COUNT('01_Data'!$B797:$AW797)</f>
        <v/>
      </c>
      <c r="E797" s="5">
        <f>MEDIAN(-6,LN((C797+0.3)/(D797-C797+0.3)),6)</f>
        <v/>
      </c>
      <c r="F797" s="5">
        <f>SUMPRODUCT(('01_Data'!$B797:$AW797&lt;&gt;"")*(1/(1+EXP(-(E797-'03_Lap_b'!$B$5:$AW$5)))))</f>
        <v/>
      </c>
      <c r="G797" s="5">
        <f>SUMPRODUCT(('01_Data'!$B797:$AW797&lt;&gt;"")*(1/(1+EXP(-(E797-'03_Lap_b'!$B$5:$AW$5))))^2)</f>
        <v/>
      </c>
      <c r="H797" s="5">
        <f>MEDIAN(-6,E797+(C797-F797)/MAX(F797-G797,0.000000001),6)</f>
        <v/>
      </c>
      <c r="I797" s="5">
        <f>SUMPRODUCT(('01_Data'!$B797:$AW797&lt;&gt;"")*(1/(1+EXP(-(H797-'03_Lap_b'!$B$10:$AW$10)))))</f>
        <v/>
      </c>
      <c r="J797" s="5">
        <f>SUMPRODUCT(('01_Data'!$B797:$AW797&lt;&gt;"")*(1/(1+EXP(-(H797-'03_Lap_b'!$B$10:$AW$10))))^2)</f>
        <v/>
      </c>
      <c r="K797" s="5">
        <f>MEDIAN(-6,H797+(C797-I797)/MAX(I797-J797,0.000000001),6)</f>
        <v/>
      </c>
      <c r="L797" s="5">
        <f>SUMPRODUCT(('01_Data'!$B797:$AW797&lt;&gt;"")*(1/(1+EXP(-(K797-'03_Lap_b'!$B$15:$AW$15)))))</f>
        <v/>
      </c>
      <c r="M797" s="5">
        <f>SUMPRODUCT(('01_Data'!$B797:$AW797&lt;&gt;"")*(1/(1+EXP(-(K797-'03_Lap_b'!$B$15:$AW$15))))^2)</f>
        <v/>
      </c>
      <c r="N797" s="5">
        <f>MEDIAN(-6,K797+(C797-L797)/MAX(L797-M797,0.000000001),6)</f>
        <v/>
      </c>
      <c r="O797" s="5">
        <f>SUMPRODUCT(('01_Data'!$B797:$AW797&lt;&gt;"")*(1/(1+EXP(-(N797-'03_Lap_b'!$B$20:$AW$20)))))</f>
        <v/>
      </c>
      <c r="P797" s="5">
        <f>SUMPRODUCT(('01_Data'!$B797:$AW797&lt;&gt;"")*(1/(1+EXP(-(N797-'03_Lap_b'!$B$20:$AW$20))))^2)</f>
        <v/>
      </c>
      <c r="Q797" s="5">
        <f>MEDIAN(-6,N797+(C797-O797)/MAX(O797-P797,0.000000001),6)</f>
        <v/>
      </c>
      <c r="R797" s="5">
        <f>SUMPRODUCT(('01_Data'!$B797:$AW797&lt;&gt;"")*(1/(1+EXP(-(Q797-'03_Lap_b'!$B$25:$AW$25)))))</f>
        <v/>
      </c>
      <c r="S797" s="5">
        <f>SUMPRODUCT(('01_Data'!$B797:$AW797&lt;&gt;"")*(1/(1+EXP(-(Q797-'03_Lap_b'!$B$25:$AW$25))))^2)</f>
        <v/>
      </c>
      <c r="T797" s="5">
        <f>MEDIAN(-6,Q797+(C797-R797)/MAX(R797-S797,0.000000001),6)</f>
        <v/>
      </c>
      <c r="U797" s="5">
        <f>SUMPRODUCT(('01_Data'!$B797:$AW797&lt;&gt;"")*(1/(1+EXP(-(T797-'03_Lap_b'!$B$30:$AW$30)))))</f>
        <v/>
      </c>
      <c r="V797" s="5">
        <f>SUMPRODUCT(('01_Data'!$B797:$AW797&lt;&gt;"")*(1/(1+EXP(-(T797-'03_Lap_b'!$B$30:$AW$30))))^2)</f>
        <v/>
      </c>
      <c r="W797" s="5">
        <f>MEDIAN(-6,T797+(C797-U797)/MAX(U797-V797,0.000000001),6)</f>
        <v/>
      </c>
      <c r="X797" s="5">
        <f>SUMPRODUCT(('01_Data'!$B797:$AW797&lt;&gt;"")*(1/(1+EXP(-(W797-'03_Lap_b'!$B$35:$AW$35)))))</f>
        <v/>
      </c>
      <c r="Y797" s="5">
        <f>SUMPRODUCT(('01_Data'!$B797:$AW797&lt;&gt;"")*(1/(1+EXP(-(W797-'03_Lap_b'!$B$35:$AW$35))))^2)</f>
        <v/>
      </c>
      <c r="Z797" s="5">
        <f>MEDIAN(-6,W797+(C797-X797)/MAX(X797-Y797,0.000000001),6)</f>
        <v/>
      </c>
      <c r="AA797" s="5">
        <f>SUMPRODUCT(('01_Data'!$B797:$AW797&lt;&gt;"")*(1/(1+EXP(-(Z797-'03_Lap_b'!$B$40:$AW$40)))))</f>
        <v/>
      </c>
      <c r="AB797" s="5">
        <f>SUMPRODUCT(('01_Data'!$B797:$AW797&lt;&gt;"")*(1/(1+EXP(-(Z797-'03_Lap_b'!$B$40:$AW$40))))^2)</f>
        <v/>
      </c>
      <c r="AC797" s="5">
        <f>MEDIAN(-6,Z797+(C797-AA797)/MAX(AA797-AB797,0.000000001),6)</f>
        <v/>
      </c>
    </row>
    <row r="798">
      <c r="A798" t="n">
        <v>797</v>
      </c>
      <c r="B798">
        <f>'01_Data'!A798</f>
        <v/>
      </c>
      <c r="C798">
        <f>SUM('01_Data'!$B798:$AW798)</f>
        <v/>
      </c>
      <c r="D798">
        <f>COUNT('01_Data'!$B798:$AW798)</f>
        <v/>
      </c>
      <c r="E798" s="5">
        <f>MEDIAN(-6,LN((C798+0.3)/(D798-C798+0.3)),6)</f>
        <v/>
      </c>
      <c r="F798" s="5">
        <f>SUMPRODUCT(('01_Data'!$B798:$AW798&lt;&gt;"")*(1/(1+EXP(-(E798-'03_Lap_b'!$B$5:$AW$5)))))</f>
        <v/>
      </c>
      <c r="G798" s="5">
        <f>SUMPRODUCT(('01_Data'!$B798:$AW798&lt;&gt;"")*(1/(1+EXP(-(E798-'03_Lap_b'!$B$5:$AW$5))))^2)</f>
        <v/>
      </c>
      <c r="H798" s="5">
        <f>MEDIAN(-6,E798+(C798-F798)/MAX(F798-G798,0.000000001),6)</f>
        <v/>
      </c>
      <c r="I798" s="5">
        <f>SUMPRODUCT(('01_Data'!$B798:$AW798&lt;&gt;"")*(1/(1+EXP(-(H798-'03_Lap_b'!$B$10:$AW$10)))))</f>
        <v/>
      </c>
      <c r="J798" s="5">
        <f>SUMPRODUCT(('01_Data'!$B798:$AW798&lt;&gt;"")*(1/(1+EXP(-(H798-'03_Lap_b'!$B$10:$AW$10))))^2)</f>
        <v/>
      </c>
      <c r="K798" s="5">
        <f>MEDIAN(-6,H798+(C798-I798)/MAX(I798-J798,0.000000001),6)</f>
        <v/>
      </c>
      <c r="L798" s="5">
        <f>SUMPRODUCT(('01_Data'!$B798:$AW798&lt;&gt;"")*(1/(1+EXP(-(K798-'03_Lap_b'!$B$15:$AW$15)))))</f>
        <v/>
      </c>
      <c r="M798" s="5">
        <f>SUMPRODUCT(('01_Data'!$B798:$AW798&lt;&gt;"")*(1/(1+EXP(-(K798-'03_Lap_b'!$B$15:$AW$15))))^2)</f>
        <v/>
      </c>
      <c r="N798" s="5">
        <f>MEDIAN(-6,K798+(C798-L798)/MAX(L798-M798,0.000000001),6)</f>
        <v/>
      </c>
      <c r="O798" s="5">
        <f>SUMPRODUCT(('01_Data'!$B798:$AW798&lt;&gt;"")*(1/(1+EXP(-(N798-'03_Lap_b'!$B$20:$AW$20)))))</f>
        <v/>
      </c>
      <c r="P798" s="5">
        <f>SUMPRODUCT(('01_Data'!$B798:$AW798&lt;&gt;"")*(1/(1+EXP(-(N798-'03_Lap_b'!$B$20:$AW$20))))^2)</f>
        <v/>
      </c>
      <c r="Q798" s="5">
        <f>MEDIAN(-6,N798+(C798-O798)/MAX(O798-P798,0.000000001),6)</f>
        <v/>
      </c>
      <c r="R798" s="5">
        <f>SUMPRODUCT(('01_Data'!$B798:$AW798&lt;&gt;"")*(1/(1+EXP(-(Q798-'03_Lap_b'!$B$25:$AW$25)))))</f>
        <v/>
      </c>
      <c r="S798" s="5">
        <f>SUMPRODUCT(('01_Data'!$B798:$AW798&lt;&gt;"")*(1/(1+EXP(-(Q798-'03_Lap_b'!$B$25:$AW$25))))^2)</f>
        <v/>
      </c>
      <c r="T798" s="5">
        <f>MEDIAN(-6,Q798+(C798-R798)/MAX(R798-S798,0.000000001),6)</f>
        <v/>
      </c>
      <c r="U798" s="5">
        <f>SUMPRODUCT(('01_Data'!$B798:$AW798&lt;&gt;"")*(1/(1+EXP(-(T798-'03_Lap_b'!$B$30:$AW$30)))))</f>
        <v/>
      </c>
      <c r="V798" s="5">
        <f>SUMPRODUCT(('01_Data'!$B798:$AW798&lt;&gt;"")*(1/(1+EXP(-(T798-'03_Lap_b'!$B$30:$AW$30))))^2)</f>
        <v/>
      </c>
      <c r="W798" s="5">
        <f>MEDIAN(-6,T798+(C798-U798)/MAX(U798-V798,0.000000001),6)</f>
        <v/>
      </c>
      <c r="X798" s="5">
        <f>SUMPRODUCT(('01_Data'!$B798:$AW798&lt;&gt;"")*(1/(1+EXP(-(W798-'03_Lap_b'!$B$35:$AW$35)))))</f>
        <v/>
      </c>
      <c r="Y798" s="5">
        <f>SUMPRODUCT(('01_Data'!$B798:$AW798&lt;&gt;"")*(1/(1+EXP(-(W798-'03_Lap_b'!$B$35:$AW$35))))^2)</f>
        <v/>
      </c>
      <c r="Z798" s="5">
        <f>MEDIAN(-6,W798+(C798-X798)/MAX(X798-Y798,0.000000001),6)</f>
        <v/>
      </c>
      <c r="AA798" s="5">
        <f>SUMPRODUCT(('01_Data'!$B798:$AW798&lt;&gt;"")*(1/(1+EXP(-(Z798-'03_Lap_b'!$B$40:$AW$40)))))</f>
        <v/>
      </c>
      <c r="AB798" s="5">
        <f>SUMPRODUCT(('01_Data'!$B798:$AW798&lt;&gt;"")*(1/(1+EXP(-(Z798-'03_Lap_b'!$B$40:$AW$40))))^2)</f>
        <v/>
      </c>
      <c r="AC798" s="5">
        <f>MEDIAN(-6,Z798+(C798-AA798)/MAX(AA798-AB798,0.000000001),6)</f>
        <v/>
      </c>
    </row>
    <row r="799">
      <c r="A799" t="n">
        <v>798</v>
      </c>
      <c r="B799">
        <f>'01_Data'!A799</f>
        <v/>
      </c>
      <c r="C799">
        <f>SUM('01_Data'!$B799:$AW799)</f>
        <v/>
      </c>
      <c r="D799">
        <f>COUNT('01_Data'!$B799:$AW799)</f>
        <v/>
      </c>
      <c r="E799" s="5">
        <f>MEDIAN(-6,LN((C799+0.3)/(D799-C799+0.3)),6)</f>
        <v/>
      </c>
      <c r="F799" s="5">
        <f>SUMPRODUCT(('01_Data'!$B799:$AW799&lt;&gt;"")*(1/(1+EXP(-(E799-'03_Lap_b'!$B$5:$AW$5)))))</f>
        <v/>
      </c>
      <c r="G799" s="5">
        <f>SUMPRODUCT(('01_Data'!$B799:$AW799&lt;&gt;"")*(1/(1+EXP(-(E799-'03_Lap_b'!$B$5:$AW$5))))^2)</f>
        <v/>
      </c>
      <c r="H799" s="5">
        <f>MEDIAN(-6,E799+(C799-F799)/MAX(F799-G799,0.000000001),6)</f>
        <v/>
      </c>
      <c r="I799" s="5">
        <f>SUMPRODUCT(('01_Data'!$B799:$AW799&lt;&gt;"")*(1/(1+EXP(-(H799-'03_Lap_b'!$B$10:$AW$10)))))</f>
        <v/>
      </c>
      <c r="J799" s="5">
        <f>SUMPRODUCT(('01_Data'!$B799:$AW799&lt;&gt;"")*(1/(1+EXP(-(H799-'03_Lap_b'!$B$10:$AW$10))))^2)</f>
        <v/>
      </c>
      <c r="K799" s="5">
        <f>MEDIAN(-6,H799+(C799-I799)/MAX(I799-J799,0.000000001),6)</f>
        <v/>
      </c>
      <c r="L799" s="5">
        <f>SUMPRODUCT(('01_Data'!$B799:$AW799&lt;&gt;"")*(1/(1+EXP(-(K799-'03_Lap_b'!$B$15:$AW$15)))))</f>
        <v/>
      </c>
      <c r="M799" s="5">
        <f>SUMPRODUCT(('01_Data'!$B799:$AW799&lt;&gt;"")*(1/(1+EXP(-(K799-'03_Lap_b'!$B$15:$AW$15))))^2)</f>
        <v/>
      </c>
      <c r="N799" s="5">
        <f>MEDIAN(-6,K799+(C799-L799)/MAX(L799-M799,0.000000001),6)</f>
        <v/>
      </c>
      <c r="O799" s="5">
        <f>SUMPRODUCT(('01_Data'!$B799:$AW799&lt;&gt;"")*(1/(1+EXP(-(N799-'03_Lap_b'!$B$20:$AW$20)))))</f>
        <v/>
      </c>
      <c r="P799" s="5">
        <f>SUMPRODUCT(('01_Data'!$B799:$AW799&lt;&gt;"")*(1/(1+EXP(-(N799-'03_Lap_b'!$B$20:$AW$20))))^2)</f>
        <v/>
      </c>
      <c r="Q799" s="5">
        <f>MEDIAN(-6,N799+(C799-O799)/MAX(O799-P799,0.000000001),6)</f>
        <v/>
      </c>
      <c r="R799" s="5">
        <f>SUMPRODUCT(('01_Data'!$B799:$AW799&lt;&gt;"")*(1/(1+EXP(-(Q799-'03_Lap_b'!$B$25:$AW$25)))))</f>
        <v/>
      </c>
      <c r="S799" s="5">
        <f>SUMPRODUCT(('01_Data'!$B799:$AW799&lt;&gt;"")*(1/(1+EXP(-(Q799-'03_Lap_b'!$B$25:$AW$25))))^2)</f>
        <v/>
      </c>
      <c r="T799" s="5">
        <f>MEDIAN(-6,Q799+(C799-R799)/MAX(R799-S799,0.000000001),6)</f>
        <v/>
      </c>
      <c r="U799" s="5">
        <f>SUMPRODUCT(('01_Data'!$B799:$AW799&lt;&gt;"")*(1/(1+EXP(-(T799-'03_Lap_b'!$B$30:$AW$30)))))</f>
        <v/>
      </c>
      <c r="V799" s="5">
        <f>SUMPRODUCT(('01_Data'!$B799:$AW799&lt;&gt;"")*(1/(1+EXP(-(T799-'03_Lap_b'!$B$30:$AW$30))))^2)</f>
        <v/>
      </c>
      <c r="W799" s="5">
        <f>MEDIAN(-6,T799+(C799-U799)/MAX(U799-V799,0.000000001),6)</f>
        <v/>
      </c>
      <c r="X799" s="5">
        <f>SUMPRODUCT(('01_Data'!$B799:$AW799&lt;&gt;"")*(1/(1+EXP(-(W799-'03_Lap_b'!$B$35:$AW$35)))))</f>
        <v/>
      </c>
      <c r="Y799" s="5">
        <f>SUMPRODUCT(('01_Data'!$B799:$AW799&lt;&gt;"")*(1/(1+EXP(-(W799-'03_Lap_b'!$B$35:$AW$35))))^2)</f>
        <v/>
      </c>
      <c r="Z799" s="5">
        <f>MEDIAN(-6,W799+(C799-X799)/MAX(X799-Y799,0.000000001),6)</f>
        <v/>
      </c>
      <c r="AA799" s="5">
        <f>SUMPRODUCT(('01_Data'!$B799:$AW799&lt;&gt;"")*(1/(1+EXP(-(Z799-'03_Lap_b'!$B$40:$AW$40)))))</f>
        <v/>
      </c>
      <c r="AB799" s="5">
        <f>SUMPRODUCT(('01_Data'!$B799:$AW799&lt;&gt;"")*(1/(1+EXP(-(Z799-'03_Lap_b'!$B$40:$AW$40))))^2)</f>
        <v/>
      </c>
      <c r="AC799" s="5">
        <f>MEDIAN(-6,Z799+(C799-AA799)/MAX(AA799-AB799,0.000000001),6)</f>
        <v/>
      </c>
    </row>
    <row r="800">
      <c r="A800" t="n">
        <v>799</v>
      </c>
      <c r="B800">
        <f>'01_Data'!A800</f>
        <v/>
      </c>
      <c r="C800">
        <f>SUM('01_Data'!$B800:$AW800)</f>
        <v/>
      </c>
      <c r="D800">
        <f>COUNT('01_Data'!$B800:$AW800)</f>
        <v/>
      </c>
      <c r="E800" s="5">
        <f>MEDIAN(-6,LN((C800+0.3)/(D800-C800+0.3)),6)</f>
        <v/>
      </c>
      <c r="F800" s="5">
        <f>SUMPRODUCT(('01_Data'!$B800:$AW800&lt;&gt;"")*(1/(1+EXP(-(E800-'03_Lap_b'!$B$5:$AW$5)))))</f>
        <v/>
      </c>
      <c r="G800" s="5">
        <f>SUMPRODUCT(('01_Data'!$B800:$AW800&lt;&gt;"")*(1/(1+EXP(-(E800-'03_Lap_b'!$B$5:$AW$5))))^2)</f>
        <v/>
      </c>
      <c r="H800" s="5">
        <f>MEDIAN(-6,E800+(C800-F800)/MAX(F800-G800,0.000000001),6)</f>
        <v/>
      </c>
      <c r="I800" s="5">
        <f>SUMPRODUCT(('01_Data'!$B800:$AW800&lt;&gt;"")*(1/(1+EXP(-(H800-'03_Lap_b'!$B$10:$AW$10)))))</f>
        <v/>
      </c>
      <c r="J800" s="5">
        <f>SUMPRODUCT(('01_Data'!$B800:$AW800&lt;&gt;"")*(1/(1+EXP(-(H800-'03_Lap_b'!$B$10:$AW$10))))^2)</f>
        <v/>
      </c>
      <c r="K800" s="5">
        <f>MEDIAN(-6,H800+(C800-I800)/MAX(I800-J800,0.000000001),6)</f>
        <v/>
      </c>
      <c r="L800" s="5">
        <f>SUMPRODUCT(('01_Data'!$B800:$AW800&lt;&gt;"")*(1/(1+EXP(-(K800-'03_Lap_b'!$B$15:$AW$15)))))</f>
        <v/>
      </c>
      <c r="M800" s="5">
        <f>SUMPRODUCT(('01_Data'!$B800:$AW800&lt;&gt;"")*(1/(1+EXP(-(K800-'03_Lap_b'!$B$15:$AW$15))))^2)</f>
        <v/>
      </c>
      <c r="N800" s="5">
        <f>MEDIAN(-6,K800+(C800-L800)/MAX(L800-M800,0.000000001),6)</f>
        <v/>
      </c>
      <c r="O800" s="5">
        <f>SUMPRODUCT(('01_Data'!$B800:$AW800&lt;&gt;"")*(1/(1+EXP(-(N800-'03_Lap_b'!$B$20:$AW$20)))))</f>
        <v/>
      </c>
      <c r="P800" s="5">
        <f>SUMPRODUCT(('01_Data'!$B800:$AW800&lt;&gt;"")*(1/(1+EXP(-(N800-'03_Lap_b'!$B$20:$AW$20))))^2)</f>
        <v/>
      </c>
      <c r="Q800" s="5">
        <f>MEDIAN(-6,N800+(C800-O800)/MAX(O800-P800,0.000000001),6)</f>
        <v/>
      </c>
      <c r="R800" s="5">
        <f>SUMPRODUCT(('01_Data'!$B800:$AW800&lt;&gt;"")*(1/(1+EXP(-(Q800-'03_Lap_b'!$B$25:$AW$25)))))</f>
        <v/>
      </c>
      <c r="S800" s="5">
        <f>SUMPRODUCT(('01_Data'!$B800:$AW800&lt;&gt;"")*(1/(1+EXP(-(Q800-'03_Lap_b'!$B$25:$AW$25))))^2)</f>
        <v/>
      </c>
      <c r="T800" s="5">
        <f>MEDIAN(-6,Q800+(C800-R800)/MAX(R800-S800,0.000000001),6)</f>
        <v/>
      </c>
      <c r="U800" s="5">
        <f>SUMPRODUCT(('01_Data'!$B800:$AW800&lt;&gt;"")*(1/(1+EXP(-(T800-'03_Lap_b'!$B$30:$AW$30)))))</f>
        <v/>
      </c>
      <c r="V800" s="5">
        <f>SUMPRODUCT(('01_Data'!$B800:$AW800&lt;&gt;"")*(1/(1+EXP(-(T800-'03_Lap_b'!$B$30:$AW$30))))^2)</f>
        <v/>
      </c>
      <c r="W800" s="5">
        <f>MEDIAN(-6,T800+(C800-U800)/MAX(U800-V800,0.000000001),6)</f>
        <v/>
      </c>
      <c r="X800" s="5">
        <f>SUMPRODUCT(('01_Data'!$B800:$AW800&lt;&gt;"")*(1/(1+EXP(-(W800-'03_Lap_b'!$B$35:$AW$35)))))</f>
        <v/>
      </c>
      <c r="Y800" s="5">
        <f>SUMPRODUCT(('01_Data'!$B800:$AW800&lt;&gt;"")*(1/(1+EXP(-(W800-'03_Lap_b'!$B$35:$AW$35))))^2)</f>
        <v/>
      </c>
      <c r="Z800" s="5">
        <f>MEDIAN(-6,W800+(C800-X800)/MAX(X800-Y800,0.000000001),6)</f>
        <v/>
      </c>
      <c r="AA800" s="5">
        <f>SUMPRODUCT(('01_Data'!$B800:$AW800&lt;&gt;"")*(1/(1+EXP(-(Z800-'03_Lap_b'!$B$40:$AW$40)))))</f>
        <v/>
      </c>
      <c r="AB800" s="5">
        <f>SUMPRODUCT(('01_Data'!$B800:$AW800&lt;&gt;"")*(1/(1+EXP(-(Z800-'03_Lap_b'!$B$40:$AW$40))))^2)</f>
        <v/>
      </c>
      <c r="AC800" s="5">
        <f>MEDIAN(-6,Z800+(C800-AA800)/MAX(AA800-AB800,0.000000001),6)</f>
        <v/>
      </c>
    </row>
    <row r="801">
      <c r="A801" t="n">
        <v>800</v>
      </c>
      <c r="B801">
        <f>'01_Data'!A801</f>
        <v/>
      </c>
      <c r="C801">
        <f>SUM('01_Data'!$B801:$AW801)</f>
        <v/>
      </c>
      <c r="D801">
        <f>COUNT('01_Data'!$B801:$AW801)</f>
        <v/>
      </c>
      <c r="E801" s="5">
        <f>MEDIAN(-6,LN((C801+0.3)/(D801-C801+0.3)),6)</f>
        <v/>
      </c>
      <c r="F801" s="5">
        <f>SUMPRODUCT(('01_Data'!$B801:$AW801&lt;&gt;"")*(1/(1+EXP(-(E801-'03_Lap_b'!$B$5:$AW$5)))))</f>
        <v/>
      </c>
      <c r="G801" s="5">
        <f>SUMPRODUCT(('01_Data'!$B801:$AW801&lt;&gt;"")*(1/(1+EXP(-(E801-'03_Lap_b'!$B$5:$AW$5))))^2)</f>
        <v/>
      </c>
      <c r="H801" s="5">
        <f>MEDIAN(-6,E801+(C801-F801)/MAX(F801-G801,0.000000001),6)</f>
        <v/>
      </c>
      <c r="I801" s="5">
        <f>SUMPRODUCT(('01_Data'!$B801:$AW801&lt;&gt;"")*(1/(1+EXP(-(H801-'03_Lap_b'!$B$10:$AW$10)))))</f>
        <v/>
      </c>
      <c r="J801" s="5">
        <f>SUMPRODUCT(('01_Data'!$B801:$AW801&lt;&gt;"")*(1/(1+EXP(-(H801-'03_Lap_b'!$B$10:$AW$10))))^2)</f>
        <v/>
      </c>
      <c r="K801" s="5">
        <f>MEDIAN(-6,H801+(C801-I801)/MAX(I801-J801,0.000000001),6)</f>
        <v/>
      </c>
      <c r="L801" s="5">
        <f>SUMPRODUCT(('01_Data'!$B801:$AW801&lt;&gt;"")*(1/(1+EXP(-(K801-'03_Lap_b'!$B$15:$AW$15)))))</f>
        <v/>
      </c>
      <c r="M801" s="5">
        <f>SUMPRODUCT(('01_Data'!$B801:$AW801&lt;&gt;"")*(1/(1+EXP(-(K801-'03_Lap_b'!$B$15:$AW$15))))^2)</f>
        <v/>
      </c>
      <c r="N801" s="5">
        <f>MEDIAN(-6,K801+(C801-L801)/MAX(L801-M801,0.000000001),6)</f>
        <v/>
      </c>
      <c r="O801" s="5">
        <f>SUMPRODUCT(('01_Data'!$B801:$AW801&lt;&gt;"")*(1/(1+EXP(-(N801-'03_Lap_b'!$B$20:$AW$20)))))</f>
        <v/>
      </c>
      <c r="P801" s="5">
        <f>SUMPRODUCT(('01_Data'!$B801:$AW801&lt;&gt;"")*(1/(1+EXP(-(N801-'03_Lap_b'!$B$20:$AW$20))))^2)</f>
        <v/>
      </c>
      <c r="Q801" s="5">
        <f>MEDIAN(-6,N801+(C801-O801)/MAX(O801-P801,0.000000001),6)</f>
        <v/>
      </c>
      <c r="R801" s="5">
        <f>SUMPRODUCT(('01_Data'!$B801:$AW801&lt;&gt;"")*(1/(1+EXP(-(Q801-'03_Lap_b'!$B$25:$AW$25)))))</f>
        <v/>
      </c>
      <c r="S801" s="5">
        <f>SUMPRODUCT(('01_Data'!$B801:$AW801&lt;&gt;"")*(1/(1+EXP(-(Q801-'03_Lap_b'!$B$25:$AW$25))))^2)</f>
        <v/>
      </c>
      <c r="T801" s="5">
        <f>MEDIAN(-6,Q801+(C801-R801)/MAX(R801-S801,0.000000001),6)</f>
        <v/>
      </c>
      <c r="U801" s="5">
        <f>SUMPRODUCT(('01_Data'!$B801:$AW801&lt;&gt;"")*(1/(1+EXP(-(T801-'03_Lap_b'!$B$30:$AW$30)))))</f>
        <v/>
      </c>
      <c r="V801" s="5">
        <f>SUMPRODUCT(('01_Data'!$B801:$AW801&lt;&gt;"")*(1/(1+EXP(-(T801-'03_Lap_b'!$B$30:$AW$30))))^2)</f>
        <v/>
      </c>
      <c r="W801" s="5">
        <f>MEDIAN(-6,T801+(C801-U801)/MAX(U801-V801,0.000000001),6)</f>
        <v/>
      </c>
      <c r="X801" s="5">
        <f>SUMPRODUCT(('01_Data'!$B801:$AW801&lt;&gt;"")*(1/(1+EXP(-(W801-'03_Lap_b'!$B$35:$AW$35)))))</f>
        <v/>
      </c>
      <c r="Y801" s="5">
        <f>SUMPRODUCT(('01_Data'!$B801:$AW801&lt;&gt;"")*(1/(1+EXP(-(W801-'03_Lap_b'!$B$35:$AW$35))))^2)</f>
        <v/>
      </c>
      <c r="Z801" s="5">
        <f>MEDIAN(-6,W801+(C801-X801)/MAX(X801-Y801,0.000000001),6)</f>
        <v/>
      </c>
      <c r="AA801" s="5">
        <f>SUMPRODUCT(('01_Data'!$B801:$AW801&lt;&gt;"")*(1/(1+EXP(-(Z801-'03_Lap_b'!$B$40:$AW$40)))))</f>
        <v/>
      </c>
      <c r="AB801" s="5">
        <f>SUMPRODUCT(('01_Data'!$B801:$AW801&lt;&gt;"")*(1/(1+EXP(-(Z801-'03_Lap_b'!$B$40:$AW$40))))^2)</f>
        <v/>
      </c>
      <c r="AC801" s="5">
        <f>MEDIAN(-6,Z801+(C801-AA801)/MAX(AA801-AB801,0.000000001),6)</f>
        <v/>
      </c>
    </row>
    <row r="802">
      <c r="A802" t="n">
        <v>801</v>
      </c>
      <c r="B802">
        <f>'01_Data'!A802</f>
        <v/>
      </c>
      <c r="C802">
        <f>SUM('01_Data'!$B802:$AW802)</f>
        <v/>
      </c>
      <c r="D802">
        <f>COUNT('01_Data'!$B802:$AW802)</f>
        <v/>
      </c>
      <c r="E802" s="5">
        <f>MEDIAN(-6,LN((C802+0.3)/(D802-C802+0.3)),6)</f>
        <v/>
      </c>
      <c r="F802" s="5">
        <f>SUMPRODUCT(('01_Data'!$B802:$AW802&lt;&gt;"")*(1/(1+EXP(-(E802-'03_Lap_b'!$B$5:$AW$5)))))</f>
        <v/>
      </c>
      <c r="G802" s="5">
        <f>SUMPRODUCT(('01_Data'!$B802:$AW802&lt;&gt;"")*(1/(1+EXP(-(E802-'03_Lap_b'!$B$5:$AW$5))))^2)</f>
        <v/>
      </c>
      <c r="H802" s="5">
        <f>MEDIAN(-6,E802+(C802-F802)/MAX(F802-G802,0.000000001),6)</f>
        <v/>
      </c>
      <c r="I802" s="5">
        <f>SUMPRODUCT(('01_Data'!$B802:$AW802&lt;&gt;"")*(1/(1+EXP(-(H802-'03_Lap_b'!$B$10:$AW$10)))))</f>
        <v/>
      </c>
      <c r="J802" s="5">
        <f>SUMPRODUCT(('01_Data'!$B802:$AW802&lt;&gt;"")*(1/(1+EXP(-(H802-'03_Lap_b'!$B$10:$AW$10))))^2)</f>
        <v/>
      </c>
      <c r="K802" s="5">
        <f>MEDIAN(-6,H802+(C802-I802)/MAX(I802-J802,0.000000001),6)</f>
        <v/>
      </c>
      <c r="L802" s="5">
        <f>SUMPRODUCT(('01_Data'!$B802:$AW802&lt;&gt;"")*(1/(1+EXP(-(K802-'03_Lap_b'!$B$15:$AW$15)))))</f>
        <v/>
      </c>
      <c r="M802" s="5">
        <f>SUMPRODUCT(('01_Data'!$B802:$AW802&lt;&gt;"")*(1/(1+EXP(-(K802-'03_Lap_b'!$B$15:$AW$15))))^2)</f>
        <v/>
      </c>
      <c r="N802" s="5">
        <f>MEDIAN(-6,K802+(C802-L802)/MAX(L802-M802,0.000000001),6)</f>
        <v/>
      </c>
      <c r="O802" s="5">
        <f>SUMPRODUCT(('01_Data'!$B802:$AW802&lt;&gt;"")*(1/(1+EXP(-(N802-'03_Lap_b'!$B$20:$AW$20)))))</f>
        <v/>
      </c>
      <c r="P802" s="5">
        <f>SUMPRODUCT(('01_Data'!$B802:$AW802&lt;&gt;"")*(1/(1+EXP(-(N802-'03_Lap_b'!$B$20:$AW$20))))^2)</f>
        <v/>
      </c>
      <c r="Q802" s="5">
        <f>MEDIAN(-6,N802+(C802-O802)/MAX(O802-P802,0.000000001),6)</f>
        <v/>
      </c>
      <c r="R802" s="5">
        <f>SUMPRODUCT(('01_Data'!$B802:$AW802&lt;&gt;"")*(1/(1+EXP(-(Q802-'03_Lap_b'!$B$25:$AW$25)))))</f>
        <v/>
      </c>
      <c r="S802" s="5">
        <f>SUMPRODUCT(('01_Data'!$B802:$AW802&lt;&gt;"")*(1/(1+EXP(-(Q802-'03_Lap_b'!$B$25:$AW$25))))^2)</f>
        <v/>
      </c>
      <c r="T802" s="5">
        <f>MEDIAN(-6,Q802+(C802-R802)/MAX(R802-S802,0.000000001),6)</f>
        <v/>
      </c>
      <c r="U802" s="5">
        <f>SUMPRODUCT(('01_Data'!$B802:$AW802&lt;&gt;"")*(1/(1+EXP(-(T802-'03_Lap_b'!$B$30:$AW$30)))))</f>
        <v/>
      </c>
      <c r="V802" s="5">
        <f>SUMPRODUCT(('01_Data'!$B802:$AW802&lt;&gt;"")*(1/(1+EXP(-(T802-'03_Lap_b'!$B$30:$AW$30))))^2)</f>
        <v/>
      </c>
      <c r="W802" s="5">
        <f>MEDIAN(-6,T802+(C802-U802)/MAX(U802-V802,0.000000001),6)</f>
        <v/>
      </c>
      <c r="X802" s="5">
        <f>SUMPRODUCT(('01_Data'!$B802:$AW802&lt;&gt;"")*(1/(1+EXP(-(W802-'03_Lap_b'!$B$35:$AW$35)))))</f>
        <v/>
      </c>
      <c r="Y802" s="5">
        <f>SUMPRODUCT(('01_Data'!$B802:$AW802&lt;&gt;"")*(1/(1+EXP(-(W802-'03_Lap_b'!$B$35:$AW$35))))^2)</f>
        <v/>
      </c>
      <c r="Z802" s="5">
        <f>MEDIAN(-6,W802+(C802-X802)/MAX(X802-Y802,0.000000001),6)</f>
        <v/>
      </c>
      <c r="AA802" s="5">
        <f>SUMPRODUCT(('01_Data'!$B802:$AW802&lt;&gt;"")*(1/(1+EXP(-(Z802-'03_Lap_b'!$B$40:$AW$40)))))</f>
        <v/>
      </c>
      <c r="AB802" s="5">
        <f>SUMPRODUCT(('01_Data'!$B802:$AW802&lt;&gt;"")*(1/(1+EXP(-(Z802-'03_Lap_b'!$B$40:$AW$40))))^2)</f>
        <v/>
      </c>
      <c r="AC802" s="5">
        <f>MEDIAN(-6,Z802+(C802-AA802)/MAX(AA802-AB802,0.000000001),6)</f>
        <v/>
      </c>
    </row>
    <row r="803">
      <c r="A803" t="n">
        <v>802</v>
      </c>
      <c r="B803">
        <f>'01_Data'!A803</f>
        <v/>
      </c>
      <c r="C803">
        <f>SUM('01_Data'!$B803:$AW803)</f>
        <v/>
      </c>
      <c r="D803">
        <f>COUNT('01_Data'!$B803:$AW803)</f>
        <v/>
      </c>
      <c r="E803" s="5">
        <f>MEDIAN(-6,LN((C803+0.3)/(D803-C803+0.3)),6)</f>
        <v/>
      </c>
      <c r="F803" s="5">
        <f>SUMPRODUCT(('01_Data'!$B803:$AW803&lt;&gt;"")*(1/(1+EXP(-(E803-'03_Lap_b'!$B$5:$AW$5)))))</f>
        <v/>
      </c>
      <c r="G803" s="5">
        <f>SUMPRODUCT(('01_Data'!$B803:$AW803&lt;&gt;"")*(1/(1+EXP(-(E803-'03_Lap_b'!$B$5:$AW$5))))^2)</f>
        <v/>
      </c>
      <c r="H803" s="5">
        <f>MEDIAN(-6,E803+(C803-F803)/MAX(F803-G803,0.000000001),6)</f>
        <v/>
      </c>
      <c r="I803" s="5">
        <f>SUMPRODUCT(('01_Data'!$B803:$AW803&lt;&gt;"")*(1/(1+EXP(-(H803-'03_Lap_b'!$B$10:$AW$10)))))</f>
        <v/>
      </c>
      <c r="J803" s="5">
        <f>SUMPRODUCT(('01_Data'!$B803:$AW803&lt;&gt;"")*(1/(1+EXP(-(H803-'03_Lap_b'!$B$10:$AW$10))))^2)</f>
        <v/>
      </c>
      <c r="K803" s="5">
        <f>MEDIAN(-6,H803+(C803-I803)/MAX(I803-J803,0.000000001),6)</f>
        <v/>
      </c>
      <c r="L803" s="5">
        <f>SUMPRODUCT(('01_Data'!$B803:$AW803&lt;&gt;"")*(1/(1+EXP(-(K803-'03_Lap_b'!$B$15:$AW$15)))))</f>
        <v/>
      </c>
      <c r="M803" s="5">
        <f>SUMPRODUCT(('01_Data'!$B803:$AW803&lt;&gt;"")*(1/(1+EXP(-(K803-'03_Lap_b'!$B$15:$AW$15))))^2)</f>
        <v/>
      </c>
      <c r="N803" s="5">
        <f>MEDIAN(-6,K803+(C803-L803)/MAX(L803-M803,0.000000001),6)</f>
        <v/>
      </c>
      <c r="O803" s="5">
        <f>SUMPRODUCT(('01_Data'!$B803:$AW803&lt;&gt;"")*(1/(1+EXP(-(N803-'03_Lap_b'!$B$20:$AW$20)))))</f>
        <v/>
      </c>
      <c r="P803" s="5">
        <f>SUMPRODUCT(('01_Data'!$B803:$AW803&lt;&gt;"")*(1/(1+EXP(-(N803-'03_Lap_b'!$B$20:$AW$20))))^2)</f>
        <v/>
      </c>
      <c r="Q803" s="5">
        <f>MEDIAN(-6,N803+(C803-O803)/MAX(O803-P803,0.000000001),6)</f>
        <v/>
      </c>
      <c r="R803" s="5">
        <f>SUMPRODUCT(('01_Data'!$B803:$AW803&lt;&gt;"")*(1/(1+EXP(-(Q803-'03_Lap_b'!$B$25:$AW$25)))))</f>
        <v/>
      </c>
      <c r="S803" s="5">
        <f>SUMPRODUCT(('01_Data'!$B803:$AW803&lt;&gt;"")*(1/(1+EXP(-(Q803-'03_Lap_b'!$B$25:$AW$25))))^2)</f>
        <v/>
      </c>
      <c r="T803" s="5">
        <f>MEDIAN(-6,Q803+(C803-R803)/MAX(R803-S803,0.000000001),6)</f>
        <v/>
      </c>
      <c r="U803" s="5">
        <f>SUMPRODUCT(('01_Data'!$B803:$AW803&lt;&gt;"")*(1/(1+EXP(-(T803-'03_Lap_b'!$B$30:$AW$30)))))</f>
        <v/>
      </c>
      <c r="V803" s="5">
        <f>SUMPRODUCT(('01_Data'!$B803:$AW803&lt;&gt;"")*(1/(1+EXP(-(T803-'03_Lap_b'!$B$30:$AW$30))))^2)</f>
        <v/>
      </c>
      <c r="W803" s="5">
        <f>MEDIAN(-6,T803+(C803-U803)/MAX(U803-V803,0.000000001),6)</f>
        <v/>
      </c>
      <c r="X803" s="5">
        <f>SUMPRODUCT(('01_Data'!$B803:$AW803&lt;&gt;"")*(1/(1+EXP(-(W803-'03_Lap_b'!$B$35:$AW$35)))))</f>
        <v/>
      </c>
      <c r="Y803" s="5">
        <f>SUMPRODUCT(('01_Data'!$B803:$AW803&lt;&gt;"")*(1/(1+EXP(-(W803-'03_Lap_b'!$B$35:$AW$35))))^2)</f>
        <v/>
      </c>
      <c r="Z803" s="5">
        <f>MEDIAN(-6,W803+(C803-X803)/MAX(X803-Y803,0.000000001),6)</f>
        <v/>
      </c>
      <c r="AA803" s="5">
        <f>SUMPRODUCT(('01_Data'!$B803:$AW803&lt;&gt;"")*(1/(1+EXP(-(Z803-'03_Lap_b'!$B$40:$AW$40)))))</f>
        <v/>
      </c>
      <c r="AB803" s="5">
        <f>SUMPRODUCT(('01_Data'!$B803:$AW803&lt;&gt;"")*(1/(1+EXP(-(Z803-'03_Lap_b'!$B$40:$AW$40))))^2)</f>
        <v/>
      </c>
      <c r="AC803" s="5">
        <f>MEDIAN(-6,Z803+(C803-AA803)/MAX(AA803-AB803,0.000000001),6)</f>
        <v/>
      </c>
    </row>
    <row r="804">
      <c r="A804" t="n">
        <v>803</v>
      </c>
      <c r="B804">
        <f>'01_Data'!A804</f>
        <v/>
      </c>
      <c r="C804">
        <f>SUM('01_Data'!$B804:$AW804)</f>
        <v/>
      </c>
      <c r="D804">
        <f>COUNT('01_Data'!$B804:$AW804)</f>
        <v/>
      </c>
      <c r="E804" s="5">
        <f>MEDIAN(-6,LN((C804+0.3)/(D804-C804+0.3)),6)</f>
        <v/>
      </c>
      <c r="F804" s="5">
        <f>SUMPRODUCT(('01_Data'!$B804:$AW804&lt;&gt;"")*(1/(1+EXP(-(E804-'03_Lap_b'!$B$5:$AW$5)))))</f>
        <v/>
      </c>
      <c r="G804" s="5">
        <f>SUMPRODUCT(('01_Data'!$B804:$AW804&lt;&gt;"")*(1/(1+EXP(-(E804-'03_Lap_b'!$B$5:$AW$5))))^2)</f>
        <v/>
      </c>
      <c r="H804" s="5">
        <f>MEDIAN(-6,E804+(C804-F804)/MAX(F804-G804,0.000000001),6)</f>
        <v/>
      </c>
      <c r="I804" s="5">
        <f>SUMPRODUCT(('01_Data'!$B804:$AW804&lt;&gt;"")*(1/(1+EXP(-(H804-'03_Lap_b'!$B$10:$AW$10)))))</f>
        <v/>
      </c>
      <c r="J804" s="5">
        <f>SUMPRODUCT(('01_Data'!$B804:$AW804&lt;&gt;"")*(1/(1+EXP(-(H804-'03_Lap_b'!$B$10:$AW$10))))^2)</f>
        <v/>
      </c>
      <c r="K804" s="5">
        <f>MEDIAN(-6,H804+(C804-I804)/MAX(I804-J804,0.000000001),6)</f>
        <v/>
      </c>
      <c r="L804" s="5">
        <f>SUMPRODUCT(('01_Data'!$B804:$AW804&lt;&gt;"")*(1/(1+EXP(-(K804-'03_Lap_b'!$B$15:$AW$15)))))</f>
        <v/>
      </c>
      <c r="M804" s="5">
        <f>SUMPRODUCT(('01_Data'!$B804:$AW804&lt;&gt;"")*(1/(1+EXP(-(K804-'03_Lap_b'!$B$15:$AW$15))))^2)</f>
        <v/>
      </c>
      <c r="N804" s="5">
        <f>MEDIAN(-6,K804+(C804-L804)/MAX(L804-M804,0.000000001),6)</f>
        <v/>
      </c>
      <c r="O804" s="5">
        <f>SUMPRODUCT(('01_Data'!$B804:$AW804&lt;&gt;"")*(1/(1+EXP(-(N804-'03_Lap_b'!$B$20:$AW$20)))))</f>
        <v/>
      </c>
      <c r="P804" s="5">
        <f>SUMPRODUCT(('01_Data'!$B804:$AW804&lt;&gt;"")*(1/(1+EXP(-(N804-'03_Lap_b'!$B$20:$AW$20))))^2)</f>
        <v/>
      </c>
      <c r="Q804" s="5">
        <f>MEDIAN(-6,N804+(C804-O804)/MAX(O804-P804,0.000000001),6)</f>
        <v/>
      </c>
      <c r="R804" s="5">
        <f>SUMPRODUCT(('01_Data'!$B804:$AW804&lt;&gt;"")*(1/(1+EXP(-(Q804-'03_Lap_b'!$B$25:$AW$25)))))</f>
        <v/>
      </c>
      <c r="S804" s="5">
        <f>SUMPRODUCT(('01_Data'!$B804:$AW804&lt;&gt;"")*(1/(1+EXP(-(Q804-'03_Lap_b'!$B$25:$AW$25))))^2)</f>
        <v/>
      </c>
      <c r="T804" s="5">
        <f>MEDIAN(-6,Q804+(C804-R804)/MAX(R804-S804,0.000000001),6)</f>
        <v/>
      </c>
      <c r="U804" s="5">
        <f>SUMPRODUCT(('01_Data'!$B804:$AW804&lt;&gt;"")*(1/(1+EXP(-(T804-'03_Lap_b'!$B$30:$AW$30)))))</f>
        <v/>
      </c>
      <c r="V804" s="5">
        <f>SUMPRODUCT(('01_Data'!$B804:$AW804&lt;&gt;"")*(1/(1+EXP(-(T804-'03_Lap_b'!$B$30:$AW$30))))^2)</f>
        <v/>
      </c>
      <c r="W804" s="5">
        <f>MEDIAN(-6,T804+(C804-U804)/MAX(U804-V804,0.000000001),6)</f>
        <v/>
      </c>
      <c r="X804" s="5">
        <f>SUMPRODUCT(('01_Data'!$B804:$AW804&lt;&gt;"")*(1/(1+EXP(-(W804-'03_Lap_b'!$B$35:$AW$35)))))</f>
        <v/>
      </c>
      <c r="Y804" s="5">
        <f>SUMPRODUCT(('01_Data'!$B804:$AW804&lt;&gt;"")*(1/(1+EXP(-(W804-'03_Lap_b'!$B$35:$AW$35))))^2)</f>
        <v/>
      </c>
      <c r="Z804" s="5">
        <f>MEDIAN(-6,W804+(C804-X804)/MAX(X804-Y804,0.000000001),6)</f>
        <v/>
      </c>
      <c r="AA804" s="5">
        <f>SUMPRODUCT(('01_Data'!$B804:$AW804&lt;&gt;"")*(1/(1+EXP(-(Z804-'03_Lap_b'!$B$40:$AW$40)))))</f>
        <v/>
      </c>
      <c r="AB804" s="5">
        <f>SUMPRODUCT(('01_Data'!$B804:$AW804&lt;&gt;"")*(1/(1+EXP(-(Z804-'03_Lap_b'!$B$40:$AW$40))))^2)</f>
        <v/>
      </c>
      <c r="AC804" s="5">
        <f>MEDIAN(-6,Z804+(C804-AA804)/MAX(AA804-AB804,0.000000001),6)</f>
        <v/>
      </c>
    </row>
    <row r="805">
      <c r="A805" t="n">
        <v>804</v>
      </c>
      <c r="B805">
        <f>'01_Data'!A805</f>
        <v/>
      </c>
      <c r="C805">
        <f>SUM('01_Data'!$B805:$AW805)</f>
        <v/>
      </c>
      <c r="D805">
        <f>COUNT('01_Data'!$B805:$AW805)</f>
        <v/>
      </c>
      <c r="E805" s="5">
        <f>MEDIAN(-6,LN((C805+0.3)/(D805-C805+0.3)),6)</f>
        <v/>
      </c>
      <c r="F805" s="5">
        <f>SUMPRODUCT(('01_Data'!$B805:$AW805&lt;&gt;"")*(1/(1+EXP(-(E805-'03_Lap_b'!$B$5:$AW$5)))))</f>
        <v/>
      </c>
      <c r="G805" s="5">
        <f>SUMPRODUCT(('01_Data'!$B805:$AW805&lt;&gt;"")*(1/(1+EXP(-(E805-'03_Lap_b'!$B$5:$AW$5))))^2)</f>
        <v/>
      </c>
      <c r="H805" s="5">
        <f>MEDIAN(-6,E805+(C805-F805)/MAX(F805-G805,0.000000001),6)</f>
        <v/>
      </c>
      <c r="I805" s="5">
        <f>SUMPRODUCT(('01_Data'!$B805:$AW805&lt;&gt;"")*(1/(1+EXP(-(H805-'03_Lap_b'!$B$10:$AW$10)))))</f>
        <v/>
      </c>
      <c r="J805" s="5">
        <f>SUMPRODUCT(('01_Data'!$B805:$AW805&lt;&gt;"")*(1/(1+EXP(-(H805-'03_Lap_b'!$B$10:$AW$10))))^2)</f>
        <v/>
      </c>
      <c r="K805" s="5">
        <f>MEDIAN(-6,H805+(C805-I805)/MAX(I805-J805,0.000000001),6)</f>
        <v/>
      </c>
      <c r="L805" s="5">
        <f>SUMPRODUCT(('01_Data'!$B805:$AW805&lt;&gt;"")*(1/(1+EXP(-(K805-'03_Lap_b'!$B$15:$AW$15)))))</f>
        <v/>
      </c>
      <c r="M805" s="5">
        <f>SUMPRODUCT(('01_Data'!$B805:$AW805&lt;&gt;"")*(1/(1+EXP(-(K805-'03_Lap_b'!$B$15:$AW$15))))^2)</f>
        <v/>
      </c>
      <c r="N805" s="5">
        <f>MEDIAN(-6,K805+(C805-L805)/MAX(L805-M805,0.000000001),6)</f>
        <v/>
      </c>
      <c r="O805" s="5">
        <f>SUMPRODUCT(('01_Data'!$B805:$AW805&lt;&gt;"")*(1/(1+EXP(-(N805-'03_Lap_b'!$B$20:$AW$20)))))</f>
        <v/>
      </c>
      <c r="P805" s="5">
        <f>SUMPRODUCT(('01_Data'!$B805:$AW805&lt;&gt;"")*(1/(1+EXP(-(N805-'03_Lap_b'!$B$20:$AW$20))))^2)</f>
        <v/>
      </c>
      <c r="Q805" s="5">
        <f>MEDIAN(-6,N805+(C805-O805)/MAX(O805-P805,0.000000001),6)</f>
        <v/>
      </c>
      <c r="R805" s="5">
        <f>SUMPRODUCT(('01_Data'!$B805:$AW805&lt;&gt;"")*(1/(1+EXP(-(Q805-'03_Lap_b'!$B$25:$AW$25)))))</f>
        <v/>
      </c>
      <c r="S805" s="5">
        <f>SUMPRODUCT(('01_Data'!$B805:$AW805&lt;&gt;"")*(1/(1+EXP(-(Q805-'03_Lap_b'!$B$25:$AW$25))))^2)</f>
        <v/>
      </c>
      <c r="T805" s="5">
        <f>MEDIAN(-6,Q805+(C805-R805)/MAX(R805-S805,0.000000001),6)</f>
        <v/>
      </c>
      <c r="U805" s="5">
        <f>SUMPRODUCT(('01_Data'!$B805:$AW805&lt;&gt;"")*(1/(1+EXP(-(T805-'03_Lap_b'!$B$30:$AW$30)))))</f>
        <v/>
      </c>
      <c r="V805" s="5">
        <f>SUMPRODUCT(('01_Data'!$B805:$AW805&lt;&gt;"")*(1/(1+EXP(-(T805-'03_Lap_b'!$B$30:$AW$30))))^2)</f>
        <v/>
      </c>
      <c r="W805" s="5">
        <f>MEDIAN(-6,T805+(C805-U805)/MAX(U805-V805,0.000000001),6)</f>
        <v/>
      </c>
      <c r="X805" s="5">
        <f>SUMPRODUCT(('01_Data'!$B805:$AW805&lt;&gt;"")*(1/(1+EXP(-(W805-'03_Lap_b'!$B$35:$AW$35)))))</f>
        <v/>
      </c>
      <c r="Y805" s="5">
        <f>SUMPRODUCT(('01_Data'!$B805:$AW805&lt;&gt;"")*(1/(1+EXP(-(W805-'03_Lap_b'!$B$35:$AW$35))))^2)</f>
        <v/>
      </c>
      <c r="Z805" s="5">
        <f>MEDIAN(-6,W805+(C805-X805)/MAX(X805-Y805,0.000000001),6)</f>
        <v/>
      </c>
      <c r="AA805" s="5">
        <f>SUMPRODUCT(('01_Data'!$B805:$AW805&lt;&gt;"")*(1/(1+EXP(-(Z805-'03_Lap_b'!$B$40:$AW$40)))))</f>
        <v/>
      </c>
      <c r="AB805" s="5">
        <f>SUMPRODUCT(('01_Data'!$B805:$AW805&lt;&gt;"")*(1/(1+EXP(-(Z805-'03_Lap_b'!$B$40:$AW$40))))^2)</f>
        <v/>
      </c>
      <c r="AC805" s="5">
        <f>MEDIAN(-6,Z805+(C805-AA805)/MAX(AA805-AB805,0.000000001),6)</f>
        <v/>
      </c>
    </row>
    <row r="806">
      <c r="A806" t="n">
        <v>805</v>
      </c>
      <c r="B806">
        <f>'01_Data'!A806</f>
        <v/>
      </c>
      <c r="C806">
        <f>SUM('01_Data'!$B806:$AW806)</f>
        <v/>
      </c>
      <c r="D806">
        <f>COUNT('01_Data'!$B806:$AW806)</f>
        <v/>
      </c>
      <c r="E806" s="5">
        <f>MEDIAN(-6,LN((C806+0.3)/(D806-C806+0.3)),6)</f>
        <v/>
      </c>
      <c r="F806" s="5">
        <f>SUMPRODUCT(('01_Data'!$B806:$AW806&lt;&gt;"")*(1/(1+EXP(-(E806-'03_Lap_b'!$B$5:$AW$5)))))</f>
        <v/>
      </c>
      <c r="G806" s="5">
        <f>SUMPRODUCT(('01_Data'!$B806:$AW806&lt;&gt;"")*(1/(1+EXP(-(E806-'03_Lap_b'!$B$5:$AW$5))))^2)</f>
        <v/>
      </c>
      <c r="H806" s="5">
        <f>MEDIAN(-6,E806+(C806-F806)/MAX(F806-G806,0.000000001),6)</f>
        <v/>
      </c>
      <c r="I806" s="5">
        <f>SUMPRODUCT(('01_Data'!$B806:$AW806&lt;&gt;"")*(1/(1+EXP(-(H806-'03_Lap_b'!$B$10:$AW$10)))))</f>
        <v/>
      </c>
      <c r="J806" s="5">
        <f>SUMPRODUCT(('01_Data'!$B806:$AW806&lt;&gt;"")*(1/(1+EXP(-(H806-'03_Lap_b'!$B$10:$AW$10))))^2)</f>
        <v/>
      </c>
      <c r="K806" s="5">
        <f>MEDIAN(-6,H806+(C806-I806)/MAX(I806-J806,0.000000001),6)</f>
        <v/>
      </c>
      <c r="L806" s="5">
        <f>SUMPRODUCT(('01_Data'!$B806:$AW806&lt;&gt;"")*(1/(1+EXP(-(K806-'03_Lap_b'!$B$15:$AW$15)))))</f>
        <v/>
      </c>
      <c r="M806" s="5">
        <f>SUMPRODUCT(('01_Data'!$B806:$AW806&lt;&gt;"")*(1/(1+EXP(-(K806-'03_Lap_b'!$B$15:$AW$15))))^2)</f>
        <v/>
      </c>
      <c r="N806" s="5">
        <f>MEDIAN(-6,K806+(C806-L806)/MAX(L806-M806,0.000000001),6)</f>
        <v/>
      </c>
      <c r="O806" s="5">
        <f>SUMPRODUCT(('01_Data'!$B806:$AW806&lt;&gt;"")*(1/(1+EXP(-(N806-'03_Lap_b'!$B$20:$AW$20)))))</f>
        <v/>
      </c>
      <c r="P806" s="5">
        <f>SUMPRODUCT(('01_Data'!$B806:$AW806&lt;&gt;"")*(1/(1+EXP(-(N806-'03_Lap_b'!$B$20:$AW$20))))^2)</f>
        <v/>
      </c>
      <c r="Q806" s="5">
        <f>MEDIAN(-6,N806+(C806-O806)/MAX(O806-P806,0.000000001),6)</f>
        <v/>
      </c>
      <c r="R806" s="5">
        <f>SUMPRODUCT(('01_Data'!$B806:$AW806&lt;&gt;"")*(1/(1+EXP(-(Q806-'03_Lap_b'!$B$25:$AW$25)))))</f>
        <v/>
      </c>
      <c r="S806" s="5">
        <f>SUMPRODUCT(('01_Data'!$B806:$AW806&lt;&gt;"")*(1/(1+EXP(-(Q806-'03_Lap_b'!$B$25:$AW$25))))^2)</f>
        <v/>
      </c>
      <c r="T806" s="5">
        <f>MEDIAN(-6,Q806+(C806-R806)/MAX(R806-S806,0.000000001),6)</f>
        <v/>
      </c>
      <c r="U806" s="5">
        <f>SUMPRODUCT(('01_Data'!$B806:$AW806&lt;&gt;"")*(1/(1+EXP(-(T806-'03_Lap_b'!$B$30:$AW$30)))))</f>
        <v/>
      </c>
      <c r="V806" s="5">
        <f>SUMPRODUCT(('01_Data'!$B806:$AW806&lt;&gt;"")*(1/(1+EXP(-(T806-'03_Lap_b'!$B$30:$AW$30))))^2)</f>
        <v/>
      </c>
      <c r="W806" s="5">
        <f>MEDIAN(-6,T806+(C806-U806)/MAX(U806-V806,0.000000001),6)</f>
        <v/>
      </c>
      <c r="X806" s="5">
        <f>SUMPRODUCT(('01_Data'!$B806:$AW806&lt;&gt;"")*(1/(1+EXP(-(W806-'03_Lap_b'!$B$35:$AW$35)))))</f>
        <v/>
      </c>
      <c r="Y806" s="5">
        <f>SUMPRODUCT(('01_Data'!$B806:$AW806&lt;&gt;"")*(1/(1+EXP(-(W806-'03_Lap_b'!$B$35:$AW$35))))^2)</f>
        <v/>
      </c>
      <c r="Z806" s="5">
        <f>MEDIAN(-6,W806+(C806-X806)/MAX(X806-Y806,0.000000001),6)</f>
        <v/>
      </c>
      <c r="AA806" s="5">
        <f>SUMPRODUCT(('01_Data'!$B806:$AW806&lt;&gt;"")*(1/(1+EXP(-(Z806-'03_Lap_b'!$B$40:$AW$40)))))</f>
        <v/>
      </c>
      <c r="AB806" s="5">
        <f>SUMPRODUCT(('01_Data'!$B806:$AW806&lt;&gt;"")*(1/(1+EXP(-(Z806-'03_Lap_b'!$B$40:$AW$40))))^2)</f>
        <v/>
      </c>
      <c r="AC806" s="5">
        <f>MEDIAN(-6,Z806+(C806-AA806)/MAX(AA806-AB806,0.000000001),6)</f>
        <v/>
      </c>
    </row>
    <row r="807">
      <c r="A807" t="n">
        <v>806</v>
      </c>
      <c r="B807">
        <f>'01_Data'!A807</f>
        <v/>
      </c>
      <c r="C807">
        <f>SUM('01_Data'!$B807:$AW807)</f>
        <v/>
      </c>
      <c r="D807">
        <f>COUNT('01_Data'!$B807:$AW807)</f>
        <v/>
      </c>
      <c r="E807" s="5">
        <f>MEDIAN(-6,LN((C807+0.3)/(D807-C807+0.3)),6)</f>
        <v/>
      </c>
      <c r="F807" s="5">
        <f>SUMPRODUCT(('01_Data'!$B807:$AW807&lt;&gt;"")*(1/(1+EXP(-(E807-'03_Lap_b'!$B$5:$AW$5)))))</f>
        <v/>
      </c>
      <c r="G807" s="5">
        <f>SUMPRODUCT(('01_Data'!$B807:$AW807&lt;&gt;"")*(1/(1+EXP(-(E807-'03_Lap_b'!$B$5:$AW$5))))^2)</f>
        <v/>
      </c>
      <c r="H807" s="5">
        <f>MEDIAN(-6,E807+(C807-F807)/MAX(F807-G807,0.000000001),6)</f>
        <v/>
      </c>
      <c r="I807" s="5">
        <f>SUMPRODUCT(('01_Data'!$B807:$AW807&lt;&gt;"")*(1/(1+EXP(-(H807-'03_Lap_b'!$B$10:$AW$10)))))</f>
        <v/>
      </c>
      <c r="J807" s="5">
        <f>SUMPRODUCT(('01_Data'!$B807:$AW807&lt;&gt;"")*(1/(1+EXP(-(H807-'03_Lap_b'!$B$10:$AW$10))))^2)</f>
        <v/>
      </c>
      <c r="K807" s="5">
        <f>MEDIAN(-6,H807+(C807-I807)/MAX(I807-J807,0.000000001),6)</f>
        <v/>
      </c>
      <c r="L807" s="5">
        <f>SUMPRODUCT(('01_Data'!$B807:$AW807&lt;&gt;"")*(1/(1+EXP(-(K807-'03_Lap_b'!$B$15:$AW$15)))))</f>
        <v/>
      </c>
      <c r="M807" s="5">
        <f>SUMPRODUCT(('01_Data'!$B807:$AW807&lt;&gt;"")*(1/(1+EXP(-(K807-'03_Lap_b'!$B$15:$AW$15))))^2)</f>
        <v/>
      </c>
      <c r="N807" s="5">
        <f>MEDIAN(-6,K807+(C807-L807)/MAX(L807-M807,0.000000001),6)</f>
        <v/>
      </c>
      <c r="O807" s="5">
        <f>SUMPRODUCT(('01_Data'!$B807:$AW807&lt;&gt;"")*(1/(1+EXP(-(N807-'03_Lap_b'!$B$20:$AW$20)))))</f>
        <v/>
      </c>
      <c r="P807" s="5">
        <f>SUMPRODUCT(('01_Data'!$B807:$AW807&lt;&gt;"")*(1/(1+EXP(-(N807-'03_Lap_b'!$B$20:$AW$20))))^2)</f>
        <v/>
      </c>
      <c r="Q807" s="5">
        <f>MEDIAN(-6,N807+(C807-O807)/MAX(O807-P807,0.000000001),6)</f>
        <v/>
      </c>
      <c r="R807" s="5">
        <f>SUMPRODUCT(('01_Data'!$B807:$AW807&lt;&gt;"")*(1/(1+EXP(-(Q807-'03_Lap_b'!$B$25:$AW$25)))))</f>
        <v/>
      </c>
      <c r="S807" s="5">
        <f>SUMPRODUCT(('01_Data'!$B807:$AW807&lt;&gt;"")*(1/(1+EXP(-(Q807-'03_Lap_b'!$B$25:$AW$25))))^2)</f>
        <v/>
      </c>
      <c r="T807" s="5">
        <f>MEDIAN(-6,Q807+(C807-R807)/MAX(R807-S807,0.000000001),6)</f>
        <v/>
      </c>
      <c r="U807" s="5">
        <f>SUMPRODUCT(('01_Data'!$B807:$AW807&lt;&gt;"")*(1/(1+EXP(-(T807-'03_Lap_b'!$B$30:$AW$30)))))</f>
        <v/>
      </c>
      <c r="V807" s="5">
        <f>SUMPRODUCT(('01_Data'!$B807:$AW807&lt;&gt;"")*(1/(1+EXP(-(T807-'03_Lap_b'!$B$30:$AW$30))))^2)</f>
        <v/>
      </c>
      <c r="W807" s="5">
        <f>MEDIAN(-6,T807+(C807-U807)/MAX(U807-V807,0.000000001),6)</f>
        <v/>
      </c>
      <c r="X807" s="5">
        <f>SUMPRODUCT(('01_Data'!$B807:$AW807&lt;&gt;"")*(1/(1+EXP(-(W807-'03_Lap_b'!$B$35:$AW$35)))))</f>
        <v/>
      </c>
      <c r="Y807" s="5">
        <f>SUMPRODUCT(('01_Data'!$B807:$AW807&lt;&gt;"")*(1/(1+EXP(-(W807-'03_Lap_b'!$B$35:$AW$35))))^2)</f>
        <v/>
      </c>
      <c r="Z807" s="5">
        <f>MEDIAN(-6,W807+(C807-X807)/MAX(X807-Y807,0.000000001),6)</f>
        <v/>
      </c>
      <c r="AA807" s="5">
        <f>SUMPRODUCT(('01_Data'!$B807:$AW807&lt;&gt;"")*(1/(1+EXP(-(Z807-'03_Lap_b'!$B$40:$AW$40)))))</f>
        <v/>
      </c>
      <c r="AB807" s="5">
        <f>SUMPRODUCT(('01_Data'!$B807:$AW807&lt;&gt;"")*(1/(1+EXP(-(Z807-'03_Lap_b'!$B$40:$AW$40))))^2)</f>
        <v/>
      </c>
      <c r="AC807" s="5">
        <f>MEDIAN(-6,Z807+(C807-AA807)/MAX(AA807-AB807,0.000000001),6)</f>
        <v/>
      </c>
    </row>
    <row r="808">
      <c r="A808" t="n">
        <v>807</v>
      </c>
      <c r="B808">
        <f>'01_Data'!A808</f>
        <v/>
      </c>
      <c r="C808">
        <f>SUM('01_Data'!$B808:$AW808)</f>
        <v/>
      </c>
      <c r="D808">
        <f>COUNT('01_Data'!$B808:$AW808)</f>
        <v/>
      </c>
      <c r="E808" s="5">
        <f>MEDIAN(-6,LN((C808+0.3)/(D808-C808+0.3)),6)</f>
        <v/>
      </c>
      <c r="F808" s="5">
        <f>SUMPRODUCT(('01_Data'!$B808:$AW808&lt;&gt;"")*(1/(1+EXP(-(E808-'03_Lap_b'!$B$5:$AW$5)))))</f>
        <v/>
      </c>
      <c r="G808" s="5">
        <f>SUMPRODUCT(('01_Data'!$B808:$AW808&lt;&gt;"")*(1/(1+EXP(-(E808-'03_Lap_b'!$B$5:$AW$5))))^2)</f>
        <v/>
      </c>
      <c r="H808" s="5">
        <f>MEDIAN(-6,E808+(C808-F808)/MAX(F808-G808,0.000000001),6)</f>
        <v/>
      </c>
      <c r="I808" s="5">
        <f>SUMPRODUCT(('01_Data'!$B808:$AW808&lt;&gt;"")*(1/(1+EXP(-(H808-'03_Lap_b'!$B$10:$AW$10)))))</f>
        <v/>
      </c>
      <c r="J808" s="5">
        <f>SUMPRODUCT(('01_Data'!$B808:$AW808&lt;&gt;"")*(1/(1+EXP(-(H808-'03_Lap_b'!$B$10:$AW$10))))^2)</f>
        <v/>
      </c>
      <c r="K808" s="5">
        <f>MEDIAN(-6,H808+(C808-I808)/MAX(I808-J808,0.000000001),6)</f>
        <v/>
      </c>
      <c r="L808" s="5">
        <f>SUMPRODUCT(('01_Data'!$B808:$AW808&lt;&gt;"")*(1/(1+EXP(-(K808-'03_Lap_b'!$B$15:$AW$15)))))</f>
        <v/>
      </c>
      <c r="M808" s="5">
        <f>SUMPRODUCT(('01_Data'!$B808:$AW808&lt;&gt;"")*(1/(1+EXP(-(K808-'03_Lap_b'!$B$15:$AW$15))))^2)</f>
        <v/>
      </c>
      <c r="N808" s="5">
        <f>MEDIAN(-6,K808+(C808-L808)/MAX(L808-M808,0.000000001),6)</f>
        <v/>
      </c>
      <c r="O808" s="5">
        <f>SUMPRODUCT(('01_Data'!$B808:$AW808&lt;&gt;"")*(1/(1+EXP(-(N808-'03_Lap_b'!$B$20:$AW$20)))))</f>
        <v/>
      </c>
      <c r="P808" s="5">
        <f>SUMPRODUCT(('01_Data'!$B808:$AW808&lt;&gt;"")*(1/(1+EXP(-(N808-'03_Lap_b'!$B$20:$AW$20))))^2)</f>
        <v/>
      </c>
      <c r="Q808" s="5">
        <f>MEDIAN(-6,N808+(C808-O808)/MAX(O808-P808,0.000000001),6)</f>
        <v/>
      </c>
      <c r="R808" s="5">
        <f>SUMPRODUCT(('01_Data'!$B808:$AW808&lt;&gt;"")*(1/(1+EXP(-(Q808-'03_Lap_b'!$B$25:$AW$25)))))</f>
        <v/>
      </c>
      <c r="S808" s="5">
        <f>SUMPRODUCT(('01_Data'!$B808:$AW808&lt;&gt;"")*(1/(1+EXP(-(Q808-'03_Lap_b'!$B$25:$AW$25))))^2)</f>
        <v/>
      </c>
      <c r="T808" s="5">
        <f>MEDIAN(-6,Q808+(C808-R808)/MAX(R808-S808,0.000000001),6)</f>
        <v/>
      </c>
      <c r="U808" s="5">
        <f>SUMPRODUCT(('01_Data'!$B808:$AW808&lt;&gt;"")*(1/(1+EXP(-(T808-'03_Lap_b'!$B$30:$AW$30)))))</f>
        <v/>
      </c>
      <c r="V808" s="5">
        <f>SUMPRODUCT(('01_Data'!$B808:$AW808&lt;&gt;"")*(1/(1+EXP(-(T808-'03_Lap_b'!$B$30:$AW$30))))^2)</f>
        <v/>
      </c>
      <c r="W808" s="5">
        <f>MEDIAN(-6,T808+(C808-U808)/MAX(U808-V808,0.000000001),6)</f>
        <v/>
      </c>
      <c r="X808" s="5">
        <f>SUMPRODUCT(('01_Data'!$B808:$AW808&lt;&gt;"")*(1/(1+EXP(-(W808-'03_Lap_b'!$B$35:$AW$35)))))</f>
        <v/>
      </c>
      <c r="Y808" s="5">
        <f>SUMPRODUCT(('01_Data'!$B808:$AW808&lt;&gt;"")*(1/(1+EXP(-(W808-'03_Lap_b'!$B$35:$AW$35))))^2)</f>
        <v/>
      </c>
      <c r="Z808" s="5">
        <f>MEDIAN(-6,W808+(C808-X808)/MAX(X808-Y808,0.000000001),6)</f>
        <v/>
      </c>
      <c r="AA808" s="5">
        <f>SUMPRODUCT(('01_Data'!$B808:$AW808&lt;&gt;"")*(1/(1+EXP(-(Z808-'03_Lap_b'!$B$40:$AW$40)))))</f>
        <v/>
      </c>
      <c r="AB808" s="5">
        <f>SUMPRODUCT(('01_Data'!$B808:$AW808&lt;&gt;"")*(1/(1+EXP(-(Z808-'03_Lap_b'!$B$40:$AW$40))))^2)</f>
        <v/>
      </c>
      <c r="AC808" s="5">
        <f>MEDIAN(-6,Z808+(C808-AA808)/MAX(AA808-AB808,0.000000001),6)</f>
        <v/>
      </c>
    </row>
    <row r="809">
      <c r="A809" t="n">
        <v>808</v>
      </c>
      <c r="B809">
        <f>'01_Data'!A809</f>
        <v/>
      </c>
      <c r="C809">
        <f>SUM('01_Data'!$B809:$AW809)</f>
        <v/>
      </c>
      <c r="D809">
        <f>COUNT('01_Data'!$B809:$AW809)</f>
        <v/>
      </c>
      <c r="E809" s="5">
        <f>MEDIAN(-6,LN((C809+0.3)/(D809-C809+0.3)),6)</f>
        <v/>
      </c>
      <c r="F809" s="5">
        <f>SUMPRODUCT(('01_Data'!$B809:$AW809&lt;&gt;"")*(1/(1+EXP(-(E809-'03_Lap_b'!$B$5:$AW$5)))))</f>
        <v/>
      </c>
      <c r="G809" s="5">
        <f>SUMPRODUCT(('01_Data'!$B809:$AW809&lt;&gt;"")*(1/(1+EXP(-(E809-'03_Lap_b'!$B$5:$AW$5))))^2)</f>
        <v/>
      </c>
      <c r="H809" s="5">
        <f>MEDIAN(-6,E809+(C809-F809)/MAX(F809-G809,0.000000001),6)</f>
        <v/>
      </c>
      <c r="I809" s="5">
        <f>SUMPRODUCT(('01_Data'!$B809:$AW809&lt;&gt;"")*(1/(1+EXP(-(H809-'03_Lap_b'!$B$10:$AW$10)))))</f>
        <v/>
      </c>
      <c r="J809" s="5">
        <f>SUMPRODUCT(('01_Data'!$B809:$AW809&lt;&gt;"")*(1/(1+EXP(-(H809-'03_Lap_b'!$B$10:$AW$10))))^2)</f>
        <v/>
      </c>
      <c r="K809" s="5">
        <f>MEDIAN(-6,H809+(C809-I809)/MAX(I809-J809,0.000000001),6)</f>
        <v/>
      </c>
      <c r="L809" s="5">
        <f>SUMPRODUCT(('01_Data'!$B809:$AW809&lt;&gt;"")*(1/(1+EXP(-(K809-'03_Lap_b'!$B$15:$AW$15)))))</f>
        <v/>
      </c>
      <c r="M809" s="5">
        <f>SUMPRODUCT(('01_Data'!$B809:$AW809&lt;&gt;"")*(1/(1+EXP(-(K809-'03_Lap_b'!$B$15:$AW$15))))^2)</f>
        <v/>
      </c>
      <c r="N809" s="5">
        <f>MEDIAN(-6,K809+(C809-L809)/MAX(L809-M809,0.000000001),6)</f>
        <v/>
      </c>
      <c r="O809" s="5">
        <f>SUMPRODUCT(('01_Data'!$B809:$AW809&lt;&gt;"")*(1/(1+EXP(-(N809-'03_Lap_b'!$B$20:$AW$20)))))</f>
        <v/>
      </c>
      <c r="P809" s="5">
        <f>SUMPRODUCT(('01_Data'!$B809:$AW809&lt;&gt;"")*(1/(1+EXP(-(N809-'03_Lap_b'!$B$20:$AW$20))))^2)</f>
        <v/>
      </c>
      <c r="Q809" s="5">
        <f>MEDIAN(-6,N809+(C809-O809)/MAX(O809-P809,0.000000001),6)</f>
        <v/>
      </c>
      <c r="R809" s="5">
        <f>SUMPRODUCT(('01_Data'!$B809:$AW809&lt;&gt;"")*(1/(1+EXP(-(Q809-'03_Lap_b'!$B$25:$AW$25)))))</f>
        <v/>
      </c>
      <c r="S809" s="5">
        <f>SUMPRODUCT(('01_Data'!$B809:$AW809&lt;&gt;"")*(1/(1+EXP(-(Q809-'03_Lap_b'!$B$25:$AW$25))))^2)</f>
        <v/>
      </c>
      <c r="T809" s="5">
        <f>MEDIAN(-6,Q809+(C809-R809)/MAX(R809-S809,0.000000001),6)</f>
        <v/>
      </c>
      <c r="U809" s="5">
        <f>SUMPRODUCT(('01_Data'!$B809:$AW809&lt;&gt;"")*(1/(1+EXP(-(T809-'03_Lap_b'!$B$30:$AW$30)))))</f>
        <v/>
      </c>
      <c r="V809" s="5">
        <f>SUMPRODUCT(('01_Data'!$B809:$AW809&lt;&gt;"")*(1/(1+EXP(-(T809-'03_Lap_b'!$B$30:$AW$30))))^2)</f>
        <v/>
      </c>
      <c r="W809" s="5">
        <f>MEDIAN(-6,T809+(C809-U809)/MAX(U809-V809,0.000000001),6)</f>
        <v/>
      </c>
      <c r="X809" s="5">
        <f>SUMPRODUCT(('01_Data'!$B809:$AW809&lt;&gt;"")*(1/(1+EXP(-(W809-'03_Lap_b'!$B$35:$AW$35)))))</f>
        <v/>
      </c>
      <c r="Y809" s="5">
        <f>SUMPRODUCT(('01_Data'!$B809:$AW809&lt;&gt;"")*(1/(1+EXP(-(W809-'03_Lap_b'!$B$35:$AW$35))))^2)</f>
        <v/>
      </c>
      <c r="Z809" s="5">
        <f>MEDIAN(-6,W809+(C809-X809)/MAX(X809-Y809,0.000000001),6)</f>
        <v/>
      </c>
      <c r="AA809" s="5">
        <f>SUMPRODUCT(('01_Data'!$B809:$AW809&lt;&gt;"")*(1/(1+EXP(-(Z809-'03_Lap_b'!$B$40:$AW$40)))))</f>
        <v/>
      </c>
      <c r="AB809" s="5">
        <f>SUMPRODUCT(('01_Data'!$B809:$AW809&lt;&gt;"")*(1/(1+EXP(-(Z809-'03_Lap_b'!$B$40:$AW$40))))^2)</f>
        <v/>
      </c>
      <c r="AC809" s="5">
        <f>MEDIAN(-6,Z809+(C809-AA809)/MAX(AA809-AB809,0.000000001),6)</f>
        <v/>
      </c>
    </row>
    <row r="810">
      <c r="A810" t="n">
        <v>809</v>
      </c>
      <c r="B810">
        <f>'01_Data'!A810</f>
        <v/>
      </c>
      <c r="C810">
        <f>SUM('01_Data'!$B810:$AW810)</f>
        <v/>
      </c>
      <c r="D810">
        <f>COUNT('01_Data'!$B810:$AW810)</f>
        <v/>
      </c>
      <c r="E810" s="5">
        <f>MEDIAN(-6,LN((C810+0.3)/(D810-C810+0.3)),6)</f>
        <v/>
      </c>
      <c r="F810" s="5">
        <f>SUMPRODUCT(('01_Data'!$B810:$AW810&lt;&gt;"")*(1/(1+EXP(-(E810-'03_Lap_b'!$B$5:$AW$5)))))</f>
        <v/>
      </c>
      <c r="G810" s="5">
        <f>SUMPRODUCT(('01_Data'!$B810:$AW810&lt;&gt;"")*(1/(1+EXP(-(E810-'03_Lap_b'!$B$5:$AW$5))))^2)</f>
        <v/>
      </c>
      <c r="H810" s="5">
        <f>MEDIAN(-6,E810+(C810-F810)/MAX(F810-G810,0.000000001),6)</f>
        <v/>
      </c>
      <c r="I810" s="5">
        <f>SUMPRODUCT(('01_Data'!$B810:$AW810&lt;&gt;"")*(1/(1+EXP(-(H810-'03_Lap_b'!$B$10:$AW$10)))))</f>
        <v/>
      </c>
      <c r="J810" s="5">
        <f>SUMPRODUCT(('01_Data'!$B810:$AW810&lt;&gt;"")*(1/(1+EXP(-(H810-'03_Lap_b'!$B$10:$AW$10))))^2)</f>
        <v/>
      </c>
      <c r="K810" s="5">
        <f>MEDIAN(-6,H810+(C810-I810)/MAX(I810-J810,0.000000001),6)</f>
        <v/>
      </c>
      <c r="L810" s="5">
        <f>SUMPRODUCT(('01_Data'!$B810:$AW810&lt;&gt;"")*(1/(1+EXP(-(K810-'03_Lap_b'!$B$15:$AW$15)))))</f>
        <v/>
      </c>
      <c r="M810" s="5">
        <f>SUMPRODUCT(('01_Data'!$B810:$AW810&lt;&gt;"")*(1/(1+EXP(-(K810-'03_Lap_b'!$B$15:$AW$15))))^2)</f>
        <v/>
      </c>
      <c r="N810" s="5">
        <f>MEDIAN(-6,K810+(C810-L810)/MAX(L810-M810,0.000000001),6)</f>
        <v/>
      </c>
      <c r="O810" s="5">
        <f>SUMPRODUCT(('01_Data'!$B810:$AW810&lt;&gt;"")*(1/(1+EXP(-(N810-'03_Lap_b'!$B$20:$AW$20)))))</f>
        <v/>
      </c>
      <c r="P810" s="5">
        <f>SUMPRODUCT(('01_Data'!$B810:$AW810&lt;&gt;"")*(1/(1+EXP(-(N810-'03_Lap_b'!$B$20:$AW$20))))^2)</f>
        <v/>
      </c>
      <c r="Q810" s="5">
        <f>MEDIAN(-6,N810+(C810-O810)/MAX(O810-P810,0.000000001),6)</f>
        <v/>
      </c>
      <c r="R810" s="5">
        <f>SUMPRODUCT(('01_Data'!$B810:$AW810&lt;&gt;"")*(1/(1+EXP(-(Q810-'03_Lap_b'!$B$25:$AW$25)))))</f>
        <v/>
      </c>
      <c r="S810" s="5">
        <f>SUMPRODUCT(('01_Data'!$B810:$AW810&lt;&gt;"")*(1/(1+EXP(-(Q810-'03_Lap_b'!$B$25:$AW$25))))^2)</f>
        <v/>
      </c>
      <c r="T810" s="5">
        <f>MEDIAN(-6,Q810+(C810-R810)/MAX(R810-S810,0.000000001),6)</f>
        <v/>
      </c>
      <c r="U810" s="5">
        <f>SUMPRODUCT(('01_Data'!$B810:$AW810&lt;&gt;"")*(1/(1+EXP(-(T810-'03_Lap_b'!$B$30:$AW$30)))))</f>
        <v/>
      </c>
      <c r="V810" s="5">
        <f>SUMPRODUCT(('01_Data'!$B810:$AW810&lt;&gt;"")*(1/(1+EXP(-(T810-'03_Lap_b'!$B$30:$AW$30))))^2)</f>
        <v/>
      </c>
      <c r="W810" s="5">
        <f>MEDIAN(-6,T810+(C810-U810)/MAX(U810-V810,0.000000001),6)</f>
        <v/>
      </c>
      <c r="X810" s="5">
        <f>SUMPRODUCT(('01_Data'!$B810:$AW810&lt;&gt;"")*(1/(1+EXP(-(W810-'03_Lap_b'!$B$35:$AW$35)))))</f>
        <v/>
      </c>
      <c r="Y810" s="5">
        <f>SUMPRODUCT(('01_Data'!$B810:$AW810&lt;&gt;"")*(1/(1+EXP(-(W810-'03_Lap_b'!$B$35:$AW$35))))^2)</f>
        <v/>
      </c>
      <c r="Z810" s="5">
        <f>MEDIAN(-6,W810+(C810-X810)/MAX(X810-Y810,0.000000001),6)</f>
        <v/>
      </c>
      <c r="AA810" s="5">
        <f>SUMPRODUCT(('01_Data'!$B810:$AW810&lt;&gt;"")*(1/(1+EXP(-(Z810-'03_Lap_b'!$B$40:$AW$40)))))</f>
        <v/>
      </c>
      <c r="AB810" s="5">
        <f>SUMPRODUCT(('01_Data'!$B810:$AW810&lt;&gt;"")*(1/(1+EXP(-(Z810-'03_Lap_b'!$B$40:$AW$40))))^2)</f>
        <v/>
      </c>
      <c r="AC810" s="5">
        <f>MEDIAN(-6,Z810+(C810-AA810)/MAX(AA810-AB810,0.000000001),6)</f>
        <v/>
      </c>
    </row>
    <row r="811">
      <c r="A811" t="n">
        <v>810</v>
      </c>
      <c r="B811">
        <f>'01_Data'!A811</f>
        <v/>
      </c>
      <c r="C811">
        <f>SUM('01_Data'!$B811:$AW811)</f>
        <v/>
      </c>
      <c r="D811">
        <f>COUNT('01_Data'!$B811:$AW811)</f>
        <v/>
      </c>
      <c r="E811" s="5">
        <f>MEDIAN(-6,LN((C811+0.3)/(D811-C811+0.3)),6)</f>
        <v/>
      </c>
      <c r="F811" s="5">
        <f>SUMPRODUCT(('01_Data'!$B811:$AW811&lt;&gt;"")*(1/(1+EXP(-(E811-'03_Lap_b'!$B$5:$AW$5)))))</f>
        <v/>
      </c>
      <c r="G811" s="5">
        <f>SUMPRODUCT(('01_Data'!$B811:$AW811&lt;&gt;"")*(1/(1+EXP(-(E811-'03_Lap_b'!$B$5:$AW$5))))^2)</f>
        <v/>
      </c>
      <c r="H811" s="5">
        <f>MEDIAN(-6,E811+(C811-F811)/MAX(F811-G811,0.000000001),6)</f>
        <v/>
      </c>
      <c r="I811" s="5">
        <f>SUMPRODUCT(('01_Data'!$B811:$AW811&lt;&gt;"")*(1/(1+EXP(-(H811-'03_Lap_b'!$B$10:$AW$10)))))</f>
        <v/>
      </c>
      <c r="J811" s="5">
        <f>SUMPRODUCT(('01_Data'!$B811:$AW811&lt;&gt;"")*(1/(1+EXP(-(H811-'03_Lap_b'!$B$10:$AW$10))))^2)</f>
        <v/>
      </c>
      <c r="K811" s="5">
        <f>MEDIAN(-6,H811+(C811-I811)/MAX(I811-J811,0.000000001),6)</f>
        <v/>
      </c>
      <c r="L811" s="5">
        <f>SUMPRODUCT(('01_Data'!$B811:$AW811&lt;&gt;"")*(1/(1+EXP(-(K811-'03_Lap_b'!$B$15:$AW$15)))))</f>
        <v/>
      </c>
      <c r="M811" s="5">
        <f>SUMPRODUCT(('01_Data'!$B811:$AW811&lt;&gt;"")*(1/(1+EXP(-(K811-'03_Lap_b'!$B$15:$AW$15))))^2)</f>
        <v/>
      </c>
      <c r="N811" s="5">
        <f>MEDIAN(-6,K811+(C811-L811)/MAX(L811-M811,0.000000001),6)</f>
        <v/>
      </c>
      <c r="O811" s="5">
        <f>SUMPRODUCT(('01_Data'!$B811:$AW811&lt;&gt;"")*(1/(1+EXP(-(N811-'03_Lap_b'!$B$20:$AW$20)))))</f>
        <v/>
      </c>
      <c r="P811" s="5">
        <f>SUMPRODUCT(('01_Data'!$B811:$AW811&lt;&gt;"")*(1/(1+EXP(-(N811-'03_Lap_b'!$B$20:$AW$20))))^2)</f>
        <v/>
      </c>
      <c r="Q811" s="5">
        <f>MEDIAN(-6,N811+(C811-O811)/MAX(O811-P811,0.000000001),6)</f>
        <v/>
      </c>
      <c r="R811" s="5">
        <f>SUMPRODUCT(('01_Data'!$B811:$AW811&lt;&gt;"")*(1/(1+EXP(-(Q811-'03_Lap_b'!$B$25:$AW$25)))))</f>
        <v/>
      </c>
      <c r="S811" s="5">
        <f>SUMPRODUCT(('01_Data'!$B811:$AW811&lt;&gt;"")*(1/(1+EXP(-(Q811-'03_Lap_b'!$B$25:$AW$25))))^2)</f>
        <v/>
      </c>
      <c r="T811" s="5">
        <f>MEDIAN(-6,Q811+(C811-R811)/MAX(R811-S811,0.000000001),6)</f>
        <v/>
      </c>
      <c r="U811" s="5">
        <f>SUMPRODUCT(('01_Data'!$B811:$AW811&lt;&gt;"")*(1/(1+EXP(-(T811-'03_Lap_b'!$B$30:$AW$30)))))</f>
        <v/>
      </c>
      <c r="V811" s="5">
        <f>SUMPRODUCT(('01_Data'!$B811:$AW811&lt;&gt;"")*(1/(1+EXP(-(T811-'03_Lap_b'!$B$30:$AW$30))))^2)</f>
        <v/>
      </c>
      <c r="W811" s="5">
        <f>MEDIAN(-6,T811+(C811-U811)/MAX(U811-V811,0.000000001),6)</f>
        <v/>
      </c>
      <c r="X811" s="5">
        <f>SUMPRODUCT(('01_Data'!$B811:$AW811&lt;&gt;"")*(1/(1+EXP(-(W811-'03_Lap_b'!$B$35:$AW$35)))))</f>
        <v/>
      </c>
      <c r="Y811" s="5">
        <f>SUMPRODUCT(('01_Data'!$B811:$AW811&lt;&gt;"")*(1/(1+EXP(-(W811-'03_Lap_b'!$B$35:$AW$35))))^2)</f>
        <v/>
      </c>
      <c r="Z811" s="5">
        <f>MEDIAN(-6,W811+(C811-X811)/MAX(X811-Y811,0.000000001),6)</f>
        <v/>
      </c>
      <c r="AA811" s="5">
        <f>SUMPRODUCT(('01_Data'!$B811:$AW811&lt;&gt;"")*(1/(1+EXP(-(Z811-'03_Lap_b'!$B$40:$AW$40)))))</f>
        <v/>
      </c>
      <c r="AB811" s="5">
        <f>SUMPRODUCT(('01_Data'!$B811:$AW811&lt;&gt;"")*(1/(1+EXP(-(Z811-'03_Lap_b'!$B$40:$AW$40))))^2)</f>
        <v/>
      </c>
      <c r="AC811" s="5">
        <f>MEDIAN(-6,Z811+(C811-AA811)/MAX(AA811-AB811,0.000000001),6)</f>
        <v/>
      </c>
    </row>
    <row r="812">
      <c r="A812" t="n">
        <v>811</v>
      </c>
      <c r="B812">
        <f>'01_Data'!A812</f>
        <v/>
      </c>
      <c r="C812">
        <f>SUM('01_Data'!$B812:$AW812)</f>
        <v/>
      </c>
      <c r="D812">
        <f>COUNT('01_Data'!$B812:$AW812)</f>
        <v/>
      </c>
      <c r="E812" s="5">
        <f>MEDIAN(-6,LN((C812+0.3)/(D812-C812+0.3)),6)</f>
        <v/>
      </c>
      <c r="F812" s="5">
        <f>SUMPRODUCT(('01_Data'!$B812:$AW812&lt;&gt;"")*(1/(1+EXP(-(E812-'03_Lap_b'!$B$5:$AW$5)))))</f>
        <v/>
      </c>
      <c r="G812" s="5">
        <f>SUMPRODUCT(('01_Data'!$B812:$AW812&lt;&gt;"")*(1/(1+EXP(-(E812-'03_Lap_b'!$B$5:$AW$5))))^2)</f>
        <v/>
      </c>
      <c r="H812" s="5">
        <f>MEDIAN(-6,E812+(C812-F812)/MAX(F812-G812,0.000000001),6)</f>
        <v/>
      </c>
      <c r="I812" s="5">
        <f>SUMPRODUCT(('01_Data'!$B812:$AW812&lt;&gt;"")*(1/(1+EXP(-(H812-'03_Lap_b'!$B$10:$AW$10)))))</f>
        <v/>
      </c>
      <c r="J812" s="5">
        <f>SUMPRODUCT(('01_Data'!$B812:$AW812&lt;&gt;"")*(1/(1+EXP(-(H812-'03_Lap_b'!$B$10:$AW$10))))^2)</f>
        <v/>
      </c>
      <c r="K812" s="5">
        <f>MEDIAN(-6,H812+(C812-I812)/MAX(I812-J812,0.000000001),6)</f>
        <v/>
      </c>
      <c r="L812" s="5">
        <f>SUMPRODUCT(('01_Data'!$B812:$AW812&lt;&gt;"")*(1/(1+EXP(-(K812-'03_Lap_b'!$B$15:$AW$15)))))</f>
        <v/>
      </c>
      <c r="M812" s="5">
        <f>SUMPRODUCT(('01_Data'!$B812:$AW812&lt;&gt;"")*(1/(1+EXP(-(K812-'03_Lap_b'!$B$15:$AW$15))))^2)</f>
        <v/>
      </c>
      <c r="N812" s="5">
        <f>MEDIAN(-6,K812+(C812-L812)/MAX(L812-M812,0.000000001),6)</f>
        <v/>
      </c>
      <c r="O812" s="5">
        <f>SUMPRODUCT(('01_Data'!$B812:$AW812&lt;&gt;"")*(1/(1+EXP(-(N812-'03_Lap_b'!$B$20:$AW$20)))))</f>
        <v/>
      </c>
      <c r="P812" s="5">
        <f>SUMPRODUCT(('01_Data'!$B812:$AW812&lt;&gt;"")*(1/(1+EXP(-(N812-'03_Lap_b'!$B$20:$AW$20))))^2)</f>
        <v/>
      </c>
      <c r="Q812" s="5">
        <f>MEDIAN(-6,N812+(C812-O812)/MAX(O812-P812,0.000000001),6)</f>
        <v/>
      </c>
      <c r="R812" s="5">
        <f>SUMPRODUCT(('01_Data'!$B812:$AW812&lt;&gt;"")*(1/(1+EXP(-(Q812-'03_Lap_b'!$B$25:$AW$25)))))</f>
        <v/>
      </c>
      <c r="S812" s="5">
        <f>SUMPRODUCT(('01_Data'!$B812:$AW812&lt;&gt;"")*(1/(1+EXP(-(Q812-'03_Lap_b'!$B$25:$AW$25))))^2)</f>
        <v/>
      </c>
      <c r="T812" s="5">
        <f>MEDIAN(-6,Q812+(C812-R812)/MAX(R812-S812,0.000000001),6)</f>
        <v/>
      </c>
      <c r="U812" s="5">
        <f>SUMPRODUCT(('01_Data'!$B812:$AW812&lt;&gt;"")*(1/(1+EXP(-(T812-'03_Lap_b'!$B$30:$AW$30)))))</f>
        <v/>
      </c>
      <c r="V812" s="5">
        <f>SUMPRODUCT(('01_Data'!$B812:$AW812&lt;&gt;"")*(1/(1+EXP(-(T812-'03_Lap_b'!$B$30:$AW$30))))^2)</f>
        <v/>
      </c>
      <c r="W812" s="5">
        <f>MEDIAN(-6,T812+(C812-U812)/MAX(U812-V812,0.000000001),6)</f>
        <v/>
      </c>
      <c r="X812" s="5">
        <f>SUMPRODUCT(('01_Data'!$B812:$AW812&lt;&gt;"")*(1/(1+EXP(-(W812-'03_Lap_b'!$B$35:$AW$35)))))</f>
        <v/>
      </c>
      <c r="Y812" s="5">
        <f>SUMPRODUCT(('01_Data'!$B812:$AW812&lt;&gt;"")*(1/(1+EXP(-(W812-'03_Lap_b'!$B$35:$AW$35))))^2)</f>
        <v/>
      </c>
      <c r="Z812" s="5">
        <f>MEDIAN(-6,W812+(C812-X812)/MAX(X812-Y812,0.000000001),6)</f>
        <v/>
      </c>
      <c r="AA812" s="5">
        <f>SUMPRODUCT(('01_Data'!$B812:$AW812&lt;&gt;"")*(1/(1+EXP(-(Z812-'03_Lap_b'!$B$40:$AW$40)))))</f>
        <v/>
      </c>
      <c r="AB812" s="5">
        <f>SUMPRODUCT(('01_Data'!$B812:$AW812&lt;&gt;"")*(1/(1+EXP(-(Z812-'03_Lap_b'!$B$40:$AW$40))))^2)</f>
        <v/>
      </c>
      <c r="AC812" s="5">
        <f>MEDIAN(-6,Z812+(C812-AA812)/MAX(AA812-AB812,0.000000001),6)</f>
        <v/>
      </c>
    </row>
    <row r="813">
      <c r="A813" t="n">
        <v>812</v>
      </c>
      <c r="B813">
        <f>'01_Data'!A813</f>
        <v/>
      </c>
      <c r="C813">
        <f>SUM('01_Data'!$B813:$AW813)</f>
        <v/>
      </c>
      <c r="D813">
        <f>COUNT('01_Data'!$B813:$AW813)</f>
        <v/>
      </c>
      <c r="E813" s="5">
        <f>MEDIAN(-6,LN((C813+0.3)/(D813-C813+0.3)),6)</f>
        <v/>
      </c>
      <c r="F813" s="5">
        <f>SUMPRODUCT(('01_Data'!$B813:$AW813&lt;&gt;"")*(1/(1+EXP(-(E813-'03_Lap_b'!$B$5:$AW$5)))))</f>
        <v/>
      </c>
      <c r="G813" s="5">
        <f>SUMPRODUCT(('01_Data'!$B813:$AW813&lt;&gt;"")*(1/(1+EXP(-(E813-'03_Lap_b'!$B$5:$AW$5))))^2)</f>
        <v/>
      </c>
      <c r="H813" s="5">
        <f>MEDIAN(-6,E813+(C813-F813)/MAX(F813-G813,0.000000001),6)</f>
        <v/>
      </c>
      <c r="I813" s="5">
        <f>SUMPRODUCT(('01_Data'!$B813:$AW813&lt;&gt;"")*(1/(1+EXP(-(H813-'03_Lap_b'!$B$10:$AW$10)))))</f>
        <v/>
      </c>
      <c r="J813" s="5">
        <f>SUMPRODUCT(('01_Data'!$B813:$AW813&lt;&gt;"")*(1/(1+EXP(-(H813-'03_Lap_b'!$B$10:$AW$10))))^2)</f>
        <v/>
      </c>
      <c r="K813" s="5">
        <f>MEDIAN(-6,H813+(C813-I813)/MAX(I813-J813,0.000000001),6)</f>
        <v/>
      </c>
      <c r="L813" s="5">
        <f>SUMPRODUCT(('01_Data'!$B813:$AW813&lt;&gt;"")*(1/(1+EXP(-(K813-'03_Lap_b'!$B$15:$AW$15)))))</f>
        <v/>
      </c>
      <c r="M813" s="5">
        <f>SUMPRODUCT(('01_Data'!$B813:$AW813&lt;&gt;"")*(1/(1+EXP(-(K813-'03_Lap_b'!$B$15:$AW$15))))^2)</f>
        <v/>
      </c>
      <c r="N813" s="5">
        <f>MEDIAN(-6,K813+(C813-L813)/MAX(L813-M813,0.000000001),6)</f>
        <v/>
      </c>
      <c r="O813" s="5">
        <f>SUMPRODUCT(('01_Data'!$B813:$AW813&lt;&gt;"")*(1/(1+EXP(-(N813-'03_Lap_b'!$B$20:$AW$20)))))</f>
        <v/>
      </c>
      <c r="P813" s="5">
        <f>SUMPRODUCT(('01_Data'!$B813:$AW813&lt;&gt;"")*(1/(1+EXP(-(N813-'03_Lap_b'!$B$20:$AW$20))))^2)</f>
        <v/>
      </c>
      <c r="Q813" s="5">
        <f>MEDIAN(-6,N813+(C813-O813)/MAX(O813-P813,0.000000001),6)</f>
        <v/>
      </c>
      <c r="R813" s="5">
        <f>SUMPRODUCT(('01_Data'!$B813:$AW813&lt;&gt;"")*(1/(1+EXP(-(Q813-'03_Lap_b'!$B$25:$AW$25)))))</f>
        <v/>
      </c>
      <c r="S813" s="5">
        <f>SUMPRODUCT(('01_Data'!$B813:$AW813&lt;&gt;"")*(1/(1+EXP(-(Q813-'03_Lap_b'!$B$25:$AW$25))))^2)</f>
        <v/>
      </c>
      <c r="T813" s="5">
        <f>MEDIAN(-6,Q813+(C813-R813)/MAX(R813-S813,0.000000001),6)</f>
        <v/>
      </c>
      <c r="U813" s="5">
        <f>SUMPRODUCT(('01_Data'!$B813:$AW813&lt;&gt;"")*(1/(1+EXP(-(T813-'03_Lap_b'!$B$30:$AW$30)))))</f>
        <v/>
      </c>
      <c r="V813" s="5">
        <f>SUMPRODUCT(('01_Data'!$B813:$AW813&lt;&gt;"")*(1/(1+EXP(-(T813-'03_Lap_b'!$B$30:$AW$30))))^2)</f>
        <v/>
      </c>
      <c r="W813" s="5">
        <f>MEDIAN(-6,T813+(C813-U813)/MAX(U813-V813,0.000000001),6)</f>
        <v/>
      </c>
      <c r="X813" s="5">
        <f>SUMPRODUCT(('01_Data'!$B813:$AW813&lt;&gt;"")*(1/(1+EXP(-(W813-'03_Lap_b'!$B$35:$AW$35)))))</f>
        <v/>
      </c>
      <c r="Y813" s="5">
        <f>SUMPRODUCT(('01_Data'!$B813:$AW813&lt;&gt;"")*(1/(1+EXP(-(W813-'03_Lap_b'!$B$35:$AW$35))))^2)</f>
        <v/>
      </c>
      <c r="Z813" s="5">
        <f>MEDIAN(-6,W813+(C813-X813)/MAX(X813-Y813,0.000000001),6)</f>
        <v/>
      </c>
      <c r="AA813" s="5">
        <f>SUMPRODUCT(('01_Data'!$B813:$AW813&lt;&gt;"")*(1/(1+EXP(-(Z813-'03_Lap_b'!$B$40:$AW$40)))))</f>
        <v/>
      </c>
      <c r="AB813" s="5">
        <f>SUMPRODUCT(('01_Data'!$B813:$AW813&lt;&gt;"")*(1/(1+EXP(-(Z813-'03_Lap_b'!$B$40:$AW$40))))^2)</f>
        <v/>
      </c>
      <c r="AC813" s="5">
        <f>MEDIAN(-6,Z813+(C813-AA813)/MAX(AA813-AB813,0.000000001),6)</f>
        <v/>
      </c>
    </row>
    <row r="814">
      <c r="A814" t="n">
        <v>813</v>
      </c>
      <c r="B814">
        <f>'01_Data'!A814</f>
        <v/>
      </c>
      <c r="C814">
        <f>SUM('01_Data'!$B814:$AW814)</f>
        <v/>
      </c>
      <c r="D814">
        <f>COUNT('01_Data'!$B814:$AW814)</f>
        <v/>
      </c>
      <c r="E814" s="5">
        <f>MEDIAN(-6,LN((C814+0.3)/(D814-C814+0.3)),6)</f>
        <v/>
      </c>
      <c r="F814" s="5">
        <f>SUMPRODUCT(('01_Data'!$B814:$AW814&lt;&gt;"")*(1/(1+EXP(-(E814-'03_Lap_b'!$B$5:$AW$5)))))</f>
        <v/>
      </c>
      <c r="G814" s="5">
        <f>SUMPRODUCT(('01_Data'!$B814:$AW814&lt;&gt;"")*(1/(1+EXP(-(E814-'03_Lap_b'!$B$5:$AW$5))))^2)</f>
        <v/>
      </c>
      <c r="H814" s="5">
        <f>MEDIAN(-6,E814+(C814-F814)/MAX(F814-G814,0.000000001),6)</f>
        <v/>
      </c>
      <c r="I814" s="5">
        <f>SUMPRODUCT(('01_Data'!$B814:$AW814&lt;&gt;"")*(1/(1+EXP(-(H814-'03_Lap_b'!$B$10:$AW$10)))))</f>
        <v/>
      </c>
      <c r="J814" s="5">
        <f>SUMPRODUCT(('01_Data'!$B814:$AW814&lt;&gt;"")*(1/(1+EXP(-(H814-'03_Lap_b'!$B$10:$AW$10))))^2)</f>
        <v/>
      </c>
      <c r="K814" s="5">
        <f>MEDIAN(-6,H814+(C814-I814)/MAX(I814-J814,0.000000001),6)</f>
        <v/>
      </c>
      <c r="L814" s="5">
        <f>SUMPRODUCT(('01_Data'!$B814:$AW814&lt;&gt;"")*(1/(1+EXP(-(K814-'03_Lap_b'!$B$15:$AW$15)))))</f>
        <v/>
      </c>
      <c r="M814" s="5">
        <f>SUMPRODUCT(('01_Data'!$B814:$AW814&lt;&gt;"")*(1/(1+EXP(-(K814-'03_Lap_b'!$B$15:$AW$15))))^2)</f>
        <v/>
      </c>
      <c r="N814" s="5">
        <f>MEDIAN(-6,K814+(C814-L814)/MAX(L814-M814,0.000000001),6)</f>
        <v/>
      </c>
      <c r="O814" s="5">
        <f>SUMPRODUCT(('01_Data'!$B814:$AW814&lt;&gt;"")*(1/(1+EXP(-(N814-'03_Lap_b'!$B$20:$AW$20)))))</f>
        <v/>
      </c>
      <c r="P814" s="5">
        <f>SUMPRODUCT(('01_Data'!$B814:$AW814&lt;&gt;"")*(1/(1+EXP(-(N814-'03_Lap_b'!$B$20:$AW$20))))^2)</f>
        <v/>
      </c>
      <c r="Q814" s="5">
        <f>MEDIAN(-6,N814+(C814-O814)/MAX(O814-P814,0.000000001),6)</f>
        <v/>
      </c>
      <c r="R814" s="5">
        <f>SUMPRODUCT(('01_Data'!$B814:$AW814&lt;&gt;"")*(1/(1+EXP(-(Q814-'03_Lap_b'!$B$25:$AW$25)))))</f>
        <v/>
      </c>
      <c r="S814" s="5">
        <f>SUMPRODUCT(('01_Data'!$B814:$AW814&lt;&gt;"")*(1/(1+EXP(-(Q814-'03_Lap_b'!$B$25:$AW$25))))^2)</f>
        <v/>
      </c>
      <c r="T814" s="5">
        <f>MEDIAN(-6,Q814+(C814-R814)/MAX(R814-S814,0.000000001),6)</f>
        <v/>
      </c>
      <c r="U814" s="5">
        <f>SUMPRODUCT(('01_Data'!$B814:$AW814&lt;&gt;"")*(1/(1+EXP(-(T814-'03_Lap_b'!$B$30:$AW$30)))))</f>
        <v/>
      </c>
      <c r="V814" s="5">
        <f>SUMPRODUCT(('01_Data'!$B814:$AW814&lt;&gt;"")*(1/(1+EXP(-(T814-'03_Lap_b'!$B$30:$AW$30))))^2)</f>
        <v/>
      </c>
      <c r="W814" s="5">
        <f>MEDIAN(-6,T814+(C814-U814)/MAX(U814-V814,0.000000001),6)</f>
        <v/>
      </c>
      <c r="X814" s="5">
        <f>SUMPRODUCT(('01_Data'!$B814:$AW814&lt;&gt;"")*(1/(1+EXP(-(W814-'03_Lap_b'!$B$35:$AW$35)))))</f>
        <v/>
      </c>
      <c r="Y814" s="5">
        <f>SUMPRODUCT(('01_Data'!$B814:$AW814&lt;&gt;"")*(1/(1+EXP(-(W814-'03_Lap_b'!$B$35:$AW$35))))^2)</f>
        <v/>
      </c>
      <c r="Z814" s="5">
        <f>MEDIAN(-6,W814+(C814-X814)/MAX(X814-Y814,0.000000001),6)</f>
        <v/>
      </c>
      <c r="AA814" s="5">
        <f>SUMPRODUCT(('01_Data'!$B814:$AW814&lt;&gt;"")*(1/(1+EXP(-(Z814-'03_Lap_b'!$B$40:$AW$40)))))</f>
        <v/>
      </c>
      <c r="AB814" s="5">
        <f>SUMPRODUCT(('01_Data'!$B814:$AW814&lt;&gt;"")*(1/(1+EXP(-(Z814-'03_Lap_b'!$B$40:$AW$40))))^2)</f>
        <v/>
      </c>
      <c r="AC814" s="5">
        <f>MEDIAN(-6,Z814+(C814-AA814)/MAX(AA814-AB814,0.000000001),6)</f>
        <v/>
      </c>
    </row>
    <row r="815">
      <c r="A815" t="n">
        <v>814</v>
      </c>
      <c r="B815">
        <f>'01_Data'!A815</f>
        <v/>
      </c>
      <c r="C815">
        <f>SUM('01_Data'!$B815:$AW815)</f>
        <v/>
      </c>
      <c r="D815">
        <f>COUNT('01_Data'!$B815:$AW815)</f>
        <v/>
      </c>
      <c r="E815" s="5">
        <f>MEDIAN(-6,LN((C815+0.3)/(D815-C815+0.3)),6)</f>
        <v/>
      </c>
      <c r="F815" s="5">
        <f>SUMPRODUCT(('01_Data'!$B815:$AW815&lt;&gt;"")*(1/(1+EXP(-(E815-'03_Lap_b'!$B$5:$AW$5)))))</f>
        <v/>
      </c>
      <c r="G815" s="5">
        <f>SUMPRODUCT(('01_Data'!$B815:$AW815&lt;&gt;"")*(1/(1+EXP(-(E815-'03_Lap_b'!$B$5:$AW$5))))^2)</f>
        <v/>
      </c>
      <c r="H815" s="5">
        <f>MEDIAN(-6,E815+(C815-F815)/MAX(F815-G815,0.000000001),6)</f>
        <v/>
      </c>
      <c r="I815" s="5">
        <f>SUMPRODUCT(('01_Data'!$B815:$AW815&lt;&gt;"")*(1/(1+EXP(-(H815-'03_Lap_b'!$B$10:$AW$10)))))</f>
        <v/>
      </c>
      <c r="J815" s="5">
        <f>SUMPRODUCT(('01_Data'!$B815:$AW815&lt;&gt;"")*(1/(1+EXP(-(H815-'03_Lap_b'!$B$10:$AW$10))))^2)</f>
        <v/>
      </c>
      <c r="K815" s="5">
        <f>MEDIAN(-6,H815+(C815-I815)/MAX(I815-J815,0.000000001),6)</f>
        <v/>
      </c>
      <c r="L815" s="5">
        <f>SUMPRODUCT(('01_Data'!$B815:$AW815&lt;&gt;"")*(1/(1+EXP(-(K815-'03_Lap_b'!$B$15:$AW$15)))))</f>
        <v/>
      </c>
      <c r="M815" s="5">
        <f>SUMPRODUCT(('01_Data'!$B815:$AW815&lt;&gt;"")*(1/(1+EXP(-(K815-'03_Lap_b'!$B$15:$AW$15))))^2)</f>
        <v/>
      </c>
      <c r="N815" s="5">
        <f>MEDIAN(-6,K815+(C815-L815)/MAX(L815-M815,0.000000001),6)</f>
        <v/>
      </c>
      <c r="O815" s="5">
        <f>SUMPRODUCT(('01_Data'!$B815:$AW815&lt;&gt;"")*(1/(1+EXP(-(N815-'03_Lap_b'!$B$20:$AW$20)))))</f>
        <v/>
      </c>
      <c r="P815" s="5">
        <f>SUMPRODUCT(('01_Data'!$B815:$AW815&lt;&gt;"")*(1/(1+EXP(-(N815-'03_Lap_b'!$B$20:$AW$20))))^2)</f>
        <v/>
      </c>
      <c r="Q815" s="5">
        <f>MEDIAN(-6,N815+(C815-O815)/MAX(O815-P815,0.000000001),6)</f>
        <v/>
      </c>
      <c r="R815" s="5">
        <f>SUMPRODUCT(('01_Data'!$B815:$AW815&lt;&gt;"")*(1/(1+EXP(-(Q815-'03_Lap_b'!$B$25:$AW$25)))))</f>
        <v/>
      </c>
      <c r="S815" s="5">
        <f>SUMPRODUCT(('01_Data'!$B815:$AW815&lt;&gt;"")*(1/(1+EXP(-(Q815-'03_Lap_b'!$B$25:$AW$25))))^2)</f>
        <v/>
      </c>
      <c r="T815" s="5">
        <f>MEDIAN(-6,Q815+(C815-R815)/MAX(R815-S815,0.000000001),6)</f>
        <v/>
      </c>
      <c r="U815" s="5">
        <f>SUMPRODUCT(('01_Data'!$B815:$AW815&lt;&gt;"")*(1/(1+EXP(-(T815-'03_Lap_b'!$B$30:$AW$30)))))</f>
        <v/>
      </c>
      <c r="V815" s="5">
        <f>SUMPRODUCT(('01_Data'!$B815:$AW815&lt;&gt;"")*(1/(1+EXP(-(T815-'03_Lap_b'!$B$30:$AW$30))))^2)</f>
        <v/>
      </c>
      <c r="W815" s="5">
        <f>MEDIAN(-6,T815+(C815-U815)/MAX(U815-V815,0.000000001),6)</f>
        <v/>
      </c>
      <c r="X815" s="5">
        <f>SUMPRODUCT(('01_Data'!$B815:$AW815&lt;&gt;"")*(1/(1+EXP(-(W815-'03_Lap_b'!$B$35:$AW$35)))))</f>
        <v/>
      </c>
      <c r="Y815" s="5">
        <f>SUMPRODUCT(('01_Data'!$B815:$AW815&lt;&gt;"")*(1/(1+EXP(-(W815-'03_Lap_b'!$B$35:$AW$35))))^2)</f>
        <v/>
      </c>
      <c r="Z815" s="5">
        <f>MEDIAN(-6,W815+(C815-X815)/MAX(X815-Y815,0.000000001),6)</f>
        <v/>
      </c>
      <c r="AA815" s="5">
        <f>SUMPRODUCT(('01_Data'!$B815:$AW815&lt;&gt;"")*(1/(1+EXP(-(Z815-'03_Lap_b'!$B$40:$AW$40)))))</f>
        <v/>
      </c>
      <c r="AB815" s="5">
        <f>SUMPRODUCT(('01_Data'!$B815:$AW815&lt;&gt;"")*(1/(1+EXP(-(Z815-'03_Lap_b'!$B$40:$AW$40))))^2)</f>
        <v/>
      </c>
      <c r="AC815" s="5">
        <f>MEDIAN(-6,Z815+(C815-AA815)/MAX(AA815-AB815,0.000000001),6)</f>
        <v/>
      </c>
    </row>
    <row r="816">
      <c r="A816" t="n">
        <v>815</v>
      </c>
      <c r="B816">
        <f>'01_Data'!A816</f>
        <v/>
      </c>
      <c r="C816">
        <f>SUM('01_Data'!$B816:$AW816)</f>
        <v/>
      </c>
      <c r="D816">
        <f>COUNT('01_Data'!$B816:$AW816)</f>
        <v/>
      </c>
      <c r="E816" s="5">
        <f>MEDIAN(-6,LN((C816+0.3)/(D816-C816+0.3)),6)</f>
        <v/>
      </c>
      <c r="F816" s="5">
        <f>SUMPRODUCT(('01_Data'!$B816:$AW816&lt;&gt;"")*(1/(1+EXP(-(E816-'03_Lap_b'!$B$5:$AW$5)))))</f>
        <v/>
      </c>
      <c r="G816" s="5">
        <f>SUMPRODUCT(('01_Data'!$B816:$AW816&lt;&gt;"")*(1/(1+EXP(-(E816-'03_Lap_b'!$B$5:$AW$5))))^2)</f>
        <v/>
      </c>
      <c r="H816" s="5">
        <f>MEDIAN(-6,E816+(C816-F816)/MAX(F816-G816,0.000000001),6)</f>
        <v/>
      </c>
      <c r="I816" s="5">
        <f>SUMPRODUCT(('01_Data'!$B816:$AW816&lt;&gt;"")*(1/(1+EXP(-(H816-'03_Lap_b'!$B$10:$AW$10)))))</f>
        <v/>
      </c>
      <c r="J816" s="5">
        <f>SUMPRODUCT(('01_Data'!$B816:$AW816&lt;&gt;"")*(1/(1+EXP(-(H816-'03_Lap_b'!$B$10:$AW$10))))^2)</f>
        <v/>
      </c>
      <c r="K816" s="5">
        <f>MEDIAN(-6,H816+(C816-I816)/MAX(I816-J816,0.000000001),6)</f>
        <v/>
      </c>
      <c r="L816" s="5">
        <f>SUMPRODUCT(('01_Data'!$B816:$AW816&lt;&gt;"")*(1/(1+EXP(-(K816-'03_Lap_b'!$B$15:$AW$15)))))</f>
        <v/>
      </c>
      <c r="M816" s="5">
        <f>SUMPRODUCT(('01_Data'!$B816:$AW816&lt;&gt;"")*(1/(1+EXP(-(K816-'03_Lap_b'!$B$15:$AW$15))))^2)</f>
        <v/>
      </c>
      <c r="N816" s="5">
        <f>MEDIAN(-6,K816+(C816-L816)/MAX(L816-M816,0.000000001),6)</f>
        <v/>
      </c>
      <c r="O816" s="5">
        <f>SUMPRODUCT(('01_Data'!$B816:$AW816&lt;&gt;"")*(1/(1+EXP(-(N816-'03_Lap_b'!$B$20:$AW$20)))))</f>
        <v/>
      </c>
      <c r="P816" s="5">
        <f>SUMPRODUCT(('01_Data'!$B816:$AW816&lt;&gt;"")*(1/(1+EXP(-(N816-'03_Lap_b'!$B$20:$AW$20))))^2)</f>
        <v/>
      </c>
      <c r="Q816" s="5">
        <f>MEDIAN(-6,N816+(C816-O816)/MAX(O816-P816,0.000000001),6)</f>
        <v/>
      </c>
      <c r="R816" s="5">
        <f>SUMPRODUCT(('01_Data'!$B816:$AW816&lt;&gt;"")*(1/(1+EXP(-(Q816-'03_Lap_b'!$B$25:$AW$25)))))</f>
        <v/>
      </c>
      <c r="S816" s="5">
        <f>SUMPRODUCT(('01_Data'!$B816:$AW816&lt;&gt;"")*(1/(1+EXP(-(Q816-'03_Lap_b'!$B$25:$AW$25))))^2)</f>
        <v/>
      </c>
      <c r="T816" s="5">
        <f>MEDIAN(-6,Q816+(C816-R816)/MAX(R816-S816,0.000000001),6)</f>
        <v/>
      </c>
      <c r="U816" s="5">
        <f>SUMPRODUCT(('01_Data'!$B816:$AW816&lt;&gt;"")*(1/(1+EXP(-(T816-'03_Lap_b'!$B$30:$AW$30)))))</f>
        <v/>
      </c>
      <c r="V816" s="5">
        <f>SUMPRODUCT(('01_Data'!$B816:$AW816&lt;&gt;"")*(1/(1+EXP(-(T816-'03_Lap_b'!$B$30:$AW$30))))^2)</f>
        <v/>
      </c>
      <c r="W816" s="5">
        <f>MEDIAN(-6,T816+(C816-U816)/MAX(U816-V816,0.000000001),6)</f>
        <v/>
      </c>
      <c r="X816" s="5">
        <f>SUMPRODUCT(('01_Data'!$B816:$AW816&lt;&gt;"")*(1/(1+EXP(-(W816-'03_Lap_b'!$B$35:$AW$35)))))</f>
        <v/>
      </c>
      <c r="Y816" s="5">
        <f>SUMPRODUCT(('01_Data'!$B816:$AW816&lt;&gt;"")*(1/(1+EXP(-(W816-'03_Lap_b'!$B$35:$AW$35))))^2)</f>
        <v/>
      </c>
      <c r="Z816" s="5">
        <f>MEDIAN(-6,W816+(C816-X816)/MAX(X816-Y816,0.000000001),6)</f>
        <v/>
      </c>
      <c r="AA816" s="5">
        <f>SUMPRODUCT(('01_Data'!$B816:$AW816&lt;&gt;"")*(1/(1+EXP(-(Z816-'03_Lap_b'!$B$40:$AW$40)))))</f>
        <v/>
      </c>
      <c r="AB816" s="5">
        <f>SUMPRODUCT(('01_Data'!$B816:$AW816&lt;&gt;"")*(1/(1+EXP(-(Z816-'03_Lap_b'!$B$40:$AW$40))))^2)</f>
        <v/>
      </c>
      <c r="AC816" s="5">
        <f>MEDIAN(-6,Z816+(C816-AA816)/MAX(AA816-AB816,0.000000001),6)</f>
        <v/>
      </c>
    </row>
    <row r="817">
      <c r="A817" t="n">
        <v>816</v>
      </c>
      <c r="B817">
        <f>'01_Data'!A817</f>
        <v/>
      </c>
      <c r="C817">
        <f>SUM('01_Data'!$B817:$AW817)</f>
        <v/>
      </c>
      <c r="D817">
        <f>COUNT('01_Data'!$B817:$AW817)</f>
        <v/>
      </c>
      <c r="E817" s="5">
        <f>MEDIAN(-6,LN((C817+0.3)/(D817-C817+0.3)),6)</f>
        <v/>
      </c>
      <c r="F817" s="5">
        <f>SUMPRODUCT(('01_Data'!$B817:$AW817&lt;&gt;"")*(1/(1+EXP(-(E817-'03_Lap_b'!$B$5:$AW$5)))))</f>
        <v/>
      </c>
      <c r="G817" s="5">
        <f>SUMPRODUCT(('01_Data'!$B817:$AW817&lt;&gt;"")*(1/(1+EXP(-(E817-'03_Lap_b'!$B$5:$AW$5))))^2)</f>
        <v/>
      </c>
      <c r="H817" s="5">
        <f>MEDIAN(-6,E817+(C817-F817)/MAX(F817-G817,0.000000001),6)</f>
        <v/>
      </c>
      <c r="I817" s="5">
        <f>SUMPRODUCT(('01_Data'!$B817:$AW817&lt;&gt;"")*(1/(1+EXP(-(H817-'03_Lap_b'!$B$10:$AW$10)))))</f>
        <v/>
      </c>
      <c r="J817" s="5">
        <f>SUMPRODUCT(('01_Data'!$B817:$AW817&lt;&gt;"")*(1/(1+EXP(-(H817-'03_Lap_b'!$B$10:$AW$10))))^2)</f>
        <v/>
      </c>
      <c r="K817" s="5">
        <f>MEDIAN(-6,H817+(C817-I817)/MAX(I817-J817,0.000000001),6)</f>
        <v/>
      </c>
      <c r="L817" s="5">
        <f>SUMPRODUCT(('01_Data'!$B817:$AW817&lt;&gt;"")*(1/(1+EXP(-(K817-'03_Lap_b'!$B$15:$AW$15)))))</f>
        <v/>
      </c>
      <c r="M817" s="5">
        <f>SUMPRODUCT(('01_Data'!$B817:$AW817&lt;&gt;"")*(1/(1+EXP(-(K817-'03_Lap_b'!$B$15:$AW$15))))^2)</f>
        <v/>
      </c>
      <c r="N817" s="5">
        <f>MEDIAN(-6,K817+(C817-L817)/MAX(L817-M817,0.000000001),6)</f>
        <v/>
      </c>
      <c r="O817" s="5">
        <f>SUMPRODUCT(('01_Data'!$B817:$AW817&lt;&gt;"")*(1/(1+EXP(-(N817-'03_Lap_b'!$B$20:$AW$20)))))</f>
        <v/>
      </c>
      <c r="P817" s="5">
        <f>SUMPRODUCT(('01_Data'!$B817:$AW817&lt;&gt;"")*(1/(1+EXP(-(N817-'03_Lap_b'!$B$20:$AW$20))))^2)</f>
        <v/>
      </c>
      <c r="Q817" s="5">
        <f>MEDIAN(-6,N817+(C817-O817)/MAX(O817-P817,0.000000001),6)</f>
        <v/>
      </c>
      <c r="R817" s="5">
        <f>SUMPRODUCT(('01_Data'!$B817:$AW817&lt;&gt;"")*(1/(1+EXP(-(Q817-'03_Lap_b'!$B$25:$AW$25)))))</f>
        <v/>
      </c>
      <c r="S817" s="5">
        <f>SUMPRODUCT(('01_Data'!$B817:$AW817&lt;&gt;"")*(1/(1+EXP(-(Q817-'03_Lap_b'!$B$25:$AW$25))))^2)</f>
        <v/>
      </c>
      <c r="T817" s="5">
        <f>MEDIAN(-6,Q817+(C817-R817)/MAX(R817-S817,0.000000001),6)</f>
        <v/>
      </c>
      <c r="U817" s="5">
        <f>SUMPRODUCT(('01_Data'!$B817:$AW817&lt;&gt;"")*(1/(1+EXP(-(T817-'03_Lap_b'!$B$30:$AW$30)))))</f>
        <v/>
      </c>
      <c r="V817" s="5">
        <f>SUMPRODUCT(('01_Data'!$B817:$AW817&lt;&gt;"")*(1/(1+EXP(-(T817-'03_Lap_b'!$B$30:$AW$30))))^2)</f>
        <v/>
      </c>
      <c r="W817" s="5">
        <f>MEDIAN(-6,T817+(C817-U817)/MAX(U817-V817,0.000000001),6)</f>
        <v/>
      </c>
      <c r="X817" s="5">
        <f>SUMPRODUCT(('01_Data'!$B817:$AW817&lt;&gt;"")*(1/(1+EXP(-(W817-'03_Lap_b'!$B$35:$AW$35)))))</f>
        <v/>
      </c>
      <c r="Y817" s="5">
        <f>SUMPRODUCT(('01_Data'!$B817:$AW817&lt;&gt;"")*(1/(1+EXP(-(W817-'03_Lap_b'!$B$35:$AW$35))))^2)</f>
        <v/>
      </c>
      <c r="Z817" s="5">
        <f>MEDIAN(-6,W817+(C817-X817)/MAX(X817-Y817,0.000000001),6)</f>
        <v/>
      </c>
      <c r="AA817" s="5">
        <f>SUMPRODUCT(('01_Data'!$B817:$AW817&lt;&gt;"")*(1/(1+EXP(-(Z817-'03_Lap_b'!$B$40:$AW$40)))))</f>
        <v/>
      </c>
      <c r="AB817" s="5">
        <f>SUMPRODUCT(('01_Data'!$B817:$AW817&lt;&gt;"")*(1/(1+EXP(-(Z817-'03_Lap_b'!$B$40:$AW$40))))^2)</f>
        <v/>
      </c>
      <c r="AC817" s="5">
        <f>MEDIAN(-6,Z817+(C817-AA817)/MAX(AA817-AB817,0.000000001),6)</f>
        <v/>
      </c>
    </row>
    <row r="818">
      <c r="A818" t="n">
        <v>817</v>
      </c>
      <c r="B818">
        <f>'01_Data'!A818</f>
        <v/>
      </c>
      <c r="C818">
        <f>SUM('01_Data'!$B818:$AW818)</f>
        <v/>
      </c>
      <c r="D818">
        <f>COUNT('01_Data'!$B818:$AW818)</f>
        <v/>
      </c>
      <c r="E818" s="5">
        <f>MEDIAN(-6,LN((C818+0.3)/(D818-C818+0.3)),6)</f>
        <v/>
      </c>
      <c r="F818" s="5">
        <f>SUMPRODUCT(('01_Data'!$B818:$AW818&lt;&gt;"")*(1/(1+EXP(-(E818-'03_Lap_b'!$B$5:$AW$5)))))</f>
        <v/>
      </c>
      <c r="G818" s="5">
        <f>SUMPRODUCT(('01_Data'!$B818:$AW818&lt;&gt;"")*(1/(1+EXP(-(E818-'03_Lap_b'!$B$5:$AW$5))))^2)</f>
        <v/>
      </c>
      <c r="H818" s="5">
        <f>MEDIAN(-6,E818+(C818-F818)/MAX(F818-G818,0.000000001),6)</f>
        <v/>
      </c>
      <c r="I818" s="5">
        <f>SUMPRODUCT(('01_Data'!$B818:$AW818&lt;&gt;"")*(1/(1+EXP(-(H818-'03_Lap_b'!$B$10:$AW$10)))))</f>
        <v/>
      </c>
      <c r="J818" s="5">
        <f>SUMPRODUCT(('01_Data'!$B818:$AW818&lt;&gt;"")*(1/(1+EXP(-(H818-'03_Lap_b'!$B$10:$AW$10))))^2)</f>
        <v/>
      </c>
      <c r="K818" s="5">
        <f>MEDIAN(-6,H818+(C818-I818)/MAX(I818-J818,0.000000001),6)</f>
        <v/>
      </c>
      <c r="L818" s="5">
        <f>SUMPRODUCT(('01_Data'!$B818:$AW818&lt;&gt;"")*(1/(1+EXP(-(K818-'03_Lap_b'!$B$15:$AW$15)))))</f>
        <v/>
      </c>
      <c r="M818" s="5">
        <f>SUMPRODUCT(('01_Data'!$B818:$AW818&lt;&gt;"")*(1/(1+EXP(-(K818-'03_Lap_b'!$B$15:$AW$15))))^2)</f>
        <v/>
      </c>
      <c r="N818" s="5">
        <f>MEDIAN(-6,K818+(C818-L818)/MAX(L818-M818,0.000000001),6)</f>
        <v/>
      </c>
      <c r="O818" s="5">
        <f>SUMPRODUCT(('01_Data'!$B818:$AW818&lt;&gt;"")*(1/(1+EXP(-(N818-'03_Lap_b'!$B$20:$AW$20)))))</f>
        <v/>
      </c>
      <c r="P818" s="5">
        <f>SUMPRODUCT(('01_Data'!$B818:$AW818&lt;&gt;"")*(1/(1+EXP(-(N818-'03_Lap_b'!$B$20:$AW$20))))^2)</f>
        <v/>
      </c>
      <c r="Q818" s="5">
        <f>MEDIAN(-6,N818+(C818-O818)/MAX(O818-P818,0.000000001),6)</f>
        <v/>
      </c>
      <c r="R818" s="5">
        <f>SUMPRODUCT(('01_Data'!$B818:$AW818&lt;&gt;"")*(1/(1+EXP(-(Q818-'03_Lap_b'!$B$25:$AW$25)))))</f>
        <v/>
      </c>
      <c r="S818" s="5">
        <f>SUMPRODUCT(('01_Data'!$B818:$AW818&lt;&gt;"")*(1/(1+EXP(-(Q818-'03_Lap_b'!$B$25:$AW$25))))^2)</f>
        <v/>
      </c>
      <c r="T818" s="5">
        <f>MEDIAN(-6,Q818+(C818-R818)/MAX(R818-S818,0.000000001),6)</f>
        <v/>
      </c>
      <c r="U818" s="5">
        <f>SUMPRODUCT(('01_Data'!$B818:$AW818&lt;&gt;"")*(1/(1+EXP(-(T818-'03_Lap_b'!$B$30:$AW$30)))))</f>
        <v/>
      </c>
      <c r="V818" s="5">
        <f>SUMPRODUCT(('01_Data'!$B818:$AW818&lt;&gt;"")*(1/(1+EXP(-(T818-'03_Lap_b'!$B$30:$AW$30))))^2)</f>
        <v/>
      </c>
      <c r="W818" s="5">
        <f>MEDIAN(-6,T818+(C818-U818)/MAX(U818-V818,0.000000001),6)</f>
        <v/>
      </c>
      <c r="X818" s="5">
        <f>SUMPRODUCT(('01_Data'!$B818:$AW818&lt;&gt;"")*(1/(1+EXP(-(W818-'03_Lap_b'!$B$35:$AW$35)))))</f>
        <v/>
      </c>
      <c r="Y818" s="5">
        <f>SUMPRODUCT(('01_Data'!$B818:$AW818&lt;&gt;"")*(1/(1+EXP(-(W818-'03_Lap_b'!$B$35:$AW$35))))^2)</f>
        <v/>
      </c>
      <c r="Z818" s="5">
        <f>MEDIAN(-6,W818+(C818-X818)/MAX(X818-Y818,0.000000001),6)</f>
        <v/>
      </c>
      <c r="AA818" s="5">
        <f>SUMPRODUCT(('01_Data'!$B818:$AW818&lt;&gt;"")*(1/(1+EXP(-(Z818-'03_Lap_b'!$B$40:$AW$40)))))</f>
        <v/>
      </c>
      <c r="AB818" s="5">
        <f>SUMPRODUCT(('01_Data'!$B818:$AW818&lt;&gt;"")*(1/(1+EXP(-(Z818-'03_Lap_b'!$B$40:$AW$40))))^2)</f>
        <v/>
      </c>
      <c r="AC818" s="5">
        <f>MEDIAN(-6,Z818+(C818-AA818)/MAX(AA818-AB818,0.000000001),6)</f>
        <v/>
      </c>
    </row>
    <row r="819">
      <c r="A819" t="n">
        <v>818</v>
      </c>
      <c r="B819">
        <f>'01_Data'!A819</f>
        <v/>
      </c>
      <c r="C819">
        <f>SUM('01_Data'!$B819:$AW819)</f>
        <v/>
      </c>
      <c r="D819">
        <f>COUNT('01_Data'!$B819:$AW819)</f>
        <v/>
      </c>
      <c r="E819" s="5">
        <f>MEDIAN(-6,LN((C819+0.3)/(D819-C819+0.3)),6)</f>
        <v/>
      </c>
      <c r="F819" s="5">
        <f>SUMPRODUCT(('01_Data'!$B819:$AW819&lt;&gt;"")*(1/(1+EXP(-(E819-'03_Lap_b'!$B$5:$AW$5)))))</f>
        <v/>
      </c>
      <c r="G819" s="5">
        <f>SUMPRODUCT(('01_Data'!$B819:$AW819&lt;&gt;"")*(1/(1+EXP(-(E819-'03_Lap_b'!$B$5:$AW$5))))^2)</f>
        <v/>
      </c>
      <c r="H819" s="5">
        <f>MEDIAN(-6,E819+(C819-F819)/MAX(F819-G819,0.000000001),6)</f>
        <v/>
      </c>
      <c r="I819" s="5">
        <f>SUMPRODUCT(('01_Data'!$B819:$AW819&lt;&gt;"")*(1/(1+EXP(-(H819-'03_Lap_b'!$B$10:$AW$10)))))</f>
        <v/>
      </c>
      <c r="J819" s="5">
        <f>SUMPRODUCT(('01_Data'!$B819:$AW819&lt;&gt;"")*(1/(1+EXP(-(H819-'03_Lap_b'!$B$10:$AW$10))))^2)</f>
        <v/>
      </c>
      <c r="K819" s="5">
        <f>MEDIAN(-6,H819+(C819-I819)/MAX(I819-J819,0.000000001),6)</f>
        <v/>
      </c>
      <c r="L819" s="5">
        <f>SUMPRODUCT(('01_Data'!$B819:$AW819&lt;&gt;"")*(1/(1+EXP(-(K819-'03_Lap_b'!$B$15:$AW$15)))))</f>
        <v/>
      </c>
      <c r="M819" s="5">
        <f>SUMPRODUCT(('01_Data'!$B819:$AW819&lt;&gt;"")*(1/(1+EXP(-(K819-'03_Lap_b'!$B$15:$AW$15))))^2)</f>
        <v/>
      </c>
      <c r="N819" s="5">
        <f>MEDIAN(-6,K819+(C819-L819)/MAX(L819-M819,0.000000001),6)</f>
        <v/>
      </c>
      <c r="O819" s="5">
        <f>SUMPRODUCT(('01_Data'!$B819:$AW819&lt;&gt;"")*(1/(1+EXP(-(N819-'03_Lap_b'!$B$20:$AW$20)))))</f>
        <v/>
      </c>
      <c r="P819" s="5">
        <f>SUMPRODUCT(('01_Data'!$B819:$AW819&lt;&gt;"")*(1/(1+EXP(-(N819-'03_Lap_b'!$B$20:$AW$20))))^2)</f>
        <v/>
      </c>
      <c r="Q819" s="5">
        <f>MEDIAN(-6,N819+(C819-O819)/MAX(O819-P819,0.000000001),6)</f>
        <v/>
      </c>
      <c r="R819" s="5">
        <f>SUMPRODUCT(('01_Data'!$B819:$AW819&lt;&gt;"")*(1/(1+EXP(-(Q819-'03_Lap_b'!$B$25:$AW$25)))))</f>
        <v/>
      </c>
      <c r="S819" s="5">
        <f>SUMPRODUCT(('01_Data'!$B819:$AW819&lt;&gt;"")*(1/(1+EXP(-(Q819-'03_Lap_b'!$B$25:$AW$25))))^2)</f>
        <v/>
      </c>
      <c r="T819" s="5">
        <f>MEDIAN(-6,Q819+(C819-R819)/MAX(R819-S819,0.000000001),6)</f>
        <v/>
      </c>
      <c r="U819" s="5">
        <f>SUMPRODUCT(('01_Data'!$B819:$AW819&lt;&gt;"")*(1/(1+EXP(-(T819-'03_Lap_b'!$B$30:$AW$30)))))</f>
        <v/>
      </c>
      <c r="V819" s="5">
        <f>SUMPRODUCT(('01_Data'!$B819:$AW819&lt;&gt;"")*(1/(1+EXP(-(T819-'03_Lap_b'!$B$30:$AW$30))))^2)</f>
        <v/>
      </c>
      <c r="W819" s="5">
        <f>MEDIAN(-6,T819+(C819-U819)/MAX(U819-V819,0.000000001),6)</f>
        <v/>
      </c>
      <c r="X819" s="5">
        <f>SUMPRODUCT(('01_Data'!$B819:$AW819&lt;&gt;"")*(1/(1+EXP(-(W819-'03_Lap_b'!$B$35:$AW$35)))))</f>
        <v/>
      </c>
      <c r="Y819" s="5">
        <f>SUMPRODUCT(('01_Data'!$B819:$AW819&lt;&gt;"")*(1/(1+EXP(-(W819-'03_Lap_b'!$B$35:$AW$35))))^2)</f>
        <v/>
      </c>
      <c r="Z819" s="5">
        <f>MEDIAN(-6,W819+(C819-X819)/MAX(X819-Y819,0.000000001),6)</f>
        <v/>
      </c>
      <c r="AA819" s="5">
        <f>SUMPRODUCT(('01_Data'!$B819:$AW819&lt;&gt;"")*(1/(1+EXP(-(Z819-'03_Lap_b'!$B$40:$AW$40)))))</f>
        <v/>
      </c>
      <c r="AB819" s="5">
        <f>SUMPRODUCT(('01_Data'!$B819:$AW819&lt;&gt;"")*(1/(1+EXP(-(Z819-'03_Lap_b'!$B$40:$AW$40))))^2)</f>
        <v/>
      </c>
      <c r="AC819" s="5">
        <f>MEDIAN(-6,Z819+(C819-AA819)/MAX(AA819-AB819,0.000000001),6)</f>
        <v/>
      </c>
    </row>
    <row r="820">
      <c r="A820" t="n">
        <v>819</v>
      </c>
      <c r="B820">
        <f>'01_Data'!A820</f>
        <v/>
      </c>
      <c r="C820">
        <f>SUM('01_Data'!$B820:$AW820)</f>
        <v/>
      </c>
      <c r="D820">
        <f>COUNT('01_Data'!$B820:$AW820)</f>
        <v/>
      </c>
      <c r="E820" s="5">
        <f>MEDIAN(-6,LN((C820+0.3)/(D820-C820+0.3)),6)</f>
        <v/>
      </c>
      <c r="F820" s="5">
        <f>SUMPRODUCT(('01_Data'!$B820:$AW820&lt;&gt;"")*(1/(1+EXP(-(E820-'03_Lap_b'!$B$5:$AW$5)))))</f>
        <v/>
      </c>
      <c r="G820" s="5">
        <f>SUMPRODUCT(('01_Data'!$B820:$AW820&lt;&gt;"")*(1/(1+EXP(-(E820-'03_Lap_b'!$B$5:$AW$5))))^2)</f>
        <v/>
      </c>
      <c r="H820" s="5">
        <f>MEDIAN(-6,E820+(C820-F820)/MAX(F820-G820,0.000000001),6)</f>
        <v/>
      </c>
      <c r="I820" s="5">
        <f>SUMPRODUCT(('01_Data'!$B820:$AW820&lt;&gt;"")*(1/(1+EXP(-(H820-'03_Lap_b'!$B$10:$AW$10)))))</f>
        <v/>
      </c>
      <c r="J820" s="5">
        <f>SUMPRODUCT(('01_Data'!$B820:$AW820&lt;&gt;"")*(1/(1+EXP(-(H820-'03_Lap_b'!$B$10:$AW$10))))^2)</f>
        <v/>
      </c>
      <c r="K820" s="5">
        <f>MEDIAN(-6,H820+(C820-I820)/MAX(I820-J820,0.000000001),6)</f>
        <v/>
      </c>
      <c r="L820" s="5">
        <f>SUMPRODUCT(('01_Data'!$B820:$AW820&lt;&gt;"")*(1/(1+EXP(-(K820-'03_Lap_b'!$B$15:$AW$15)))))</f>
        <v/>
      </c>
      <c r="M820" s="5">
        <f>SUMPRODUCT(('01_Data'!$B820:$AW820&lt;&gt;"")*(1/(1+EXP(-(K820-'03_Lap_b'!$B$15:$AW$15))))^2)</f>
        <v/>
      </c>
      <c r="N820" s="5">
        <f>MEDIAN(-6,K820+(C820-L820)/MAX(L820-M820,0.000000001),6)</f>
        <v/>
      </c>
      <c r="O820" s="5">
        <f>SUMPRODUCT(('01_Data'!$B820:$AW820&lt;&gt;"")*(1/(1+EXP(-(N820-'03_Lap_b'!$B$20:$AW$20)))))</f>
        <v/>
      </c>
      <c r="P820" s="5">
        <f>SUMPRODUCT(('01_Data'!$B820:$AW820&lt;&gt;"")*(1/(1+EXP(-(N820-'03_Lap_b'!$B$20:$AW$20))))^2)</f>
        <v/>
      </c>
      <c r="Q820" s="5">
        <f>MEDIAN(-6,N820+(C820-O820)/MAX(O820-P820,0.000000001),6)</f>
        <v/>
      </c>
      <c r="R820" s="5">
        <f>SUMPRODUCT(('01_Data'!$B820:$AW820&lt;&gt;"")*(1/(1+EXP(-(Q820-'03_Lap_b'!$B$25:$AW$25)))))</f>
        <v/>
      </c>
      <c r="S820" s="5">
        <f>SUMPRODUCT(('01_Data'!$B820:$AW820&lt;&gt;"")*(1/(1+EXP(-(Q820-'03_Lap_b'!$B$25:$AW$25))))^2)</f>
        <v/>
      </c>
      <c r="T820" s="5">
        <f>MEDIAN(-6,Q820+(C820-R820)/MAX(R820-S820,0.000000001),6)</f>
        <v/>
      </c>
      <c r="U820" s="5">
        <f>SUMPRODUCT(('01_Data'!$B820:$AW820&lt;&gt;"")*(1/(1+EXP(-(T820-'03_Lap_b'!$B$30:$AW$30)))))</f>
        <v/>
      </c>
      <c r="V820" s="5">
        <f>SUMPRODUCT(('01_Data'!$B820:$AW820&lt;&gt;"")*(1/(1+EXP(-(T820-'03_Lap_b'!$B$30:$AW$30))))^2)</f>
        <v/>
      </c>
      <c r="W820" s="5">
        <f>MEDIAN(-6,T820+(C820-U820)/MAX(U820-V820,0.000000001),6)</f>
        <v/>
      </c>
      <c r="X820" s="5">
        <f>SUMPRODUCT(('01_Data'!$B820:$AW820&lt;&gt;"")*(1/(1+EXP(-(W820-'03_Lap_b'!$B$35:$AW$35)))))</f>
        <v/>
      </c>
      <c r="Y820" s="5">
        <f>SUMPRODUCT(('01_Data'!$B820:$AW820&lt;&gt;"")*(1/(1+EXP(-(W820-'03_Lap_b'!$B$35:$AW$35))))^2)</f>
        <v/>
      </c>
      <c r="Z820" s="5">
        <f>MEDIAN(-6,W820+(C820-X820)/MAX(X820-Y820,0.000000001),6)</f>
        <v/>
      </c>
      <c r="AA820" s="5">
        <f>SUMPRODUCT(('01_Data'!$B820:$AW820&lt;&gt;"")*(1/(1+EXP(-(Z820-'03_Lap_b'!$B$40:$AW$40)))))</f>
        <v/>
      </c>
      <c r="AB820" s="5">
        <f>SUMPRODUCT(('01_Data'!$B820:$AW820&lt;&gt;"")*(1/(1+EXP(-(Z820-'03_Lap_b'!$B$40:$AW$40))))^2)</f>
        <v/>
      </c>
      <c r="AC820" s="5">
        <f>MEDIAN(-6,Z820+(C820-AA820)/MAX(AA820-AB820,0.000000001),6)</f>
        <v/>
      </c>
    </row>
    <row r="821">
      <c r="A821" t="n">
        <v>820</v>
      </c>
      <c r="B821">
        <f>'01_Data'!A821</f>
        <v/>
      </c>
      <c r="C821">
        <f>SUM('01_Data'!$B821:$AW821)</f>
        <v/>
      </c>
      <c r="D821">
        <f>COUNT('01_Data'!$B821:$AW821)</f>
        <v/>
      </c>
      <c r="E821" s="5">
        <f>MEDIAN(-6,LN((C821+0.3)/(D821-C821+0.3)),6)</f>
        <v/>
      </c>
      <c r="F821" s="5">
        <f>SUMPRODUCT(('01_Data'!$B821:$AW821&lt;&gt;"")*(1/(1+EXP(-(E821-'03_Lap_b'!$B$5:$AW$5)))))</f>
        <v/>
      </c>
      <c r="G821" s="5">
        <f>SUMPRODUCT(('01_Data'!$B821:$AW821&lt;&gt;"")*(1/(1+EXP(-(E821-'03_Lap_b'!$B$5:$AW$5))))^2)</f>
        <v/>
      </c>
      <c r="H821" s="5">
        <f>MEDIAN(-6,E821+(C821-F821)/MAX(F821-G821,0.000000001),6)</f>
        <v/>
      </c>
      <c r="I821" s="5">
        <f>SUMPRODUCT(('01_Data'!$B821:$AW821&lt;&gt;"")*(1/(1+EXP(-(H821-'03_Lap_b'!$B$10:$AW$10)))))</f>
        <v/>
      </c>
      <c r="J821" s="5">
        <f>SUMPRODUCT(('01_Data'!$B821:$AW821&lt;&gt;"")*(1/(1+EXP(-(H821-'03_Lap_b'!$B$10:$AW$10))))^2)</f>
        <v/>
      </c>
      <c r="K821" s="5">
        <f>MEDIAN(-6,H821+(C821-I821)/MAX(I821-J821,0.000000001),6)</f>
        <v/>
      </c>
      <c r="L821" s="5">
        <f>SUMPRODUCT(('01_Data'!$B821:$AW821&lt;&gt;"")*(1/(1+EXP(-(K821-'03_Lap_b'!$B$15:$AW$15)))))</f>
        <v/>
      </c>
      <c r="M821" s="5">
        <f>SUMPRODUCT(('01_Data'!$B821:$AW821&lt;&gt;"")*(1/(1+EXP(-(K821-'03_Lap_b'!$B$15:$AW$15))))^2)</f>
        <v/>
      </c>
      <c r="N821" s="5">
        <f>MEDIAN(-6,K821+(C821-L821)/MAX(L821-M821,0.000000001),6)</f>
        <v/>
      </c>
      <c r="O821" s="5">
        <f>SUMPRODUCT(('01_Data'!$B821:$AW821&lt;&gt;"")*(1/(1+EXP(-(N821-'03_Lap_b'!$B$20:$AW$20)))))</f>
        <v/>
      </c>
      <c r="P821" s="5">
        <f>SUMPRODUCT(('01_Data'!$B821:$AW821&lt;&gt;"")*(1/(1+EXP(-(N821-'03_Lap_b'!$B$20:$AW$20))))^2)</f>
        <v/>
      </c>
      <c r="Q821" s="5">
        <f>MEDIAN(-6,N821+(C821-O821)/MAX(O821-P821,0.000000001),6)</f>
        <v/>
      </c>
      <c r="R821" s="5">
        <f>SUMPRODUCT(('01_Data'!$B821:$AW821&lt;&gt;"")*(1/(1+EXP(-(Q821-'03_Lap_b'!$B$25:$AW$25)))))</f>
        <v/>
      </c>
      <c r="S821" s="5">
        <f>SUMPRODUCT(('01_Data'!$B821:$AW821&lt;&gt;"")*(1/(1+EXP(-(Q821-'03_Lap_b'!$B$25:$AW$25))))^2)</f>
        <v/>
      </c>
      <c r="T821" s="5">
        <f>MEDIAN(-6,Q821+(C821-R821)/MAX(R821-S821,0.000000001),6)</f>
        <v/>
      </c>
      <c r="U821" s="5">
        <f>SUMPRODUCT(('01_Data'!$B821:$AW821&lt;&gt;"")*(1/(1+EXP(-(T821-'03_Lap_b'!$B$30:$AW$30)))))</f>
        <v/>
      </c>
      <c r="V821" s="5">
        <f>SUMPRODUCT(('01_Data'!$B821:$AW821&lt;&gt;"")*(1/(1+EXP(-(T821-'03_Lap_b'!$B$30:$AW$30))))^2)</f>
        <v/>
      </c>
      <c r="W821" s="5">
        <f>MEDIAN(-6,T821+(C821-U821)/MAX(U821-V821,0.000000001),6)</f>
        <v/>
      </c>
      <c r="X821" s="5">
        <f>SUMPRODUCT(('01_Data'!$B821:$AW821&lt;&gt;"")*(1/(1+EXP(-(W821-'03_Lap_b'!$B$35:$AW$35)))))</f>
        <v/>
      </c>
      <c r="Y821" s="5">
        <f>SUMPRODUCT(('01_Data'!$B821:$AW821&lt;&gt;"")*(1/(1+EXP(-(W821-'03_Lap_b'!$B$35:$AW$35))))^2)</f>
        <v/>
      </c>
      <c r="Z821" s="5">
        <f>MEDIAN(-6,W821+(C821-X821)/MAX(X821-Y821,0.000000001),6)</f>
        <v/>
      </c>
      <c r="AA821" s="5">
        <f>SUMPRODUCT(('01_Data'!$B821:$AW821&lt;&gt;"")*(1/(1+EXP(-(Z821-'03_Lap_b'!$B$40:$AW$40)))))</f>
        <v/>
      </c>
      <c r="AB821" s="5">
        <f>SUMPRODUCT(('01_Data'!$B821:$AW821&lt;&gt;"")*(1/(1+EXP(-(Z821-'03_Lap_b'!$B$40:$AW$40))))^2)</f>
        <v/>
      </c>
      <c r="AC821" s="5">
        <f>MEDIAN(-6,Z821+(C821-AA821)/MAX(AA821-AB821,0.000000001),6)</f>
        <v/>
      </c>
    </row>
    <row r="822">
      <c r="A822" t="n">
        <v>821</v>
      </c>
      <c r="B822">
        <f>'01_Data'!A822</f>
        <v/>
      </c>
      <c r="C822">
        <f>SUM('01_Data'!$B822:$AW822)</f>
        <v/>
      </c>
      <c r="D822">
        <f>COUNT('01_Data'!$B822:$AW822)</f>
        <v/>
      </c>
      <c r="E822" s="5">
        <f>MEDIAN(-6,LN((C822+0.3)/(D822-C822+0.3)),6)</f>
        <v/>
      </c>
      <c r="F822" s="5">
        <f>SUMPRODUCT(('01_Data'!$B822:$AW822&lt;&gt;"")*(1/(1+EXP(-(E822-'03_Lap_b'!$B$5:$AW$5)))))</f>
        <v/>
      </c>
      <c r="G822" s="5">
        <f>SUMPRODUCT(('01_Data'!$B822:$AW822&lt;&gt;"")*(1/(1+EXP(-(E822-'03_Lap_b'!$B$5:$AW$5))))^2)</f>
        <v/>
      </c>
      <c r="H822" s="5">
        <f>MEDIAN(-6,E822+(C822-F822)/MAX(F822-G822,0.000000001),6)</f>
        <v/>
      </c>
      <c r="I822" s="5">
        <f>SUMPRODUCT(('01_Data'!$B822:$AW822&lt;&gt;"")*(1/(1+EXP(-(H822-'03_Lap_b'!$B$10:$AW$10)))))</f>
        <v/>
      </c>
      <c r="J822" s="5">
        <f>SUMPRODUCT(('01_Data'!$B822:$AW822&lt;&gt;"")*(1/(1+EXP(-(H822-'03_Lap_b'!$B$10:$AW$10))))^2)</f>
        <v/>
      </c>
      <c r="K822" s="5">
        <f>MEDIAN(-6,H822+(C822-I822)/MAX(I822-J822,0.000000001),6)</f>
        <v/>
      </c>
      <c r="L822" s="5">
        <f>SUMPRODUCT(('01_Data'!$B822:$AW822&lt;&gt;"")*(1/(1+EXP(-(K822-'03_Lap_b'!$B$15:$AW$15)))))</f>
        <v/>
      </c>
      <c r="M822" s="5">
        <f>SUMPRODUCT(('01_Data'!$B822:$AW822&lt;&gt;"")*(1/(1+EXP(-(K822-'03_Lap_b'!$B$15:$AW$15))))^2)</f>
        <v/>
      </c>
      <c r="N822" s="5">
        <f>MEDIAN(-6,K822+(C822-L822)/MAX(L822-M822,0.000000001),6)</f>
        <v/>
      </c>
      <c r="O822" s="5">
        <f>SUMPRODUCT(('01_Data'!$B822:$AW822&lt;&gt;"")*(1/(1+EXP(-(N822-'03_Lap_b'!$B$20:$AW$20)))))</f>
        <v/>
      </c>
      <c r="P822" s="5">
        <f>SUMPRODUCT(('01_Data'!$B822:$AW822&lt;&gt;"")*(1/(1+EXP(-(N822-'03_Lap_b'!$B$20:$AW$20))))^2)</f>
        <v/>
      </c>
      <c r="Q822" s="5">
        <f>MEDIAN(-6,N822+(C822-O822)/MAX(O822-P822,0.000000001),6)</f>
        <v/>
      </c>
      <c r="R822" s="5">
        <f>SUMPRODUCT(('01_Data'!$B822:$AW822&lt;&gt;"")*(1/(1+EXP(-(Q822-'03_Lap_b'!$B$25:$AW$25)))))</f>
        <v/>
      </c>
      <c r="S822" s="5">
        <f>SUMPRODUCT(('01_Data'!$B822:$AW822&lt;&gt;"")*(1/(1+EXP(-(Q822-'03_Lap_b'!$B$25:$AW$25))))^2)</f>
        <v/>
      </c>
      <c r="T822" s="5">
        <f>MEDIAN(-6,Q822+(C822-R822)/MAX(R822-S822,0.000000001),6)</f>
        <v/>
      </c>
      <c r="U822" s="5">
        <f>SUMPRODUCT(('01_Data'!$B822:$AW822&lt;&gt;"")*(1/(1+EXP(-(T822-'03_Lap_b'!$B$30:$AW$30)))))</f>
        <v/>
      </c>
      <c r="V822" s="5">
        <f>SUMPRODUCT(('01_Data'!$B822:$AW822&lt;&gt;"")*(1/(1+EXP(-(T822-'03_Lap_b'!$B$30:$AW$30))))^2)</f>
        <v/>
      </c>
      <c r="W822" s="5">
        <f>MEDIAN(-6,T822+(C822-U822)/MAX(U822-V822,0.000000001),6)</f>
        <v/>
      </c>
      <c r="X822" s="5">
        <f>SUMPRODUCT(('01_Data'!$B822:$AW822&lt;&gt;"")*(1/(1+EXP(-(W822-'03_Lap_b'!$B$35:$AW$35)))))</f>
        <v/>
      </c>
      <c r="Y822" s="5">
        <f>SUMPRODUCT(('01_Data'!$B822:$AW822&lt;&gt;"")*(1/(1+EXP(-(W822-'03_Lap_b'!$B$35:$AW$35))))^2)</f>
        <v/>
      </c>
      <c r="Z822" s="5">
        <f>MEDIAN(-6,W822+(C822-X822)/MAX(X822-Y822,0.000000001),6)</f>
        <v/>
      </c>
      <c r="AA822" s="5">
        <f>SUMPRODUCT(('01_Data'!$B822:$AW822&lt;&gt;"")*(1/(1+EXP(-(Z822-'03_Lap_b'!$B$40:$AW$40)))))</f>
        <v/>
      </c>
      <c r="AB822" s="5">
        <f>SUMPRODUCT(('01_Data'!$B822:$AW822&lt;&gt;"")*(1/(1+EXP(-(Z822-'03_Lap_b'!$B$40:$AW$40))))^2)</f>
        <v/>
      </c>
      <c r="AC822" s="5">
        <f>MEDIAN(-6,Z822+(C822-AA822)/MAX(AA822-AB822,0.000000001),6)</f>
        <v/>
      </c>
    </row>
    <row r="823">
      <c r="A823" t="n">
        <v>822</v>
      </c>
      <c r="B823">
        <f>'01_Data'!A823</f>
        <v/>
      </c>
      <c r="C823">
        <f>SUM('01_Data'!$B823:$AW823)</f>
        <v/>
      </c>
      <c r="D823">
        <f>COUNT('01_Data'!$B823:$AW823)</f>
        <v/>
      </c>
      <c r="E823" s="5">
        <f>MEDIAN(-6,LN((C823+0.3)/(D823-C823+0.3)),6)</f>
        <v/>
      </c>
      <c r="F823" s="5">
        <f>SUMPRODUCT(('01_Data'!$B823:$AW823&lt;&gt;"")*(1/(1+EXP(-(E823-'03_Lap_b'!$B$5:$AW$5)))))</f>
        <v/>
      </c>
      <c r="G823" s="5">
        <f>SUMPRODUCT(('01_Data'!$B823:$AW823&lt;&gt;"")*(1/(1+EXP(-(E823-'03_Lap_b'!$B$5:$AW$5))))^2)</f>
        <v/>
      </c>
      <c r="H823" s="5">
        <f>MEDIAN(-6,E823+(C823-F823)/MAX(F823-G823,0.000000001),6)</f>
        <v/>
      </c>
      <c r="I823" s="5">
        <f>SUMPRODUCT(('01_Data'!$B823:$AW823&lt;&gt;"")*(1/(1+EXP(-(H823-'03_Lap_b'!$B$10:$AW$10)))))</f>
        <v/>
      </c>
      <c r="J823" s="5">
        <f>SUMPRODUCT(('01_Data'!$B823:$AW823&lt;&gt;"")*(1/(1+EXP(-(H823-'03_Lap_b'!$B$10:$AW$10))))^2)</f>
        <v/>
      </c>
      <c r="K823" s="5">
        <f>MEDIAN(-6,H823+(C823-I823)/MAX(I823-J823,0.000000001),6)</f>
        <v/>
      </c>
      <c r="L823" s="5">
        <f>SUMPRODUCT(('01_Data'!$B823:$AW823&lt;&gt;"")*(1/(1+EXP(-(K823-'03_Lap_b'!$B$15:$AW$15)))))</f>
        <v/>
      </c>
      <c r="M823" s="5">
        <f>SUMPRODUCT(('01_Data'!$B823:$AW823&lt;&gt;"")*(1/(1+EXP(-(K823-'03_Lap_b'!$B$15:$AW$15))))^2)</f>
        <v/>
      </c>
      <c r="N823" s="5">
        <f>MEDIAN(-6,K823+(C823-L823)/MAX(L823-M823,0.000000001),6)</f>
        <v/>
      </c>
      <c r="O823" s="5">
        <f>SUMPRODUCT(('01_Data'!$B823:$AW823&lt;&gt;"")*(1/(1+EXP(-(N823-'03_Lap_b'!$B$20:$AW$20)))))</f>
        <v/>
      </c>
      <c r="P823" s="5">
        <f>SUMPRODUCT(('01_Data'!$B823:$AW823&lt;&gt;"")*(1/(1+EXP(-(N823-'03_Lap_b'!$B$20:$AW$20))))^2)</f>
        <v/>
      </c>
      <c r="Q823" s="5">
        <f>MEDIAN(-6,N823+(C823-O823)/MAX(O823-P823,0.000000001),6)</f>
        <v/>
      </c>
      <c r="R823" s="5">
        <f>SUMPRODUCT(('01_Data'!$B823:$AW823&lt;&gt;"")*(1/(1+EXP(-(Q823-'03_Lap_b'!$B$25:$AW$25)))))</f>
        <v/>
      </c>
      <c r="S823" s="5">
        <f>SUMPRODUCT(('01_Data'!$B823:$AW823&lt;&gt;"")*(1/(1+EXP(-(Q823-'03_Lap_b'!$B$25:$AW$25))))^2)</f>
        <v/>
      </c>
      <c r="T823" s="5">
        <f>MEDIAN(-6,Q823+(C823-R823)/MAX(R823-S823,0.000000001),6)</f>
        <v/>
      </c>
      <c r="U823" s="5">
        <f>SUMPRODUCT(('01_Data'!$B823:$AW823&lt;&gt;"")*(1/(1+EXP(-(T823-'03_Lap_b'!$B$30:$AW$30)))))</f>
        <v/>
      </c>
      <c r="V823" s="5">
        <f>SUMPRODUCT(('01_Data'!$B823:$AW823&lt;&gt;"")*(1/(1+EXP(-(T823-'03_Lap_b'!$B$30:$AW$30))))^2)</f>
        <v/>
      </c>
      <c r="W823" s="5">
        <f>MEDIAN(-6,T823+(C823-U823)/MAX(U823-V823,0.000000001),6)</f>
        <v/>
      </c>
      <c r="X823" s="5">
        <f>SUMPRODUCT(('01_Data'!$B823:$AW823&lt;&gt;"")*(1/(1+EXP(-(W823-'03_Lap_b'!$B$35:$AW$35)))))</f>
        <v/>
      </c>
      <c r="Y823" s="5">
        <f>SUMPRODUCT(('01_Data'!$B823:$AW823&lt;&gt;"")*(1/(1+EXP(-(W823-'03_Lap_b'!$B$35:$AW$35))))^2)</f>
        <v/>
      </c>
      <c r="Z823" s="5">
        <f>MEDIAN(-6,W823+(C823-X823)/MAX(X823-Y823,0.000000001),6)</f>
        <v/>
      </c>
      <c r="AA823" s="5">
        <f>SUMPRODUCT(('01_Data'!$B823:$AW823&lt;&gt;"")*(1/(1+EXP(-(Z823-'03_Lap_b'!$B$40:$AW$40)))))</f>
        <v/>
      </c>
      <c r="AB823" s="5">
        <f>SUMPRODUCT(('01_Data'!$B823:$AW823&lt;&gt;"")*(1/(1+EXP(-(Z823-'03_Lap_b'!$B$40:$AW$40))))^2)</f>
        <v/>
      </c>
      <c r="AC823" s="5">
        <f>MEDIAN(-6,Z823+(C823-AA823)/MAX(AA823-AB823,0.000000001),6)</f>
        <v/>
      </c>
    </row>
    <row r="824">
      <c r="A824" t="n">
        <v>823</v>
      </c>
      <c r="B824">
        <f>'01_Data'!A824</f>
        <v/>
      </c>
      <c r="C824">
        <f>SUM('01_Data'!$B824:$AW824)</f>
        <v/>
      </c>
      <c r="D824">
        <f>COUNT('01_Data'!$B824:$AW824)</f>
        <v/>
      </c>
      <c r="E824" s="5">
        <f>MEDIAN(-6,LN((C824+0.3)/(D824-C824+0.3)),6)</f>
        <v/>
      </c>
      <c r="F824" s="5">
        <f>SUMPRODUCT(('01_Data'!$B824:$AW824&lt;&gt;"")*(1/(1+EXP(-(E824-'03_Lap_b'!$B$5:$AW$5)))))</f>
        <v/>
      </c>
      <c r="G824" s="5">
        <f>SUMPRODUCT(('01_Data'!$B824:$AW824&lt;&gt;"")*(1/(1+EXP(-(E824-'03_Lap_b'!$B$5:$AW$5))))^2)</f>
        <v/>
      </c>
      <c r="H824" s="5">
        <f>MEDIAN(-6,E824+(C824-F824)/MAX(F824-G824,0.000000001),6)</f>
        <v/>
      </c>
      <c r="I824" s="5">
        <f>SUMPRODUCT(('01_Data'!$B824:$AW824&lt;&gt;"")*(1/(1+EXP(-(H824-'03_Lap_b'!$B$10:$AW$10)))))</f>
        <v/>
      </c>
      <c r="J824" s="5">
        <f>SUMPRODUCT(('01_Data'!$B824:$AW824&lt;&gt;"")*(1/(1+EXP(-(H824-'03_Lap_b'!$B$10:$AW$10))))^2)</f>
        <v/>
      </c>
      <c r="K824" s="5">
        <f>MEDIAN(-6,H824+(C824-I824)/MAX(I824-J824,0.000000001),6)</f>
        <v/>
      </c>
      <c r="L824" s="5">
        <f>SUMPRODUCT(('01_Data'!$B824:$AW824&lt;&gt;"")*(1/(1+EXP(-(K824-'03_Lap_b'!$B$15:$AW$15)))))</f>
        <v/>
      </c>
      <c r="M824" s="5">
        <f>SUMPRODUCT(('01_Data'!$B824:$AW824&lt;&gt;"")*(1/(1+EXP(-(K824-'03_Lap_b'!$B$15:$AW$15))))^2)</f>
        <v/>
      </c>
      <c r="N824" s="5">
        <f>MEDIAN(-6,K824+(C824-L824)/MAX(L824-M824,0.000000001),6)</f>
        <v/>
      </c>
      <c r="O824" s="5">
        <f>SUMPRODUCT(('01_Data'!$B824:$AW824&lt;&gt;"")*(1/(1+EXP(-(N824-'03_Lap_b'!$B$20:$AW$20)))))</f>
        <v/>
      </c>
      <c r="P824" s="5">
        <f>SUMPRODUCT(('01_Data'!$B824:$AW824&lt;&gt;"")*(1/(1+EXP(-(N824-'03_Lap_b'!$B$20:$AW$20))))^2)</f>
        <v/>
      </c>
      <c r="Q824" s="5">
        <f>MEDIAN(-6,N824+(C824-O824)/MAX(O824-P824,0.000000001),6)</f>
        <v/>
      </c>
      <c r="R824" s="5">
        <f>SUMPRODUCT(('01_Data'!$B824:$AW824&lt;&gt;"")*(1/(1+EXP(-(Q824-'03_Lap_b'!$B$25:$AW$25)))))</f>
        <v/>
      </c>
      <c r="S824" s="5">
        <f>SUMPRODUCT(('01_Data'!$B824:$AW824&lt;&gt;"")*(1/(1+EXP(-(Q824-'03_Lap_b'!$B$25:$AW$25))))^2)</f>
        <v/>
      </c>
      <c r="T824" s="5">
        <f>MEDIAN(-6,Q824+(C824-R824)/MAX(R824-S824,0.000000001),6)</f>
        <v/>
      </c>
      <c r="U824" s="5">
        <f>SUMPRODUCT(('01_Data'!$B824:$AW824&lt;&gt;"")*(1/(1+EXP(-(T824-'03_Lap_b'!$B$30:$AW$30)))))</f>
        <v/>
      </c>
      <c r="V824" s="5">
        <f>SUMPRODUCT(('01_Data'!$B824:$AW824&lt;&gt;"")*(1/(1+EXP(-(T824-'03_Lap_b'!$B$30:$AW$30))))^2)</f>
        <v/>
      </c>
      <c r="W824" s="5">
        <f>MEDIAN(-6,T824+(C824-U824)/MAX(U824-V824,0.000000001),6)</f>
        <v/>
      </c>
      <c r="X824" s="5">
        <f>SUMPRODUCT(('01_Data'!$B824:$AW824&lt;&gt;"")*(1/(1+EXP(-(W824-'03_Lap_b'!$B$35:$AW$35)))))</f>
        <v/>
      </c>
      <c r="Y824" s="5">
        <f>SUMPRODUCT(('01_Data'!$B824:$AW824&lt;&gt;"")*(1/(1+EXP(-(W824-'03_Lap_b'!$B$35:$AW$35))))^2)</f>
        <v/>
      </c>
      <c r="Z824" s="5">
        <f>MEDIAN(-6,W824+(C824-X824)/MAX(X824-Y824,0.000000001),6)</f>
        <v/>
      </c>
      <c r="AA824" s="5">
        <f>SUMPRODUCT(('01_Data'!$B824:$AW824&lt;&gt;"")*(1/(1+EXP(-(Z824-'03_Lap_b'!$B$40:$AW$40)))))</f>
        <v/>
      </c>
      <c r="AB824" s="5">
        <f>SUMPRODUCT(('01_Data'!$B824:$AW824&lt;&gt;"")*(1/(1+EXP(-(Z824-'03_Lap_b'!$B$40:$AW$40))))^2)</f>
        <v/>
      </c>
      <c r="AC824" s="5">
        <f>MEDIAN(-6,Z824+(C824-AA824)/MAX(AA824-AB824,0.000000001),6)</f>
        <v/>
      </c>
    </row>
    <row r="825">
      <c r="A825" t="n">
        <v>824</v>
      </c>
      <c r="B825">
        <f>'01_Data'!A825</f>
        <v/>
      </c>
      <c r="C825">
        <f>SUM('01_Data'!$B825:$AW825)</f>
        <v/>
      </c>
      <c r="D825">
        <f>COUNT('01_Data'!$B825:$AW825)</f>
        <v/>
      </c>
      <c r="E825" s="5">
        <f>MEDIAN(-6,LN((C825+0.3)/(D825-C825+0.3)),6)</f>
        <v/>
      </c>
      <c r="F825" s="5">
        <f>SUMPRODUCT(('01_Data'!$B825:$AW825&lt;&gt;"")*(1/(1+EXP(-(E825-'03_Lap_b'!$B$5:$AW$5)))))</f>
        <v/>
      </c>
      <c r="G825" s="5">
        <f>SUMPRODUCT(('01_Data'!$B825:$AW825&lt;&gt;"")*(1/(1+EXP(-(E825-'03_Lap_b'!$B$5:$AW$5))))^2)</f>
        <v/>
      </c>
      <c r="H825" s="5">
        <f>MEDIAN(-6,E825+(C825-F825)/MAX(F825-G825,0.000000001),6)</f>
        <v/>
      </c>
      <c r="I825" s="5">
        <f>SUMPRODUCT(('01_Data'!$B825:$AW825&lt;&gt;"")*(1/(1+EXP(-(H825-'03_Lap_b'!$B$10:$AW$10)))))</f>
        <v/>
      </c>
      <c r="J825" s="5">
        <f>SUMPRODUCT(('01_Data'!$B825:$AW825&lt;&gt;"")*(1/(1+EXP(-(H825-'03_Lap_b'!$B$10:$AW$10))))^2)</f>
        <v/>
      </c>
      <c r="K825" s="5">
        <f>MEDIAN(-6,H825+(C825-I825)/MAX(I825-J825,0.000000001),6)</f>
        <v/>
      </c>
      <c r="L825" s="5">
        <f>SUMPRODUCT(('01_Data'!$B825:$AW825&lt;&gt;"")*(1/(1+EXP(-(K825-'03_Lap_b'!$B$15:$AW$15)))))</f>
        <v/>
      </c>
      <c r="M825" s="5">
        <f>SUMPRODUCT(('01_Data'!$B825:$AW825&lt;&gt;"")*(1/(1+EXP(-(K825-'03_Lap_b'!$B$15:$AW$15))))^2)</f>
        <v/>
      </c>
      <c r="N825" s="5">
        <f>MEDIAN(-6,K825+(C825-L825)/MAX(L825-M825,0.000000001),6)</f>
        <v/>
      </c>
      <c r="O825" s="5">
        <f>SUMPRODUCT(('01_Data'!$B825:$AW825&lt;&gt;"")*(1/(1+EXP(-(N825-'03_Lap_b'!$B$20:$AW$20)))))</f>
        <v/>
      </c>
      <c r="P825" s="5">
        <f>SUMPRODUCT(('01_Data'!$B825:$AW825&lt;&gt;"")*(1/(1+EXP(-(N825-'03_Lap_b'!$B$20:$AW$20))))^2)</f>
        <v/>
      </c>
      <c r="Q825" s="5">
        <f>MEDIAN(-6,N825+(C825-O825)/MAX(O825-P825,0.000000001),6)</f>
        <v/>
      </c>
      <c r="R825" s="5">
        <f>SUMPRODUCT(('01_Data'!$B825:$AW825&lt;&gt;"")*(1/(1+EXP(-(Q825-'03_Lap_b'!$B$25:$AW$25)))))</f>
        <v/>
      </c>
      <c r="S825" s="5">
        <f>SUMPRODUCT(('01_Data'!$B825:$AW825&lt;&gt;"")*(1/(1+EXP(-(Q825-'03_Lap_b'!$B$25:$AW$25))))^2)</f>
        <v/>
      </c>
      <c r="T825" s="5">
        <f>MEDIAN(-6,Q825+(C825-R825)/MAX(R825-S825,0.000000001),6)</f>
        <v/>
      </c>
      <c r="U825" s="5">
        <f>SUMPRODUCT(('01_Data'!$B825:$AW825&lt;&gt;"")*(1/(1+EXP(-(T825-'03_Lap_b'!$B$30:$AW$30)))))</f>
        <v/>
      </c>
      <c r="V825" s="5">
        <f>SUMPRODUCT(('01_Data'!$B825:$AW825&lt;&gt;"")*(1/(1+EXP(-(T825-'03_Lap_b'!$B$30:$AW$30))))^2)</f>
        <v/>
      </c>
      <c r="W825" s="5">
        <f>MEDIAN(-6,T825+(C825-U825)/MAX(U825-V825,0.000000001),6)</f>
        <v/>
      </c>
      <c r="X825" s="5">
        <f>SUMPRODUCT(('01_Data'!$B825:$AW825&lt;&gt;"")*(1/(1+EXP(-(W825-'03_Lap_b'!$B$35:$AW$35)))))</f>
        <v/>
      </c>
      <c r="Y825" s="5">
        <f>SUMPRODUCT(('01_Data'!$B825:$AW825&lt;&gt;"")*(1/(1+EXP(-(W825-'03_Lap_b'!$B$35:$AW$35))))^2)</f>
        <v/>
      </c>
      <c r="Z825" s="5">
        <f>MEDIAN(-6,W825+(C825-X825)/MAX(X825-Y825,0.000000001),6)</f>
        <v/>
      </c>
      <c r="AA825" s="5">
        <f>SUMPRODUCT(('01_Data'!$B825:$AW825&lt;&gt;"")*(1/(1+EXP(-(Z825-'03_Lap_b'!$B$40:$AW$40)))))</f>
        <v/>
      </c>
      <c r="AB825" s="5">
        <f>SUMPRODUCT(('01_Data'!$B825:$AW825&lt;&gt;"")*(1/(1+EXP(-(Z825-'03_Lap_b'!$B$40:$AW$40))))^2)</f>
        <v/>
      </c>
      <c r="AC825" s="5">
        <f>MEDIAN(-6,Z825+(C825-AA825)/MAX(AA825-AB825,0.000000001),6)</f>
        <v/>
      </c>
    </row>
    <row r="826">
      <c r="A826" t="n">
        <v>825</v>
      </c>
      <c r="B826">
        <f>'01_Data'!A826</f>
        <v/>
      </c>
      <c r="C826">
        <f>SUM('01_Data'!$B826:$AW826)</f>
        <v/>
      </c>
      <c r="D826">
        <f>COUNT('01_Data'!$B826:$AW826)</f>
        <v/>
      </c>
      <c r="E826" s="5">
        <f>MEDIAN(-6,LN((C826+0.3)/(D826-C826+0.3)),6)</f>
        <v/>
      </c>
      <c r="F826" s="5">
        <f>SUMPRODUCT(('01_Data'!$B826:$AW826&lt;&gt;"")*(1/(1+EXP(-(E826-'03_Lap_b'!$B$5:$AW$5)))))</f>
        <v/>
      </c>
      <c r="G826" s="5">
        <f>SUMPRODUCT(('01_Data'!$B826:$AW826&lt;&gt;"")*(1/(1+EXP(-(E826-'03_Lap_b'!$B$5:$AW$5))))^2)</f>
        <v/>
      </c>
      <c r="H826" s="5">
        <f>MEDIAN(-6,E826+(C826-F826)/MAX(F826-G826,0.000000001),6)</f>
        <v/>
      </c>
      <c r="I826" s="5">
        <f>SUMPRODUCT(('01_Data'!$B826:$AW826&lt;&gt;"")*(1/(1+EXP(-(H826-'03_Lap_b'!$B$10:$AW$10)))))</f>
        <v/>
      </c>
      <c r="J826" s="5">
        <f>SUMPRODUCT(('01_Data'!$B826:$AW826&lt;&gt;"")*(1/(1+EXP(-(H826-'03_Lap_b'!$B$10:$AW$10))))^2)</f>
        <v/>
      </c>
      <c r="K826" s="5">
        <f>MEDIAN(-6,H826+(C826-I826)/MAX(I826-J826,0.000000001),6)</f>
        <v/>
      </c>
      <c r="L826" s="5">
        <f>SUMPRODUCT(('01_Data'!$B826:$AW826&lt;&gt;"")*(1/(1+EXP(-(K826-'03_Lap_b'!$B$15:$AW$15)))))</f>
        <v/>
      </c>
      <c r="M826" s="5">
        <f>SUMPRODUCT(('01_Data'!$B826:$AW826&lt;&gt;"")*(1/(1+EXP(-(K826-'03_Lap_b'!$B$15:$AW$15))))^2)</f>
        <v/>
      </c>
      <c r="N826" s="5">
        <f>MEDIAN(-6,K826+(C826-L826)/MAX(L826-M826,0.000000001),6)</f>
        <v/>
      </c>
      <c r="O826" s="5">
        <f>SUMPRODUCT(('01_Data'!$B826:$AW826&lt;&gt;"")*(1/(1+EXP(-(N826-'03_Lap_b'!$B$20:$AW$20)))))</f>
        <v/>
      </c>
      <c r="P826" s="5">
        <f>SUMPRODUCT(('01_Data'!$B826:$AW826&lt;&gt;"")*(1/(1+EXP(-(N826-'03_Lap_b'!$B$20:$AW$20))))^2)</f>
        <v/>
      </c>
      <c r="Q826" s="5">
        <f>MEDIAN(-6,N826+(C826-O826)/MAX(O826-P826,0.000000001),6)</f>
        <v/>
      </c>
      <c r="R826" s="5">
        <f>SUMPRODUCT(('01_Data'!$B826:$AW826&lt;&gt;"")*(1/(1+EXP(-(Q826-'03_Lap_b'!$B$25:$AW$25)))))</f>
        <v/>
      </c>
      <c r="S826" s="5">
        <f>SUMPRODUCT(('01_Data'!$B826:$AW826&lt;&gt;"")*(1/(1+EXP(-(Q826-'03_Lap_b'!$B$25:$AW$25))))^2)</f>
        <v/>
      </c>
      <c r="T826" s="5">
        <f>MEDIAN(-6,Q826+(C826-R826)/MAX(R826-S826,0.000000001),6)</f>
        <v/>
      </c>
      <c r="U826" s="5">
        <f>SUMPRODUCT(('01_Data'!$B826:$AW826&lt;&gt;"")*(1/(1+EXP(-(T826-'03_Lap_b'!$B$30:$AW$30)))))</f>
        <v/>
      </c>
      <c r="V826" s="5">
        <f>SUMPRODUCT(('01_Data'!$B826:$AW826&lt;&gt;"")*(1/(1+EXP(-(T826-'03_Lap_b'!$B$30:$AW$30))))^2)</f>
        <v/>
      </c>
      <c r="W826" s="5">
        <f>MEDIAN(-6,T826+(C826-U826)/MAX(U826-V826,0.000000001),6)</f>
        <v/>
      </c>
      <c r="X826" s="5">
        <f>SUMPRODUCT(('01_Data'!$B826:$AW826&lt;&gt;"")*(1/(1+EXP(-(W826-'03_Lap_b'!$B$35:$AW$35)))))</f>
        <v/>
      </c>
      <c r="Y826" s="5">
        <f>SUMPRODUCT(('01_Data'!$B826:$AW826&lt;&gt;"")*(1/(1+EXP(-(W826-'03_Lap_b'!$B$35:$AW$35))))^2)</f>
        <v/>
      </c>
      <c r="Z826" s="5">
        <f>MEDIAN(-6,W826+(C826-X826)/MAX(X826-Y826,0.000000001),6)</f>
        <v/>
      </c>
      <c r="AA826" s="5">
        <f>SUMPRODUCT(('01_Data'!$B826:$AW826&lt;&gt;"")*(1/(1+EXP(-(Z826-'03_Lap_b'!$B$40:$AW$40)))))</f>
        <v/>
      </c>
      <c r="AB826" s="5">
        <f>SUMPRODUCT(('01_Data'!$B826:$AW826&lt;&gt;"")*(1/(1+EXP(-(Z826-'03_Lap_b'!$B$40:$AW$40))))^2)</f>
        <v/>
      </c>
      <c r="AC826" s="5">
        <f>MEDIAN(-6,Z826+(C826-AA826)/MAX(AA826-AB826,0.000000001),6)</f>
        <v/>
      </c>
    </row>
    <row r="827">
      <c r="A827" t="n">
        <v>826</v>
      </c>
      <c r="B827">
        <f>'01_Data'!A827</f>
        <v/>
      </c>
      <c r="C827">
        <f>SUM('01_Data'!$B827:$AW827)</f>
        <v/>
      </c>
      <c r="D827">
        <f>COUNT('01_Data'!$B827:$AW827)</f>
        <v/>
      </c>
      <c r="E827" s="5">
        <f>MEDIAN(-6,LN((C827+0.3)/(D827-C827+0.3)),6)</f>
        <v/>
      </c>
      <c r="F827" s="5">
        <f>SUMPRODUCT(('01_Data'!$B827:$AW827&lt;&gt;"")*(1/(1+EXP(-(E827-'03_Lap_b'!$B$5:$AW$5)))))</f>
        <v/>
      </c>
      <c r="G827" s="5">
        <f>SUMPRODUCT(('01_Data'!$B827:$AW827&lt;&gt;"")*(1/(1+EXP(-(E827-'03_Lap_b'!$B$5:$AW$5))))^2)</f>
        <v/>
      </c>
      <c r="H827" s="5">
        <f>MEDIAN(-6,E827+(C827-F827)/MAX(F827-G827,0.000000001),6)</f>
        <v/>
      </c>
      <c r="I827" s="5">
        <f>SUMPRODUCT(('01_Data'!$B827:$AW827&lt;&gt;"")*(1/(1+EXP(-(H827-'03_Lap_b'!$B$10:$AW$10)))))</f>
        <v/>
      </c>
      <c r="J827" s="5">
        <f>SUMPRODUCT(('01_Data'!$B827:$AW827&lt;&gt;"")*(1/(1+EXP(-(H827-'03_Lap_b'!$B$10:$AW$10))))^2)</f>
        <v/>
      </c>
      <c r="K827" s="5">
        <f>MEDIAN(-6,H827+(C827-I827)/MAX(I827-J827,0.000000001),6)</f>
        <v/>
      </c>
      <c r="L827" s="5">
        <f>SUMPRODUCT(('01_Data'!$B827:$AW827&lt;&gt;"")*(1/(1+EXP(-(K827-'03_Lap_b'!$B$15:$AW$15)))))</f>
        <v/>
      </c>
      <c r="M827" s="5">
        <f>SUMPRODUCT(('01_Data'!$B827:$AW827&lt;&gt;"")*(1/(1+EXP(-(K827-'03_Lap_b'!$B$15:$AW$15))))^2)</f>
        <v/>
      </c>
      <c r="N827" s="5">
        <f>MEDIAN(-6,K827+(C827-L827)/MAX(L827-M827,0.000000001),6)</f>
        <v/>
      </c>
      <c r="O827" s="5">
        <f>SUMPRODUCT(('01_Data'!$B827:$AW827&lt;&gt;"")*(1/(1+EXP(-(N827-'03_Lap_b'!$B$20:$AW$20)))))</f>
        <v/>
      </c>
      <c r="P827" s="5">
        <f>SUMPRODUCT(('01_Data'!$B827:$AW827&lt;&gt;"")*(1/(1+EXP(-(N827-'03_Lap_b'!$B$20:$AW$20))))^2)</f>
        <v/>
      </c>
      <c r="Q827" s="5">
        <f>MEDIAN(-6,N827+(C827-O827)/MAX(O827-P827,0.000000001),6)</f>
        <v/>
      </c>
      <c r="R827" s="5">
        <f>SUMPRODUCT(('01_Data'!$B827:$AW827&lt;&gt;"")*(1/(1+EXP(-(Q827-'03_Lap_b'!$B$25:$AW$25)))))</f>
        <v/>
      </c>
      <c r="S827" s="5">
        <f>SUMPRODUCT(('01_Data'!$B827:$AW827&lt;&gt;"")*(1/(1+EXP(-(Q827-'03_Lap_b'!$B$25:$AW$25))))^2)</f>
        <v/>
      </c>
      <c r="T827" s="5">
        <f>MEDIAN(-6,Q827+(C827-R827)/MAX(R827-S827,0.000000001),6)</f>
        <v/>
      </c>
      <c r="U827" s="5">
        <f>SUMPRODUCT(('01_Data'!$B827:$AW827&lt;&gt;"")*(1/(1+EXP(-(T827-'03_Lap_b'!$B$30:$AW$30)))))</f>
        <v/>
      </c>
      <c r="V827" s="5">
        <f>SUMPRODUCT(('01_Data'!$B827:$AW827&lt;&gt;"")*(1/(1+EXP(-(T827-'03_Lap_b'!$B$30:$AW$30))))^2)</f>
        <v/>
      </c>
      <c r="W827" s="5">
        <f>MEDIAN(-6,T827+(C827-U827)/MAX(U827-V827,0.000000001),6)</f>
        <v/>
      </c>
      <c r="X827" s="5">
        <f>SUMPRODUCT(('01_Data'!$B827:$AW827&lt;&gt;"")*(1/(1+EXP(-(W827-'03_Lap_b'!$B$35:$AW$35)))))</f>
        <v/>
      </c>
      <c r="Y827" s="5">
        <f>SUMPRODUCT(('01_Data'!$B827:$AW827&lt;&gt;"")*(1/(1+EXP(-(W827-'03_Lap_b'!$B$35:$AW$35))))^2)</f>
        <v/>
      </c>
      <c r="Z827" s="5">
        <f>MEDIAN(-6,W827+(C827-X827)/MAX(X827-Y827,0.000000001),6)</f>
        <v/>
      </c>
      <c r="AA827" s="5">
        <f>SUMPRODUCT(('01_Data'!$B827:$AW827&lt;&gt;"")*(1/(1+EXP(-(Z827-'03_Lap_b'!$B$40:$AW$40)))))</f>
        <v/>
      </c>
      <c r="AB827" s="5">
        <f>SUMPRODUCT(('01_Data'!$B827:$AW827&lt;&gt;"")*(1/(1+EXP(-(Z827-'03_Lap_b'!$B$40:$AW$40))))^2)</f>
        <v/>
      </c>
      <c r="AC827" s="5">
        <f>MEDIAN(-6,Z827+(C827-AA827)/MAX(AA827-AB827,0.000000001),6)</f>
        <v/>
      </c>
    </row>
    <row r="828">
      <c r="A828" t="n">
        <v>827</v>
      </c>
      <c r="B828">
        <f>'01_Data'!A828</f>
        <v/>
      </c>
      <c r="C828">
        <f>SUM('01_Data'!$B828:$AW828)</f>
        <v/>
      </c>
      <c r="D828">
        <f>COUNT('01_Data'!$B828:$AW828)</f>
        <v/>
      </c>
      <c r="E828" s="5">
        <f>MEDIAN(-6,LN((C828+0.3)/(D828-C828+0.3)),6)</f>
        <v/>
      </c>
      <c r="F828" s="5">
        <f>SUMPRODUCT(('01_Data'!$B828:$AW828&lt;&gt;"")*(1/(1+EXP(-(E828-'03_Lap_b'!$B$5:$AW$5)))))</f>
        <v/>
      </c>
      <c r="G828" s="5">
        <f>SUMPRODUCT(('01_Data'!$B828:$AW828&lt;&gt;"")*(1/(1+EXP(-(E828-'03_Lap_b'!$B$5:$AW$5))))^2)</f>
        <v/>
      </c>
      <c r="H828" s="5">
        <f>MEDIAN(-6,E828+(C828-F828)/MAX(F828-G828,0.000000001),6)</f>
        <v/>
      </c>
      <c r="I828" s="5">
        <f>SUMPRODUCT(('01_Data'!$B828:$AW828&lt;&gt;"")*(1/(1+EXP(-(H828-'03_Lap_b'!$B$10:$AW$10)))))</f>
        <v/>
      </c>
      <c r="J828" s="5">
        <f>SUMPRODUCT(('01_Data'!$B828:$AW828&lt;&gt;"")*(1/(1+EXP(-(H828-'03_Lap_b'!$B$10:$AW$10))))^2)</f>
        <v/>
      </c>
      <c r="K828" s="5">
        <f>MEDIAN(-6,H828+(C828-I828)/MAX(I828-J828,0.000000001),6)</f>
        <v/>
      </c>
      <c r="L828" s="5">
        <f>SUMPRODUCT(('01_Data'!$B828:$AW828&lt;&gt;"")*(1/(1+EXP(-(K828-'03_Lap_b'!$B$15:$AW$15)))))</f>
        <v/>
      </c>
      <c r="M828" s="5">
        <f>SUMPRODUCT(('01_Data'!$B828:$AW828&lt;&gt;"")*(1/(1+EXP(-(K828-'03_Lap_b'!$B$15:$AW$15))))^2)</f>
        <v/>
      </c>
      <c r="N828" s="5">
        <f>MEDIAN(-6,K828+(C828-L828)/MAX(L828-M828,0.000000001),6)</f>
        <v/>
      </c>
      <c r="O828" s="5">
        <f>SUMPRODUCT(('01_Data'!$B828:$AW828&lt;&gt;"")*(1/(1+EXP(-(N828-'03_Lap_b'!$B$20:$AW$20)))))</f>
        <v/>
      </c>
      <c r="P828" s="5">
        <f>SUMPRODUCT(('01_Data'!$B828:$AW828&lt;&gt;"")*(1/(1+EXP(-(N828-'03_Lap_b'!$B$20:$AW$20))))^2)</f>
        <v/>
      </c>
      <c r="Q828" s="5">
        <f>MEDIAN(-6,N828+(C828-O828)/MAX(O828-P828,0.000000001),6)</f>
        <v/>
      </c>
      <c r="R828" s="5">
        <f>SUMPRODUCT(('01_Data'!$B828:$AW828&lt;&gt;"")*(1/(1+EXP(-(Q828-'03_Lap_b'!$B$25:$AW$25)))))</f>
        <v/>
      </c>
      <c r="S828" s="5">
        <f>SUMPRODUCT(('01_Data'!$B828:$AW828&lt;&gt;"")*(1/(1+EXP(-(Q828-'03_Lap_b'!$B$25:$AW$25))))^2)</f>
        <v/>
      </c>
      <c r="T828" s="5">
        <f>MEDIAN(-6,Q828+(C828-R828)/MAX(R828-S828,0.000000001),6)</f>
        <v/>
      </c>
      <c r="U828" s="5">
        <f>SUMPRODUCT(('01_Data'!$B828:$AW828&lt;&gt;"")*(1/(1+EXP(-(T828-'03_Lap_b'!$B$30:$AW$30)))))</f>
        <v/>
      </c>
      <c r="V828" s="5">
        <f>SUMPRODUCT(('01_Data'!$B828:$AW828&lt;&gt;"")*(1/(1+EXP(-(T828-'03_Lap_b'!$B$30:$AW$30))))^2)</f>
        <v/>
      </c>
      <c r="W828" s="5">
        <f>MEDIAN(-6,T828+(C828-U828)/MAX(U828-V828,0.000000001),6)</f>
        <v/>
      </c>
      <c r="X828" s="5">
        <f>SUMPRODUCT(('01_Data'!$B828:$AW828&lt;&gt;"")*(1/(1+EXP(-(W828-'03_Lap_b'!$B$35:$AW$35)))))</f>
        <v/>
      </c>
      <c r="Y828" s="5">
        <f>SUMPRODUCT(('01_Data'!$B828:$AW828&lt;&gt;"")*(1/(1+EXP(-(W828-'03_Lap_b'!$B$35:$AW$35))))^2)</f>
        <v/>
      </c>
      <c r="Z828" s="5">
        <f>MEDIAN(-6,W828+(C828-X828)/MAX(X828-Y828,0.000000001),6)</f>
        <v/>
      </c>
      <c r="AA828" s="5">
        <f>SUMPRODUCT(('01_Data'!$B828:$AW828&lt;&gt;"")*(1/(1+EXP(-(Z828-'03_Lap_b'!$B$40:$AW$40)))))</f>
        <v/>
      </c>
      <c r="AB828" s="5">
        <f>SUMPRODUCT(('01_Data'!$B828:$AW828&lt;&gt;"")*(1/(1+EXP(-(Z828-'03_Lap_b'!$B$40:$AW$40))))^2)</f>
        <v/>
      </c>
      <c r="AC828" s="5">
        <f>MEDIAN(-6,Z828+(C828-AA828)/MAX(AA828-AB828,0.000000001),6)</f>
        <v/>
      </c>
    </row>
    <row r="829">
      <c r="A829" t="n">
        <v>828</v>
      </c>
      <c r="B829">
        <f>'01_Data'!A829</f>
        <v/>
      </c>
      <c r="C829">
        <f>SUM('01_Data'!$B829:$AW829)</f>
        <v/>
      </c>
      <c r="D829">
        <f>COUNT('01_Data'!$B829:$AW829)</f>
        <v/>
      </c>
      <c r="E829" s="5">
        <f>MEDIAN(-6,LN((C829+0.3)/(D829-C829+0.3)),6)</f>
        <v/>
      </c>
      <c r="F829" s="5">
        <f>SUMPRODUCT(('01_Data'!$B829:$AW829&lt;&gt;"")*(1/(1+EXP(-(E829-'03_Lap_b'!$B$5:$AW$5)))))</f>
        <v/>
      </c>
      <c r="G829" s="5">
        <f>SUMPRODUCT(('01_Data'!$B829:$AW829&lt;&gt;"")*(1/(1+EXP(-(E829-'03_Lap_b'!$B$5:$AW$5))))^2)</f>
        <v/>
      </c>
      <c r="H829" s="5">
        <f>MEDIAN(-6,E829+(C829-F829)/MAX(F829-G829,0.000000001),6)</f>
        <v/>
      </c>
      <c r="I829" s="5">
        <f>SUMPRODUCT(('01_Data'!$B829:$AW829&lt;&gt;"")*(1/(1+EXP(-(H829-'03_Lap_b'!$B$10:$AW$10)))))</f>
        <v/>
      </c>
      <c r="J829" s="5">
        <f>SUMPRODUCT(('01_Data'!$B829:$AW829&lt;&gt;"")*(1/(1+EXP(-(H829-'03_Lap_b'!$B$10:$AW$10))))^2)</f>
        <v/>
      </c>
      <c r="K829" s="5">
        <f>MEDIAN(-6,H829+(C829-I829)/MAX(I829-J829,0.000000001),6)</f>
        <v/>
      </c>
      <c r="L829" s="5">
        <f>SUMPRODUCT(('01_Data'!$B829:$AW829&lt;&gt;"")*(1/(1+EXP(-(K829-'03_Lap_b'!$B$15:$AW$15)))))</f>
        <v/>
      </c>
      <c r="M829" s="5">
        <f>SUMPRODUCT(('01_Data'!$B829:$AW829&lt;&gt;"")*(1/(1+EXP(-(K829-'03_Lap_b'!$B$15:$AW$15))))^2)</f>
        <v/>
      </c>
      <c r="N829" s="5">
        <f>MEDIAN(-6,K829+(C829-L829)/MAX(L829-M829,0.000000001),6)</f>
        <v/>
      </c>
      <c r="O829" s="5">
        <f>SUMPRODUCT(('01_Data'!$B829:$AW829&lt;&gt;"")*(1/(1+EXP(-(N829-'03_Lap_b'!$B$20:$AW$20)))))</f>
        <v/>
      </c>
      <c r="P829" s="5">
        <f>SUMPRODUCT(('01_Data'!$B829:$AW829&lt;&gt;"")*(1/(1+EXP(-(N829-'03_Lap_b'!$B$20:$AW$20))))^2)</f>
        <v/>
      </c>
      <c r="Q829" s="5">
        <f>MEDIAN(-6,N829+(C829-O829)/MAX(O829-P829,0.000000001),6)</f>
        <v/>
      </c>
      <c r="R829" s="5">
        <f>SUMPRODUCT(('01_Data'!$B829:$AW829&lt;&gt;"")*(1/(1+EXP(-(Q829-'03_Lap_b'!$B$25:$AW$25)))))</f>
        <v/>
      </c>
      <c r="S829" s="5">
        <f>SUMPRODUCT(('01_Data'!$B829:$AW829&lt;&gt;"")*(1/(1+EXP(-(Q829-'03_Lap_b'!$B$25:$AW$25))))^2)</f>
        <v/>
      </c>
      <c r="T829" s="5">
        <f>MEDIAN(-6,Q829+(C829-R829)/MAX(R829-S829,0.000000001),6)</f>
        <v/>
      </c>
      <c r="U829" s="5">
        <f>SUMPRODUCT(('01_Data'!$B829:$AW829&lt;&gt;"")*(1/(1+EXP(-(T829-'03_Lap_b'!$B$30:$AW$30)))))</f>
        <v/>
      </c>
      <c r="V829" s="5">
        <f>SUMPRODUCT(('01_Data'!$B829:$AW829&lt;&gt;"")*(1/(1+EXP(-(T829-'03_Lap_b'!$B$30:$AW$30))))^2)</f>
        <v/>
      </c>
      <c r="W829" s="5">
        <f>MEDIAN(-6,T829+(C829-U829)/MAX(U829-V829,0.000000001),6)</f>
        <v/>
      </c>
      <c r="X829" s="5">
        <f>SUMPRODUCT(('01_Data'!$B829:$AW829&lt;&gt;"")*(1/(1+EXP(-(W829-'03_Lap_b'!$B$35:$AW$35)))))</f>
        <v/>
      </c>
      <c r="Y829" s="5">
        <f>SUMPRODUCT(('01_Data'!$B829:$AW829&lt;&gt;"")*(1/(1+EXP(-(W829-'03_Lap_b'!$B$35:$AW$35))))^2)</f>
        <v/>
      </c>
      <c r="Z829" s="5">
        <f>MEDIAN(-6,W829+(C829-X829)/MAX(X829-Y829,0.000000001),6)</f>
        <v/>
      </c>
      <c r="AA829" s="5">
        <f>SUMPRODUCT(('01_Data'!$B829:$AW829&lt;&gt;"")*(1/(1+EXP(-(Z829-'03_Lap_b'!$B$40:$AW$40)))))</f>
        <v/>
      </c>
      <c r="AB829" s="5">
        <f>SUMPRODUCT(('01_Data'!$B829:$AW829&lt;&gt;"")*(1/(1+EXP(-(Z829-'03_Lap_b'!$B$40:$AW$40))))^2)</f>
        <v/>
      </c>
      <c r="AC829" s="5">
        <f>MEDIAN(-6,Z829+(C829-AA829)/MAX(AA829-AB829,0.000000001),6)</f>
        <v/>
      </c>
    </row>
    <row r="830">
      <c r="A830" t="n">
        <v>829</v>
      </c>
      <c r="B830">
        <f>'01_Data'!A830</f>
        <v/>
      </c>
      <c r="C830">
        <f>SUM('01_Data'!$B830:$AW830)</f>
        <v/>
      </c>
      <c r="D830">
        <f>COUNT('01_Data'!$B830:$AW830)</f>
        <v/>
      </c>
      <c r="E830" s="5">
        <f>MEDIAN(-6,LN((C830+0.3)/(D830-C830+0.3)),6)</f>
        <v/>
      </c>
      <c r="F830" s="5">
        <f>SUMPRODUCT(('01_Data'!$B830:$AW830&lt;&gt;"")*(1/(1+EXP(-(E830-'03_Lap_b'!$B$5:$AW$5)))))</f>
        <v/>
      </c>
      <c r="G830" s="5">
        <f>SUMPRODUCT(('01_Data'!$B830:$AW830&lt;&gt;"")*(1/(1+EXP(-(E830-'03_Lap_b'!$B$5:$AW$5))))^2)</f>
        <v/>
      </c>
      <c r="H830" s="5">
        <f>MEDIAN(-6,E830+(C830-F830)/MAX(F830-G830,0.000000001),6)</f>
        <v/>
      </c>
      <c r="I830" s="5">
        <f>SUMPRODUCT(('01_Data'!$B830:$AW830&lt;&gt;"")*(1/(1+EXP(-(H830-'03_Lap_b'!$B$10:$AW$10)))))</f>
        <v/>
      </c>
      <c r="J830" s="5">
        <f>SUMPRODUCT(('01_Data'!$B830:$AW830&lt;&gt;"")*(1/(1+EXP(-(H830-'03_Lap_b'!$B$10:$AW$10))))^2)</f>
        <v/>
      </c>
      <c r="K830" s="5">
        <f>MEDIAN(-6,H830+(C830-I830)/MAX(I830-J830,0.000000001),6)</f>
        <v/>
      </c>
      <c r="L830" s="5">
        <f>SUMPRODUCT(('01_Data'!$B830:$AW830&lt;&gt;"")*(1/(1+EXP(-(K830-'03_Lap_b'!$B$15:$AW$15)))))</f>
        <v/>
      </c>
      <c r="M830" s="5">
        <f>SUMPRODUCT(('01_Data'!$B830:$AW830&lt;&gt;"")*(1/(1+EXP(-(K830-'03_Lap_b'!$B$15:$AW$15))))^2)</f>
        <v/>
      </c>
      <c r="N830" s="5">
        <f>MEDIAN(-6,K830+(C830-L830)/MAX(L830-M830,0.000000001),6)</f>
        <v/>
      </c>
      <c r="O830" s="5">
        <f>SUMPRODUCT(('01_Data'!$B830:$AW830&lt;&gt;"")*(1/(1+EXP(-(N830-'03_Lap_b'!$B$20:$AW$20)))))</f>
        <v/>
      </c>
      <c r="P830" s="5">
        <f>SUMPRODUCT(('01_Data'!$B830:$AW830&lt;&gt;"")*(1/(1+EXP(-(N830-'03_Lap_b'!$B$20:$AW$20))))^2)</f>
        <v/>
      </c>
      <c r="Q830" s="5">
        <f>MEDIAN(-6,N830+(C830-O830)/MAX(O830-P830,0.000000001),6)</f>
        <v/>
      </c>
      <c r="R830" s="5">
        <f>SUMPRODUCT(('01_Data'!$B830:$AW830&lt;&gt;"")*(1/(1+EXP(-(Q830-'03_Lap_b'!$B$25:$AW$25)))))</f>
        <v/>
      </c>
      <c r="S830" s="5">
        <f>SUMPRODUCT(('01_Data'!$B830:$AW830&lt;&gt;"")*(1/(1+EXP(-(Q830-'03_Lap_b'!$B$25:$AW$25))))^2)</f>
        <v/>
      </c>
      <c r="T830" s="5">
        <f>MEDIAN(-6,Q830+(C830-R830)/MAX(R830-S830,0.000000001),6)</f>
        <v/>
      </c>
      <c r="U830" s="5">
        <f>SUMPRODUCT(('01_Data'!$B830:$AW830&lt;&gt;"")*(1/(1+EXP(-(T830-'03_Lap_b'!$B$30:$AW$30)))))</f>
        <v/>
      </c>
      <c r="V830" s="5">
        <f>SUMPRODUCT(('01_Data'!$B830:$AW830&lt;&gt;"")*(1/(1+EXP(-(T830-'03_Lap_b'!$B$30:$AW$30))))^2)</f>
        <v/>
      </c>
      <c r="W830" s="5">
        <f>MEDIAN(-6,T830+(C830-U830)/MAX(U830-V830,0.000000001),6)</f>
        <v/>
      </c>
      <c r="X830" s="5">
        <f>SUMPRODUCT(('01_Data'!$B830:$AW830&lt;&gt;"")*(1/(1+EXP(-(W830-'03_Lap_b'!$B$35:$AW$35)))))</f>
        <v/>
      </c>
      <c r="Y830" s="5">
        <f>SUMPRODUCT(('01_Data'!$B830:$AW830&lt;&gt;"")*(1/(1+EXP(-(W830-'03_Lap_b'!$B$35:$AW$35))))^2)</f>
        <v/>
      </c>
      <c r="Z830" s="5">
        <f>MEDIAN(-6,W830+(C830-X830)/MAX(X830-Y830,0.000000001),6)</f>
        <v/>
      </c>
      <c r="AA830" s="5">
        <f>SUMPRODUCT(('01_Data'!$B830:$AW830&lt;&gt;"")*(1/(1+EXP(-(Z830-'03_Lap_b'!$B$40:$AW$40)))))</f>
        <v/>
      </c>
      <c r="AB830" s="5">
        <f>SUMPRODUCT(('01_Data'!$B830:$AW830&lt;&gt;"")*(1/(1+EXP(-(Z830-'03_Lap_b'!$B$40:$AW$40))))^2)</f>
        <v/>
      </c>
      <c r="AC830" s="5">
        <f>MEDIAN(-6,Z830+(C830-AA830)/MAX(AA830-AB830,0.000000001),6)</f>
        <v/>
      </c>
    </row>
    <row r="831">
      <c r="A831" t="n">
        <v>830</v>
      </c>
      <c r="B831">
        <f>'01_Data'!A831</f>
        <v/>
      </c>
      <c r="C831">
        <f>SUM('01_Data'!$B831:$AW831)</f>
        <v/>
      </c>
      <c r="D831">
        <f>COUNT('01_Data'!$B831:$AW831)</f>
        <v/>
      </c>
      <c r="E831" s="5">
        <f>MEDIAN(-6,LN((C831+0.3)/(D831-C831+0.3)),6)</f>
        <v/>
      </c>
      <c r="F831" s="5">
        <f>SUMPRODUCT(('01_Data'!$B831:$AW831&lt;&gt;"")*(1/(1+EXP(-(E831-'03_Lap_b'!$B$5:$AW$5)))))</f>
        <v/>
      </c>
      <c r="G831" s="5">
        <f>SUMPRODUCT(('01_Data'!$B831:$AW831&lt;&gt;"")*(1/(1+EXP(-(E831-'03_Lap_b'!$B$5:$AW$5))))^2)</f>
        <v/>
      </c>
      <c r="H831" s="5">
        <f>MEDIAN(-6,E831+(C831-F831)/MAX(F831-G831,0.000000001),6)</f>
        <v/>
      </c>
      <c r="I831" s="5">
        <f>SUMPRODUCT(('01_Data'!$B831:$AW831&lt;&gt;"")*(1/(1+EXP(-(H831-'03_Lap_b'!$B$10:$AW$10)))))</f>
        <v/>
      </c>
      <c r="J831" s="5">
        <f>SUMPRODUCT(('01_Data'!$B831:$AW831&lt;&gt;"")*(1/(1+EXP(-(H831-'03_Lap_b'!$B$10:$AW$10))))^2)</f>
        <v/>
      </c>
      <c r="K831" s="5">
        <f>MEDIAN(-6,H831+(C831-I831)/MAX(I831-J831,0.000000001),6)</f>
        <v/>
      </c>
      <c r="L831" s="5">
        <f>SUMPRODUCT(('01_Data'!$B831:$AW831&lt;&gt;"")*(1/(1+EXP(-(K831-'03_Lap_b'!$B$15:$AW$15)))))</f>
        <v/>
      </c>
      <c r="M831" s="5">
        <f>SUMPRODUCT(('01_Data'!$B831:$AW831&lt;&gt;"")*(1/(1+EXP(-(K831-'03_Lap_b'!$B$15:$AW$15))))^2)</f>
        <v/>
      </c>
      <c r="N831" s="5">
        <f>MEDIAN(-6,K831+(C831-L831)/MAX(L831-M831,0.000000001),6)</f>
        <v/>
      </c>
      <c r="O831" s="5">
        <f>SUMPRODUCT(('01_Data'!$B831:$AW831&lt;&gt;"")*(1/(1+EXP(-(N831-'03_Lap_b'!$B$20:$AW$20)))))</f>
        <v/>
      </c>
      <c r="P831" s="5">
        <f>SUMPRODUCT(('01_Data'!$B831:$AW831&lt;&gt;"")*(1/(1+EXP(-(N831-'03_Lap_b'!$B$20:$AW$20))))^2)</f>
        <v/>
      </c>
      <c r="Q831" s="5">
        <f>MEDIAN(-6,N831+(C831-O831)/MAX(O831-P831,0.000000001),6)</f>
        <v/>
      </c>
      <c r="R831" s="5">
        <f>SUMPRODUCT(('01_Data'!$B831:$AW831&lt;&gt;"")*(1/(1+EXP(-(Q831-'03_Lap_b'!$B$25:$AW$25)))))</f>
        <v/>
      </c>
      <c r="S831" s="5">
        <f>SUMPRODUCT(('01_Data'!$B831:$AW831&lt;&gt;"")*(1/(1+EXP(-(Q831-'03_Lap_b'!$B$25:$AW$25))))^2)</f>
        <v/>
      </c>
      <c r="T831" s="5">
        <f>MEDIAN(-6,Q831+(C831-R831)/MAX(R831-S831,0.000000001),6)</f>
        <v/>
      </c>
      <c r="U831" s="5">
        <f>SUMPRODUCT(('01_Data'!$B831:$AW831&lt;&gt;"")*(1/(1+EXP(-(T831-'03_Lap_b'!$B$30:$AW$30)))))</f>
        <v/>
      </c>
      <c r="V831" s="5">
        <f>SUMPRODUCT(('01_Data'!$B831:$AW831&lt;&gt;"")*(1/(1+EXP(-(T831-'03_Lap_b'!$B$30:$AW$30))))^2)</f>
        <v/>
      </c>
      <c r="W831" s="5">
        <f>MEDIAN(-6,T831+(C831-U831)/MAX(U831-V831,0.000000001),6)</f>
        <v/>
      </c>
      <c r="X831" s="5">
        <f>SUMPRODUCT(('01_Data'!$B831:$AW831&lt;&gt;"")*(1/(1+EXP(-(W831-'03_Lap_b'!$B$35:$AW$35)))))</f>
        <v/>
      </c>
      <c r="Y831" s="5">
        <f>SUMPRODUCT(('01_Data'!$B831:$AW831&lt;&gt;"")*(1/(1+EXP(-(W831-'03_Lap_b'!$B$35:$AW$35))))^2)</f>
        <v/>
      </c>
      <c r="Z831" s="5">
        <f>MEDIAN(-6,W831+(C831-X831)/MAX(X831-Y831,0.000000001),6)</f>
        <v/>
      </c>
      <c r="AA831" s="5">
        <f>SUMPRODUCT(('01_Data'!$B831:$AW831&lt;&gt;"")*(1/(1+EXP(-(Z831-'03_Lap_b'!$B$40:$AW$40)))))</f>
        <v/>
      </c>
      <c r="AB831" s="5">
        <f>SUMPRODUCT(('01_Data'!$B831:$AW831&lt;&gt;"")*(1/(1+EXP(-(Z831-'03_Lap_b'!$B$40:$AW$40))))^2)</f>
        <v/>
      </c>
      <c r="AC831" s="5">
        <f>MEDIAN(-6,Z831+(C831-AA831)/MAX(AA831-AB831,0.000000001),6)</f>
        <v/>
      </c>
    </row>
    <row r="832">
      <c r="A832" t="n">
        <v>831</v>
      </c>
      <c r="B832">
        <f>'01_Data'!A832</f>
        <v/>
      </c>
      <c r="C832">
        <f>SUM('01_Data'!$B832:$AW832)</f>
        <v/>
      </c>
      <c r="D832">
        <f>COUNT('01_Data'!$B832:$AW832)</f>
        <v/>
      </c>
      <c r="E832" s="5">
        <f>MEDIAN(-6,LN((C832+0.3)/(D832-C832+0.3)),6)</f>
        <v/>
      </c>
      <c r="F832" s="5">
        <f>SUMPRODUCT(('01_Data'!$B832:$AW832&lt;&gt;"")*(1/(1+EXP(-(E832-'03_Lap_b'!$B$5:$AW$5)))))</f>
        <v/>
      </c>
      <c r="G832" s="5">
        <f>SUMPRODUCT(('01_Data'!$B832:$AW832&lt;&gt;"")*(1/(1+EXP(-(E832-'03_Lap_b'!$B$5:$AW$5))))^2)</f>
        <v/>
      </c>
      <c r="H832" s="5">
        <f>MEDIAN(-6,E832+(C832-F832)/MAX(F832-G832,0.000000001),6)</f>
        <v/>
      </c>
      <c r="I832" s="5">
        <f>SUMPRODUCT(('01_Data'!$B832:$AW832&lt;&gt;"")*(1/(1+EXP(-(H832-'03_Lap_b'!$B$10:$AW$10)))))</f>
        <v/>
      </c>
      <c r="J832" s="5">
        <f>SUMPRODUCT(('01_Data'!$B832:$AW832&lt;&gt;"")*(1/(1+EXP(-(H832-'03_Lap_b'!$B$10:$AW$10))))^2)</f>
        <v/>
      </c>
      <c r="K832" s="5">
        <f>MEDIAN(-6,H832+(C832-I832)/MAX(I832-J832,0.000000001),6)</f>
        <v/>
      </c>
      <c r="L832" s="5">
        <f>SUMPRODUCT(('01_Data'!$B832:$AW832&lt;&gt;"")*(1/(1+EXP(-(K832-'03_Lap_b'!$B$15:$AW$15)))))</f>
        <v/>
      </c>
      <c r="M832" s="5">
        <f>SUMPRODUCT(('01_Data'!$B832:$AW832&lt;&gt;"")*(1/(1+EXP(-(K832-'03_Lap_b'!$B$15:$AW$15))))^2)</f>
        <v/>
      </c>
      <c r="N832" s="5">
        <f>MEDIAN(-6,K832+(C832-L832)/MAX(L832-M832,0.000000001),6)</f>
        <v/>
      </c>
      <c r="O832" s="5">
        <f>SUMPRODUCT(('01_Data'!$B832:$AW832&lt;&gt;"")*(1/(1+EXP(-(N832-'03_Lap_b'!$B$20:$AW$20)))))</f>
        <v/>
      </c>
      <c r="P832" s="5">
        <f>SUMPRODUCT(('01_Data'!$B832:$AW832&lt;&gt;"")*(1/(1+EXP(-(N832-'03_Lap_b'!$B$20:$AW$20))))^2)</f>
        <v/>
      </c>
      <c r="Q832" s="5">
        <f>MEDIAN(-6,N832+(C832-O832)/MAX(O832-P832,0.000000001),6)</f>
        <v/>
      </c>
      <c r="R832" s="5">
        <f>SUMPRODUCT(('01_Data'!$B832:$AW832&lt;&gt;"")*(1/(1+EXP(-(Q832-'03_Lap_b'!$B$25:$AW$25)))))</f>
        <v/>
      </c>
      <c r="S832" s="5">
        <f>SUMPRODUCT(('01_Data'!$B832:$AW832&lt;&gt;"")*(1/(1+EXP(-(Q832-'03_Lap_b'!$B$25:$AW$25))))^2)</f>
        <v/>
      </c>
      <c r="T832" s="5">
        <f>MEDIAN(-6,Q832+(C832-R832)/MAX(R832-S832,0.000000001),6)</f>
        <v/>
      </c>
      <c r="U832" s="5">
        <f>SUMPRODUCT(('01_Data'!$B832:$AW832&lt;&gt;"")*(1/(1+EXP(-(T832-'03_Lap_b'!$B$30:$AW$30)))))</f>
        <v/>
      </c>
      <c r="V832" s="5">
        <f>SUMPRODUCT(('01_Data'!$B832:$AW832&lt;&gt;"")*(1/(1+EXP(-(T832-'03_Lap_b'!$B$30:$AW$30))))^2)</f>
        <v/>
      </c>
      <c r="W832" s="5">
        <f>MEDIAN(-6,T832+(C832-U832)/MAX(U832-V832,0.000000001),6)</f>
        <v/>
      </c>
      <c r="X832" s="5">
        <f>SUMPRODUCT(('01_Data'!$B832:$AW832&lt;&gt;"")*(1/(1+EXP(-(W832-'03_Lap_b'!$B$35:$AW$35)))))</f>
        <v/>
      </c>
      <c r="Y832" s="5">
        <f>SUMPRODUCT(('01_Data'!$B832:$AW832&lt;&gt;"")*(1/(1+EXP(-(W832-'03_Lap_b'!$B$35:$AW$35))))^2)</f>
        <v/>
      </c>
      <c r="Z832" s="5">
        <f>MEDIAN(-6,W832+(C832-X832)/MAX(X832-Y832,0.000000001),6)</f>
        <v/>
      </c>
      <c r="AA832" s="5">
        <f>SUMPRODUCT(('01_Data'!$B832:$AW832&lt;&gt;"")*(1/(1+EXP(-(Z832-'03_Lap_b'!$B$40:$AW$40)))))</f>
        <v/>
      </c>
      <c r="AB832" s="5">
        <f>SUMPRODUCT(('01_Data'!$B832:$AW832&lt;&gt;"")*(1/(1+EXP(-(Z832-'03_Lap_b'!$B$40:$AW$40))))^2)</f>
        <v/>
      </c>
      <c r="AC832" s="5">
        <f>MEDIAN(-6,Z832+(C832-AA832)/MAX(AA832-AB832,0.000000001),6)</f>
        <v/>
      </c>
    </row>
    <row r="833">
      <c r="A833" t="n">
        <v>832</v>
      </c>
      <c r="B833">
        <f>'01_Data'!A833</f>
        <v/>
      </c>
      <c r="C833">
        <f>SUM('01_Data'!$B833:$AW833)</f>
        <v/>
      </c>
      <c r="D833">
        <f>COUNT('01_Data'!$B833:$AW833)</f>
        <v/>
      </c>
      <c r="E833" s="5">
        <f>MEDIAN(-6,LN((C833+0.3)/(D833-C833+0.3)),6)</f>
        <v/>
      </c>
      <c r="F833" s="5">
        <f>SUMPRODUCT(('01_Data'!$B833:$AW833&lt;&gt;"")*(1/(1+EXP(-(E833-'03_Lap_b'!$B$5:$AW$5)))))</f>
        <v/>
      </c>
      <c r="G833" s="5">
        <f>SUMPRODUCT(('01_Data'!$B833:$AW833&lt;&gt;"")*(1/(1+EXP(-(E833-'03_Lap_b'!$B$5:$AW$5))))^2)</f>
        <v/>
      </c>
      <c r="H833" s="5">
        <f>MEDIAN(-6,E833+(C833-F833)/MAX(F833-G833,0.000000001),6)</f>
        <v/>
      </c>
      <c r="I833" s="5">
        <f>SUMPRODUCT(('01_Data'!$B833:$AW833&lt;&gt;"")*(1/(1+EXP(-(H833-'03_Lap_b'!$B$10:$AW$10)))))</f>
        <v/>
      </c>
      <c r="J833" s="5">
        <f>SUMPRODUCT(('01_Data'!$B833:$AW833&lt;&gt;"")*(1/(1+EXP(-(H833-'03_Lap_b'!$B$10:$AW$10))))^2)</f>
        <v/>
      </c>
      <c r="K833" s="5">
        <f>MEDIAN(-6,H833+(C833-I833)/MAX(I833-J833,0.000000001),6)</f>
        <v/>
      </c>
      <c r="L833" s="5">
        <f>SUMPRODUCT(('01_Data'!$B833:$AW833&lt;&gt;"")*(1/(1+EXP(-(K833-'03_Lap_b'!$B$15:$AW$15)))))</f>
        <v/>
      </c>
      <c r="M833" s="5">
        <f>SUMPRODUCT(('01_Data'!$B833:$AW833&lt;&gt;"")*(1/(1+EXP(-(K833-'03_Lap_b'!$B$15:$AW$15))))^2)</f>
        <v/>
      </c>
      <c r="N833" s="5">
        <f>MEDIAN(-6,K833+(C833-L833)/MAX(L833-M833,0.000000001),6)</f>
        <v/>
      </c>
      <c r="O833" s="5">
        <f>SUMPRODUCT(('01_Data'!$B833:$AW833&lt;&gt;"")*(1/(1+EXP(-(N833-'03_Lap_b'!$B$20:$AW$20)))))</f>
        <v/>
      </c>
      <c r="P833" s="5">
        <f>SUMPRODUCT(('01_Data'!$B833:$AW833&lt;&gt;"")*(1/(1+EXP(-(N833-'03_Lap_b'!$B$20:$AW$20))))^2)</f>
        <v/>
      </c>
      <c r="Q833" s="5">
        <f>MEDIAN(-6,N833+(C833-O833)/MAX(O833-P833,0.000000001),6)</f>
        <v/>
      </c>
      <c r="R833" s="5">
        <f>SUMPRODUCT(('01_Data'!$B833:$AW833&lt;&gt;"")*(1/(1+EXP(-(Q833-'03_Lap_b'!$B$25:$AW$25)))))</f>
        <v/>
      </c>
      <c r="S833" s="5">
        <f>SUMPRODUCT(('01_Data'!$B833:$AW833&lt;&gt;"")*(1/(1+EXP(-(Q833-'03_Lap_b'!$B$25:$AW$25))))^2)</f>
        <v/>
      </c>
      <c r="T833" s="5">
        <f>MEDIAN(-6,Q833+(C833-R833)/MAX(R833-S833,0.000000001),6)</f>
        <v/>
      </c>
      <c r="U833" s="5">
        <f>SUMPRODUCT(('01_Data'!$B833:$AW833&lt;&gt;"")*(1/(1+EXP(-(T833-'03_Lap_b'!$B$30:$AW$30)))))</f>
        <v/>
      </c>
      <c r="V833" s="5">
        <f>SUMPRODUCT(('01_Data'!$B833:$AW833&lt;&gt;"")*(1/(1+EXP(-(T833-'03_Lap_b'!$B$30:$AW$30))))^2)</f>
        <v/>
      </c>
      <c r="W833" s="5">
        <f>MEDIAN(-6,T833+(C833-U833)/MAX(U833-V833,0.000000001),6)</f>
        <v/>
      </c>
      <c r="X833" s="5">
        <f>SUMPRODUCT(('01_Data'!$B833:$AW833&lt;&gt;"")*(1/(1+EXP(-(W833-'03_Lap_b'!$B$35:$AW$35)))))</f>
        <v/>
      </c>
      <c r="Y833" s="5">
        <f>SUMPRODUCT(('01_Data'!$B833:$AW833&lt;&gt;"")*(1/(1+EXP(-(W833-'03_Lap_b'!$B$35:$AW$35))))^2)</f>
        <v/>
      </c>
      <c r="Z833" s="5">
        <f>MEDIAN(-6,W833+(C833-X833)/MAX(X833-Y833,0.000000001),6)</f>
        <v/>
      </c>
      <c r="AA833" s="5">
        <f>SUMPRODUCT(('01_Data'!$B833:$AW833&lt;&gt;"")*(1/(1+EXP(-(Z833-'03_Lap_b'!$B$40:$AW$40)))))</f>
        <v/>
      </c>
      <c r="AB833" s="5">
        <f>SUMPRODUCT(('01_Data'!$B833:$AW833&lt;&gt;"")*(1/(1+EXP(-(Z833-'03_Lap_b'!$B$40:$AW$40))))^2)</f>
        <v/>
      </c>
      <c r="AC833" s="5">
        <f>MEDIAN(-6,Z833+(C833-AA833)/MAX(AA833-AB833,0.000000001),6)</f>
        <v/>
      </c>
    </row>
    <row r="834">
      <c r="A834" t="n">
        <v>833</v>
      </c>
      <c r="B834">
        <f>'01_Data'!A834</f>
        <v/>
      </c>
      <c r="C834">
        <f>SUM('01_Data'!$B834:$AW834)</f>
        <v/>
      </c>
      <c r="D834">
        <f>COUNT('01_Data'!$B834:$AW834)</f>
        <v/>
      </c>
      <c r="E834" s="5">
        <f>MEDIAN(-6,LN((C834+0.3)/(D834-C834+0.3)),6)</f>
        <v/>
      </c>
      <c r="F834" s="5">
        <f>SUMPRODUCT(('01_Data'!$B834:$AW834&lt;&gt;"")*(1/(1+EXP(-(E834-'03_Lap_b'!$B$5:$AW$5)))))</f>
        <v/>
      </c>
      <c r="G834" s="5">
        <f>SUMPRODUCT(('01_Data'!$B834:$AW834&lt;&gt;"")*(1/(1+EXP(-(E834-'03_Lap_b'!$B$5:$AW$5))))^2)</f>
        <v/>
      </c>
      <c r="H834" s="5">
        <f>MEDIAN(-6,E834+(C834-F834)/MAX(F834-G834,0.000000001),6)</f>
        <v/>
      </c>
      <c r="I834" s="5">
        <f>SUMPRODUCT(('01_Data'!$B834:$AW834&lt;&gt;"")*(1/(1+EXP(-(H834-'03_Lap_b'!$B$10:$AW$10)))))</f>
        <v/>
      </c>
      <c r="J834" s="5">
        <f>SUMPRODUCT(('01_Data'!$B834:$AW834&lt;&gt;"")*(1/(1+EXP(-(H834-'03_Lap_b'!$B$10:$AW$10))))^2)</f>
        <v/>
      </c>
      <c r="K834" s="5">
        <f>MEDIAN(-6,H834+(C834-I834)/MAX(I834-J834,0.000000001),6)</f>
        <v/>
      </c>
      <c r="L834" s="5">
        <f>SUMPRODUCT(('01_Data'!$B834:$AW834&lt;&gt;"")*(1/(1+EXP(-(K834-'03_Lap_b'!$B$15:$AW$15)))))</f>
        <v/>
      </c>
      <c r="M834" s="5">
        <f>SUMPRODUCT(('01_Data'!$B834:$AW834&lt;&gt;"")*(1/(1+EXP(-(K834-'03_Lap_b'!$B$15:$AW$15))))^2)</f>
        <v/>
      </c>
      <c r="N834" s="5">
        <f>MEDIAN(-6,K834+(C834-L834)/MAX(L834-M834,0.000000001),6)</f>
        <v/>
      </c>
      <c r="O834" s="5">
        <f>SUMPRODUCT(('01_Data'!$B834:$AW834&lt;&gt;"")*(1/(1+EXP(-(N834-'03_Lap_b'!$B$20:$AW$20)))))</f>
        <v/>
      </c>
      <c r="P834" s="5">
        <f>SUMPRODUCT(('01_Data'!$B834:$AW834&lt;&gt;"")*(1/(1+EXP(-(N834-'03_Lap_b'!$B$20:$AW$20))))^2)</f>
        <v/>
      </c>
      <c r="Q834" s="5">
        <f>MEDIAN(-6,N834+(C834-O834)/MAX(O834-P834,0.000000001),6)</f>
        <v/>
      </c>
      <c r="R834" s="5">
        <f>SUMPRODUCT(('01_Data'!$B834:$AW834&lt;&gt;"")*(1/(1+EXP(-(Q834-'03_Lap_b'!$B$25:$AW$25)))))</f>
        <v/>
      </c>
      <c r="S834" s="5">
        <f>SUMPRODUCT(('01_Data'!$B834:$AW834&lt;&gt;"")*(1/(1+EXP(-(Q834-'03_Lap_b'!$B$25:$AW$25))))^2)</f>
        <v/>
      </c>
      <c r="T834" s="5">
        <f>MEDIAN(-6,Q834+(C834-R834)/MAX(R834-S834,0.000000001),6)</f>
        <v/>
      </c>
      <c r="U834" s="5">
        <f>SUMPRODUCT(('01_Data'!$B834:$AW834&lt;&gt;"")*(1/(1+EXP(-(T834-'03_Lap_b'!$B$30:$AW$30)))))</f>
        <v/>
      </c>
      <c r="V834" s="5">
        <f>SUMPRODUCT(('01_Data'!$B834:$AW834&lt;&gt;"")*(1/(1+EXP(-(T834-'03_Lap_b'!$B$30:$AW$30))))^2)</f>
        <v/>
      </c>
      <c r="W834" s="5">
        <f>MEDIAN(-6,T834+(C834-U834)/MAX(U834-V834,0.000000001),6)</f>
        <v/>
      </c>
      <c r="X834" s="5">
        <f>SUMPRODUCT(('01_Data'!$B834:$AW834&lt;&gt;"")*(1/(1+EXP(-(W834-'03_Lap_b'!$B$35:$AW$35)))))</f>
        <v/>
      </c>
      <c r="Y834" s="5">
        <f>SUMPRODUCT(('01_Data'!$B834:$AW834&lt;&gt;"")*(1/(1+EXP(-(W834-'03_Lap_b'!$B$35:$AW$35))))^2)</f>
        <v/>
      </c>
      <c r="Z834" s="5">
        <f>MEDIAN(-6,W834+(C834-X834)/MAX(X834-Y834,0.000000001),6)</f>
        <v/>
      </c>
      <c r="AA834" s="5">
        <f>SUMPRODUCT(('01_Data'!$B834:$AW834&lt;&gt;"")*(1/(1+EXP(-(Z834-'03_Lap_b'!$B$40:$AW$40)))))</f>
        <v/>
      </c>
      <c r="AB834" s="5">
        <f>SUMPRODUCT(('01_Data'!$B834:$AW834&lt;&gt;"")*(1/(1+EXP(-(Z834-'03_Lap_b'!$B$40:$AW$40))))^2)</f>
        <v/>
      </c>
      <c r="AC834" s="5">
        <f>MEDIAN(-6,Z834+(C834-AA834)/MAX(AA834-AB834,0.000000001),6)</f>
        <v/>
      </c>
    </row>
    <row r="835">
      <c r="A835" t="n">
        <v>834</v>
      </c>
      <c r="B835">
        <f>'01_Data'!A835</f>
        <v/>
      </c>
      <c r="C835">
        <f>SUM('01_Data'!$B835:$AW835)</f>
        <v/>
      </c>
      <c r="D835">
        <f>COUNT('01_Data'!$B835:$AW835)</f>
        <v/>
      </c>
      <c r="E835" s="5">
        <f>MEDIAN(-6,LN((C835+0.3)/(D835-C835+0.3)),6)</f>
        <v/>
      </c>
      <c r="F835" s="5">
        <f>SUMPRODUCT(('01_Data'!$B835:$AW835&lt;&gt;"")*(1/(1+EXP(-(E835-'03_Lap_b'!$B$5:$AW$5)))))</f>
        <v/>
      </c>
      <c r="G835" s="5">
        <f>SUMPRODUCT(('01_Data'!$B835:$AW835&lt;&gt;"")*(1/(1+EXP(-(E835-'03_Lap_b'!$B$5:$AW$5))))^2)</f>
        <v/>
      </c>
      <c r="H835" s="5">
        <f>MEDIAN(-6,E835+(C835-F835)/MAX(F835-G835,0.000000001),6)</f>
        <v/>
      </c>
      <c r="I835" s="5">
        <f>SUMPRODUCT(('01_Data'!$B835:$AW835&lt;&gt;"")*(1/(1+EXP(-(H835-'03_Lap_b'!$B$10:$AW$10)))))</f>
        <v/>
      </c>
      <c r="J835" s="5">
        <f>SUMPRODUCT(('01_Data'!$B835:$AW835&lt;&gt;"")*(1/(1+EXP(-(H835-'03_Lap_b'!$B$10:$AW$10))))^2)</f>
        <v/>
      </c>
      <c r="K835" s="5">
        <f>MEDIAN(-6,H835+(C835-I835)/MAX(I835-J835,0.000000001),6)</f>
        <v/>
      </c>
      <c r="L835" s="5">
        <f>SUMPRODUCT(('01_Data'!$B835:$AW835&lt;&gt;"")*(1/(1+EXP(-(K835-'03_Lap_b'!$B$15:$AW$15)))))</f>
        <v/>
      </c>
      <c r="M835" s="5">
        <f>SUMPRODUCT(('01_Data'!$B835:$AW835&lt;&gt;"")*(1/(1+EXP(-(K835-'03_Lap_b'!$B$15:$AW$15))))^2)</f>
        <v/>
      </c>
      <c r="N835" s="5">
        <f>MEDIAN(-6,K835+(C835-L835)/MAX(L835-M835,0.000000001),6)</f>
        <v/>
      </c>
      <c r="O835" s="5">
        <f>SUMPRODUCT(('01_Data'!$B835:$AW835&lt;&gt;"")*(1/(1+EXP(-(N835-'03_Lap_b'!$B$20:$AW$20)))))</f>
        <v/>
      </c>
      <c r="P835" s="5">
        <f>SUMPRODUCT(('01_Data'!$B835:$AW835&lt;&gt;"")*(1/(1+EXP(-(N835-'03_Lap_b'!$B$20:$AW$20))))^2)</f>
        <v/>
      </c>
      <c r="Q835" s="5">
        <f>MEDIAN(-6,N835+(C835-O835)/MAX(O835-P835,0.000000001),6)</f>
        <v/>
      </c>
      <c r="R835" s="5">
        <f>SUMPRODUCT(('01_Data'!$B835:$AW835&lt;&gt;"")*(1/(1+EXP(-(Q835-'03_Lap_b'!$B$25:$AW$25)))))</f>
        <v/>
      </c>
      <c r="S835" s="5">
        <f>SUMPRODUCT(('01_Data'!$B835:$AW835&lt;&gt;"")*(1/(1+EXP(-(Q835-'03_Lap_b'!$B$25:$AW$25))))^2)</f>
        <v/>
      </c>
      <c r="T835" s="5">
        <f>MEDIAN(-6,Q835+(C835-R835)/MAX(R835-S835,0.000000001),6)</f>
        <v/>
      </c>
      <c r="U835" s="5">
        <f>SUMPRODUCT(('01_Data'!$B835:$AW835&lt;&gt;"")*(1/(1+EXP(-(T835-'03_Lap_b'!$B$30:$AW$30)))))</f>
        <v/>
      </c>
      <c r="V835" s="5">
        <f>SUMPRODUCT(('01_Data'!$B835:$AW835&lt;&gt;"")*(1/(1+EXP(-(T835-'03_Lap_b'!$B$30:$AW$30))))^2)</f>
        <v/>
      </c>
      <c r="W835" s="5">
        <f>MEDIAN(-6,T835+(C835-U835)/MAX(U835-V835,0.000000001),6)</f>
        <v/>
      </c>
      <c r="X835" s="5">
        <f>SUMPRODUCT(('01_Data'!$B835:$AW835&lt;&gt;"")*(1/(1+EXP(-(W835-'03_Lap_b'!$B$35:$AW$35)))))</f>
        <v/>
      </c>
      <c r="Y835" s="5">
        <f>SUMPRODUCT(('01_Data'!$B835:$AW835&lt;&gt;"")*(1/(1+EXP(-(W835-'03_Lap_b'!$B$35:$AW$35))))^2)</f>
        <v/>
      </c>
      <c r="Z835" s="5">
        <f>MEDIAN(-6,W835+(C835-X835)/MAX(X835-Y835,0.000000001),6)</f>
        <v/>
      </c>
      <c r="AA835" s="5">
        <f>SUMPRODUCT(('01_Data'!$B835:$AW835&lt;&gt;"")*(1/(1+EXP(-(Z835-'03_Lap_b'!$B$40:$AW$40)))))</f>
        <v/>
      </c>
      <c r="AB835" s="5">
        <f>SUMPRODUCT(('01_Data'!$B835:$AW835&lt;&gt;"")*(1/(1+EXP(-(Z835-'03_Lap_b'!$B$40:$AW$40))))^2)</f>
        <v/>
      </c>
      <c r="AC835" s="5">
        <f>MEDIAN(-6,Z835+(C835-AA835)/MAX(AA835-AB835,0.000000001),6)</f>
        <v/>
      </c>
    </row>
    <row r="836">
      <c r="A836" t="n">
        <v>835</v>
      </c>
      <c r="B836">
        <f>'01_Data'!A836</f>
        <v/>
      </c>
      <c r="C836">
        <f>SUM('01_Data'!$B836:$AW836)</f>
        <v/>
      </c>
      <c r="D836">
        <f>COUNT('01_Data'!$B836:$AW836)</f>
        <v/>
      </c>
      <c r="E836" s="5">
        <f>MEDIAN(-6,LN((C836+0.3)/(D836-C836+0.3)),6)</f>
        <v/>
      </c>
      <c r="F836" s="5">
        <f>SUMPRODUCT(('01_Data'!$B836:$AW836&lt;&gt;"")*(1/(1+EXP(-(E836-'03_Lap_b'!$B$5:$AW$5)))))</f>
        <v/>
      </c>
      <c r="G836" s="5">
        <f>SUMPRODUCT(('01_Data'!$B836:$AW836&lt;&gt;"")*(1/(1+EXP(-(E836-'03_Lap_b'!$B$5:$AW$5))))^2)</f>
        <v/>
      </c>
      <c r="H836" s="5">
        <f>MEDIAN(-6,E836+(C836-F836)/MAX(F836-G836,0.000000001),6)</f>
        <v/>
      </c>
      <c r="I836" s="5">
        <f>SUMPRODUCT(('01_Data'!$B836:$AW836&lt;&gt;"")*(1/(1+EXP(-(H836-'03_Lap_b'!$B$10:$AW$10)))))</f>
        <v/>
      </c>
      <c r="J836" s="5">
        <f>SUMPRODUCT(('01_Data'!$B836:$AW836&lt;&gt;"")*(1/(1+EXP(-(H836-'03_Lap_b'!$B$10:$AW$10))))^2)</f>
        <v/>
      </c>
      <c r="K836" s="5">
        <f>MEDIAN(-6,H836+(C836-I836)/MAX(I836-J836,0.000000001),6)</f>
        <v/>
      </c>
      <c r="L836" s="5">
        <f>SUMPRODUCT(('01_Data'!$B836:$AW836&lt;&gt;"")*(1/(1+EXP(-(K836-'03_Lap_b'!$B$15:$AW$15)))))</f>
        <v/>
      </c>
      <c r="M836" s="5">
        <f>SUMPRODUCT(('01_Data'!$B836:$AW836&lt;&gt;"")*(1/(1+EXP(-(K836-'03_Lap_b'!$B$15:$AW$15))))^2)</f>
        <v/>
      </c>
      <c r="N836" s="5">
        <f>MEDIAN(-6,K836+(C836-L836)/MAX(L836-M836,0.000000001),6)</f>
        <v/>
      </c>
      <c r="O836" s="5">
        <f>SUMPRODUCT(('01_Data'!$B836:$AW836&lt;&gt;"")*(1/(1+EXP(-(N836-'03_Lap_b'!$B$20:$AW$20)))))</f>
        <v/>
      </c>
      <c r="P836" s="5">
        <f>SUMPRODUCT(('01_Data'!$B836:$AW836&lt;&gt;"")*(1/(1+EXP(-(N836-'03_Lap_b'!$B$20:$AW$20))))^2)</f>
        <v/>
      </c>
      <c r="Q836" s="5">
        <f>MEDIAN(-6,N836+(C836-O836)/MAX(O836-P836,0.000000001),6)</f>
        <v/>
      </c>
      <c r="R836" s="5">
        <f>SUMPRODUCT(('01_Data'!$B836:$AW836&lt;&gt;"")*(1/(1+EXP(-(Q836-'03_Lap_b'!$B$25:$AW$25)))))</f>
        <v/>
      </c>
      <c r="S836" s="5">
        <f>SUMPRODUCT(('01_Data'!$B836:$AW836&lt;&gt;"")*(1/(1+EXP(-(Q836-'03_Lap_b'!$B$25:$AW$25))))^2)</f>
        <v/>
      </c>
      <c r="T836" s="5">
        <f>MEDIAN(-6,Q836+(C836-R836)/MAX(R836-S836,0.000000001),6)</f>
        <v/>
      </c>
      <c r="U836" s="5">
        <f>SUMPRODUCT(('01_Data'!$B836:$AW836&lt;&gt;"")*(1/(1+EXP(-(T836-'03_Lap_b'!$B$30:$AW$30)))))</f>
        <v/>
      </c>
      <c r="V836" s="5">
        <f>SUMPRODUCT(('01_Data'!$B836:$AW836&lt;&gt;"")*(1/(1+EXP(-(T836-'03_Lap_b'!$B$30:$AW$30))))^2)</f>
        <v/>
      </c>
      <c r="W836" s="5">
        <f>MEDIAN(-6,T836+(C836-U836)/MAX(U836-V836,0.000000001),6)</f>
        <v/>
      </c>
      <c r="X836" s="5">
        <f>SUMPRODUCT(('01_Data'!$B836:$AW836&lt;&gt;"")*(1/(1+EXP(-(W836-'03_Lap_b'!$B$35:$AW$35)))))</f>
        <v/>
      </c>
      <c r="Y836" s="5">
        <f>SUMPRODUCT(('01_Data'!$B836:$AW836&lt;&gt;"")*(1/(1+EXP(-(W836-'03_Lap_b'!$B$35:$AW$35))))^2)</f>
        <v/>
      </c>
      <c r="Z836" s="5">
        <f>MEDIAN(-6,W836+(C836-X836)/MAX(X836-Y836,0.000000001),6)</f>
        <v/>
      </c>
      <c r="AA836" s="5">
        <f>SUMPRODUCT(('01_Data'!$B836:$AW836&lt;&gt;"")*(1/(1+EXP(-(Z836-'03_Lap_b'!$B$40:$AW$40)))))</f>
        <v/>
      </c>
      <c r="AB836" s="5">
        <f>SUMPRODUCT(('01_Data'!$B836:$AW836&lt;&gt;"")*(1/(1+EXP(-(Z836-'03_Lap_b'!$B$40:$AW$40))))^2)</f>
        <v/>
      </c>
      <c r="AC836" s="5">
        <f>MEDIAN(-6,Z836+(C836-AA836)/MAX(AA836-AB836,0.000000001),6)</f>
        <v/>
      </c>
    </row>
    <row r="837">
      <c r="A837" t="n">
        <v>836</v>
      </c>
      <c r="B837">
        <f>'01_Data'!A837</f>
        <v/>
      </c>
      <c r="C837">
        <f>SUM('01_Data'!$B837:$AW837)</f>
        <v/>
      </c>
      <c r="D837">
        <f>COUNT('01_Data'!$B837:$AW837)</f>
        <v/>
      </c>
      <c r="E837" s="5">
        <f>MEDIAN(-6,LN((C837+0.3)/(D837-C837+0.3)),6)</f>
        <v/>
      </c>
      <c r="F837" s="5">
        <f>SUMPRODUCT(('01_Data'!$B837:$AW837&lt;&gt;"")*(1/(1+EXP(-(E837-'03_Lap_b'!$B$5:$AW$5)))))</f>
        <v/>
      </c>
      <c r="G837" s="5">
        <f>SUMPRODUCT(('01_Data'!$B837:$AW837&lt;&gt;"")*(1/(1+EXP(-(E837-'03_Lap_b'!$B$5:$AW$5))))^2)</f>
        <v/>
      </c>
      <c r="H837" s="5">
        <f>MEDIAN(-6,E837+(C837-F837)/MAX(F837-G837,0.000000001),6)</f>
        <v/>
      </c>
      <c r="I837" s="5">
        <f>SUMPRODUCT(('01_Data'!$B837:$AW837&lt;&gt;"")*(1/(1+EXP(-(H837-'03_Lap_b'!$B$10:$AW$10)))))</f>
        <v/>
      </c>
      <c r="J837" s="5">
        <f>SUMPRODUCT(('01_Data'!$B837:$AW837&lt;&gt;"")*(1/(1+EXP(-(H837-'03_Lap_b'!$B$10:$AW$10))))^2)</f>
        <v/>
      </c>
      <c r="K837" s="5">
        <f>MEDIAN(-6,H837+(C837-I837)/MAX(I837-J837,0.000000001),6)</f>
        <v/>
      </c>
      <c r="L837" s="5">
        <f>SUMPRODUCT(('01_Data'!$B837:$AW837&lt;&gt;"")*(1/(1+EXP(-(K837-'03_Lap_b'!$B$15:$AW$15)))))</f>
        <v/>
      </c>
      <c r="M837" s="5">
        <f>SUMPRODUCT(('01_Data'!$B837:$AW837&lt;&gt;"")*(1/(1+EXP(-(K837-'03_Lap_b'!$B$15:$AW$15))))^2)</f>
        <v/>
      </c>
      <c r="N837" s="5">
        <f>MEDIAN(-6,K837+(C837-L837)/MAX(L837-M837,0.000000001),6)</f>
        <v/>
      </c>
      <c r="O837" s="5">
        <f>SUMPRODUCT(('01_Data'!$B837:$AW837&lt;&gt;"")*(1/(1+EXP(-(N837-'03_Lap_b'!$B$20:$AW$20)))))</f>
        <v/>
      </c>
      <c r="P837" s="5">
        <f>SUMPRODUCT(('01_Data'!$B837:$AW837&lt;&gt;"")*(1/(1+EXP(-(N837-'03_Lap_b'!$B$20:$AW$20))))^2)</f>
        <v/>
      </c>
      <c r="Q837" s="5">
        <f>MEDIAN(-6,N837+(C837-O837)/MAX(O837-P837,0.000000001),6)</f>
        <v/>
      </c>
      <c r="R837" s="5">
        <f>SUMPRODUCT(('01_Data'!$B837:$AW837&lt;&gt;"")*(1/(1+EXP(-(Q837-'03_Lap_b'!$B$25:$AW$25)))))</f>
        <v/>
      </c>
      <c r="S837" s="5">
        <f>SUMPRODUCT(('01_Data'!$B837:$AW837&lt;&gt;"")*(1/(1+EXP(-(Q837-'03_Lap_b'!$B$25:$AW$25))))^2)</f>
        <v/>
      </c>
      <c r="T837" s="5">
        <f>MEDIAN(-6,Q837+(C837-R837)/MAX(R837-S837,0.000000001),6)</f>
        <v/>
      </c>
      <c r="U837" s="5">
        <f>SUMPRODUCT(('01_Data'!$B837:$AW837&lt;&gt;"")*(1/(1+EXP(-(T837-'03_Lap_b'!$B$30:$AW$30)))))</f>
        <v/>
      </c>
      <c r="V837" s="5">
        <f>SUMPRODUCT(('01_Data'!$B837:$AW837&lt;&gt;"")*(1/(1+EXP(-(T837-'03_Lap_b'!$B$30:$AW$30))))^2)</f>
        <v/>
      </c>
      <c r="W837" s="5">
        <f>MEDIAN(-6,T837+(C837-U837)/MAX(U837-V837,0.000000001),6)</f>
        <v/>
      </c>
      <c r="X837" s="5">
        <f>SUMPRODUCT(('01_Data'!$B837:$AW837&lt;&gt;"")*(1/(1+EXP(-(W837-'03_Lap_b'!$B$35:$AW$35)))))</f>
        <v/>
      </c>
      <c r="Y837" s="5">
        <f>SUMPRODUCT(('01_Data'!$B837:$AW837&lt;&gt;"")*(1/(1+EXP(-(W837-'03_Lap_b'!$B$35:$AW$35))))^2)</f>
        <v/>
      </c>
      <c r="Z837" s="5">
        <f>MEDIAN(-6,W837+(C837-X837)/MAX(X837-Y837,0.000000001),6)</f>
        <v/>
      </c>
      <c r="AA837" s="5">
        <f>SUMPRODUCT(('01_Data'!$B837:$AW837&lt;&gt;"")*(1/(1+EXP(-(Z837-'03_Lap_b'!$B$40:$AW$40)))))</f>
        <v/>
      </c>
      <c r="AB837" s="5">
        <f>SUMPRODUCT(('01_Data'!$B837:$AW837&lt;&gt;"")*(1/(1+EXP(-(Z837-'03_Lap_b'!$B$40:$AW$40))))^2)</f>
        <v/>
      </c>
      <c r="AC837" s="5">
        <f>MEDIAN(-6,Z837+(C837-AA837)/MAX(AA837-AB837,0.000000001),6)</f>
        <v/>
      </c>
    </row>
    <row r="838">
      <c r="A838" t="n">
        <v>837</v>
      </c>
      <c r="B838">
        <f>'01_Data'!A838</f>
        <v/>
      </c>
      <c r="C838">
        <f>SUM('01_Data'!$B838:$AW838)</f>
        <v/>
      </c>
      <c r="D838">
        <f>COUNT('01_Data'!$B838:$AW838)</f>
        <v/>
      </c>
      <c r="E838" s="5">
        <f>MEDIAN(-6,LN((C838+0.3)/(D838-C838+0.3)),6)</f>
        <v/>
      </c>
      <c r="F838" s="5">
        <f>SUMPRODUCT(('01_Data'!$B838:$AW838&lt;&gt;"")*(1/(1+EXP(-(E838-'03_Lap_b'!$B$5:$AW$5)))))</f>
        <v/>
      </c>
      <c r="G838" s="5">
        <f>SUMPRODUCT(('01_Data'!$B838:$AW838&lt;&gt;"")*(1/(1+EXP(-(E838-'03_Lap_b'!$B$5:$AW$5))))^2)</f>
        <v/>
      </c>
      <c r="H838" s="5">
        <f>MEDIAN(-6,E838+(C838-F838)/MAX(F838-G838,0.000000001),6)</f>
        <v/>
      </c>
      <c r="I838" s="5">
        <f>SUMPRODUCT(('01_Data'!$B838:$AW838&lt;&gt;"")*(1/(1+EXP(-(H838-'03_Lap_b'!$B$10:$AW$10)))))</f>
        <v/>
      </c>
      <c r="J838" s="5">
        <f>SUMPRODUCT(('01_Data'!$B838:$AW838&lt;&gt;"")*(1/(1+EXP(-(H838-'03_Lap_b'!$B$10:$AW$10))))^2)</f>
        <v/>
      </c>
      <c r="K838" s="5">
        <f>MEDIAN(-6,H838+(C838-I838)/MAX(I838-J838,0.000000001),6)</f>
        <v/>
      </c>
      <c r="L838" s="5">
        <f>SUMPRODUCT(('01_Data'!$B838:$AW838&lt;&gt;"")*(1/(1+EXP(-(K838-'03_Lap_b'!$B$15:$AW$15)))))</f>
        <v/>
      </c>
      <c r="M838" s="5">
        <f>SUMPRODUCT(('01_Data'!$B838:$AW838&lt;&gt;"")*(1/(1+EXP(-(K838-'03_Lap_b'!$B$15:$AW$15))))^2)</f>
        <v/>
      </c>
      <c r="N838" s="5">
        <f>MEDIAN(-6,K838+(C838-L838)/MAX(L838-M838,0.000000001),6)</f>
        <v/>
      </c>
      <c r="O838" s="5">
        <f>SUMPRODUCT(('01_Data'!$B838:$AW838&lt;&gt;"")*(1/(1+EXP(-(N838-'03_Lap_b'!$B$20:$AW$20)))))</f>
        <v/>
      </c>
      <c r="P838" s="5">
        <f>SUMPRODUCT(('01_Data'!$B838:$AW838&lt;&gt;"")*(1/(1+EXP(-(N838-'03_Lap_b'!$B$20:$AW$20))))^2)</f>
        <v/>
      </c>
      <c r="Q838" s="5">
        <f>MEDIAN(-6,N838+(C838-O838)/MAX(O838-P838,0.000000001),6)</f>
        <v/>
      </c>
      <c r="R838" s="5">
        <f>SUMPRODUCT(('01_Data'!$B838:$AW838&lt;&gt;"")*(1/(1+EXP(-(Q838-'03_Lap_b'!$B$25:$AW$25)))))</f>
        <v/>
      </c>
      <c r="S838" s="5">
        <f>SUMPRODUCT(('01_Data'!$B838:$AW838&lt;&gt;"")*(1/(1+EXP(-(Q838-'03_Lap_b'!$B$25:$AW$25))))^2)</f>
        <v/>
      </c>
      <c r="T838" s="5">
        <f>MEDIAN(-6,Q838+(C838-R838)/MAX(R838-S838,0.000000001),6)</f>
        <v/>
      </c>
      <c r="U838" s="5">
        <f>SUMPRODUCT(('01_Data'!$B838:$AW838&lt;&gt;"")*(1/(1+EXP(-(T838-'03_Lap_b'!$B$30:$AW$30)))))</f>
        <v/>
      </c>
      <c r="V838" s="5">
        <f>SUMPRODUCT(('01_Data'!$B838:$AW838&lt;&gt;"")*(1/(1+EXP(-(T838-'03_Lap_b'!$B$30:$AW$30))))^2)</f>
        <v/>
      </c>
      <c r="W838" s="5">
        <f>MEDIAN(-6,T838+(C838-U838)/MAX(U838-V838,0.000000001),6)</f>
        <v/>
      </c>
      <c r="X838" s="5">
        <f>SUMPRODUCT(('01_Data'!$B838:$AW838&lt;&gt;"")*(1/(1+EXP(-(W838-'03_Lap_b'!$B$35:$AW$35)))))</f>
        <v/>
      </c>
      <c r="Y838" s="5">
        <f>SUMPRODUCT(('01_Data'!$B838:$AW838&lt;&gt;"")*(1/(1+EXP(-(W838-'03_Lap_b'!$B$35:$AW$35))))^2)</f>
        <v/>
      </c>
      <c r="Z838" s="5">
        <f>MEDIAN(-6,W838+(C838-X838)/MAX(X838-Y838,0.000000001),6)</f>
        <v/>
      </c>
      <c r="AA838" s="5">
        <f>SUMPRODUCT(('01_Data'!$B838:$AW838&lt;&gt;"")*(1/(1+EXP(-(Z838-'03_Lap_b'!$B$40:$AW$40)))))</f>
        <v/>
      </c>
      <c r="AB838" s="5">
        <f>SUMPRODUCT(('01_Data'!$B838:$AW838&lt;&gt;"")*(1/(1+EXP(-(Z838-'03_Lap_b'!$B$40:$AW$40))))^2)</f>
        <v/>
      </c>
      <c r="AC838" s="5">
        <f>MEDIAN(-6,Z838+(C838-AA838)/MAX(AA838-AB838,0.000000001),6)</f>
        <v/>
      </c>
    </row>
    <row r="839">
      <c r="A839" t="n">
        <v>838</v>
      </c>
      <c r="B839">
        <f>'01_Data'!A839</f>
        <v/>
      </c>
      <c r="C839">
        <f>SUM('01_Data'!$B839:$AW839)</f>
        <v/>
      </c>
      <c r="D839">
        <f>COUNT('01_Data'!$B839:$AW839)</f>
        <v/>
      </c>
      <c r="E839" s="5">
        <f>MEDIAN(-6,LN((C839+0.3)/(D839-C839+0.3)),6)</f>
        <v/>
      </c>
      <c r="F839" s="5">
        <f>SUMPRODUCT(('01_Data'!$B839:$AW839&lt;&gt;"")*(1/(1+EXP(-(E839-'03_Lap_b'!$B$5:$AW$5)))))</f>
        <v/>
      </c>
      <c r="G839" s="5">
        <f>SUMPRODUCT(('01_Data'!$B839:$AW839&lt;&gt;"")*(1/(1+EXP(-(E839-'03_Lap_b'!$B$5:$AW$5))))^2)</f>
        <v/>
      </c>
      <c r="H839" s="5">
        <f>MEDIAN(-6,E839+(C839-F839)/MAX(F839-G839,0.000000001),6)</f>
        <v/>
      </c>
      <c r="I839" s="5">
        <f>SUMPRODUCT(('01_Data'!$B839:$AW839&lt;&gt;"")*(1/(1+EXP(-(H839-'03_Lap_b'!$B$10:$AW$10)))))</f>
        <v/>
      </c>
      <c r="J839" s="5">
        <f>SUMPRODUCT(('01_Data'!$B839:$AW839&lt;&gt;"")*(1/(1+EXP(-(H839-'03_Lap_b'!$B$10:$AW$10))))^2)</f>
        <v/>
      </c>
      <c r="K839" s="5">
        <f>MEDIAN(-6,H839+(C839-I839)/MAX(I839-J839,0.000000001),6)</f>
        <v/>
      </c>
      <c r="L839" s="5">
        <f>SUMPRODUCT(('01_Data'!$B839:$AW839&lt;&gt;"")*(1/(1+EXP(-(K839-'03_Lap_b'!$B$15:$AW$15)))))</f>
        <v/>
      </c>
      <c r="M839" s="5">
        <f>SUMPRODUCT(('01_Data'!$B839:$AW839&lt;&gt;"")*(1/(1+EXP(-(K839-'03_Lap_b'!$B$15:$AW$15))))^2)</f>
        <v/>
      </c>
      <c r="N839" s="5">
        <f>MEDIAN(-6,K839+(C839-L839)/MAX(L839-M839,0.000000001),6)</f>
        <v/>
      </c>
      <c r="O839" s="5">
        <f>SUMPRODUCT(('01_Data'!$B839:$AW839&lt;&gt;"")*(1/(1+EXP(-(N839-'03_Lap_b'!$B$20:$AW$20)))))</f>
        <v/>
      </c>
      <c r="P839" s="5">
        <f>SUMPRODUCT(('01_Data'!$B839:$AW839&lt;&gt;"")*(1/(1+EXP(-(N839-'03_Lap_b'!$B$20:$AW$20))))^2)</f>
        <v/>
      </c>
      <c r="Q839" s="5">
        <f>MEDIAN(-6,N839+(C839-O839)/MAX(O839-P839,0.000000001),6)</f>
        <v/>
      </c>
      <c r="R839" s="5">
        <f>SUMPRODUCT(('01_Data'!$B839:$AW839&lt;&gt;"")*(1/(1+EXP(-(Q839-'03_Lap_b'!$B$25:$AW$25)))))</f>
        <v/>
      </c>
      <c r="S839" s="5">
        <f>SUMPRODUCT(('01_Data'!$B839:$AW839&lt;&gt;"")*(1/(1+EXP(-(Q839-'03_Lap_b'!$B$25:$AW$25))))^2)</f>
        <v/>
      </c>
      <c r="T839" s="5">
        <f>MEDIAN(-6,Q839+(C839-R839)/MAX(R839-S839,0.000000001),6)</f>
        <v/>
      </c>
      <c r="U839" s="5">
        <f>SUMPRODUCT(('01_Data'!$B839:$AW839&lt;&gt;"")*(1/(1+EXP(-(T839-'03_Lap_b'!$B$30:$AW$30)))))</f>
        <v/>
      </c>
      <c r="V839" s="5">
        <f>SUMPRODUCT(('01_Data'!$B839:$AW839&lt;&gt;"")*(1/(1+EXP(-(T839-'03_Lap_b'!$B$30:$AW$30))))^2)</f>
        <v/>
      </c>
      <c r="W839" s="5">
        <f>MEDIAN(-6,T839+(C839-U839)/MAX(U839-V839,0.000000001),6)</f>
        <v/>
      </c>
      <c r="X839" s="5">
        <f>SUMPRODUCT(('01_Data'!$B839:$AW839&lt;&gt;"")*(1/(1+EXP(-(W839-'03_Lap_b'!$B$35:$AW$35)))))</f>
        <v/>
      </c>
      <c r="Y839" s="5">
        <f>SUMPRODUCT(('01_Data'!$B839:$AW839&lt;&gt;"")*(1/(1+EXP(-(W839-'03_Lap_b'!$B$35:$AW$35))))^2)</f>
        <v/>
      </c>
      <c r="Z839" s="5">
        <f>MEDIAN(-6,W839+(C839-X839)/MAX(X839-Y839,0.000000001),6)</f>
        <v/>
      </c>
      <c r="AA839" s="5">
        <f>SUMPRODUCT(('01_Data'!$B839:$AW839&lt;&gt;"")*(1/(1+EXP(-(Z839-'03_Lap_b'!$B$40:$AW$40)))))</f>
        <v/>
      </c>
      <c r="AB839" s="5">
        <f>SUMPRODUCT(('01_Data'!$B839:$AW839&lt;&gt;"")*(1/(1+EXP(-(Z839-'03_Lap_b'!$B$40:$AW$40))))^2)</f>
        <v/>
      </c>
      <c r="AC839" s="5">
        <f>MEDIAN(-6,Z839+(C839-AA839)/MAX(AA839-AB839,0.000000001),6)</f>
        <v/>
      </c>
    </row>
    <row r="840">
      <c r="A840" t="n">
        <v>839</v>
      </c>
      <c r="B840">
        <f>'01_Data'!A840</f>
        <v/>
      </c>
      <c r="C840">
        <f>SUM('01_Data'!$B840:$AW840)</f>
        <v/>
      </c>
      <c r="D840">
        <f>COUNT('01_Data'!$B840:$AW840)</f>
        <v/>
      </c>
      <c r="E840" s="5">
        <f>MEDIAN(-6,LN((C840+0.3)/(D840-C840+0.3)),6)</f>
        <v/>
      </c>
      <c r="F840" s="5">
        <f>SUMPRODUCT(('01_Data'!$B840:$AW840&lt;&gt;"")*(1/(1+EXP(-(E840-'03_Lap_b'!$B$5:$AW$5)))))</f>
        <v/>
      </c>
      <c r="G840" s="5">
        <f>SUMPRODUCT(('01_Data'!$B840:$AW840&lt;&gt;"")*(1/(1+EXP(-(E840-'03_Lap_b'!$B$5:$AW$5))))^2)</f>
        <v/>
      </c>
      <c r="H840" s="5">
        <f>MEDIAN(-6,E840+(C840-F840)/MAX(F840-G840,0.000000001),6)</f>
        <v/>
      </c>
      <c r="I840" s="5">
        <f>SUMPRODUCT(('01_Data'!$B840:$AW840&lt;&gt;"")*(1/(1+EXP(-(H840-'03_Lap_b'!$B$10:$AW$10)))))</f>
        <v/>
      </c>
      <c r="J840" s="5">
        <f>SUMPRODUCT(('01_Data'!$B840:$AW840&lt;&gt;"")*(1/(1+EXP(-(H840-'03_Lap_b'!$B$10:$AW$10))))^2)</f>
        <v/>
      </c>
      <c r="K840" s="5">
        <f>MEDIAN(-6,H840+(C840-I840)/MAX(I840-J840,0.000000001),6)</f>
        <v/>
      </c>
      <c r="L840" s="5">
        <f>SUMPRODUCT(('01_Data'!$B840:$AW840&lt;&gt;"")*(1/(1+EXP(-(K840-'03_Lap_b'!$B$15:$AW$15)))))</f>
        <v/>
      </c>
      <c r="M840" s="5">
        <f>SUMPRODUCT(('01_Data'!$B840:$AW840&lt;&gt;"")*(1/(1+EXP(-(K840-'03_Lap_b'!$B$15:$AW$15))))^2)</f>
        <v/>
      </c>
      <c r="N840" s="5">
        <f>MEDIAN(-6,K840+(C840-L840)/MAX(L840-M840,0.000000001),6)</f>
        <v/>
      </c>
      <c r="O840" s="5">
        <f>SUMPRODUCT(('01_Data'!$B840:$AW840&lt;&gt;"")*(1/(1+EXP(-(N840-'03_Lap_b'!$B$20:$AW$20)))))</f>
        <v/>
      </c>
      <c r="P840" s="5">
        <f>SUMPRODUCT(('01_Data'!$B840:$AW840&lt;&gt;"")*(1/(1+EXP(-(N840-'03_Lap_b'!$B$20:$AW$20))))^2)</f>
        <v/>
      </c>
      <c r="Q840" s="5">
        <f>MEDIAN(-6,N840+(C840-O840)/MAX(O840-P840,0.000000001),6)</f>
        <v/>
      </c>
      <c r="R840" s="5">
        <f>SUMPRODUCT(('01_Data'!$B840:$AW840&lt;&gt;"")*(1/(1+EXP(-(Q840-'03_Lap_b'!$B$25:$AW$25)))))</f>
        <v/>
      </c>
      <c r="S840" s="5">
        <f>SUMPRODUCT(('01_Data'!$B840:$AW840&lt;&gt;"")*(1/(1+EXP(-(Q840-'03_Lap_b'!$B$25:$AW$25))))^2)</f>
        <v/>
      </c>
      <c r="T840" s="5">
        <f>MEDIAN(-6,Q840+(C840-R840)/MAX(R840-S840,0.000000001),6)</f>
        <v/>
      </c>
      <c r="U840" s="5">
        <f>SUMPRODUCT(('01_Data'!$B840:$AW840&lt;&gt;"")*(1/(1+EXP(-(T840-'03_Lap_b'!$B$30:$AW$30)))))</f>
        <v/>
      </c>
      <c r="V840" s="5">
        <f>SUMPRODUCT(('01_Data'!$B840:$AW840&lt;&gt;"")*(1/(1+EXP(-(T840-'03_Lap_b'!$B$30:$AW$30))))^2)</f>
        <v/>
      </c>
      <c r="W840" s="5">
        <f>MEDIAN(-6,T840+(C840-U840)/MAX(U840-V840,0.000000001),6)</f>
        <v/>
      </c>
      <c r="X840" s="5">
        <f>SUMPRODUCT(('01_Data'!$B840:$AW840&lt;&gt;"")*(1/(1+EXP(-(W840-'03_Lap_b'!$B$35:$AW$35)))))</f>
        <v/>
      </c>
      <c r="Y840" s="5">
        <f>SUMPRODUCT(('01_Data'!$B840:$AW840&lt;&gt;"")*(1/(1+EXP(-(W840-'03_Lap_b'!$B$35:$AW$35))))^2)</f>
        <v/>
      </c>
      <c r="Z840" s="5">
        <f>MEDIAN(-6,W840+(C840-X840)/MAX(X840-Y840,0.000000001),6)</f>
        <v/>
      </c>
      <c r="AA840" s="5">
        <f>SUMPRODUCT(('01_Data'!$B840:$AW840&lt;&gt;"")*(1/(1+EXP(-(Z840-'03_Lap_b'!$B$40:$AW$40)))))</f>
        <v/>
      </c>
      <c r="AB840" s="5">
        <f>SUMPRODUCT(('01_Data'!$B840:$AW840&lt;&gt;"")*(1/(1+EXP(-(Z840-'03_Lap_b'!$B$40:$AW$40))))^2)</f>
        <v/>
      </c>
      <c r="AC840" s="5">
        <f>MEDIAN(-6,Z840+(C840-AA840)/MAX(AA840-AB840,0.000000001),6)</f>
        <v/>
      </c>
    </row>
    <row r="841">
      <c r="A841" t="n">
        <v>840</v>
      </c>
      <c r="B841">
        <f>'01_Data'!A841</f>
        <v/>
      </c>
      <c r="C841">
        <f>SUM('01_Data'!$B841:$AW841)</f>
        <v/>
      </c>
      <c r="D841">
        <f>COUNT('01_Data'!$B841:$AW841)</f>
        <v/>
      </c>
      <c r="E841" s="5">
        <f>MEDIAN(-6,LN((C841+0.3)/(D841-C841+0.3)),6)</f>
        <v/>
      </c>
      <c r="F841" s="5">
        <f>SUMPRODUCT(('01_Data'!$B841:$AW841&lt;&gt;"")*(1/(1+EXP(-(E841-'03_Lap_b'!$B$5:$AW$5)))))</f>
        <v/>
      </c>
      <c r="G841" s="5">
        <f>SUMPRODUCT(('01_Data'!$B841:$AW841&lt;&gt;"")*(1/(1+EXP(-(E841-'03_Lap_b'!$B$5:$AW$5))))^2)</f>
        <v/>
      </c>
      <c r="H841" s="5">
        <f>MEDIAN(-6,E841+(C841-F841)/MAX(F841-G841,0.000000001),6)</f>
        <v/>
      </c>
      <c r="I841" s="5">
        <f>SUMPRODUCT(('01_Data'!$B841:$AW841&lt;&gt;"")*(1/(1+EXP(-(H841-'03_Lap_b'!$B$10:$AW$10)))))</f>
        <v/>
      </c>
      <c r="J841" s="5">
        <f>SUMPRODUCT(('01_Data'!$B841:$AW841&lt;&gt;"")*(1/(1+EXP(-(H841-'03_Lap_b'!$B$10:$AW$10))))^2)</f>
        <v/>
      </c>
      <c r="K841" s="5">
        <f>MEDIAN(-6,H841+(C841-I841)/MAX(I841-J841,0.000000001),6)</f>
        <v/>
      </c>
      <c r="L841" s="5">
        <f>SUMPRODUCT(('01_Data'!$B841:$AW841&lt;&gt;"")*(1/(1+EXP(-(K841-'03_Lap_b'!$B$15:$AW$15)))))</f>
        <v/>
      </c>
      <c r="M841" s="5">
        <f>SUMPRODUCT(('01_Data'!$B841:$AW841&lt;&gt;"")*(1/(1+EXP(-(K841-'03_Lap_b'!$B$15:$AW$15))))^2)</f>
        <v/>
      </c>
      <c r="N841" s="5">
        <f>MEDIAN(-6,K841+(C841-L841)/MAX(L841-M841,0.000000001),6)</f>
        <v/>
      </c>
      <c r="O841" s="5">
        <f>SUMPRODUCT(('01_Data'!$B841:$AW841&lt;&gt;"")*(1/(1+EXP(-(N841-'03_Lap_b'!$B$20:$AW$20)))))</f>
        <v/>
      </c>
      <c r="P841" s="5">
        <f>SUMPRODUCT(('01_Data'!$B841:$AW841&lt;&gt;"")*(1/(1+EXP(-(N841-'03_Lap_b'!$B$20:$AW$20))))^2)</f>
        <v/>
      </c>
      <c r="Q841" s="5">
        <f>MEDIAN(-6,N841+(C841-O841)/MAX(O841-P841,0.000000001),6)</f>
        <v/>
      </c>
      <c r="R841" s="5">
        <f>SUMPRODUCT(('01_Data'!$B841:$AW841&lt;&gt;"")*(1/(1+EXP(-(Q841-'03_Lap_b'!$B$25:$AW$25)))))</f>
        <v/>
      </c>
      <c r="S841" s="5">
        <f>SUMPRODUCT(('01_Data'!$B841:$AW841&lt;&gt;"")*(1/(1+EXP(-(Q841-'03_Lap_b'!$B$25:$AW$25))))^2)</f>
        <v/>
      </c>
      <c r="T841" s="5">
        <f>MEDIAN(-6,Q841+(C841-R841)/MAX(R841-S841,0.000000001),6)</f>
        <v/>
      </c>
      <c r="U841" s="5">
        <f>SUMPRODUCT(('01_Data'!$B841:$AW841&lt;&gt;"")*(1/(1+EXP(-(T841-'03_Lap_b'!$B$30:$AW$30)))))</f>
        <v/>
      </c>
      <c r="V841" s="5">
        <f>SUMPRODUCT(('01_Data'!$B841:$AW841&lt;&gt;"")*(1/(1+EXP(-(T841-'03_Lap_b'!$B$30:$AW$30))))^2)</f>
        <v/>
      </c>
      <c r="W841" s="5">
        <f>MEDIAN(-6,T841+(C841-U841)/MAX(U841-V841,0.000000001),6)</f>
        <v/>
      </c>
      <c r="X841" s="5">
        <f>SUMPRODUCT(('01_Data'!$B841:$AW841&lt;&gt;"")*(1/(1+EXP(-(W841-'03_Lap_b'!$B$35:$AW$35)))))</f>
        <v/>
      </c>
      <c r="Y841" s="5">
        <f>SUMPRODUCT(('01_Data'!$B841:$AW841&lt;&gt;"")*(1/(1+EXP(-(W841-'03_Lap_b'!$B$35:$AW$35))))^2)</f>
        <v/>
      </c>
      <c r="Z841" s="5">
        <f>MEDIAN(-6,W841+(C841-X841)/MAX(X841-Y841,0.000000001),6)</f>
        <v/>
      </c>
      <c r="AA841" s="5">
        <f>SUMPRODUCT(('01_Data'!$B841:$AW841&lt;&gt;"")*(1/(1+EXP(-(Z841-'03_Lap_b'!$B$40:$AW$40)))))</f>
        <v/>
      </c>
      <c r="AB841" s="5">
        <f>SUMPRODUCT(('01_Data'!$B841:$AW841&lt;&gt;"")*(1/(1+EXP(-(Z841-'03_Lap_b'!$B$40:$AW$40))))^2)</f>
        <v/>
      </c>
      <c r="AC841" s="5">
        <f>MEDIAN(-6,Z841+(C841-AA841)/MAX(AA841-AB841,0.000000001),6)</f>
        <v/>
      </c>
    </row>
    <row r="842">
      <c r="A842" t="n">
        <v>841</v>
      </c>
      <c r="B842">
        <f>'01_Data'!A842</f>
        <v/>
      </c>
      <c r="C842">
        <f>SUM('01_Data'!$B842:$AW842)</f>
        <v/>
      </c>
      <c r="D842">
        <f>COUNT('01_Data'!$B842:$AW842)</f>
        <v/>
      </c>
      <c r="E842" s="5">
        <f>MEDIAN(-6,LN((C842+0.3)/(D842-C842+0.3)),6)</f>
        <v/>
      </c>
      <c r="F842" s="5">
        <f>SUMPRODUCT(('01_Data'!$B842:$AW842&lt;&gt;"")*(1/(1+EXP(-(E842-'03_Lap_b'!$B$5:$AW$5)))))</f>
        <v/>
      </c>
      <c r="G842" s="5">
        <f>SUMPRODUCT(('01_Data'!$B842:$AW842&lt;&gt;"")*(1/(1+EXP(-(E842-'03_Lap_b'!$B$5:$AW$5))))^2)</f>
        <v/>
      </c>
      <c r="H842" s="5">
        <f>MEDIAN(-6,E842+(C842-F842)/MAX(F842-G842,0.000000001),6)</f>
        <v/>
      </c>
      <c r="I842" s="5">
        <f>SUMPRODUCT(('01_Data'!$B842:$AW842&lt;&gt;"")*(1/(1+EXP(-(H842-'03_Lap_b'!$B$10:$AW$10)))))</f>
        <v/>
      </c>
      <c r="J842" s="5">
        <f>SUMPRODUCT(('01_Data'!$B842:$AW842&lt;&gt;"")*(1/(1+EXP(-(H842-'03_Lap_b'!$B$10:$AW$10))))^2)</f>
        <v/>
      </c>
      <c r="K842" s="5">
        <f>MEDIAN(-6,H842+(C842-I842)/MAX(I842-J842,0.000000001),6)</f>
        <v/>
      </c>
      <c r="L842" s="5">
        <f>SUMPRODUCT(('01_Data'!$B842:$AW842&lt;&gt;"")*(1/(1+EXP(-(K842-'03_Lap_b'!$B$15:$AW$15)))))</f>
        <v/>
      </c>
      <c r="M842" s="5">
        <f>SUMPRODUCT(('01_Data'!$B842:$AW842&lt;&gt;"")*(1/(1+EXP(-(K842-'03_Lap_b'!$B$15:$AW$15))))^2)</f>
        <v/>
      </c>
      <c r="N842" s="5">
        <f>MEDIAN(-6,K842+(C842-L842)/MAX(L842-M842,0.000000001),6)</f>
        <v/>
      </c>
      <c r="O842" s="5">
        <f>SUMPRODUCT(('01_Data'!$B842:$AW842&lt;&gt;"")*(1/(1+EXP(-(N842-'03_Lap_b'!$B$20:$AW$20)))))</f>
        <v/>
      </c>
      <c r="P842" s="5">
        <f>SUMPRODUCT(('01_Data'!$B842:$AW842&lt;&gt;"")*(1/(1+EXP(-(N842-'03_Lap_b'!$B$20:$AW$20))))^2)</f>
        <v/>
      </c>
      <c r="Q842" s="5">
        <f>MEDIAN(-6,N842+(C842-O842)/MAX(O842-P842,0.000000001),6)</f>
        <v/>
      </c>
      <c r="R842" s="5">
        <f>SUMPRODUCT(('01_Data'!$B842:$AW842&lt;&gt;"")*(1/(1+EXP(-(Q842-'03_Lap_b'!$B$25:$AW$25)))))</f>
        <v/>
      </c>
      <c r="S842" s="5">
        <f>SUMPRODUCT(('01_Data'!$B842:$AW842&lt;&gt;"")*(1/(1+EXP(-(Q842-'03_Lap_b'!$B$25:$AW$25))))^2)</f>
        <v/>
      </c>
      <c r="T842" s="5">
        <f>MEDIAN(-6,Q842+(C842-R842)/MAX(R842-S842,0.000000001),6)</f>
        <v/>
      </c>
      <c r="U842" s="5">
        <f>SUMPRODUCT(('01_Data'!$B842:$AW842&lt;&gt;"")*(1/(1+EXP(-(T842-'03_Lap_b'!$B$30:$AW$30)))))</f>
        <v/>
      </c>
      <c r="V842" s="5">
        <f>SUMPRODUCT(('01_Data'!$B842:$AW842&lt;&gt;"")*(1/(1+EXP(-(T842-'03_Lap_b'!$B$30:$AW$30))))^2)</f>
        <v/>
      </c>
      <c r="W842" s="5">
        <f>MEDIAN(-6,T842+(C842-U842)/MAX(U842-V842,0.000000001),6)</f>
        <v/>
      </c>
      <c r="X842" s="5">
        <f>SUMPRODUCT(('01_Data'!$B842:$AW842&lt;&gt;"")*(1/(1+EXP(-(W842-'03_Lap_b'!$B$35:$AW$35)))))</f>
        <v/>
      </c>
      <c r="Y842" s="5">
        <f>SUMPRODUCT(('01_Data'!$B842:$AW842&lt;&gt;"")*(1/(1+EXP(-(W842-'03_Lap_b'!$B$35:$AW$35))))^2)</f>
        <v/>
      </c>
      <c r="Z842" s="5">
        <f>MEDIAN(-6,W842+(C842-X842)/MAX(X842-Y842,0.000000001),6)</f>
        <v/>
      </c>
      <c r="AA842" s="5">
        <f>SUMPRODUCT(('01_Data'!$B842:$AW842&lt;&gt;"")*(1/(1+EXP(-(Z842-'03_Lap_b'!$B$40:$AW$40)))))</f>
        <v/>
      </c>
      <c r="AB842" s="5">
        <f>SUMPRODUCT(('01_Data'!$B842:$AW842&lt;&gt;"")*(1/(1+EXP(-(Z842-'03_Lap_b'!$B$40:$AW$40))))^2)</f>
        <v/>
      </c>
      <c r="AC842" s="5">
        <f>MEDIAN(-6,Z842+(C842-AA842)/MAX(AA842-AB842,0.000000001),6)</f>
        <v/>
      </c>
    </row>
    <row r="843">
      <c r="A843" t="n">
        <v>842</v>
      </c>
      <c r="B843">
        <f>'01_Data'!A843</f>
        <v/>
      </c>
      <c r="C843">
        <f>SUM('01_Data'!$B843:$AW843)</f>
        <v/>
      </c>
      <c r="D843">
        <f>COUNT('01_Data'!$B843:$AW843)</f>
        <v/>
      </c>
      <c r="E843" s="5">
        <f>MEDIAN(-6,LN((C843+0.3)/(D843-C843+0.3)),6)</f>
        <v/>
      </c>
      <c r="F843" s="5">
        <f>SUMPRODUCT(('01_Data'!$B843:$AW843&lt;&gt;"")*(1/(1+EXP(-(E843-'03_Lap_b'!$B$5:$AW$5)))))</f>
        <v/>
      </c>
      <c r="G843" s="5">
        <f>SUMPRODUCT(('01_Data'!$B843:$AW843&lt;&gt;"")*(1/(1+EXP(-(E843-'03_Lap_b'!$B$5:$AW$5))))^2)</f>
        <v/>
      </c>
      <c r="H843" s="5">
        <f>MEDIAN(-6,E843+(C843-F843)/MAX(F843-G843,0.000000001),6)</f>
        <v/>
      </c>
      <c r="I843" s="5">
        <f>SUMPRODUCT(('01_Data'!$B843:$AW843&lt;&gt;"")*(1/(1+EXP(-(H843-'03_Lap_b'!$B$10:$AW$10)))))</f>
        <v/>
      </c>
      <c r="J843" s="5">
        <f>SUMPRODUCT(('01_Data'!$B843:$AW843&lt;&gt;"")*(1/(1+EXP(-(H843-'03_Lap_b'!$B$10:$AW$10))))^2)</f>
        <v/>
      </c>
      <c r="K843" s="5">
        <f>MEDIAN(-6,H843+(C843-I843)/MAX(I843-J843,0.000000001),6)</f>
        <v/>
      </c>
      <c r="L843" s="5">
        <f>SUMPRODUCT(('01_Data'!$B843:$AW843&lt;&gt;"")*(1/(1+EXP(-(K843-'03_Lap_b'!$B$15:$AW$15)))))</f>
        <v/>
      </c>
      <c r="M843" s="5">
        <f>SUMPRODUCT(('01_Data'!$B843:$AW843&lt;&gt;"")*(1/(1+EXP(-(K843-'03_Lap_b'!$B$15:$AW$15))))^2)</f>
        <v/>
      </c>
      <c r="N843" s="5">
        <f>MEDIAN(-6,K843+(C843-L843)/MAX(L843-M843,0.000000001),6)</f>
        <v/>
      </c>
      <c r="O843" s="5">
        <f>SUMPRODUCT(('01_Data'!$B843:$AW843&lt;&gt;"")*(1/(1+EXP(-(N843-'03_Lap_b'!$B$20:$AW$20)))))</f>
        <v/>
      </c>
      <c r="P843" s="5">
        <f>SUMPRODUCT(('01_Data'!$B843:$AW843&lt;&gt;"")*(1/(1+EXP(-(N843-'03_Lap_b'!$B$20:$AW$20))))^2)</f>
        <v/>
      </c>
      <c r="Q843" s="5">
        <f>MEDIAN(-6,N843+(C843-O843)/MAX(O843-P843,0.000000001),6)</f>
        <v/>
      </c>
      <c r="R843" s="5">
        <f>SUMPRODUCT(('01_Data'!$B843:$AW843&lt;&gt;"")*(1/(1+EXP(-(Q843-'03_Lap_b'!$B$25:$AW$25)))))</f>
        <v/>
      </c>
      <c r="S843" s="5">
        <f>SUMPRODUCT(('01_Data'!$B843:$AW843&lt;&gt;"")*(1/(1+EXP(-(Q843-'03_Lap_b'!$B$25:$AW$25))))^2)</f>
        <v/>
      </c>
      <c r="T843" s="5">
        <f>MEDIAN(-6,Q843+(C843-R843)/MAX(R843-S843,0.000000001),6)</f>
        <v/>
      </c>
      <c r="U843" s="5">
        <f>SUMPRODUCT(('01_Data'!$B843:$AW843&lt;&gt;"")*(1/(1+EXP(-(T843-'03_Lap_b'!$B$30:$AW$30)))))</f>
        <v/>
      </c>
      <c r="V843" s="5">
        <f>SUMPRODUCT(('01_Data'!$B843:$AW843&lt;&gt;"")*(1/(1+EXP(-(T843-'03_Lap_b'!$B$30:$AW$30))))^2)</f>
        <v/>
      </c>
      <c r="W843" s="5">
        <f>MEDIAN(-6,T843+(C843-U843)/MAX(U843-V843,0.000000001),6)</f>
        <v/>
      </c>
      <c r="X843" s="5">
        <f>SUMPRODUCT(('01_Data'!$B843:$AW843&lt;&gt;"")*(1/(1+EXP(-(W843-'03_Lap_b'!$B$35:$AW$35)))))</f>
        <v/>
      </c>
      <c r="Y843" s="5">
        <f>SUMPRODUCT(('01_Data'!$B843:$AW843&lt;&gt;"")*(1/(1+EXP(-(W843-'03_Lap_b'!$B$35:$AW$35))))^2)</f>
        <v/>
      </c>
      <c r="Z843" s="5">
        <f>MEDIAN(-6,W843+(C843-X843)/MAX(X843-Y843,0.000000001),6)</f>
        <v/>
      </c>
      <c r="AA843" s="5">
        <f>SUMPRODUCT(('01_Data'!$B843:$AW843&lt;&gt;"")*(1/(1+EXP(-(Z843-'03_Lap_b'!$B$40:$AW$40)))))</f>
        <v/>
      </c>
      <c r="AB843" s="5">
        <f>SUMPRODUCT(('01_Data'!$B843:$AW843&lt;&gt;"")*(1/(1+EXP(-(Z843-'03_Lap_b'!$B$40:$AW$40))))^2)</f>
        <v/>
      </c>
      <c r="AC843" s="5">
        <f>MEDIAN(-6,Z843+(C843-AA843)/MAX(AA843-AB843,0.000000001),6)</f>
        <v/>
      </c>
    </row>
    <row r="844">
      <c r="A844" t="n">
        <v>843</v>
      </c>
      <c r="B844">
        <f>'01_Data'!A844</f>
        <v/>
      </c>
      <c r="C844">
        <f>SUM('01_Data'!$B844:$AW844)</f>
        <v/>
      </c>
      <c r="D844">
        <f>COUNT('01_Data'!$B844:$AW844)</f>
        <v/>
      </c>
      <c r="E844" s="5">
        <f>MEDIAN(-6,LN((C844+0.3)/(D844-C844+0.3)),6)</f>
        <v/>
      </c>
      <c r="F844" s="5">
        <f>SUMPRODUCT(('01_Data'!$B844:$AW844&lt;&gt;"")*(1/(1+EXP(-(E844-'03_Lap_b'!$B$5:$AW$5)))))</f>
        <v/>
      </c>
      <c r="G844" s="5">
        <f>SUMPRODUCT(('01_Data'!$B844:$AW844&lt;&gt;"")*(1/(1+EXP(-(E844-'03_Lap_b'!$B$5:$AW$5))))^2)</f>
        <v/>
      </c>
      <c r="H844" s="5">
        <f>MEDIAN(-6,E844+(C844-F844)/MAX(F844-G844,0.000000001),6)</f>
        <v/>
      </c>
      <c r="I844" s="5">
        <f>SUMPRODUCT(('01_Data'!$B844:$AW844&lt;&gt;"")*(1/(1+EXP(-(H844-'03_Lap_b'!$B$10:$AW$10)))))</f>
        <v/>
      </c>
      <c r="J844" s="5">
        <f>SUMPRODUCT(('01_Data'!$B844:$AW844&lt;&gt;"")*(1/(1+EXP(-(H844-'03_Lap_b'!$B$10:$AW$10))))^2)</f>
        <v/>
      </c>
      <c r="K844" s="5">
        <f>MEDIAN(-6,H844+(C844-I844)/MAX(I844-J844,0.000000001),6)</f>
        <v/>
      </c>
      <c r="L844" s="5">
        <f>SUMPRODUCT(('01_Data'!$B844:$AW844&lt;&gt;"")*(1/(1+EXP(-(K844-'03_Lap_b'!$B$15:$AW$15)))))</f>
        <v/>
      </c>
      <c r="M844" s="5">
        <f>SUMPRODUCT(('01_Data'!$B844:$AW844&lt;&gt;"")*(1/(1+EXP(-(K844-'03_Lap_b'!$B$15:$AW$15))))^2)</f>
        <v/>
      </c>
      <c r="N844" s="5">
        <f>MEDIAN(-6,K844+(C844-L844)/MAX(L844-M844,0.000000001),6)</f>
        <v/>
      </c>
      <c r="O844" s="5">
        <f>SUMPRODUCT(('01_Data'!$B844:$AW844&lt;&gt;"")*(1/(1+EXP(-(N844-'03_Lap_b'!$B$20:$AW$20)))))</f>
        <v/>
      </c>
      <c r="P844" s="5">
        <f>SUMPRODUCT(('01_Data'!$B844:$AW844&lt;&gt;"")*(1/(1+EXP(-(N844-'03_Lap_b'!$B$20:$AW$20))))^2)</f>
        <v/>
      </c>
      <c r="Q844" s="5">
        <f>MEDIAN(-6,N844+(C844-O844)/MAX(O844-P844,0.000000001),6)</f>
        <v/>
      </c>
      <c r="R844" s="5">
        <f>SUMPRODUCT(('01_Data'!$B844:$AW844&lt;&gt;"")*(1/(1+EXP(-(Q844-'03_Lap_b'!$B$25:$AW$25)))))</f>
        <v/>
      </c>
      <c r="S844" s="5">
        <f>SUMPRODUCT(('01_Data'!$B844:$AW844&lt;&gt;"")*(1/(1+EXP(-(Q844-'03_Lap_b'!$B$25:$AW$25))))^2)</f>
        <v/>
      </c>
      <c r="T844" s="5">
        <f>MEDIAN(-6,Q844+(C844-R844)/MAX(R844-S844,0.000000001),6)</f>
        <v/>
      </c>
      <c r="U844" s="5">
        <f>SUMPRODUCT(('01_Data'!$B844:$AW844&lt;&gt;"")*(1/(1+EXP(-(T844-'03_Lap_b'!$B$30:$AW$30)))))</f>
        <v/>
      </c>
      <c r="V844" s="5">
        <f>SUMPRODUCT(('01_Data'!$B844:$AW844&lt;&gt;"")*(1/(1+EXP(-(T844-'03_Lap_b'!$B$30:$AW$30))))^2)</f>
        <v/>
      </c>
      <c r="W844" s="5">
        <f>MEDIAN(-6,T844+(C844-U844)/MAX(U844-V844,0.000000001),6)</f>
        <v/>
      </c>
      <c r="X844" s="5">
        <f>SUMPRODUCT(('01_Data'!$B844:$AW844&lt;&gt;"")*(1/(1+EXP(-(W844-'03_Lap_b'!$B$35:$AW$35)))))</f>
        <v/>
      </c>
      <c r="Y844" s="5">
        <f>SUMPRODUCT(('01_Data'!$B844:$AW844&lt;&gt;"")*(1/(1+EXP(-(W844-'03_Lap_b'!$B$35:$AW$35))))^2)</f>
        <v/>
      </c>
      <c r="Z844" s="5">
        <f>MEDIAN(-6,W844+(C844-X844)/MAX(X844-Y844,0.000000001),6)</f>
        <v/>
      </c>
      <c r="AA844" s="5">
        <f>SUMPRODUCT(('01_Data'!$B844:$AW844&lt;&gt;"")*(1/(1+EXP(-(Z844-'03_Lap_b'!$B$40:$AW$40)))))</f>
        <v/>
      </c>
      <c r="AB844" s="5">
        <f>SUMPRODUCT(('01_Data'!$B844:$AW844&lt;&gt;"")*(1/(1+EXP(-(Z844-'03_Lap_b'!$B$40:$AW$40))))^2)</f>
        <v/>
      </c>
      <c r="AC844" s="5">
        <f>MEDIAN(-6,Z844+(C844-AA844)/MAX(AA844-AB844,0.000000001),6)</f>
        <v/>
      </c>
    </row>
    <row r="845">
      <c r="A845" t="n">
        <v>844</v>
      </c>
      <c r="B845">
        <f>'01_Data'!A845</f>
        <v/>
      </c>
      <c r="C845">
        <f>SUM('01_Data'!$B845:$AW845)</f>
        <v/>
      </c>
      <c r="D845">
        <f>COUNT('01_Data'!$B845:$AW845)</f>
        <v/>
      </c>
      <c r="E845" s="5">
        <f>MEDIAN(-6,LN((C845+0.3)/(D845-C845+0.3)),6)</f>
        <v/>
      </c>
      <c r="F845" s="5">
        <f>SUMPRODUCT(('01_Data'!$B845:$AW845&lt;&gt;"")*(1/(1+EXP(-(E845-'03_Lap_b'!$B$5:$AW$5)))))</f>
        <v/>
      </c>
      <c r="G845" s="5">
        <f>SUMPRODUCT(('01_Data'!$B845:$AW845&lt;&gt;"")*(1/(1+EXP(-(E845-'03_Lap_b'!$B$5:$AW$5))))^2)</f>
        <v/>
      </c>
      <c r="H845" s="5">
        <f>MEDIAN(-6,E845+(C845-F845)/MAX(F845-G845,0.000000001),6)</f>
        <v/>
      </c>
      <c r="I845" s="5">
        <f>SUMPRODUCT(('01_Data'!$B845:$AW845&lt;&gt;"")*(1/(1+EXP(-(H845-'03_Lap_b'!$B$10:$AW$10)))))</f>
        <v/>
      </c>
      <c r="J845" s="5">
        <f>SUMPRODUCT(('01_Data'!$B845:$AW845&lt;&gt;"")*(1/(1+EXP(-(H845-'03_Lap_b'!$B$10:$AW$10))))^2)</f>
        <v/>
      </c>
      <c r="K845" s="5">
        <f>MEDIAN(-6,H845+(C845-I845)/MAX(I845-J845,0.000000001),6)</f>
        <v/>
      </c>
      <c r="L845" s="5">
        <f>SUMPRODUCT(('01_Data'!$B845:$AW845&lt;&gt;"")*(1/(1+EXP(-(K845-'03_Lap_b'!$B$15:$AW$15)))))</f>
        <v/>
      </c>
      <c r="M845" s="5">
        <f>SUMPRODUCT(('01_Data'!$B845:$AW845&lt;&gt;"")*(1/(1+EXP(-(K845-'03_Lap_b'!$B$15:$AW$15))))^2)</f>
        <v/>
      </c>
      <c r="N845" s="5">
        <f>MEDIAN(-6,K845+(C845-L845)/MAX(L845-M845,0.000000001),6)</f>
        <v/>
      </c>
      <c r="O845" s="5">
        <f>SUMPRODUCT(('01_Data'!$B845:$AW845&lt;&gt;"")*(1/(1+EXP(-(N845-'03_Lap_b'!$B$20:$AW$20)))))</f>
        <v/>
      </c>
      <c r="P845" s="5">
        <f>SUMPRODUCT(('01_Data'!$B845:$AW845&lt;&gt;"")*(1/(1+EXP(-(N845-'03_Lap_b'!$B$20:$AW$20))))^2)</f>
        <v/>
      </c>
      <c r="Q845" s="5">
        <f>MEDIAN(-6,N845+(C845-O845)/MAX(O845-P845,0.000000001),6)</f>
        <v/>
      </c>
      <c r="R845" s="5">
        <f>SUMPRODUCT(('01_Data'!$B845:$AW845&lt;&gt;"")*(1/(1+EXP(-(Q845-'03_Lap_b'!$B$25:$AW$25)))))</f>
        <v/>
      </c>
      <c r="S845" s="5">
        <f>SUMPRODUCT(('01_Data'!$B845:$AW845&lt;&gt;"")*(1/(1+EXP(-(Q845-'03_Lap_b'!$B$25:$AW$25))))^2)</f>
        <v/>
      </c>
      <c r="T845" s="5">
        <f>MEDIAN(-6,Q845+(C845-R845)/MAX(R845-S845,0.000000001),6)</f>
        <v/>
      </c>
      <c r="U845" s="5">
        <f>SUMPRODUCT(('01_Data'!$B845:$AW845&lt;&gt;"")*(1/(1+EXP(-(T845-'03_Lap_b'!$B$30:$AW$30)))))</f>
        <v/>
      </c>
      <c r="V845" s="5">
        <f>SUMPRODUCT(('01_Data'!$B845:$AW845&lt;&gt;"")*(1/(1+EXP(-(T845-'03_Lap_b'!$B$30:$AW$30))))^2)</f>
        <v/>
      </c>
      <c r="W845" s="5">
        <f>MEDIAN(-6,T845+(C845-U845)/MAX(U845-V845,0.000000001),6)</f>
        <v/>
      </c>
      <c r="X845" s="5">
        <f>SUMPRODUCT(('01_Data'!$B845:$AW845&lt;&gt;"")*(1/(1+EXP(-(W845-'03_Lap_b'!$B$35:$AW$35)))))</f>
        <v/>
      </c>
      <c r="Y845" s="5">
        <f>SUMPRODUCT(('01_Data'!$B845:$AW845&lt;&gt;"")*(1/(1+EXP(-(W845-'03_Lap_b'!$B$35:$AW$35))))^2)</f>
        <v/>
      </c>
      <c r="Z845" s="5">
        <f>MEDIAN(-6,W845+(C845-X845)/MAX(X845-Y845,0.000000001),6)</f>
        <v/>
      </c>
      <c r="AA845" s="5">
        <f>SUMPRODUCT(('01_Data'!$B845:$AW845&lt;&gt;"")*(1/(1+EXP(-(Z845-'03_Lap_b'!$B$40:$AW$40)))))</f>
        <v/>
      </c>
      <c r="AB845" s="5">
        <f>SUMPRODUCT(('01_Data'!$B845:$AW845&lt;&gt;"")*(1/(1+EXP(-(Z845-'03_Lap_b'!$B$40:$AW$40))))^2)</f>
        <v/>
      </c>
      <c r="AC845" s="5">
        <f>MEDIAN(-6,Z845+(C845-AA845)/MAX(AA845-AB845,0.000000001),6)</f>
        <v/>
      </c>
    </row>
    <row r="846">
      <c r="A846" t="n">
        <v>845</v>
      </c>
      <c r="B846">
        <f>'01_Data'!A846</f>
        <v/>
      </c>
      <c r="C846">
        <f>SUM('01_Data'!$B846:$AW846)</f>
        <v/>
      </c>
      <c r="D846">
        <f>COUNT('01_Data'!$B846:$AW846)</f>
        <v/>
      </c>
      <c r="E846" s="5">
        <f>MEDIAN(-6,LN((C846+0.3)/(D846-C846+0.3)),6)</f>
        <v/>
      </c>
      <c r="F846" s="5">
        <f>SUMPRODUCT(('01_Data'!$B846:$AW846&lt;&gt;"")*(1/(1+EXP(-(E846-'03_Lap_b'!$B$5:$AW$5)))))</f>
        <v/>
      </c>
      <c r="G846" s="5">
        <f>SUMPRODUCT(('01_Data'!$B846:$AW846&lt;&gt;"")*(1/(1+EXP(-(E846-'03_Lap_b'!$B$5:$AW$5))))^2)</f>
        <v/>
      </c>
      <c r="H846" s="5">
        <f>MEDIAN(-6,E846+(C846-F846)/MAX(F846-G846,0.000000001),6)</f>
        <v/>
      </c>
      <c r="I846" s="5">
        <f>SUMPRODUCT(('01_Data'!$B846:$AW846&lt;&gt;"")*(1/(1+EXP(-(H846-'03_Lap_b'!$B$10:$AW$10)))))</f>
        <v/>
      </c>
      <c r="J846" s="5">
        <f>SUMPRODUCT(('01_Data'!$B846:$AW846&lt;&gt;"")*(1/(1+EXP(-(H846-'03_Lap_b'!$B$10:$AW$10))))^2)</f>
        <v/>
      </c>
      <c r="K846" s="5">
        <f>MEDIAN(-6,H846+(C846-I846)/MAX(I846-J846,0.000000001),6)</f>
        <v/>
      </c>
      <c r="L846" s="5">
        <f>SUMPRODUCT(('01_Data'!$B846:$AW846&lt;&gt;"")*(1/(1+EXP(-(K846-'03_Lap_b'!$B$15:$AW$15)))))</f>
        <v/>
      </c>
      <c r="M846" s="5">
        <f>SUMPRODUCT(('01_Data'!$B846:$AW846&lt;&gt;"")*(1/(1+EXP(-(K846-'03_Lap_b'!$B$15:$AW$15))))^2)</f>
        <v/>
      </c>
      <c r="N846" s="5">
        <f>MEDIAN(-6,K846+(C846-L846)/MAX(L846-M846,0.000000001),6)</f>
        <v/>
      </c>
      <c r="O846" s="5">
        <f>SUMPRODUCT(('01_Data'!$B846:$AW846&lt;&gt;"")*(1/(1+EXP(-(N846-'03_Lap_b'!$B$20:$AW$20)))))</f>
        <v/>
      </c>
      <c r="P846" s="5">
        <f>SUMPRODUCT(('01_Data'!$B846:$AW846&lt;&gt;"")*(1/(1+EXP(-(N846-'03_Lap_b'!$B$20:$AW$20))))^2)</f>
        <v/>
      </c>
      <c r="Q846" s="5">
        <f>MEDIAN(-6,N846+(C846-O846)/MAX(O846-P846,0.000000001),6)</f>
        <v/>
      </c>
      <c r="R846" s="5">
        <f>SUMPRODUCT(('01_Data'!$B846:$AW846&lt;&gt;"")*(1/(1+EXP(-(Q846-'03_Lap_b'!$B$25:$AW$25)))))</f>
        <v/>
      </c>
      <c r="S846" s="5">
        <f>SUMPRODUCT(('01_Data'!$B846:$AW846&lt;&gt;"")*(1/(1+EXP(-(Q846-'03_Lap_b'!$B$25:$AW$25))))^2)</f>
        <v/>
      </c>
      <c r="T846" s="5">
        <f>MEDIAN(-6,Q846+(C846-R846)/MAX(R846-S846,0.000000001),6)</f>
        <v/>
      </c>
      <c r="U846" s="5">
        <f>SUMPRODUCT(('01_Data'!$B846:$AW846&lt;&gt;"")*(1/(1+EXP(-(T846-'03_Lap_b'!$B$30:$AW$30)))))</f>
        <v/>
      </c>
      <c r="V846" s="5">
        <f>SUMPRODUCT(('01_Data'!$B846:$AW846&lt;&gt;"")*(1/(1+EXP(-(T846-'03_Lap_b'!$B$30:$AW$30))))^2)</f>
        <v/>
      </c>
      <c r="W846" s="5">
        <f>MEDIAN(-6,T846+(C846-U846)/MAX(U846-V846,0.000000001),6)</f>
        <v/>
      </c>
      <c r="X846" s="5">
        <f>SUMPRODUCT(('01_Data'!$B846:$AW846&lt;&gt;"")*(1/(1+EXP(-(W846-'03_Lap_b'!$B$35:$AW$35)))))</f>
        <v/>
      </c>
      <c r="Y846" s="5">
        <f>SUMPRODUCT(('01_Data'!$B846:$AW846&lt;&gt;"")*(1/(1+EXP(-(W846-'03_Lap_b'!$B$35:$AW$35))))^2)</f>
        <v/>
      </c>
      <c r="Z846" s="5">
        <f>MEDIAN(-6,W846+(C846-X846)/MAX(X846-Y846,0.000000001),6)</f>
        <v/>
      </c>
      <c r="AA846" s="5">
        <f>SUMPRODUCT(('01_Data'!$B846:$AW846&lt;&gt;"")*(1/(1+EXP(-(Z846-'03_Lap_b'!$B$40:$AW$40)))))</f>
        <v/>
      </c>
      <c r="AB846" s="5">
        <f>SUMPRODUCT(('01_Data'!$B846:$AW846&lt;&gt;"")*(1/(1+EXP(-(Z846-'03_Lap_b'!$B$40:$AW$40))))^2)</f>
        <v/>
      </c>
      <c r="AC846" s="5">
        <f>MEDIAN(-6,Z846+(C846-AA846)/MAX(AA846-AB846,0.000000001),6)</f>
        <v/>
      </c>
    </row>
    <row r="847">
      <c r="A847" t="n">
        <v>846</v>
      </c>
      <c r="B847">
        <f>'01_Data'!A847</f>
        <v/>
      </c>
      <c r="C847">
        <f>SUM('01_Data'!$B847:$AW847)</f>
        <v/>
      </c>
      <c r="D847">
        <f>COUNT('01_Data'!$B847:$AW847)</f>
        <v/>
      </c>
      <c r="E847" s="5">
        <f>MEDIAN(-6,LN((C847+0.3)/(D847-C847+0.3)),6)</f>
        <v/>
      </c>
      <c r="F847" s="5">
        <f>SUMPRODUCT(('01_Data'!$B847:$AW847&lt;&gt;"")*(1/(1+EXP(-(E847-'03_Lap_b'!$B$5:$AW$5)))))</f>
        <v/>
      </c>
      <c r="G847" s="5">
        <f>SUMPRODUCT(('01_Data'!$B847:$AW847&lt;&gt;"")*(1/(1+EXP(-(E847-'03_Lap_b'!$B$5:$AW$5))))^2)</f>
        <v/>
      </c>
      <c r="H847" s="5">
        <f>MEDIAN(-6,E847+(C847-F847)/MAX(F847-G847,0.000000001),6)</f>
        <v/>
      </c>
      <c r="I847" s="5">
        <f>SUMPRODUCT(('01_Data'!$B847:$AW847&lt;&gt;"")*(1/(1+EXP(-(H847-'03_Lap_b'!$B$10:$AW$10)))))</f>
        <v/>
      </c>
      <c r="J847" s="5">
        <f>SUMPRODUCT(('01_Data'!$B847:$AW847&lt;&gt;"")*(1/(1+EXP(-(H847-'03_Lap_b'!$B$10:$AW$10))))^2)</f>
        <v/>
      </c>
      <c r="K847" s="5">
        <f>MEDIAN(-6,H847+(C847-I847)/MAX(I847-J847,0.000000001),6)</f>
        <v/>
      </c>
      <c r="L847" s="5">
        <f>SUMPRODUCT(('01_Data'!$B847:$AW847&lt;&gt;"")*(1/(1+EXP(-(K847-'03_Lap_b'!$B$15:$AW$15)))))</f>
        <v/>
      </c>
      <c r="M847" s="5">
        <f>SUMPRODUCT(('01_Data'!$B847:$AW847&lt;&gt;"")*(1/(1+EXP(-(K847-'03_Lap_b'!$B$15:$AW$15))))^2)</f>
        <v/>
      </c>
      <c r="N847" s="5">
        <f>MEDIAN(-6,K847+(C847-L847)/MAX(L847-M847,0.000000001),6)</f>
        <v/>
      </c>
      <c r="O847" s="5">
        <f>SUMPRODUCT(('01_Data'!$B847:$AW847&lt;&gt;"")*(1/(1+EXP(-(N847-'03_Lap_b'!$B$20:$AW$20)))))</f>
        <v/>
      </c>
      <c r="P847" s="5">
        <f>SUMPRODUCT(('01_Data'!$B847:$AW847&lt;&gt;"")*(1/(1+EXP(-(N847-'03_Lap_b'!$B$20:$AW$20))))^2)</f>
        <v/>
      </c>
      <c r="Q847" s="5">
        <f>MEDIAN(-6,N847+(C847-O847)/MAX(O847-P847,0.000000001),6)</f>
        <v/>
      </c>
      <c r="R847" s="5">
        <f>SUMPRODUCT(('01_Data'!$B847:$AW847&lt;&gt;"")*(1/(1+EXP(-(Q847-'03_Lap_b'!$B$25:$AW$25)))))</f>
        <v/>
      </c>
      <c r="S847" s="5">
        <f>SUMPRODUCT(('01_Data'!$B847:$AW847&lt;&gt;"")*(1/(1+EXP(-(Q847-'03_Lap_b'!$B$25:$AW$25))))^2)</f>
        <v/>
      </c>
      <c r="T847" s="5">
        <f>MEDIAN(-6,Q847+(C847-R847)/MAX(R847-S847,0.000000001),6)</f>
        <v/>
      </c>
      <c r="U847" s="5">
        <f>SUMPRODUCT(('01_Data'!$B847:$AW847&lt;&gt;"")*(1/(1+EXP(-(T847-'03_Lap_b'!$B$30:$AW$30)))))</f>
        <v/>
      </c>
      <c r="V847" s="5">
        <f>SUMPRODUCT(('01_Data'!$B847:$AW847&lt;&gt;"")*(1/(1+EXP(-(T847-'03_Lap_b'!$B$30:$AW$30))))^2)</f>
        <v/>
      </c>
      <c r="W847" s="5">
        <f>MEDIAN(-6,T847+(C847-U847)/MAX(U847-V847,0.000000001),6)</f>
        <v/>
      </c>
      <c r="X847" s="5">
        <f>SUMPRODUCT(('01_Data'!$B847:$AW847&lt;&gt;"")*(1/(1+EXP(-(W847-'03_Lap_b'!$B$35:$AW$35)))))</f>
        <v/>
      </c>
      <c r="Y847" s="5">
        <f>SUMPRODUCT(('01_Data'!$B847:$AW847&lt;&gt;"")*(1/(1+EXP(-(W847-'03_Lap_b'!$B$35:$AW$35))))^2)</f>
        <v/>
      </c>
      <c r="Z847" s="5">
        <f>MEDIAN(-6,W847+(C847-X847)/MAX(X847-Y847,0.000000001),6)</f>
        <v/>
      </c>
      <c r="AA847" s="5">
        <f>SUMPRODUCT(('01_Data'!$B847:$AW847&lt;&gt;"")*(1/(1+EXP(-(Z847-'03_Lap_b'!$B$40:$AW$40)))))</f>
        <v/>
      </c>
      <c r="AB847" s="5">
        <f>SUMPRODUCT(('01_Data'!$B847:$AW847&lt;&gt;"")*(1/(1+EXP(-(Z847-'03_Lap_b'!$B$40:$AW$40))))^2)</f>
        <v/>
      </c>
      <c r="AC847" s="5">
        <f>MEDIAN(-6,Z847+(C847-AA847)/MAX(AA847-AB847,0.000000001),6)</f>
        <v/>
      </c>
    </row>
    <row r="848">
      <c r="A848" t="n">
        <v>847</v>
      </c>
      <c r="B848">
        <f>'01_Data'!A848</f>
        <v/>
      </c>
      <c r="C848">
        <f>SUM('01_Data'!$B848:$AW848)</f>
        <v/>
      </c>
      <c r="D848">
        <f>COUNT('01_Data'!$B848:$AW848)</f>
        <v/>
      </c>
      <c r="E848" s="5">
        <f>MEDIAN(-6,LN((C848+0.3)/(D848-C848+0.3)),6)</f>
        <v/>
      </c>
      <c r="F848" s="5">
        <f>SUMPRODUCT(('01_Data'!$B848:$AW848&lt;&gt;"")*(1/(1+EXP(-(E848-'03_Lap_b'!$B$5:$AW$5)))))</f>
        <v/>
      </c>
      <c r="G848" s="5">
        <f>SUMPRODUCT(('01_Data'!$B848:$AW848&lt;&gt;"")*(1/(1+EXP(-(E848-'03_Lap_b'!$B$5:$AW$5))))^2)</f>
        <v/>
      </c>
      <c r="H848" s="5">
        <f>MEDIAN(-6,E848+(C848-F848)/MAX(F848-G848,0.000000001),6)</f>
        <v/>
      </c>
      <c r="I848" s="5">
        <f>SUMPRODUCT(('01_Data'!$B848:$AW848&lt;&gt;"")*(1/(1+EXP(-(H848-'03_Lap_b'!$B$10:$AW$10)))))</f>
        <v/>
      </c>
      <c r="J848" s="5">
        <f>SUMPRODUCT(('01_Data'!$B848:$AW848&lt;&gt;"")*(1/(1+EXP(-(H848-'03_Lap_b'!$B$10:$AW$10))))^2)</f>
        <v/>
      </c>
      <c r="K848" s="5">
        <f>MEDIAN(-6,H848+(C848-I848)/MAX(I848-J848,0.000000001),6)</f>
        <v/>
      </c>
      <c r="L848" s="5">
        <f>SUMPRODUCT(('01_Data'!$B848:$AW848&lt;&gt;"")*(1/(1+EXP(-(K848-'03_Lap_b'!$B$15:$AW$15)))))</f>
        <v/>
      </c>
      <c r="M848" s="5">
        <f>SUMPRODUCT(('01_Data'!$B848:$AW848&lt;&gt;"")*(1/(1+EXP(-(K848-'03_Lap_b'!$B$15:$AW$15))))^2)</f>
        <v/>
      </c>
      <c r="N848" s="5">
        <f>MEDIAN(-6,K848+(C848-L848)/MAX(L848-M848,0.000000001),6)</f>
        <v/>
      </c>
      <c r="O848" s="5">
        <f>SUMPRODUCT(('01_Data'!$B848:$AW848&lt;&gt;"")*(1/(1+EXP(-(N848-'03_Lap_b'!$B$20:$AW$20)))))</f>
        <v/>
      </c>
      <c r="P848" s="5">
        <f>SUMPRODUCT(('01_Data'!$B848:$AW848&lt;&gt;"")*(1/(1+EXP(-(N848-'03_Lap_b'!$B$20:$AW$20))))^2)</f>
        <v/>
      </c>
      <c r="Q848" s="5">
        <f>MEDIAN(-6,N848+(C848-O848)/MAX(O848-P848,0.000000001),6)</f>
        <v/>
      </c>
      <c r="R848" s="5">
        <f>SUMPRODUCT(('01_Data'!$B848:$AW848&lt;&gt;"")*(1/(1+EXP(-(Q848-'03_Lap_b'!$B$25:$AW$25)))))</f>
        <v/>
      </c>
      <c r="S848" s="5">
        <f>SUMPRODUCT(('01_Data'!$B848:$AW848&lt;&gt;"")*(1/(1+EXP(-(Q848-'03_Lap_b'!$B$25:$AW$25))))^2)</f>
        <v/>
      </c>
      <c r="T848" s="5">
        <f>MEDIAN(-6,Q848+(C848-R848)/MAX(R848-S848,0.000000001),6)</f>
        <v/>
      </c>
      <c r="U848" s="5">
        <f>SUMPRODUCT(('01_Data'!$B848:$AW848&lt;&gt;"")*(1/(1+EXP(-(T848-'03_Lap_b'!$B$30:$AW$30)))))</f>
        <v/>
      </c>
      <c r="V848" s="5">
        <f>SUMPRODUCT(('01_Data'!$B848:$AW848&lt;&gt;"")*(1/(1+EXP(-(T848-'03_Lap_b'!$B$30:$AW$30))))^2)</f>
        <v/>
      </c>
      <c r="W848" s="5">
        <f>MEDIAN(-6,T848+(C848-U848)/MAX(U848-V848,0.000000001),6)</f>
        <v/>
      </c>
      <c r="X848" s="5">
        <f>SUMPRODUCT(('01_Data'!$B848:$AW848&lt;&gt;"")*(1/(1+EXP(-(W848-'03_Lap_b'!$B$35:$AW$35)))))</f>
        <v/>
      </c>
      <c r="Y848" s="5">
        <f>SUMPRODUCT(('01_Data'!$B848:$AW848&lt;&gt;"")*(1/(1+EXP(-(W848-'03_Lap_b'!$B$35:$AW$35))))^2)</f>
        <v/>
      </c>
      <c r="Z848" s="5">
        <f>MEDIAN(-6,W848+(C848-X848)/MAX(X848-Y848,0.000000001),6)</f>
        <v/>
      </c>
      <c r="AA848" s="5">
        <f>SUMPRODUCT(('01_Data'!$B848:$AW848&lt;&gt;"")*(1/(1+EXP(-(Z848-'03_Lap_b'!$B$40:$AW$40)))))</f>
        <v/>
      </c>
      <c r="AB848" s="5">
        <f>SUMPRODUCT(('01_Data'!$B848:$AW848&lt;&gt;"")*(1/(1+EXP(-(Z848-'03_Lap_b'!$B$40:$AW$40))))^2)</f>
        <v/>
      </c>
      <c r="AC848" s="5">
        <f>MEDIAN(-6,Z848+(C848-AA848)/MAX(AA848-AB848,0.000000001),6)</f>
        <v/>
      </c>
    </row>
    <row r="849">
      <c r="A849" t="n">
        <v>848</v>
      </c>
      <c r="B849">
        <f>'01_Data'!A849</f>
        <v/>
      </c>
      <c r="C849">
        <f>SUM('01_Data'!$B849:$AW849)</f>
        <v/>
      </c>
      <c r="D849">
        <f>COUNT('01_Data'!$B849:$AW849)</f>
        <v/>
      </c>
      <c r="E849" s="5">
        <f>MEDIAN(-6,LN((C849+0.3)/(D849-C849+0.3)),6)</f>
        <v/>
      </c>
      <c r="F849" s="5">
        <f>SUMPRODUCT(('01_Data'!$B849:$AW849&lt;&gt;"")*(1/(1+EXP(-(E849-'03_Lap_b'!$B$5:$AW$5)))))</f>
        <v/>
      </c>
      <c r="G849" s="5">
        <f>SUMPRODUCT(('01_Data'!$B849:$AW849&lt;&gt;"")*(1/(1+EXP(-(E849-'03_Lap_b'!$B$5:$AW$5))))^2)</f>
        <v/>
      </c>
      <c r="H849" s="5">
        <f>MEDIAN(-6,E849+(C849-F849)/MAX(F849-G849,0.000000001),6)</f>
        <v/>
      </c>
      <c r="I849" s="5">
        <f>SUMPRODUCT(('01_Data'!$B849:$AW849&lt;&gt;"")*(1/(1+EXP(-(H849-'03_Lap_b'!$B$10:$AW$10)))))</f>
        <v/>
      </c>
      <c r="J849" s="5">
        <f>SUMPRODUCT(('01_Data'!$B849:$AW849&lt;&gt;"")*(1/(1+EXP(-(H849-'03_Lap_b'!$B$10:$AW$10))))^2)</f>
        <v/>
      </c>
      <c r="K849" s="5">
        <f>MEDIAN(-6,H849+(C849-I849)/MAX(I849-J849,0.000000001),6)</f>
        <v/>
      </c>
      <c r="L849" s="5">
        <f>SUMPRODUCT(('01_Data'!$B849:$AW849&lt;&gt;"")*(1/(1+EXP(-(K849-'03_Lap_b'!$B$15:$AW$15)))))</f>
        <v/>
      </c>
      <c r="M849" s="5">
        <f>SUMPRODUCT(('01_Data'!$B849:$AW849&lt;&gt;"")*(1/(1+EXP(-(K849-'03_Lap_b'!$B$15:$AW$15))))^2)</f>
        <v/>
      </c>
      <c r="N849" s="5">
        <f>MEDIAN(-6,K849+(C849-L849)/MAX(L849-M849,0.000000001),6)</f>
        <v/>
      </c>
      <c r="O849" s="5">
        <f>SUMPRODUCT(('01_Data'!$B849:$AW849&lt;&gt;"")*(1/(1+EXP(-(N849-'03_Lap_b'!$B$20:$AW$20)))))</f>
        <v/>
      </c>
      <c r="P849" s="5">
        <f>SUMPRODUCT(('01_Data'!$B849:$AW849&lt;&gt;"")*(1/(1+EXP(-(N849-'03_Lap_b'!$B$20:$AW$20))))^2)</f>
        <v/>
      </c>
      <c r="Q849" s="5">
        <f>MEDIAN(-6,N849+(C849-O849)/MAX(O849-P849,0.000000001),6)</f>
        <v/>
      </c>
      <c r="R849" s="5">
        <f>SUMPRODUCT(('01_Data'!$B849:$AW849&lt;&gt;"")*(1/(1+EXP(-(Q849-'03_Lap_b'!$B$25:$AW$25)))))</f>
        <v/>
      </c>
      <c r="S849" s="5">
        <f>SUMPRODUCT(('01_Data'!$B849:$AW849&lt;&gt;"")*(1/(1+EXP(-(Q849-'03_Lap_b'!$B$25:$AW$25))))^2)</f>
        <v/>
      </c>
      <c r="T849" s="5">
        <f>MEDIAN(-6,Q849+(C849-R849)/MAX(R849-S849,0.000000001),6)</f>
        <v/>
      </c>
      <c r="U849" s="5">
        <f>SUMPRODUCT(('01_Data'!$B849:$AW849&lt;&gt;"")*(1/(1+EXP(-(T849-'03_Lap_b'!$B$30:$AW$30)))))</f>
        <v/>
      </c>
      <c r="V849" s="5">
        <f>SUMPRODUCT(('01_Data'!$B849:$AW849&lt;&gt;"")*(1/(1+EXP(-(T849-'03_Lap_b'!$B$30:$AW$30))))^2)</f>
        <v/>
      </c>
      <c r="W849" s="5">
        <f>MEDIAN(-6,T849+(C849-U849)/MAX(U849-V849,0.000000001),6)</f>
        <v/>
      </c>
      <c r="X849" s="5">
        <f>SUMPRODUCT(('01_Data'!$B849:$AW849&lt;&gt;"")*(1/(1+EXP(-(W849-'03_Lap_b'!$B$35:$AW$35)))))</f>
        <v/>
      </c>
      <c r="Y849" s="5">
        <f>SUMPRODUCT(('01_Data'!$B849:$AW849&lt;&gt;"")*(1/(1+EXP(-(W849-'03_Lap_b'!$B$35:$AW$35))))^2)</f>
        <v/>
      </c>
      <c r="Z849" s="5">
        <f>MEDIAN(-6,W849+(C849-X849)/MAX(X849-Y849,0.000000001),6)</f>
        <v/>
      </c>
      <c r="AA849" s="5">
        <f>SUMPRODUCT(('01_Data'!$B849:$AW849&lt;&gt;"")*(1/(1+EXP(-(Z849-'03_Lap_b'!$B$40:$AW$40)))))</f>
        <v/>
      </c>
      <c r="AB849" s="5">
        <f>SUMPRODUCT(('01_Data'!$B849:$AW849&lt;&gt;"")*(1/(1+EXP(-(Z849-'03_Lap_b'!$B$40:$AW$40))))^2)</f>
        <v/>
      </c>
      <c r="AC849" s="5">
        <f>MEDIAN(-6,Z849+(C849-AA849)/MAX(AA849-AB849,0.000000001),6)</f>
        <v/>
      </c>
    </row>
    <row r="850">
      <c r="A850" t="n">
        <v>849</v>
      </c>
      <c r="B850">
        <f>'01_Data'!A850</f>
        <v/>
      </c>
      <c r="C850">
        <f>SUM('01_Data'!$B850:$AW850)</f>
        <v/>
      </c>
      <c r="D850">
        <f>COUNT('01_Data'!$B850:$AW850)</f>
        <v/>
      </c>
      <c r="E850" s="5">
        <f>MEDIAN(-6,LN((C850+0.3)/(D850-C850+0.3)),6)</f>
        <v/>
      </c>
      <c r="F850" s="5">
        <f>SUMPRODUCT(('01_Data'!$B850:$AW850&lt;&gt;"")*(1/(1+EXP(-(E850-'03_Lap_b'!$B$5:$AW$5)))))</f>
        <v/>
      </c>
      <c r="G850" s="5">
        <f>SUMPRODUCT(('01_Data'!$B850:$AW850&lt;&gt;"")*(1/(1+EXP(-(E850-'03_Lap_b'!$B$5:$AW$5))))^2)</f>
        <v/>
      </c>
      <c r="H850" s="5">
        <f>MEDIAN(-6,E850+(C850-F850)/MAX(F850-G850,0.000000001),6)</f>
        <v/>
      </c>
      <c r="I850" s="5">
        <f>SUMPRODUCT(('01_Data'!$B850:$AW850&lt;&gt;"")*(1/(1+EXP(-(H850-'03_Lap_b'!$B$10:$AW$10)))))</f>
        <v/>
      </c>
      <c r="J850" s="5">
        <f>SUMPRODUCT(('01_Data'!$B850:$AW850&lt;&gt;"")*(1/(1+EXP(-(H850-'03_Lap_b'!$B$10:$AW$10))))^2)</f>
        <v/>
      </c>
      <c r="K850" s="5">
        <f>MEDIAN(-6,H850+(C850-I850)/MAX(I850-J850,0.000000001),6)</f>
        <v/>
      </c>
      <c r="L850" s="5">
        <f>SUMPRODUCT(('01_Data'!$B850:$AW850&lt;&gt;"")*(1/(1+EXP(-(K850-'03_Lap_b'!$B$15:$AW$15)))))</f>
        <v/>
      </c>
      <c r="M850" s="5">
        <f>SUMPRODUCT(('01_Data'!$B850:$AW850&lt;&gt;"")*(1/(1+EXP(-(K850-'03_Lap_b'!$B$15:$AW$15))))^2)</f>
        <v/>
      </c>
      <c r="N850" s="5">
        <f>MEDIAN(-6,K850+(C850-L850)/MAX(L850-M850,0.000000001),6)</f>
        <v/>
      </c>
      <c r="O850" s="5">
        <f>SUMPRODUCT(('01_Data'!$B850:$AW850&lt;&gt;"")*(1/(1+EXP(-(N850-'03_Lap_b'!$B$20:$AW$20)))))</f>
        <v/>
      </c>
      <c r="P850" s="5">
        <f>SUMPRODUCT(('01_Data'!$B850:$AW850&lt;&gt;"")*(1/(1+EXP(-(N850-'03_Lap_b'!$B$20:$AW$20))))^2)</f>
        <v/>
      </c>
      <c r="Q850" s="5">
        <f>MEDIAN(-6,N850+(C850-O850)/MAX(O850-P850,0.000000001),6)</f>
        <v/>
      </c>
      <c r="R850" s="5">
        <f>SUMPRODUCT(('01_Data'!$B850:$AW850&lt;&gt;"")*(1/(1+EXP(-(Q850-'03_Lap_b'!$B$25:$AW$25)))))</f>
        <v/>
      </c>
      <c r="S850" s="5">
        <f>SUMPRODUCT(('01_Data'!$B850:$AW850&lt;&gt;"")*(1/(1+EXP(-(Q850-'03_Lap_b'!$B$25:$AW$25))))^2)</f>
        <v/>
      </c>
      <c r="T850" s="5">
        <f>MEDIAN(-6,Q850+(C850-R850)/MAX(R850-S850,0.000000001),6)</f>
        <v/>
      </c>
      <c r="U850" s="5">
        <f>SUMPRODUCT(('01_Data'!$B850:$AW850&lt;&gt;"")*(1/(1+EXP(-(T850-'03_Lap_b'!$B$30:$AW$30)))))</f>
        <v/>
      </c>
      <c r="V850" s="5">
        <f>SUMPRODUCT(('01_Data'!$B850:$AW850&lt;&gt;"")*(1/(1+EXP(-(T850-'03_Lap_b'!$B$30:$AW$30))))^2)</f>
        <v/>
      </c>
      <c r="W850" s="5">
        <f>MEDIAN(-6,T850+(C850-U850)/MAX(U850-V850,0.000000001),6)</f>
        <v/>
      </c>
      <c r="X850" s="5">
        <f>SUMPRODUCT(('01_Data'!$B850:$AW850&lt;&gt;"")*(1/(1+EXP(-(W850-'03_Lap_b'!$B$35:$AW$35)))))</f>
        <v/>
      </c>
      <c r="Y850" s="5">
        <f>SUMPRODUCT(('01_Data'!$B850:$AW850&lt;&gt;"")*(1/(1+EXP(-(W850-'03_Lap_b'!$B$35:$AW$35))))^2)</f>
        <v/>
      </c>
      <c r="Z850" s="5">
        <f>MEDIAN(-6,W850+(C850-X850)/MAX(X850-Y850,0.000000001),6)</f>
        <v/>
      </c>
      <c r="AA850" s="5">
        <f>SUMPRODUCT(('01_Data'!$B850:$AW850&lt;&gt;"")*(1/(1+EXP(-(Z850-'03_Lap_b'!$B$40:$AW$40)))))</f>
        <v/>
      </c>
      <c r="AB850" s="5">
        <f>SUMPRODUCT(('01_Data'!$B850:$AW850&lt;&gt;"")*(1/(1+EXP(-(Z850-'03_Lap_b'!$B$40:$AW$40))))^2)</f>
        <v/>
      </c>
      <c r="AC850" s="5">
        <f>MEDIAN(-6,Z850+(C850-AA850)/MAX(AA850-AB850,0.000000001),6)</f>
        <v/>
      </c>
    </row>
    <row r="851">
      <c r="A851" t="n">
        <v>850</v>
      </c>
      <c r="B851">
        <f>'01_Data'!A851</f>
        <v/>
      </c>
      <c r="C851">
        <f>SUM('01_Data'!$B851:$AW851)</f>
        <v/>
      </c>
      <c r="D851">
        <f>COUNT('01_Data'!$B851:$AW851)</f>
        <v/>
      </c>
      <c r="E851" s="5">
        <f>MEDIAN(-6,LN((C851+0.3)/(D851-C851+0.3)),6)</f>
        <v/>
      </c>
      <c r="F851" s="5">
        <f>SUMPRODUCT(('01_Data'!$B851:$AW851&lt;&gt;"")*(1/(1+EXP(-(E851-'03_Lap_b'!$B$5:$AW$5)))))</f>
        <v/>
      </c>
      <c r="G851" s="5">
        <f>SUMPRODUCT(('01_Data'!$B851:$AW851&lt;&gt;"")*(1/(1+EXP(-(E851-'03_Lap_b'!$B$5:$AW$5))))^2)</f>
        <v/>
      </c>
      <c r="H851" s="5">
        <f>MEDIAN(-6,E851+(C851-F851)/MAX(F851-G851,0.000000001),6)</f>
        <v/>
      </c>
      <c r="I851" s="5">
        <f>SUMPRODUCT(('01_Data'!$B851:$AW851&lt;&gt;"")*(1/(1+EXP(-(H851-'03_Lap_b'!$B$10:$AW$10)))))</f>
        <v/>
      </c>
      <c r="J851" s="5">
        <f>SUMPRODUCT(('01_Data'!$B851:$AW851&lt;&gt;"")*(1/(1+EXP(-(H851-'03_Lap_b'!$B$10:$AW$10))))^2)</f>
        <v/>
      </c>
      <c r="K851" s="5">
        <f>MEDIAN(-6,H851+(C851-I851)/MAX(I851-J851,0.000000001),6)</f>
        <v/>
      </c>
      <c r="L851" s="5">
        <f>SUMPRODUCT(('01_Data'!$B851:$AW851&lt;&gt;"")*(1/(1+EXP(-(K851-'03_Lap_b'!$B$15:$AW$15)))))</f>
        <v/>
      </c>
      <c r="M851" s="5">
        <f>SUMPRODUCT(('01_Data'!$B851:$AW851&lt;&gt;"")*(1/(1+EXP(-(K851-'03_Lap_b'!$B$15:$AW$15))))^2)</f>
        <v/>
      </c>
      <c r="N851" s="5">
        <f>MEDIAN(-6,K851+(C851-L851)/MAX(L851-M851,0.000000001),6)</f>
        <v/>
      </c>
      <c r="O851" s="5">
        <f>SUMPRODUCT(('01_Data'!$B851:$AW851&lt;&gt;"")*(1/(1+EXP(-(N851-'03_Lap_b'!$B$20:$AW$20)))))</f>
        <v/>
      </c>
      <c r="P851" s="5">
        <f>SUMPRODUCT(('01_Data'!$B851:$AW851&lt;&gt;"")*(1/(1+EXP(-(N851-'03_Lap_b'!$B$20:$AW$20))))^2)</f>
        <v/>
      </c>
      <c r="Q851" s="5">
        <f>MEDIAN(-6,N851+(C851-O851)/MAX(O851-P851,0.000000001),6)</f>
        <v/>
      </c>
      <c r="R851" s="5">
        <f>SUMPRODUCT(('01_Data'!$B851:$AW851&lt;&gt;"")*(1/(1+EXP(-(Q851-'03_Lap_b'!$B$25:$AW$25)))))</f>
        <v/>
      </c>
      <c r="S851" s="5">
        <f>SUMPRODUCT(('01_Data'!$B851:$AW851&lt;&gt;"")*(1/(1+EXP(-(Q851-'03_Lap_b'!$B$25:$AW$25))))^2)</f>
        <v/>
      </c>
      <c r="T851" s="5">
        <f>MEDIAN(-6,Q851+(C851-R851)/MAX(R851-S851,0.000000001),6)</f>
        <v/>
      </c>
      <c r="U851" s="5">
        <f>SUMPRODUCT(('01_Data'!$B851:$AW851&lt;&gt;"")*(1/(1+EXP(-(T851-'03_Lap_b'!$B$30:$AW$30)))))</f>
        <v/>
      </c>
      <c r="V851" s="5">
        <f>SUMPRODUCT(('01_Data'!$B851:$AW851&lt;&gt;"")*(1/(1+EXP(-(T851-'03_Lap_b'!$B$30:$AW$30))))^2)</f>
        <v/>
      </c>
      <c r="W851" s="5">
        <f>MEDIAN(-6,T851+(C851-U851)/MAX(U851-V851,0.000000001),6)</f>
        <v/>
      </c>
      <c r="X851" s="5">
        <f>SUMPRODUCT(('01_Data'!$B851:$AW851&lt;&gt;"")*(1/(1+EXP(-(W851-'03_Lap_b'!$B$35:$AW$35)))))</f>
        <v/>
      </c>
      <c r="Y851" s="5">
        <f>SUMPRODUCT(('01_Data'!$B851:$AW851&lt;&gt;"")*(1/(1+EXP(-(W851-'03_Lap_b'!$B$35:$AW$35))))^2)</f>
        <v/>
      </c>
      <c r="Z851" s="5">
        <f>MEDIAN(-6,W851+(C851-X851)/MAX(X851-Y851,0.000000001),6)</f>
        <v/>
      </c>
      <c r="AA851" s="5">
        <f>SUMPRODUCT(('01_Data'!$B851:$AW851&lt;&gt;"")*(1/(1+EXP(-(Z851-'03_Lap_b'!$B$40:$AW$40)))))</f>
        <v/>
      </c>
      <c r="AB851" s="5">
        <f>SUMPRODUCT(('01_Data'!$B851:$AW851&lt;&gt;"")*(1/(1+EXP(-(Z851-'03_Lap_b'!$B$40:$AW$40))))^2)</f>
        <v/>
      </c>
      <c r="AC851" s="5">
        <f>MEDIAN(-6,Z851+(C851-AA851)/MAX(AA851-AB851,0.000000001),6)</f>
        <v/>
      </c>
    </row>
    <row r="852">
      <c r="A852" t="n">
        <v>851</v>
      </c>
      <c r="B852">
        <f>'01_Data'!A852</f>
        <v/>
      </c>
      <c r="C852">
        <f>SUM('01_Data'!$B852:$AW852)</f>
        <v/>
      </c>
      <c r="D852">
        <f>COUNT('01_Data'!$B852:$AW852)</f>
        <v/>
      </c>
      <c r="E852" s="5">
        <f>MEDIAN(-6,LN((C852+0.3)/(D852-C852+0.3)),6)</f>
        <v/>
      </c>
      <c r="F852" s="5">
        <f>SUMPRODUCT(('01_Data'!$B852:$AW852&lt;&gt;"")*(1/(1+EXP(-(E852-'03_Lap_b'!$B$5:$AW$5)))))</f>
        <v/>
      </c>
      <c r="G852" s="5">
        <f>SUMPRODUCT(('01_Data'!$B852:$AW852&lt;&gt;"")*(1/(1+EXP(-(E852-'03_Lap_b'!$B$5:$AW$5))))^2)</f>
        <v/>
      </c>
      <c r="H852" s="5">
        <f>MEDIAN(-6,E852+(C852-F852)/MAX(F852-G852,0.000000001),6)</f>
        <v/>
      </c>
      <c r="I852" s="5">
        <f>SUMPRODUCT(('01_Data'!$B852:$AW852&lt;&gt;"")*(1/(1+EXP(-(H852-'03_Lap_b'!$B$10:$AW$10)))))</f>
        <v/>
      </c>
      <c r="J852" s="5">
        <f>SUMPRODUCT(('01_Data'!$B852:$AW852&lt;&gt;"")*(1/(1+EXP(-(H852-'03_Lap_b'!$B$10:$AW$10))))^2)</f>
        <v/>
      </c>
      <c r="K852" s="5">
        <f>MEDIAN(-6,H852+(C852-I852)/MAX(I852-J852,0.000000001),6)</f>
        <v/>
      </c>
      <c r="L852" s="5">
        <f>SUMPRODUCT(('01_Data'!$B852:$AW852&lt;&gt;"")*(1/(1+EXP(-(K852-'03_Lap_b'!$B$15:$AW$15)))))</f>
        <v/>
      </c>
      <c r="M852" s="5">
        <f>SUMPRODUCT(('01_Data'!$B852:$AW852&lt;&gt;"")*(1/(1+EXP(-(K852-'03_Lap_b'!$B$15:$AW$15))))^2)</f>
        <v/>
      </c>
      <c r="N852" s="5">
        <f>MEDIAN(-6,K852+(C852-L852)/MAX(L852-M852,0.000000001),6)</f>
        <v/>
      </c>
      <c r="O852" s="5">
        <f>SUMPRODUCT(('01_Data'!$B852:$AW852&lt;&gt;"")*(1/(1+EXP(-(N852-'03_Lap_b'!$B$20:$AW$20)))))</f>
        <v/>
      </c>
      <c r="P852" s="5">
        <f>SUMPRODUCT(('01_Data'!$B852:$AW852&lt;&gt;"")*(1/(1+EXP(-(N852-'03_Lap_b'!$B$20:$AW$20))))^2)</f>
        <v/>
      </c>
      <c r="Q852" s="5">
        <f>MEDIAN(-6,N852+(C852-O852)/MAX(O852-P852,0.000000001),6)</f>
        <v/>
      </c>
      <c r="R852" s="5">
        <f>SUMPRODUCT(('01_Data'!$B852:$AW852&lt;&gt;"")*(1/(1+EXP(-(Q852-'03_Lap_b'!$B$25:$AW$25)))))</f>
        <v/>
      </c>
      <c r="S852" s="5">
        <f>SUMPRODUCT(('01_Data'!$B852:$AW852&lt;&gt;"")*(1/(1+EXP(-(Q852-'03_Lap_b'!$B$25:$AW$25))))^2)</f>
        <v/>
      </c>
      <c r="T852" s="5">
        <f>MEDIAN(-6,Q852+(C852-R852)/MAX(R852-S852,0.000000001),6)</f>
        <v/>
      </c>
      <c r="U852" s="5">
        <f>SUMPRODUCT(('01_Data'!$B852:$AW852&lt;&gt;"")*(1/(1+EXP(-(T852-'03_Lap_b'!$B$30:$AW$30)))))</f>
        <v/>
      </c>
      <c r="V852" s="5">
        <f>SUMPRODUCT(('01_Data'!$B852:$AW852&lt;&gt;"")*(1/(1+EXP(-(T852-'03_Lap_b'!$B$30:$AW$30))))^2)</f>
        <v/>
      </c>
      <c r="W852" s="5">
        <f>MEDIAN(-6,T852+(C852-U852)/MAX(U852-V852,0.000000001),6)</f>
        <v/>
      </c>
      <c r="X852" s="5">
        <f>SUMPRODUCT(('01_Data'!$B852:$AW852&lt;&gt;"")*(1/(1+EXP(-(W852-'03_Lap_b'!$B$35:$AW$35)))))</f>
        <v/>
      </c>
      <c r="Y852" s="5">
        <f>SUMPRODUCT(('01_Data'!$B852:$AW852&lt;&gt;"")*(1/(1+EXP(-(W852-'03_Lap_b'!$B$35:$AW$35))))^2)</f>
        <v/>
      </c>
      <c r="Z852" s="5">
        <f>MEDIAN(-6,W852+(C852-X852)/MAX(X852-Y852,0.000000001),6)</f>
        <v/>
      </c>
      <c r="AA852" s="5">
        <f>SUMPRODUCT(('01_Data'!$B852:$AW852&lt;&gt;"")*(1/(1+EXP(-(Z852-'03_Lap_b'!$B$40:$AW$40)))))</f>
        <v/>
      </c>
      <c r="AB852" s="5">
        <f>SUMPRODUCT(('01_Data'!$B852:$AW852&lt;&gt;"")*(1/(1+EXP(-(Z852-'03_Lap_b'!$B$40:$AW$40))))^2)</f>
        <v/>
      </c>
      <c r="AC852" s="5">
        <f>MEDIAN(-6,Z852+(C852-AA852)/MAX(AA852-AB852,0.000000001),6)</f>
        <v/>
      </c>
    </row>
    <row r="853">
      <c r="A853" t="n">
        <v>852</v>
      </c>
      <c r="B853">
        <f>'01_Data'!A853</f>
        <v/>
      </c>
      <c r="C853">
        <f>SUM('01_Data'!$B853:$AW853)</f>
        <v/>
      </c>
      <c r="D853">
        <f>COUNT('01_Data'!$B853:$AW853)</f>
        <v/>
      </c>
      <c r="E853" s="5">
        <f>MEDIAN(-6,LN((C853+0.3)/(D853-C853+0.3)),6)</f>
        <v/>
      </c>
      <c r="F853" s="5">
        <f>SUMPRODUCT(('01_Data'!$B853:$AW853&lt;&gt;"")*(1/(1+EXP(-(E853-'03_Lap_b'!$B$5:$AW$5)))))</f>
        <v/>
      </c>
      <c r="G853" s="5">
        <f>SUMPRODUCT(('01_Data'!$B853:$AW853&lt;&gt;"")*(1/(1+EXP(-(E853-'03_Lap_b'!$B$5:$AW$5))))^2)</f>
        <v/>
      </c>
      <c r="H853" s="5">
        <f>MEDIAN(-6,E853+(C853-F853)/MAX(F853-G853,0.000000001),6)</f>
        <v/>
      </c>
      <c r="I853" s="5">
        <f>SUMPRODUCT(('01_Data'!$B853:$AW853&lt;&gt;"")*(1/(1+EXP(-(H853-'03_Lap_b'!$B$10:$AW$10)))))</f>
        <v/>
      </c>
      <c r="J853" s="5">
        <f>SUMPRODUCT(('01_Data'!$B853:$AW853&lt;&gt;"")*(1/(1+EXP(-(H853-'03_Lap_b'!$B$10:$AW$10))))^2)</f>
        <v/>
      </c>
      <c r="K853" s="5">
        <f>MEDIAN(-6,H853+(C853-I853)/MAX(I853-J853,0.000000001),6)</f>
        <v/>
      </c>
      <c r="L853" s="5">
        <f>SUMPRODUCT(('01_Data'!$B853:$AW853&lt;&gt;"")*(1/(1+EXP(-(K853-'03_Lap_b'!$B$15:$AW$15)))))</f>
        <v/>
      </c>
      <c r="M853" s="5">
        <f>SUMPRODUCT(('01_Data'!$B853:$AW853&lt;&gt;"")*(1/(1+EXP(-(K853-'03_Lap_b'!$B$15:$AW$15))))^2)</f>
        <v/>
      </c>
      <c r="N853" s="5">
        <f>MEDIAN(-6,K853+(C853-L853)/MAX(L853-M853,0.000000001),6)</f>
        <v/>
      </c>
      <c r="O853" s="5">
        <f>SUMPRODUCT(('01_Data'!$B853:$AW853&lt;&gt;"")*(1/(1+EXP(-(N853-'03_Lap_b'!$B$20:$AW$20)))))</f>
        <v/>
      </c>
      <c r="P853" s="5">
        <f>SUMPRODUCT(('01_Data'!$B853:$AW853&lt;&gt;"")*(1/(1+EXP(-(N853-'03_Lap_b'!$B$20:$AW$20))))^2)</f>
        <v/>
      </c>
      <c r="Q853" s="5">
        <f>MEDIAN(-6,N853+(C853-O853)/MAX(O853-P853,0.000000001),6)</f>
        <v/>
      </c>
      <c r="R853" s="5">
        <f>SUMPRODUCT(('01_Data'!$B853:$AW853&lt;&gt;"")*(1/(1+EXP(-(Q853-'03_Lap_b'!$B$25:$AW$25)))))</f>
        <v/>
      </c>
      <c r="S853" s="5">
        <f>SUMPRODUCT(('01_Data'!$B853:$AW853&lt;&gt;"")*(1/(1+EXP(-(Q853-'03_Lap_b'!$B$25:$AW$25))))^2)</f>
        <v/>
      </c>
      <c r="T853" s="5">
        <f>MEDIAN(-6,Q853+(C853-R853)/MAX(R853-S853,0.000000001),6)</f>
        <v/>
      </c>
      <c r="U853" s="5">
        <f>SUMPRODUCT(('01_Data'!$B853:$AW853&lt;&gt;"")*(1/(1+EXP(-(T853-'03_Lap_b'!$B$30:$AW$30)))))</f>
        <v/>
      </c>
      <c r="V853" s="5">
        <f>SUMPRODUCT(('01_Data'!$B853:$AW853&lt;&gt;"")*(1/(1+EXP(-(T853-'03_Lap_b'!$B$30:$AW$30))))^2)</f>
        <v/>
      </c>
      <c r="W853" s="5">
        <f>MEDIAN(-6,T853+(C853-U853)/MAX(U853-V853,0.000000001),6)</f>
        <v/>
      </c>
      <c r="X853" s="5">
        <f>SUMPRODUCT(('01_Data'!$B853:$AW853&lt;&gt;"")*(1/(1+EXP(-(W853-'03_Lap_b'!$B$35:$AW$35)))))</f>
        <v/>
      </c>
      <c r="Y853" s="5">
        <f>SUMPRODUCT(('01_Data'!$B853:$AW853&lt;&gt;"")*(1/(1+EXP(-(W853-'03_Lap_b'!$B$35:$AW$35))))^2)</f>
        <v/>
      </c>
      <c r="Z853" s="5">
        <f>MEDIAN(-6,W853+(C853-X853)/MAX(X853-Y853,0.000000001),6)</f>
        <v/>
      </c>
      <c r="AA853" s="5">
        <f>SUMPRODUCT(('01_Data'!$B853:$AW853&lt;&gt;"")*(1/(1+EXP(-(Z853-'03_Lap_b'!$B$40:$AW$40)))))</f>
        <v/>
      </c>
      <c r="AB853" s="5">
        <f>SUMPRODUCT(('01_Data'!$B853:$AW853&lt;&gt;"")*(1/(1+EXP(-(Z853-'03_Lap_b'!$B$40:$AW$40))))^2)</f>
        <v/>
      </c>
      <c r="AC853" s="5">
        <f>MEDIAN(-6,Z853+(C853-AA853)/MAX(AA853-AB853,0.000000001),6)</f>
        <v/>
      </c>
    </row>
    <row r="854">
      <c r="A854" t="n">
        <v>853</v>
      </c>
      <c r="B854">
        <f>'01_Data'!A854</f>
        <v/>
      </c>
      <c r="C854">
        <f>SUM('01_Data'!$B854:$AW854)</f>
        <v/>
      </c>
      <c r="D854">
        <f>COUNT('01_Data'!$B854:$AW854)</f>
        <v/>
      </c>
      <c r="E854" s="5">
        <f>MEDIAN(-6,LN((C854+0.3)/(D854-C854+0.3)),6)</f>
        <v/>
      </c>
      <c r="F854" s="5">
        <f>SUMPRODUCT(('01_Data'!$B854:$AW854&lt;&gt;"")*(1/(1+EXP(-(E854-'03_Lap_b'!$B$5:$AW$5)))))</f>
        <v/>
      </c>
      <c r="G854" s="5">
        <f>SUMPRODUCT(('01_Data'!$B854:$AW854&lt;&gt;"")*(1/(1+EXP(-(E854-'03_Lap_b'!$B$5:$AW$5))))^2)</f>
        <v/>
      </c>
      <c r="H854" s="5">
        <f>MEDIAN(-6,E854+(C854-F854)/MAX(F854-G854,0.000000001),6)</f>
        <v/>
      </c>
      <c r="I854" s="5">
        <f>SUMPRODUCT(('01_Data'!$B854:$AW854&lt;&gt;"")*(1/(1+EXP(-(H854-'03_Lap_b'!$B$10:$AW$10)))))</f>
        <v/>
      </c>
      <c r="J854" s="5">
        <f>SUMPRODUCT(('01_Data'!$B854:$AW854&lt;&gt;"")*(1/(1+EXP(-(H854-'03_Lap_b'!$B$10:$AW$10))))^2)</f>
        <v/>
      </c>
      <c r="K854" s="5">
        <f>MEDIAN(-6,H854+(C854-I854)/MAX(I854-J854,0.000000001),6)</f>
        <v/>
      </c>
      <c r="L854" s="5">
        <f>SUMPRODUCT(('01_Data'!$B854:$AW854&lt;&gt;"")*(1/(1+EXP(-(K854-'03_Lap_b'!$B$15:$AW$15)))))</f>
        <v/>
      </c>
      <c r="M854" s="5">
        <f>SUMPRODUCT(('01_Data'!$B854:$AW854&lt;&gt;"")*(1/(1+EXP(-(K854-'03_Lap_b'!$B$15:$AW$15))))^2)</f>
        <v/>
      </c>
      <c r="N854" s="5">
        <f>MEDIAN(-6,K854+(C854-L854)/MAX(L854-M854,0.000000001),6)</f>
        <v/>
      </c>
      <c r="O854" s="5">
        <f>SUMPRODUCT(('01_Data'!$B854:$AW854&lt;&gt;"")*(1/(1+EXP(-(N854-'03_Lap_b'!$B$20:$AW$20)))))</f>
        <v/>
      </c>
      <c r="P854" s="5">
        <f>SUMPRODUCT(('01_Data'!$B854:$AW854&lt;&gt;"")*(1/(1+EXP(-(N854-'03_Lap_b'!$B$20:$AW$20))))^2)</f>
        <v/>
      </c>
      <c r="Q854" s="5">
        <f>MEDIAN(-6,N854+(C854-O854)/MAX(O854-P854,0.000000001),6)</f>
        <v/>
      </c>
      <c r="R854" s="5">
        <f>SUMPRODUCT(('01_Data'!$B854:$AW854&lt;&gt;"")*(1/(1+EXP(-(Q854-'03_Lap_b'!$B$25:$AW$25)))))</f>
        <v/>
      </c>
      <c r="S854" s="5">
        <f>SUMPRODUCT(('01_Data'!$B854:$AW854&lt;&gt;"")*(1/(1+EXP(-(Q854-'03_Lap_b'!$B$25:$AW$25))))^2)</f>
        <v/>
      </c>
      <c r="T854" s="5">
        <f>MEDIAN(-6,Q854+(C854-R854)/MAX(R854-S854,0.000000001),6)</f>
        <v/>
      </c>
      <c r="U854" s="5">
        <f>SUMPRODUCT(('01_Data'!$B854:$AW854&lt;&gt;"")*(1/(1+EXP(-(T854-'03_Lap_b'!$B$30:$AW$30)))))</f>
        <v/>
      </c>
      <c r="V854" s="5">
        <f>SUMPRODUCT(('01_Data'!$B854:$AW854&lt;&gt;"")*(1/(1+EXP(-(T854-'03_Lap_b'!$B$30:$AW$30))))^2)</f>
        <v/>
      </c>
      <c r="W854" s="5">
        <f>MEDIAN(-6,T854+(C854-U854)/MAX(U854-V854,0.000000001),6)</f>
        <v/>
      </c>
      <c r="X854" s="5">
        <f>SUMPRODUCT(('01_Data'!$B854:$AW854&lt;&gt;"")*(1/(1+EXP(-(W854-'03_Lap_b'!$B$35:$AW$35)))))</f>
        <v/>
      </c>
      <c r="Y854" s="5">
        <f>SUMPRODUCT(('01_Data'!$B854:$AW854&lt;&gt;"")*(1/(1+EXP(-(W854-'03_Lap_b'!$B$35:$AW$35))))^2)</f>
        <v/>
      </c>
      <c r="Z854" s="5">
        <f>MEDIAN(-6,W854+(C854-X854)/MAX(X854-Y854,0.000000001),6)</f>
        <v/>
      </c>
      <c r="AA854" s="5">
        <f>SUMPRODUCT(('01_Data'!$B854:$AW854&lt;&gt;"")*(1/(1+EXP(-(Z854-'03_Lap_b'!$B$40:$AW$40)))))</f>
        <v/>
      </c>
      <c r="AB854" s="5">
        <f>SUMPRODUCT(('01_Data'!$B854:$AW854&lt;&gt;"")*(1/(1+EXP(-(Z854-'03_Lap_b'!$B$40:$AW$40))))^2)</f>
        <v/>
      </c>
      <c r="AC854" s="5">
        <f>MEDIAN(-6,Z854+(C854-AA854)/MAX(AA854-AB854,0.000000001),6)</f>
        <v/>
      </c>
    </row>
    <row r="855">
      <c r="A855" t="n">
        <v>854</v>
      </c>
      <c r="B855">
        <f>'01_Data'!A855</f>
        <v/>
      </c>
      <c r="C855">
        <f>SUM('01_Data'!$B855:$AW855)</f>
        <v/>
      </c>
      <c r="D855">
        <f>COUNT('01_Data'!$B855:$AW855)</f>
        <v/>
      </c>
      <c r="E855" s="5">
        <f>MEDIAN(-6,LN((C855+0.3)/(D855-C855+0.3)),6)</f>
        <v/>
      </c>
      <c r="F855" s="5">
        <f>SUMPRODUCT(('01_Data'!$B855:$AW855&lt;&gt;"")*(1/(1+EXP(-(E855-'03_Lap_b'!$B$5:$AW$5)))))</f>
        <v/>
      </c>
      <c r="G855" s="5">
        <f>SUMPRODUCT(('01_Data'!$B855:$AW855&lt;&gt;"")*(1/(1+EXP(-(E855-'03_Lap_b'!$B$5:$AW$5))))^2)</f>
        <v/>
      </c>
      <c r="H855" s="5">
        <f>MEDIAN(-6,E855+(C855-F855)/MAX(F855-G855,0.000000001),6)</f>
        <v/>
      </c>
      <c r="I855" s="5">
        <f>SUMPRODUCT(('01_Data'!$B855:$AW855&lt;&gt;"")*(1/(1+EXP(-(H855-'03_Lap_b'!$B$10:$AW$10)))))</f>
        <v/>
      </c>
      <c r="J855" s="5">
        <f>SUMPRODUCT(('01_Data'!$B855:$AW855&lt;&gt;"")*(1/(1+EXP(-(H855-'03_Lap_b'!$B$10:$AW$10))))^2)</f>
        <v/>
      </c>
      <c r="K855" s="5">
        <f>MEDIAN(-6,H855+(C855-I855)/MAX(I855-J855,0.000000001),6)</f>
        <v/>
      </c>
      <c r="L855" s="5">
        <f>SUMPRODUCT(('01_Data'!$B855:$AW855&lt;&gt;"")*(1/(1+EXP(-(K855-'03_Lap_b'!$B$15:$AW$15)))))</f>
        <v/>
      </c>
      <c r="M855" s="5">
        <f>SUMPRODUCT(('01_Data'!$B855:$AW855&lt;&gt;"")*(1/(1+EXP(-(K855-'03_Lap_b'!$B$15:$AW$15))))^2)</f>
        <v/>
      </c>
      <c r="N855" s="5">
        <f>MEDIAN(-6,K855+(C855-L855)/MAX(L855-M855,0.000000001),6)</f>
        <v/>
      </c>
      <c r="O855" s="5">
        <f>SUMPRODUCT(('01_Data'!$B855:$AW855&lt;&gt;"")*(1/(1+EXP(-(N855-'03_Lap_b'!$B$20:$AW$20)))))</f>
        <v/>
      </c>
      <c r="P855" s="5">
        <f>SUMPRODUCT(('01_Data'!$B855:$AW855&lt;&gt;"")*(1/(1+EXP(-(N855-'03_Lap_b'!$B$20:$AW$20))))^2)</f>
        <v/>
      </c>
      <c r="Q855" s="5">
        <f>MEDIAN(-6,N855+(C855-O855)/MAX(O855-P855,0.000000001),6)</f>
        <v/>
      </c>
      <c r="R855" s="5">
        <f>SUMPRODUCT(('01_Data'!$B855:$AW855&lt;&gt;"")*(1/(1+EXP(-(Q855-'03_Lap_b'!$B$25:$AW$25)))))</f>
        <v/>
      </c>
      <c r="S855" s="5">
        <f>SUMPRODUCT(('01_Data'!$B855:$AW855&lt;&gt;"")*(1/(1+EXP(-(Q855-'03_Lap_b'!$B$25:$AW$25))))^2)</f>
        <v/>
      </c>
      <c r="T855" s="5">
        <f>MEDIAN(-6,Q855+(C855-R855)/MAX(R855-S855,0.000000001),6)</f>
        <v/>
      </c>
      <c r="U855" s="5">
        <f>SUMPRODUCT(('01_Data'!$B855:$AW855&lt;&gt;"")*(1/(1+EXP(-(T855-'03_Lap_b'!$B$30:$AW$30)))))</f>
        <v/>
      </c>
      <c r="V855" s="5">
        <f>SUMPRODUCT(('01_Data'!$B855:$AW855&lt;&gt;"")*(1/(1+EXP(-(T855-'03_Lap_b'!$B$30:$AW$30))))^2)</f>
        <v/>
      </c>
      <c r="W855" s="5">
        <f>MEDIAN(-6,T855+(C855-U855)/MAX(U855-V855,0.000000001),6)</f>
        <v/>
      </c>
      <c r="X855" s="5">
        <f>SUMPRODUCT(('01_Data'!$B855:$AW855&lt;&gt;"")*(1/(1+EXP(-(W855-'03_Lap_b'!$B$35:$AW$35)))))</f>
        <v/>
      </c>
      <c r="Y855" s="5">
        <f>SUMPRODUCT(('01_Data'!$B855:$AW855&lt;&gt;"")*(1/(1+EXP(-(W855-'03_Lap_b'!$B$35:$AW$35))))^2)</f>
        <v/>
      </c>
      <c r="Z855" s="5">
        <f>MEDIAN(-6,W855+(C855-X855)/MAX(X855-Y855,0.000000001),6)</f>
        <v/>
      </c>
      <c r="AA855" s="5">
        <f>SUMPRODUCT(('01_Data'!$B855:$AW855&lt;&gt;"")*(1/(1+EXP(-(Z855-'03_Lap_b'!$B$40:$AW$40)))))</f>
        <v/>
      </c>
      <c r="AB855" s="5">
        <f>SUMPRODUCT(('01_Data'!$B855:$AW855&lt;&gt;"")*(1/(1+EXP(-(Z855-'03_Lap_b'!$B$40:$AW$40))))^2)</f>
        <v/>
      </c>
      <c r="AC855" s="5">
        <f>MEDIAN(-6,Z855+(C855-AA855)/MAX(AA855-AB855,0.000000001),6)</f>
        <v/>
      </c>
    </row>
    <row r="856">
      <c r="A856" t="n">
        <v>855</v>
      </c>
      <c r="B856">
        <f>'01_Data'!A856</f>
        <v/>
      </c>
      <c r="C856">
        <f>SUM('01_Data'!$B856:$AW856)</f>
        <v/>
      </c>
      <c r="D856">
        <f>COUNT('01_Data'!$B856:$AW856)</f>
        <v/>
      </c>
      <c r="E856" s="5">
        <f>MEDIAN(-6,LN((C856+0.3)/(D856-C856+0.3)),6)</f>
        <v/>
      </c>
      <c r="F856" s="5">
        <f>SUMPRODUCT(('01_Data'!$B856:$AW856&lt;&gt;"")*(1/(1+EXP(-(E856-'03_Lap_b'!$B$5:$AW$5)))))</f>
        <v/>
      </c>
      <c r="G856" s="5">
        <f>SUMPRODUCT(('01_Data'!$B856:$AW856&lt;&gt;"")*(1/(1+EXP(-(E856-'03_Lap_b'!$B$5:$AW$5))))^2)</f>
        <v/>
      </c>
      <c r="H856" s="5">
        <f>MEDIAN(-6,E856+(C856-F856)/MAX(F856-G856,0.000000001),6)</f>
        <v/>
      </c>
      <c r="I856" s="5">
        <f>SUMPRODUCT(('01_Data'!$B856:$AW856&lt;&gt;"")*(1/(1+EXP(-(H856-'03_Lap_b'!$B$10:$AW$10)))))</f>
        <v/>
      </c>
      <c r="J856" s="5">
        <f>SUMPRODUCT(('01_Data'!$B856:$AW856&lt;&gt;"")*(1/(1+EXP(-(H856-'03_Lap_b'!$B$10:$AW$10))))^2)</f>
        <v/>
      </c>
      <c r="K856" s="5">
        <f>MEDIAN(-6,H856+(C856-I856)/MAX(I856-J856,0.000000001),6)</f>
        <v/>
      </c>
      <c r="L856" s="5">
        <f>SUMPRODUCT(('01_Data'!$B856:$AW856&lt;&gt;"")*(1/(1+EXP(-(K856-'03_Lap_b'!$B$15:$AW$15)))))</f>
        <v/>
      </c>
      <c r="M856" s="5">
        <f>SUMPRODUCT(('01_Data'!$B856:$AW856&lt;&gt;"")*(1/(1+EXP(-(K856-'03_Lap_b'!$B$15:$AW$15))))^2)</f>
        <v/>
      </c>
      <c r="N856" s="5">
        <f>MEDIAN(-6,K856+(C856-L856)/MAX(L856-M856,0.000000001),6)</f>
        <v/>
      </c>
      <c r="O856" s="5">
        <f>SUMPRODUCT(('01_Data'!$B856:$AW856&lt;&gt;"")*(1/(1+EXP(-(N856-'03_Lap_b'!$B$20:$AW$20)))))</f>
        <v/>
      </c>
      <c r="P856" s="5">
        <f>SUMPRODUCT(('01_Data'!$B856:$AW856&lt;&gt;"")*(1/(1+EXP(-(N856-'03_Lap_b'!$B$20:$AW$20))))^2)</f>
        <v/>
      </c>
      <c r="Q856" s="5">
        <f>MEDIAN(-6,N856+(C856-O856)/MAX(O856-P856,0.000000001),6)</f>
        <v/>
      </c>
      <c r="R856" s="5">
        <f>SUMPRODUCT(('01_Data'!$B856:$AW856&lt;&gt;"")*(1/(1+EXP(-(Q856-'03_Lap_b'!$B$25:$AW$25)))))</f>
        <v/>
      </c>
      <c r="S856" s="5">
        <f>SUMPRODUCT(('01_Data'!$B856:$AW856&lt;&gt;"")*(1/(1+EXP(-(Q856-'03_Lap_b'!$B$25:$AW$25))))^2)</f>
        <v/>
      </c>
      <c r="T856" s="5">
        <f>MEDIAN(-6,Q856+(C856-R856)/MAX(R856-S856,0.000000001),6)</f>
        <v/>
      </c>
      <c r="U856" s="5">
        <f>SUMPRODUCT(('01_Data'!$B856:$AW856&lt;&gt;"")*(1/(1+EXP(-(T856-'03_Lap_b'!$B$30:$AW$30)))))</f>
        <v/>
      </c>
      <c r="V856" s="5">
        <f>SUMPRODUCT(('01_Data'!$B856:$AW856&lt;&gt;"")*(1/(1+EXP(-(T856-'03_Lap_b'!$B$30:$AW$30))))^2)</f>
        <v/>
      </c>
      <c r="W856" s="5">
        <f>MEDIAN(-6,T856+(C856-U856)/MAX(U856-V856,0.000000001),6)</f>
        <v/>
      </c>
      <c r="X856" s="5">
        <f>SUMPRODUCT(('01_Data'!$B856:$AW856&lt;&gt;"")*(1/(1+EXP(-(W856-'03_Lap_b'!$B$35:$AW$35)))))</f>
        <v/>
      </c>
      <c r="Y856" s="5">
        <f>SUMPRODUCT(('01_Data'!$B856:$AW856&lt;&gt;"")*(1/(1+EXP(-(W856-'03_Lap_b'!$B$35:$AW$35))))^2)</f>
        <v/>
      </c>
      <c r="Z856" s="5">
        <f>MEDIAN(-6,W856+(C856-X856)/MAX(X856-Y856,0.000000001),6)</f>
        <v/>
      </c>
      <c r="AA856" s="5">
        <f>SUMPRODUCT(('01_Data'!$B856:$AW856&lt;&gt;"")*(1/(1+EXP(-(Z856-'03_Lap_b'!$B$40:$AW$40)))))</f>
        <v/>
      </c>
      <c r="AB856" s="5">
        <f>SUMPRODUCT(('01_Data'!$B856:$AW856&lt;&gt;"")*(1/(1+EXP(-(Z856-'03_Lap_b'!$B$40:$AW$40))))^2)</f>
        <v/>
      </c>
      <c r="AC856" s="5">
        <f>MEDIAN(-6,Z856+(C856-AA856)/MAX(AA856-AB856,0.000000001),6)</f>
        <v/>
      </c>
    </row>
    <row r="857">
      <c r="A857" t="n">
        <v>856</v>
      </c>
      <c r="B857">
        <f>'01_Data'!A857</f>
        <v/>
      </c>
      <c r="C857">
        <f>SUM('01_Data'!$B857:$AW857)</f>
        <v/>
      </c>
      <c r="D857">
        <f>COUNT('01_Data'!$B857:$AW857)</f>
        <v/>
      </c>
      <c r="E857" s="5">
        <f>MEDIAN(-6,LN((C857+0.3)/(D857-C857+0.3)),6)</f>
        <v/>
      </c>
      <c r="F857" s="5">
        <f>SUMPRODUCT(('01_Data'!$B857:$AW857&lt;&gt;"")*(1/(1+EXP(-(E857-'03_Lap_b'!$B$5:$AW$5)))))</f>
        <v/>
      </c>
      <c r="G857" s="5">
        <f>SUMPRODUCT(('01_Data'!$B857:$AW857&lt;&gt;"")*(1/(1+EXP(-(E857-'03_Lap_b'!$B$5:$AW$5))))^2)</f>
        <v/>
      </c>
      <c r="H857" s="5">
        <f>MEDIAN(-6,E857+(C857-F857)/MAX(F857-G857,0.000000001),6)</f>
        <v/>
      </c>
      <c r="I857" s="5">
        <f>SUMPRODUCT(('01_Data'!$B857:$AW857&lt;&gt;"")*(1/(1+EXP(-(H857-'03_Lap_b'!$B$10:$AW$10)))))</f>
        <v/>
      </c>
      <c r="J857" s="5">
        <f>SUMPRODUCT(('01_Data'!$B857:$AW857&lt;&gt;"")*(1/(1+EXP(-(H857-'03_Lap_b'!$B$10:$AW$10))))^2)</f>
        <v/>
      </c>
      <c r="K857" s="5">
        <f>MEDIAN(-6,H857+(C857-I857)/MAX(I857-J857,0.000000001),6)</f>
        <v/>
      </c>
      <c r="L857" s="5">
        <f>SUMPRODUCT(('01_Data'!$B857:$AW857&lt;&gt;"")*(1/(1+EXP(-(K857-'03_Lap_b'!$B$15:$AW$15)))))</f>
        <v/>
      </c>
      <c r="M857" s="5">
        <f>SUMPRODUCT(('01_Data'!$B857:$AW857&lt;&gt;"")*(1/(1+EXP(-(K857-'03_Lap_b'!$B$15:$AW$15))))^2)</f>
        <v/>
      </c>
      <c r="N857" s="5">
        <f>MEDIAN(-6,K857+(C857-L857)/MAX(L857-M857,0.000000001),6)</f>
        <v/>
      </c>
      <c r="O857" s="5">
        <f>SUMPRODUCT(('01_Data'!$B857:$AW857&lt;&gt;"")*(1/(1+EXP(-(N857-'03_Lap_b'!$B$20:$AW$20)))))</f>
        <v/>
      </c>
      <c r="P857" s="5">
        <f>SUMPRODUCT(('01_Data'!$B857:$AW857&lt;&gt;"")*(1/(1+EXP(-(N857-'03_Lap_b'!$B$20:$AW$20))))^2)</f>
        <v/>
      </c>
      <c r="Q857" s="5">
        <f>MEDIAN(-6,N857+(C857-O857)/MAX(O857-P857,0.000000001),6)</f>
        <v/>
      </c>
      <c r="R857" s="5">
        <f>SUMPRODUCT(('01_Data'!$B857:$AW857&lt;&gt;"")*(1/(1+EXP(-(Q857-'03_Lap_b'!$B$25:$AW$25)))))</f>
        <v/>
      </c>
      <c r="S857" s="5">
        <f>SUMPRODUCT(('01_Data'!$B857:$AW857&lt;&gt;"")*(1/(1+EXP(-(Q857-'03_Lap_b'!$B$25:$AW$25))))^2)</f>
        <v/>
      </c>
      <c r="T857" s="5">
        <f>MEDIAN(-6,Q857+(C857-R857)/MAX(R857-S857,0.000000001),6)</f>
        <v/>
      </c>
      <c r="U857" s="5">
        <f>SUMPRODUCT(('01_Data'!$B857:$AW857&lt;&gt;"")*(1/(1+EXP(-(T857-'03_Lap_b'!$B$30:$AW$30)))))</f>
        <v/>
      </c>
      <c r="V857" s="5">
        <f>SUMPRODUCT(('01_Data'!$B857:$AW857&lt;&gt;"")*(1/(1+EXP(-(T857-'03_Lap_b'!$B$30:$AW$30))))^2)</f>
        <v/>
      </c>
      <c r="W857" s="5">
        <f>MEDIAN(-6,T857+(C857-U857)/MAX(U857-V857,0.000000001),6)</f>
        <v/>
      </c>
      <c r="X857" s="5">
        <f>SUMPRODUCT(('01_Data'!$B857:$AW857&lt;&gt;"")*(1/(1+EXP(-(W857-'03_Lap_b'!$B$35:$AW$35)))))</f>
        <v/>
      </c>
      <c r="Y857" s="5">
        <f>SUMPRODUCT(('01_Data'!$B857:$AW857&lt;&gt;"")*(1/(1+EXP(-(W857-'03_Lap_b'!$B$35:$AW$35))))^2)</f>
        <v/>
      </c>
      <c r="Z857" s="5">
        <f>MEDIAN(-6,W857+(C857-X857)/MAX(X857-Y857,0.000000001),6)</f>
        <v/>
      </c>
      <c r="AA857" s="5">
        <f>SUMPRODUCT(('01_Data'!$B857:$AW857&lt;&gt;"")*(1/(1+EXP(-(Z857-'03_Lap_b'!$B$40:$AW$40)))))</f>
        <v/>
      </c>
      <c r="AB857" s="5">
        <f>SUMPRODUCT(('01_Data'!$B857:$AW857&lt;&gt;"")*(1/(1+EXP(-(Z857-'03_Lap_b'!$B$40:$AW$40))))^2)</f>
        <v/>
      </c>
      <c r="AC857" s="5">
        <f>MEDIAN(-6,Z857+(C857-AA857)/MAX(AA857-AB857,0.000000001),6)</f>
        <v/>
      </c>
    </row>
    <row r="858">
      <c r="A858" t="n">
        <v>857</v>
      </c>
      <c r="B858">
        <f>'01_Data'!A858</f>
        <v/>
      </c>
      <c r="C858">
        <f>SUM('01_Data'!$B858:$AW858)</f>
        <v/>
      </c>
      <c r="D858">
        <f>COUNT('01_Data'!$B858:$AW858)</f>
        <v/>
      </c>
      <c r="E858" s="5">
        <f>MEDIAN(-6,LN((C858+0.3)/(D858-C858+0.3)),6)</f>
        <v/>
      </c>
      <c r="F858" s="5">
        <f>SUMPRODUCT(('01_Data'!$B858:$AW858&lt;&gt;"")*(1/(1+EXP(-(E858-'03_Lap_b'!$B$5:$AW$5)))))</f>
        <v/>
      </c>
      <c r="G858" s="5">
        <f>SUMPRODUCT(('01_Data'!$B858:$AW858&lt;&gt;"")*(1/(1+EXP(-(E858-'03_Lap_b'!$B$5:$AW$5))))^2)</f>
        <v/>
      </c>
      <c r="H858" s="5">
        <f>MEDIAN(-6,E858+(C858-F858)/MAX(F858-G858,0.000000001),6)</f>
        <v/>
      </c>
      <c r="I858" s="5">
        <f>SUMPRODUCT(('01_Data'!$B858:$AW858&lt;&gt;"")*(1/(1+EXP(-(H858-'03_Lap_b'!$B$10:$AW$10)))))</f>
        <v/>
      </c>
      <c r="J858" s="5">
        <f>SUMPRODUCT(('01_Data'!$B858:$AW858&lt;&gt;"")*(1/(1+EXP(-(H858-'03_Lap_b'!$B$10:$AW$10))))^2)</f>
        <v/>
      </c>
      <c r="K858" s="5">
        <f>MEDIAN(-6,H858+(C858-I858)/MAX(I858-J858,0.000000001),6)</f>
        <v/>
      </c>
      <c r="L858" s="5">
        <f>SUMPRODUCT(('01_Data'!$B858:$AW858&lt;&gt;"")*(1/(1+EXP(-(K858-'03_Lap_b'!$B$15:$AW$15)))))</f>
        <v/>
      </c>
      <c r="M858" s="5">
        <f>SUMPRODUCT(('01_Data'!$B858:$AW858&lt;&gt;"")*(1/(1+EXP(-(K858-'03_Lap_b'!$B$15:$AW$15))))^2)</f>
        <v/>
      </c>
      <c r="N858" s="5">
        <f>MEDIAN(-6,K858+(C858-L858)/MAX(L858-M858,0.000000001),6)</f>
        <v/>
      </c>
      <c r="O858" s="5">
        <f>SUMPRODUCT(('01_Data'!$B858:$AW858&lt;&gt;"")*(1/(1+EXP(-(N858-'03_Lap_b'!$B$20:$AW$20)))))</f>
        <v/>
      </c>
      <c r="P858" s="5">
        <f>SUMPRODUCT(('01_Data'!$B858:$AW858&lt;&gt;"")*(1/(1+EXP(-(N858-'03_Lap_b'!$B$20:$AW$20))))^2)</f>
        <v/>
      </c>
      <c r="Q858" s="5">
        <f>MEDIAN(-6,N858+(C858-O858)/MAX(O858-P858,0.000000001),6)</f>
        <v/>
      </c>
      <c r="R858" s="5">
        <f>SUMPRODUCT(('01_Data'!$B858:$AW858&lt;&gt;"")*(1/(1+EXP(-(Q858-'03_Lap_b'!$B$25:$AW$25)))))</f>
        <v/>
      </c>
      <c r="S858" s="5">
        <f>SUMPRODUCT(('01_Data'!$B858:$AW858&lt;&gt;"")*(1/(1+EXP(-(Q858-'03_Lap_b'!$B$25:$AW$25))))^2)</f>
        <v/>
      </c>
      <c r="T858" s="5">
        <f>MEDIAN(-6,Q858+(C858-R858)/MAX(R858-S858,0.000000001),6)</f>
        <v/>
      </c>
      <c r="U858" s="5">
        <f>SUMPRODUCT(('01_Data'!$B858:$AW858&lt;&gt;"")*(1/(1+EXP(-(T858-'03_Lap_b'!$B$30:$AW$30)))))</f>
        <v/>
      </c>
      <c r="V858" s="5">
        <f>SUMPRODUCT(('01_Data'!$B858:$AW858&lt;&gt;"")*(1/(1+EXP(-(T858-'03_Lap_b'!$B$30:$AW$30))))^2)</f>
        <v/>
      </c>
      <c r="W858" s="5">
        <f>MEDIAN(-6,T858+(C858-U858)/MAX(U858-V858,0.000000001),6)</f>
        <v/>
      </c>
      <c r="X858" s="5">
        <f>SUMPRODUCT(('01_Data'!$B858:$AW858&lt;&gt;"")*(1/(1+EXP(-(W858-'03_Lap_b'!$B$35:$AW$35)))))</f>
        <v/>
      </c>
      <c r="Y858" s="5">
        <f>SUMPRODUCT(('01_Data'!$B858:$AW858&lt;&gt;"")*(1/(1+EXP(-(W858-'03_Lap_b'!$B$35:$AW$35))))^2)</f>
        <v/>
      </c>
      <c r="Z858" s="5">
        <f>MEDIAN(-6,W858+(C858-X858)/MAX(X858-Y858,0.000000001),6)</f>
        <v/>
      </c>
      <c r="AA858" s="5">
        <f>SUMPRODUCT(('01_Data'!$B858:$AW858&lt;&gt;"")*(1/(1+EXP(-(Z858-'03_Lap_b'!$B$40:$AW$40)))))</f>
        <v/>
      </c>
      <c r="AB858" s="5">
        <f>SUMPRODUCT(('01_Data'!$B858:$AW858&lt;&gt;"")*(1/(1+EXP(-(Z858-'03_Lap_b'!$B$40:$AW$40))))^2)</f>
        <v/>
      </c>
      <c r="AC858" s="5">
        <f>MEDIAN(-6,Z858+(C858-AA858)/MAX(AA858-AB858,0.000000001),6)</f>
        <v/>
      </c>
    </row>
    <row r="859">
      <c r="A859" t="n">
        <v>858</v>
      </c>
      <c r="B859">
        <f>'01_Data'!A859</f>
        <v/>
      </c>
      <c r="C859">
        <f>SUM('01_Data'!$B859:$AW859)</f>
        <v/>
      </c>
      <c r="D859">
        <f>COUNT('01_Data'!$B859:$AW859)</f>
        <v/>
      </c>
      <c r="E859" s="5">
        <f>MEDIAN(-6,LN((C859+0.3)/(D859-C859+0.3)),6)</f>
        <v/>
      </c>
      <c r="F859" s="5">
        <f>SUMPRODUCT(('01_Data'!$B859:$AW859&lt;&gt;"")*(1/(1+EXP(-(E859-'03_Lap_b'!$B$5:$AW$5)))))</f>
        <v/>
      </c>
      <c r="G859" s="5">
        <f>SUMPRODUCT(('01_Data'!$B859:$AW859&lt;&gt;"")*(1/(1+EXP(-(E859-'03_Lap_b'!$B$5:$AW$5))))^2)</f>
        <v/>
      </c>
      <c r="H859" s="5">
        <f>MEDIAN(-6,E859+(C859-F859)/MAX(F859-G859,0.000000001),6)</f>
        <v/>
      </c>
      <c r="I859" s="5">
        <f>SUMPRODUCT(('01_Data'!$B859:$AW859&lt;&gt;"")*(1/(1+EXP(-(H859-'03_Lap_b'!$B$10:$AW$10)))))</f>
        <v/>
      </c>
      <c r="J859" s="5">
        <f>SUMPRODUCT(('01_Data'!$B859:$AW859&lt;&gt;"")*(1/(1+EXP(-(H859-'03_Lap_b'!$B$10:$AW$10))))^2)</f>
        <v/>
      </c>
      <c r="K859" s="5">
        <f>MEDIAN(-6,H859+(C859-I859)/MAX(I859-J859,0.000000001),6)</f>
        <v/>
      </c>
      <c r="L859" s="5">
        <f>SUMPRODUCT(('01_Data'!$B859:$AW859&lt;&gt;"")*(1/(1+EXP(-(K859-'03_Lap_b'!$B$15:$AW$15)))))</f>
        <v/>
      </c>
      <c r="M859" s="5">
        <f>SUMPRODUCT(('01_Data'!$B859:$AW859&lt;&gt;"")*(1/(1+EXP(-(K859-'03_Lap_b'!$B$15:$AW$15))))^2)</f>
        <v/>
      </c>
      <c r="N859" s="5">
        <f>MEDIAN(-6,K859+(C859-L859)/MAX(L859-M859,0.000000001),6)</f>
        <v/>
      </c>
      <c r="O859" s="5">
        <f>SUMPRODUCT(('01_Data'!$B859:$AW859&lt;&gt;"")*(1/(1+EXP(-(N859-'03_Lap_b'!$B$20:$AW$20)))))</f>
        <v/>
      </c>
      <c r="P859" s="5">
        <f>SUMPRODUCT(('01_Data'!$B859:$AW859&lt;&gt;"")*(1/(1+EXP(-(N859-'03_Lap_b'!$B$20:$AW$20))))^2)</f>
        <v/>
      </c>
      <c r="Q859" s="5">
        <f>MEDIAN(-6,N859+(C859-O859)/MAX(O859-P859,0.000000001),6)</f>
        <v/>
      </c>
      <c r="R859" s="5">
        <f>SUMPRODUCT(('01_Data'!$B859:$AW859&lt;&gt;"")*(1/(1+EXP(-(Q859-'03_Lap_b'!$B$25:$AW$25)))))</f>
        <v/>
      </c>
      <c r="S859" s="5">
        <f>SUMPRODUCT(('01_Data'!$B859:$AW859&lt;&gt;"")*(1/(1+EXP(-(Q859-'03_Lap_b'!$B$25:$AW$25))))^2)</f>
        <v/>
      </c>
      <c r="T859" s="5">
        <f>MEDIAN(-6,Q859+(C859-R859)/MAX(R859-S859,0.000000001),6)</f>
        <v/>
      </c>
      <c r="U859" s="5">
        <f>SUMPRODUCT(('01_Data'!$B859:$AW859&lt;&gt;"")*(1/(1+EXP(-(T859-'03_Lap_b'!$B$30:$AW$30)))))</f>
        <v/>
      </c>
      <c r="V859" s="5">
        <f>SUMPRODUCT(('01_Data'!$B859:$AW859&lt;&gt;"")*(1/(1+EXP(-(T859-'03_Lap_b'!$B$30:$AW$30))))^2)</f>
        <v/>
      </c>
      <c r="W859" s="5">
        <f>MEDIAN(-6,T859+(C859-U859)/MAX(U859-V859,0.000000001),6)</f>
        <v/>
      </c>
      <c r="X859" s="5">
        <f>SUMPRODUCT(('01_Data'!$B859:$AW859&lt;&gt;"")*(1/(1+EXP(-(W859-'03_Lap_b'!$B$35:$AW$35)))))</f>
        <v/>
      </c>
      <c r="Y859" s="5">
        <f>SUMPRODUCT(('01_Data'!$B859:$AW859&lt;&gt;"")*(1/(1+EXP(-(W859-'03_Lap_b'!$B$35:$AW$35))))^2)</f>
        <v/>
      </c>
      <c r="Z859" s="5">
        <f>MEDIAN(-6,W859+(C859-X859)/MAX(X859-Y859,0.000000001),6)</f>
        <v/>
      </c>
      <c r="AA859" s="5">
        <f>SUMPRODUCT(('01_Data'!$B859:$AW859&lt;&gt;"")*(1/(1+EXP(-(Z859-'03_Lap_b'!$B$40:$AW$40)))))</f>
        <v/>
      </c>
      <c r="AB859" s="5">
        <f>SUMPRODUCT(('01_Data'!$B859:$AW859&lt;&gt;"")*(1/(1+EXP(-(Z859-'03_Lap_b'!$B$40:$AW$40))))^2)</f>
        <v/>
      </c>
      <c r="AC859" s="5">
        <f>MEDIAN(-6,Z859+(C859-AA859)/MAX(AA859-AB859,0.000000001),6)</f>
        <v/>
      </c>
    </row>
    <row r="860">
      <c r="A860" t="n">
        <v>859</v>
      </c>
      <c r="B860">
        <f>'01_Data'!A860</f>
        <v/>
      </c>
      <c r="C860">
        <f>SUM('01_Data'!$B860:$AW860)</f>
        <v/>
      </c>
      <c r="D860">
        <f>COUNT('01_Data'!$B860:$AW860)</f>
        <v/>
      </c>
      <c r="E860" s="5">
        <f>MEDIAN(-6,LN((C860+0.3)/(D860-C860+0.3)),6)</f>
        <v/>
      </c>
      <c r="F860" s="5">
        <f>SUMPRODUCT(('01_Data'!$B860:$AW860&lt;&gt;"")*(1/(1+EXP(-(E860-'03_Lap_b'!$B$5:$AW$5)))))</f>
        <v/>
      </c>
      <c r="G860" s="5">
        <f>SUMPRODUCT(('01_Data'!$B860:$AW860&lt;&gt;"")*(1/(1+EXP(-(E860-'03_Lap_b'!$B$5:$AW$5))))^2)</f>
        <v/>
      </c>
      <c r="H860" s="5">
        <f>MEDIAN(-6,E860+(C860-F860)/MAX(F860-G860,0.000000001),6)</f>
        <v/>
      </c>
      <c r="I860" s="5">
        <f>SUMPRODUCT(('01_Data'!$B860:$AW860&lt;&gt;"")*(1/(1+EXP(-(H860-'03_Lap_b'!$B$10:$AW$10)))))</f>
        <v/>
      </c>
      <c r="J860" s="5">
        <f>SUMPRODUCT(('01_Data'!$B860:$AW860&lt;&gt;"")*(1/(1+EXP(-(H860-'03_Lap_b'!$B$10:$AW$10))))^2)</f>
        <v/>
      </c>
      <c r="K860" s="5">
        <f>MEDIAN(-6,H860+(C860-I860)/MAX(I860-J860,0.000000001),6)</f>
        <v/>
      </c>
      <c r="L860" s="5">
        <f>SUMPRODUCT(('01_Data'!$B860:$AW860&lt;&gt;"")*(1/(1+EXP(-(K860-'03_Lap_b'!$B$15:$AW$15)))))</f>
        <v/>
      </c>
      <c r="M860" s="5">
        <f>SUMPRODUCT(('01_Data'!$B860:$AW860&lt;&gt;"")*(1/(1+EXP(-(K860-'03_Lap_b'!$B$15:$AW$15))))^2)</f>
        <v/>
      </c>
      <c r="N860" s="5">
        <f>MEDIAN(-6,K860+(C860-L860)/MAX(L860-M860,0.000000001),6)</f>
        <v/>
      </c>
      <c r="O860" s="5">
        <f>SUMPRODUCT(('01_Data'!$B860:$AW860&lt;&gt;"")*(1/(1+EXP(-(N860-'03_Lap_b'!$B$20:$AW$20)))))</f>
        <v/>
      </c>
      <c r="P860" s="5">
        <f>SUMPRODUCT(('01_Data'!$B860:$AW860&lt;&gt;"")*(1/(1+EXP(-(N860-'03_Lap_b'!$B$20:$AW$20))))^2)</f>
        <v/>
      </c>
      <c r="Q860" s="5">
        <f>MEDIAN(-6,N860+(C860-O860)/MAX(O860-P860,0.000000001),6)</f>
        <v/>
      </c>
      <c r="R860" s="5">
        <f>SUMPRODUCT(('01_Data'!$B860:$AW860&lt;&gt;"")*(1/(1+EXP(-(Q860-'03_Lap_b'!$B$25:$AW$25)))))</f>
        <v/>
      </c>
      <c r="S860" s="5">
        <f>SUMPRODUCT(('01_Data'!$B860:$AW860&lt;&gt;"")*(1/(1+EXP(-(Q860-'03_Lap_b'!$B$25:$AW$25))))^2)</f>
        <v/>
      </c>
      <c r="T860" s="5">
        <f>MEDIAN(-6,Q860+(C860-R860)/MAX(R860-S860,0.000000001),6)</f>
        <v/>
      </c>
      <c r="U860" s="5">
        <f>SUMPRODUCT(('01_Data'!$B860:$AW860&lt;&gt;"")*(1/(1+EXP(-(T860-'03_Lap_b'!$B$30:$AW$30)))))</f>
        <v/>
      </c>
      <c r="V860" s="5">
        <f>SUMPRODUCT(('01_Data'!$B860:$AW860&lt;&gt;"")*(1/(1+EXP(-(T860-'03_Lap_b'!$B$30:$AW$30))))^2)</f>
        <v/>
      </c>
      <c r="W860" s="5">
        <f>MEDIAN(-6,T860+(C860-U860)/MAX(U860-V860,0.000000001),6)</f>
        <v/>
      </c>
      <c r="X860" s="5">
        <f>SUMPRODUCT(('01_Data'!$B860:$AW860&lt;&gt;"")*(1/(1+EXP(-(W860-'03_Lap_b'!$B$35:$AW$35)))))</f>
        <v/>
      </c>
      <c r="Y860" s="5">
        <f>SUMPRODUCT(('01_Data'!$B860:$AW860&lt;&gt;"")*(1/(1+EXP(-(W860-'03_Lap_b'!$B$35:$AW$35))))^2)</f>
        <v/>
      </c>
      <c r="Z860" s="5">
        <f>MEDIAN(-6,W860+(C860-X860)/MAX(X860-Y860,0.000000001),6)</f>
        <v/>
      </c>
      <c r="AA860" s="5">
        <f>SUMPRODUCT(('01_Data'!$B860:$AW860&lt;&gt;"")*(1/(1+EXP(-(Z860-'03_Lap_b'!$B$40:$AW$40)))))</f>
        <v/>
      </c>
      <c r="AB860" s="5">
        <f>SUMPRODUCT(('01_Data'!$B860:$AW860&lt;&gt;"")*(1/(1+EXP(-(Z860-'03_Lap_b'!$B$40:$AW$40))))^2)</f>
        <v/>
      </c>
      <c r="AC860" s="5">
        <f>MEDIAN(-6,Z860+(C860-AA860)/MAX(AA860-AB860,0.000000001),6)</f>
        <v/>
      </c>
    </row>
    <row r="861">
      <c r="A861" t="n">
        <v>860</v>
      </c>
      <c r="B861">
        <f>'01_Data'!A861</f>
        <v/>
      </c>
      <c r="C861">
        <f>SUM('01_Data'!$B861:$AW861)</f>
        <v/>
      </c>
      <c r="D861">
        <f>COUNT('01_Data'!$B861:$AW861)</f>
        <v/>
      </c>
      <c r="E861" s="5">
        <f>MEDIAN(-6,LN((C861+0.3)/(D861-C861+0.3)),6)</f>
        <v/>
      </c>
      <c r="F861" s="5">
        <f>SUMPRODUCT(('01_Data'!$B861:$AW861&lt;&gt;"")*(1/(1+EXP(-(E861-'03_Lap_b'!$B$5:$AW$5)))))</f>
        <v/>
      </c>
      <c r="G861" s="5">
        <f>SUMPRODUCT(('01_Data'!$B861:$AW861&lt;&gt;"")*(1/(1+EXP(-(E861-'03_Lap_b'!$B$5:$AW$5))))^2)</f>
        <v/>
      </c>
      <c r="H861" s="5">
        <f>MEDIAN(-6,E861+(C861-F861)/MAX(F861-G861,0.000000001),6)</f>
        <v/>
      </c>
      <c r="I861" s="5">
        <f>SUMPRODUCT(('01_Data'!$B861:$AW861&lt;&gt;"")*(1/(1+EXP(-(H861-'03_Lap_b'!$B$10:$AW$10)))))</f>
        <v/>
      </c>
      <c r="J861" s="5">
        <f>SUMPRODUCT(('01_Data'!$B861:$AW861&lt;&gt;"")*(1/(1+EXP(-(H861-'03_Lap_b'!$B$10:$AW$10))))^2)</f>
        <v/>
      </c>
      <c r="K861" s="5">
        <f>MEDIAN(-6,H861+(C861-I861)/MAX(I861-J861,0.000000001),6)</f>
        <v/>
      </c>
      <c r="L861" s="5">
        <f>SUMPRODUCT(('01_Data'!$B861:$AW861&lt;&gt;"")*(1/(1+EXP(-(K861-'03_Lap_b'!$B$15:$AW$15)))))</f>
        <v/>
      </c>
      <c r="M861" s="5">
        <f>SUMPRODUCT(('01_Data'!$B861:$AW861&lt;&gt;"")*(1/(1+EXP(-(K861-'03_Lap_b'!$B$15:$AW$15))))^2)</f>
        <v/>
      </c>
      <c r="N861" s="5">
        <f>MEDIAN(-6,K861+(C861-L861)/MAX(L861-M861,0.000000001),6)</f>
        <v/>
      </c>
      <c r="O861" s="5">
        <f>SUMPRODUCT(('01_Data'!$B861:$AW861&lt;&gt;"")*(1/(1+EXP(-(N861-'03_Lap_b'!$B$20:$AW$20)))))</f>
        <v/>
      </c>
      <c r="P861" s="5">
        <f>SUMPRODUCT(('01_Data'!$B861:$AW861&lt;&gt;"")*(1/(1+EXP(-(N861-'03_Lap_b'!$B$20:$AW$20))))^2)</f>
        <v/>
      </c>
      <c r="Q861" s="5">
        <f>MEDIAN(-6,N861+(C861-O861)/MAX(O861-P861,0.000000001),6)</f>
        <v/>
      </c>
      <c r="R861" s="5">
        <f>SUMPRODUCT(('01_Data'!$B861:$AW861&lt;&gt;"")*(1/(1+EXP(-(Q861-'03_Lap_b'!$B$25:$AW$25)))))</f>
        <v/>
      </c>
      <c r="S861" s="5">
        <f>SUMPRODUCT(('01_Data'!$B861:$AW861&lt;&gt;"")*(1/(1+EXP(-(Q861-'03_Lap_b'!$B$25:$AW$25))))^2)</f>
        <v/>
      </c>
      <c r="T861" s="5">
        <f>MEDIAN(-6,Q861+(C861-R861)/MAX(R861-S861,0.000000001),6)</f>
        <v/>
      </c>
      <c r="U861" s="5">
        <f>SUMPRODUCT(('01_Data'!$B861:$AW861&lt;&gt;"")*(1/(1+EXP(-(T861-'03_Lap_b'!$B$30:$AW$30)))))</f>
        <v/>
      </c>
      <c r="V861" s="5">
        <f>SUMPRODUCT(('01_Data'!$B861:$AW861&lt;&gt;"")*(1/(1+EXP(-(T861-'03_Lap_b'!$B$30:$AW$30))))^2)</f>
        <v/>
      </c>
      <c r="W861" s="5">
        <f>MEDIAN(-6,T861+(C861-U861)/MAX(U861-V861,0.000000001),6)</f>
        <v/>
      </c>
      <c r="X861" s="5">
        <f>SUMPRODUCT(('01_Data'!$B861:$AW861&lt;&gt;"")*(1/(1+EXP(-(W861-'03_Lap_b'!$B$35:$AW$35)))))</f>
        <v/>
      </c>
      <c r="Y861" s="5">
        <f>SUMPRODUCT(('01_Data'!$B861:$AW861&lt;&gt;"")*(1/(1+EXP(-(W861-'03_Lap_b'!$B$35:$AW$35))))^2)</f>
        <v/>
      </c>
      <c r="Z861" s="5">
        <f>MEDIAN(-6,W861+(C861-X861)/MAX(X861-Y861,0.000000001),6)</f>
        <v/>
      </c>
      <c r="AA861" s="5">
        <f>SUMPRODUCT(('01_Data'!$B861:$AW861&lt;&gt;"")*(1/(1+EXP(-(Z861-'03_Lap_b'!$B$40:$AW$40)))))</f>
        <v/>
      </c>
      <c r="AB861" s="5">
        <f>SUMPRODUCT(('01_Data'!$B861:$AW861&lt;&gt;"")*(1/(1+EXP(-(Z861-'03_Lap_b'!$B$40:$AW$40))))^2)</f>
        <v/>
      </c>
      <c r="AC861" s="5">
        <f>MEDIAN(-6,Z861+(C861-AA861)/MAX(AA861-AB861,0.000000001),6)</f>
        <v/>
      </c>
    </row>
    <row r="862">
      <c r="A862" t="n">
        <v>861</v>
      </c>
      <c r="B862">
        <f>'01_Data'!A862</f>
        <v/>
      </c>
      <c r="C862">
        <f>SUM('01_Data'!$B862:$AW862)</f>
        <v/>
      </c>
      <c r="D862">
        <f>COUNT('01_Data'!$B862:$AW862)</f>
        <v/>
      </c>
      <c r="E862" s="5">
        <f>MEDIAN(-6,LN((C862+0.3)/(D862-C862+0.3)),6)</f>
        <v/>
      </c>
      <c r="F862" s="5">
        <f>SUMPRODUCT(('01_Data'!$B862:$AW862&lt;&gt;"")*(1/(1+EXP(-(E862-'03_Lap_b'!$B$5:$AW$5)))))</f>
        <v/>
      </c>
      <c r="G862" s="5">
        <f>SUMPRODUCT(('01_Data'!$B862:$AW862&lt;&gt;"")*(1/(1+EXP(-(E862-'03_Lap_b'!$B$5:$AW$5))))^2)</f>
        <v/>
      </c>
      <c r="H862" s="5">
        <f>MEDIAN(-6,E862+(C862-F862)/MAX(F862-G862,0.000000001),6)</f>
        <v/>
      </c>
      <c r="I862" s="5">
        <f>SUMPRODUCT(('01_Data'!$B862:$AW862&lt;&gt;"")*(1/(1+EXP(-(H862-'03_Lap_b'!$B$10:$AW$10)))))</f>
        <v/>
      </c>
      <c r="J862" s="5">
        <f>SUMPRODUCT(('01_Data'!$B862:$AW862&lt;&gt;"")*(1/(1+EXP(-(H862-'03_Lap_b'!$B$10:$AW$10))))^2)</f>
        <v/>
      </c>
      <c r="K862" s="5">
        <f>MEDIAN(-6,H862+(C862-I862)/MAX(I862-J862,0.000000001),6)</f>
        <v/>
      </c>
      <c r="L862" s="5">
        <f>SUMPRODUCT(('01_Data'!$B862:$AW862&lt;&gt;"")*(1/(1+EXP(-(K862-'03_Lap_b'!$B$15:$AW$15)))))</f>
        <v/>
      </c>
      <c r="M862" s="5">
        <f>SUMPRODUCT(('01_Data'!$B862:$AW862&lt;&gt;"")*(1/(1+EXP(-(K862-'03_Lap_b'!$B$15:$AW$15))))^2)</f>
        <v/>
      </c>
      <c r="N862" s="5">
        <f>MEDIAN(-6,K862+(C862-L862)/MAX(L862-M862,0.000000001),6)</f>
        <v/>
      </c>
      <c r="O862" s="5">
        <f>SUMPRODUCT(('01_Data'!$B862:$AW862&lt;&gt;"")*(1/(1+EXP(-(N862-'03_Lap_b'!$B$20:$AW$20)))))</f>
        <v/>
      </c>
      <c r="P862" s="5">
        <f>SUMPRODUCT(('01_Data'!$B862:$AW862&lt;&gt;"")*(1/(1+EXP(-(N862-'03_Lap_b'!$B$20:$AW$20))))^2)</f>
        <v/>
      </c>
      <c r="Q862" s="5">
        <f>MEDIAN(-6,N862+(C862-O862)/MAX(O862-P862,0.000000001),6)</f>
        <v/>
      </c>
      <c r="R862" s="5">
        <f>SUMPRODUCT(('01_Data'!$B862:$AW862&lt;&gt;"")*(1/(1+EXP(-(Q862-'03_Lap_b'!$B$25:$AW$25)))))</f>
        <v/>
      </c>
      <c r="S862" s="5">
        <f>SUMPRODUCT(('01_Data'!$B862:$AW862&lt;&gt;"")*(1/(1+EXP(-(Q862-'03_Lap_b'!$B$25:$AW$25))))^2)</f>
        <v/>
      </c>
      <c r="T862" s="5">
        <f>MEDIAN(-6,Q862+(C862-R862)/MAX(R862-S862,0.000000001),6)</f>
        <v/>
      </c>
      <c r="U862" s="5">
        <f>SUMPRODUCT(('01_Data'!$B862:$AW862&lt;&gt;"")*(1/(1+EXP(-(T862-'03_Lap_b'!$B$30:$AW$30)))))</f>
        <v/>
      </c>
      <c r="V862" s="5">
        <f>SUMPRODUCT(('01_Data'!$B862:$AW862&lt;&gt;"")*(1/(1+EXP(-(T862-'03_Lap_b'!$B$30:$AW$30))))^2)</f>
        <v/>
      </c>
      <c r="W862" s="5">
        <f>MEDIAN(-6,T862+(C862-U862)/MAX(U862-V862,0.000000001),6)</f>
        <v/>
      </c>
      <c r="X862" s="5">
        <f>SUMPRODUCT(('01_Data'!$B862:$AW862&lt;&gt;"")*(1/(1+EXP(-(W862-'03_Lap_b'!$B$35:$AW$35)))))</f>
        <v/>
      </c>
      <c r="Y862" s="5">
        <f>SUMPRODUCT(('01_Data'!$B862:$AW862&lt;&gt;"")*(1/(1+EXP(-(W862-'03_Lap_b'!$B$35:$AW$35))))^2)</f>
        <v/>
      </c>
      <c r="Z862" s="5">
        <f>MEDIAN(-6,W862+(C862-X862)/MAX(X862-Y862,0.000000001),6)</f>
        <v/>
      </c>
      <c r="AA862" s="5">
        <f>SUMPRODUCT(('01_Data'!$B862:$AW862&lt;&gt;"")*(1/(1+EXP(-(Z862-'03_Lap_b'!$B$40:$AW$40)))))</f>
        <v/>
      </c>
      <c r="AB862" s="5">
        <f>SUMPRODUCT(('01_Data'!$B862:$AW862&lt;&gt;"")*(1/(1+EXP(-(Z862-'03_Lap_b'!$B$40:$AW$40))))^2)</f>
        <v/>
      </c>
      <c r="AC862" s="5">
        <f>MEDIAN(-6,Z862+(C862-AA862)/MAX(AA862-AB862,0.000000001),6)</f>
        <v/>
      </c>
    </row>
    <row r="863">
      <c r="A863" t="n">
        <v>862</v>
      </c>
      <c r="B863">
        <f>'01_Data'!A863</f>
        <v/>
      </c>
      <c r="C863">
        <f>SUM('01_Data'!$B863:$AW863)</f>
        <v/>
      </c>
      <c r="D863">
        <f>COUNT('01_Data'!$B863:$AW863)</f>
        <v/>
      </c>
      <c r="E863" s="5">
        <f>MEDIAN(-6,LN((C863+0.3)/(D863-C863+0.3)),6)</f>
        <v/>
      </c>
      <c r="F863" s="5">
        <f>SUMPRODUCT(('01_Data'!$B863:$AW863&lt;&gt;"")*(1/(1+EXP(-(E863-'03_Lap_b'!$B$5:$AW$5)))))</f>
        <v/>
      </c>
      <c r="G863" s="5">
        <f>SUMPRODUCT(('01_Data'!$B863:$AW863&lt;&gt;"")*(1/(1+EXP(-(E863-'03_Lap_b'!$B$5:$AW$5))))^2)</f>
        <v/>
      </c>
      <c r="H863" s="5">
        <f>MEDIAN(-6,E863+(C863-F863)/MAX(F863-G863,0.000000001),6)</f>
        <v/>
      </c>
      <c r="I863" s="5">
        <f>SUMPRODUCT(('01_Data'!$B863:$AW863&lt;&gt;"")*(1/(1+EXP(-(H863-'03_Lap_b'!$B$10:$AW$10)))))</f>
        <v/>
      </c>
      <c r="J863" s="5">
        <f>SUMPRODUCT(('01_Data'!$B863:$AW863&lt;&gt;"")*(1/(1+EXP(-(H863-'03_Lap_b'!$B$10:$AW$10))))^2)</f>
        <v/>
      </c>
      <c r="K863" s="5">
        <f>MEDIAN(-6,H863+(C863-I863)/MAX(I863-J863,0.000000001),6)</f>
        <v/>
      </c>
      <c r="L863" s="5">
        <f>SUMPRODUCT(('01_Data'!$B863:$AW863&lt;&gt;"")*(1/(1+EXP(-(K863-'03_Lap_b'!$B$15:$AW$15)))))</f>
        <v/>
      </c>
      <c r="M863" s="5">
        <f>SUMPRODUCT(('01_Data'!$B863:$AW863&lt;&gt;"")*(1/(1+EXP(-(K863-'03_Lap_b'!$B$15:$AW$15))))^2)</f>
        <v/>
      </c>
      <c r="N863" s="5">
        <f>MEDIAN(-6,K863+(C863-L863)/MAX(L863-M863,0.000000001),6)</f>
        <v/>
      </c>
      <c r="O863" s="5">
        <f>SUMPRODUCT(('01_Data'!$B863:$AW863&lt;&gt;"")*(1/(1+EXP(-(N863-'03_Lap_b'!$B$20:$AW$20)))))</f>
        <v/>
      </c>
      <c r="P863" s="5">
        <f>SUMPRODUCT(('01_Data'!$B863:$AW863&lt;&gt;"")*(1/(1+EXP(-(N863-'03_Lap_b'!$B$20:$AW$20))))^2)</f>
        <v/>
      </c>
      <c r="Q863" s="5">
        <f>MEDIAN(-6,N863+(C863-O863)/MAX(O863-P863,0.000000001),6)</f>
        <v/>
      </c>
      <c r="R863" s="5">
        <f>SUMPRODUCT(('01_Data'!$B863:$AW863&lt;&gt;"")*(1/(1+EXP(-(Q863-'03_Lap_b'!$B$25:$AW$25)))))</f>
        <v/>
      </c>
      <c r="S863" s="5">
        <f>SUMPRODUCT(('01_Data'!$B863:$AW863&lt;&gt;"")*(1/(1+EXP(-(Q863-'03_Lap_b'!$B$25:$AW$25))))^2)</f>
        <v/>
      </c>
      <c r="T863" s="5">
        <f>MEDIAN(-6,Q863+(C863-R863)/MAX(R863-S863,0.000000001),6)</f>
        <v/>
      </c>
      <c r="U863" s="5">
        <f>SUMPRODUCT(('01_Data'!$B863:$AW863&lt;&gt;"")*(1/(1+EXP(-(T863-'03_Lap_b'!$B$30:$AW$30)))))</f>
        <v/>
      </c>
      <c r="V863" s="5">
        <f>SUMPRODUCT(('01_Data'!$B863:$AW863&lt;&gt;"")*(1/(1+EXP(-(T863-'03_Lap_b'!$B$30:$AW$30))))^2)</f>
        <v/>
      </c>
      <c r="W863" s="5">
        <f>MEDIAN(-6,T863+(C863-U863)/MAX(U863-V863,0.000000001),6)</f>
        <v/>
      </c>
      <c r="X863" s="5">
        <f>SUMPRODUCT(('01_Data'!$B863:$AW863&lt;&gt;"")*(1/(1+EXP(-(W863-'03_Lap_b'!$B$35:$AW$35)))))</f>
        <v/>
      </c>
      <c r="Y863" s="5">
        <f>SUMPRODUCT(('01_Data'!$B863:$AW863&lt;&gt;"")*(1/(1+EXP(-(W863-'03_Lap_b'!$B$35:$AW$35))))^2)</f>
        <v/>
      </c>
      <c r="Z863" s="5">
        <f>MEDIAN(-6,W863+(C863-X863)/MAX(X863-Y863,0.000000001),6)</f>
        <v/>
      </c>
      <c r="AA863" s="5">
        <f>SUMPRODUCT(('01_Data'!$B863:$AW863&lt;&gt;"")*(1/(1+EXP(-(Z863-'03_Lap_b'!$B$40:$AW$40)))))</f>
        <v/>
      </c>
      <c r="AB863" s="5">
        <f>SUMPRODUCT(('01_Data'!$B863:$AW863&lt;&gt;"")*(1/(1+EXP(-(Z863-'03_Lap_b'!$B$40:$AW$40))))^2)</f>
        <v/>
      </c>
      <c r="AC863" s="5">
        <f>MEDIAN(-6,Z863+(C863-AA863)/MAX(AA863-AB863,0.000000001),6)</f>
        <v/>
      </c>
    </row>
    <row r="864">
      <c r="A864" t="n">
        <v>863</v>
      </c>
      <c r="B864">
        <f>'01_Data'!A864</f>
        <v/>
      </c>
      <c r="C864">
        <f>SUM('01_Data'!$B864:$AW864)</f>
        <v/>
      </c>
      <c r="D864">
        <f>COUNT('01_Data'!$B864:$AW864)</f>
        <v/>
      </c>
      <c r="E864" s="5">
        <f>MEDIAN(-6,LN((C864+0.3)/(D864-C864+0.3)),6)</f>
        <v/>
      </c>
      <c r="F864" s="5">
        <f>SUMPRODUCT(('01_Data'!$B864:$AW864&lt;&gt;"")*(1/(1+EXP(-(E864-'03_Lap_b'!$B$5:$AW$5)))))</f>
        <v/>
      </c>
      <c r="G864" s="5">
        <f>SUMPRODUCT(('01_Data'!$B864:$AW864&lt;&gt;"")*(1/(1+EXP(-(E864-'03_Lap_b'!$B$5:$AW$5))))^2)</f>
        <v/>
      </c>
      <c r="H864" s="5">
        <f>MEDIAN(-6,E864+(C864-F864)/MAX(F864-G864,0.000000001),6)</f>
        <v/>
      </c>
      <c r="I864" s="5">
        <f>SUMPRODUCT(('01_Data'!$B864:$AW864&lt;&gt;"")*(1/(1+EXP(-(H864-'03_Lap_b'!$B$10:$AW$10)))))</f>
        <v/>
      </c>
      <c r="J864" s="5">
        <f>SUMPRODUCT(('01_Data'!$B864:$AW864&lt;&gt;"")*(1/(1+EXP(-(H864-'03_Lap_b'!$B$10:$AW$10))))^2)</f>
        <v/>
      </c>
      <c r="K864" s="5">
        <f>MEDIAN(-6,H864+(C864-I864)/MAX(I864-J864,0.000000001),6)</f>
        <v/>
      </c>
      <c r="L864" s="5">
        <f>SUMPRODUCT(('01_Data'!$B864:$AW864&lt;&gt;"")*(1/(1+EXP(-(K864-'03_Lap_b'!$B$15:$AW$15)))))</f>
        <v/>
      </c>
      <c r="M864" s="5">
        <f>SUMPRODUCT(('01_Data'!$B864:$AW864&lt;&gt;"")*(1/(1+EXP(-(K864-'03_Lap_b'!$B$15:$AW$15))))^2)</f>
        <v/>
      </c>
      <c r="N864" s="5">
        <f>MEDIAN(-6,K864+(C864-L864)/MAX(L864-M864,0.000000001),6)</f>
        <v/>
      </c>
      <c r="O864" s="5">
        <f>SUMPRODUCT(('01_Data'!$B864:$AW864&lt;&gt;"")*(1/(1+EXP(-(N864-'03_Lap_b'!$B$20:$AW$20)))))</f>
        <v/>
      </c>
      <c r="P864" s="5">
        <f>SUMPRODUCT(('01_Data'!$B864:$AW864&lt;&gt;"")*(1/(1+EXP(-(N864-'03_Lap_b'!$B$20:$AW$20))))^2)</f>
        <v/>
      </c>
      <c r="Q864" s="5">
        <f>MEDIAN(-6,N864+(C864-O864)/MAX(O864-P864,0.000000001),6)</f>
        <v/>
      </c>
      <c r="R864" s="5">
        <f>SUMPRODUCT(('01_Data'!$B864:$AW864&lt;&gt;"")*(1/(1+EXP(-(Q864-'03_Lap_b'!$B$25:$AW$25)))))</f>
        <v/>
      </c>
      <c r="S864" s="5">
        <f>SUMPRODUCT(('01_Data'!$B864:$AW864&lt;&gt;"")*(1/(1+EXP(-(Q864-'03_Lap_b'!$B$25:$AW$25))))^2)</f>
        <v/>
      </c>
      <c r="T864" s="5">
        <f>MEDIAN(-6,Q864+(C864-R864)/MAX(R864-S864,0.000000001),6)</f>
        <v/>
      </c>
      <c r="U864" s="5">
        <f>SUMPRODUCT(('01_Data'!$B864:$AW864&lt;&gt;"")*(1/(1+EXP(-(T864-'03_Lap_b'!$B$30:$AW$30)))))</f>
        <v/>
      </c>
      <c r="V864" s="5">
        <f>SUMPRODUCT(('01_Data'!$B864:$AW864&lt;&gt;"")*(1/(1+EXP(-(T864-'03_Lap_b'!$B$30:$AW$30))))^2)</f>
        <v/>
      </c>
      <c r="W864" s="5">
        <f>MEDIAN(-6,T864+(C864-U864)/MAX(U864-V864,0.000000001),6)</f>
        <v/>
      </c>
      <c r="X864" s="5">
        <f>SUMPRODUCT(('01_Data'!$B864:$AW864&lt;&gt;"")*(1/(1+EXP(-(W864-'03_Lap_b'!$B$35:$AW$35)))))</f>
        <v/>
      </c>
      <c r="Y864" s="5">
        <f>SUMPRODUCT(('01_Data'!$B864:$AW864&lt;&gt;"")*(1/(1+EXP(-(W864-'03_Lap_b'!$B$35:$AW$35))))^2)</f>
        <v/>
      </c>
      <c r="Z864" s="5">
        <f>MEDIAN(-6,W864+(C864-X864)/MAX(X864-Y864,0.000000001),6)</f>
        <v/>
      </c>
      <c r="AA864" s="5">
        <f>SUMPRODUCT(('01_Data'!$B864:$AW864&lt;&gt;"")*(1/(1+EXP(-(Z864-'03_Lap_b'!$B$40:$AW$40)))))</f>
        <v/>
      </c>
      <c r="AB864" s="5">
        <f>SUMPRODUCT(('01_Data'!$B864:$AW864&lt;&gt;"")*(1/(1+EXP(-(Z864-'03_Lap_b'!$B$40:$AW$40))))^2)</f>
        <v/>
      </c>
      <c r="AC864" s="5">
        <f>MEDIAN(-6,Z864+(C864-AA864)/MAX(AA864-AB864,0.000000001),6)</f>
        <v/>
      </c>
    </row>
    <row r="865">
      <c r="A865" t="n">
        <v>864</v>
      </c>
      <c r="B865">
        <f>'01_Data'!A865</f>
        <v/>
      </c>
      <c r="C865">
        <f>SUM('01_Data'!$B865:$AW865)</f>
        <v/>
      </c>
      <c r="D865">
        <f>COUNT('01_Data'!$B865:$AW865)</f>
        <v/>
      </c>
      <c r="E865" s="5">
        <f>MEDIAN(-6,LN((C865+0.3)/(D865-C865+0.3)),6)</f>
        <v/>
      </c>
      <c r="F865" s="5">
        <f>SUMPRODUCT(('01_Data'!$B865:$AW865&lt;&gt;"")*(1/(1+EXP(-(E865-'03_Lap_b'!$B$5:$AW$5)))))</f>
        <v/>
      </c>
      <c r="G865" s="5">
        <f>SUMPRODUCT(('01_Data'!$B865:$AW865&lt;&gt;"")*(1/(1+EXP(-(E865-'03_Lap_b'!$B$5:$AW$5))))^2)</f>
        <v/>
      </c>
      <c r="H865" s="5">
        <f>MEDIAN(-6,E865+(C865-F865)/MAX(F865-G865,0.000000001),6)</f>
        <v/>
      </c>
      <c r="I865" s="5">
        <f>SUMPRODUCT(('01_Data'!$B865:$AW865&lt;&gt;"")*(1/(1+EXP(-(H865-'03_Lap_b'!$B$10:$AW$10)))))</f>
        <v/>
      </c>
      <c r="J865" s="5">
        <f>SUMPRODUCT(('01_Data'!$B865:$AW865&lt;&gt;"")*(1/(1+EXP(-(H865-'03_Lap_b'!$B$10:$AW$10))))^2)</f>
        <v/>
      </c>
      <c r="K865" s="5">
        <f>MEDIAN(-6,H865+(C865-I865)/MAX(I865-J865,0.000000001),6)</f>
        <v/>
      </c>
      <c r="L865" s="5">
        <f>SUMPRODUCT(('01_Data'!$B865:$AW865&lt;&gt;"")*(1/(1+EXP(-(K865-'03_Lap_b'!$B$15:$AW$15)))))</f>
        <v/>
      </c>
      <c r="M865" s="5">
        <f>SUMPRODUCT(('01_Data'!$B865:$AW865&lt;&gt;"")*(1/(1+EXP(-(K865-'03_Lap_b'!$B$15:$AW$15))))^2)</f>
        <v/>
      </c>
      <c r="N865" s="5">
        <f>MEDIAN(-6,K865+(C865-L865)/MAX(L865-M865,0.000000001),6)</f>
        <v/>
      </c>
      <c r="O865" s="5">
        <f>SUMPRODUCT(('01_Data'!$B865:$AW865&lt;&gt;"")*(1/(1+EXP(-(N865-'03_Lap_b'!$B$20:$AW$20)))))</f>
        <v/>
      </c>
      <c r="P865" s="5">
        <f>SUMPRODUCT(('01_Data'!$B865:$AW865&lt;&gt;"")*(1/(1+EXP(-(N865-'03_Lap_b'!$B$20:$AW$20))))^2)</f>
        <v/>
      </c>
      <c r="Q865" s="5">
        <f>MEDIAN(-6,N865+(C865-O865)/MAX(O865-P865,0.000000001),6)</f>
        <v/>
      </c>
      <c r="R865" s="5">
        <f>SUMPRODUCT(('01_Data'!$B865:$AW865&lt;&gt;"")*(1/(1+EXP(-(Q865-'03_Lap_b'!$B$25:$AW$25)))))</f>
        <v/>
      </c>
      <c r="S865" s="5">
        <f>SUMPRODUCT(('01_Data'!$B865:$AW865&lt;&gt;"")*(1/(1+EXP(-(Q865-'03_Lap_b'!$B$25:$AW$25))))^2)</f>
        <v/>
      </c>
      <c r="T865" s="5">
        <f>MEDIAN(-6,Q865+(C865-R865)/MAX(R865-S865,0.000000001),6)</f>
        <v/>
      </c>
      <c r="U865" s="5">
        <f>SUMPRODUCT(('01_Data'!$B865:$AW865&lt;&gt;"")*(1/(1+EXP(-(T865-'03_Lap_b'!$B$30:$AW$30)))))</f>
        <v/>
      </c>
      <c r="V865" s="5">
        <f>SUMPRODUCT(('01_Data'!$B865:$AW865&lt;&gt;"")*(1/(1+EXP(-(T865-'03_Lap_b'!$B$30:$AW$30))))^2)</f>
        <v/>
      </c>
      <c r="W865" s="5">
        <f>MEDIAN(-6,T865+(C865-U865)/MAX(U865-V865,0.000000001),6)</f>
        <v/>
      </c>
      <c r="X865" s="5">
        <f>SUMPRODUCT(('01_Data'!$B865:$AW865&lt;&gt;"")*(1/(1+EXP(-(W865-'03_Lap_b'!$B$35:$AW$35)))))</f>
        <v/>
      </c>
      <c r="Y865" s="5">
        <f>SUMPRODUCT(('01_Data'!$B865:$AW865&lt;&gt;"")*(1/(1+EXP(-(W865-'03_Lap_b'!$B$35:$AW$35))))^2)</f>
        <v/>
      </c>
      <c r="Z865" s="5">
        <f>MEDIAN(-6,W865+(C865-X865)/MAX(X865-Y865,0.000000001),6)</f>
        <v/>
      </c>
      <c r="AA865" s="5">
        <f>SUMPRODUCT(('01_Data'!$B865:$AW865&lt;&gt;"")*(1/(1+EXP(-(Z865-'03_Lap_b'!$B$40:$AW$40)))))</f>
        <v/>
      </c>
      <c r="AB865" s="5">
        <f>SUMPRODUCT(('01_Data'!$B865:$AW865&lt;&gt;"")*(1/(1+EXP(-(Z865-'03_Lap_b'!$B$40:$AW$40))))^2)</f>
        <v/>
      </c>
      <c r="AC865" s="5">
        <f>MEDIAN(-6,Z865+(C865-AA865)/MAX(AA865-AB865,0.000000001),6)</f>
        <v/>
      </c>
    </row>
    <row r="866">
      <c r="A866" t="n">
        <v>865</v>
      </c>
      <c r="B866">
        <f>'01_Data'!A866</f>
        <v/>
      </c>
      <c r="C866">
        <f>SUM('01_Data'!$B866:$AW866)</f>
        <v/>
      </c>
      <c r="D866">
        <f>COUNT('01_Data'!$B866:$AW866)</f>
        <v/>
      </c>
      <c r="E866" s="5">
        <f>MEDIAN(-6,LN((C866+0.3)/(D866-C866+0.3)),6)</f>
        <v/>
      </c>
      <c r="F866" s="5">
        <f>SUMPRODUCT(('01_Data'!$B866:$AW866&lt;&gt;"")*(1/(1+EXP(-(E866-'03_Lap_b'!$B$5:$AW$5)))))</f>
        <v/>
      </c>
      <c r="G866" s="5">
        <f>SUMPRODUCT(('01_Data'!$B866:$AW866&lt;&gt;"")*(1/(1+EXP(-(E866-'03_Lap_b'!$B$5:$AW$5))))^2)</f>
        <v/>
      </c>
      <c r="H866" s="5">
        <f>MEDIAN(-6,E866+(C866-F866)/MAX(F866-G866,0.000000001),6)</f>
        <v/>
      </c>
      <c r="I866" s="5">
        <f>SUMPRODUCT(('01_Data'!$B866:$AW866&lt;&gt;"")*(1/(1+EXP(-(H866-'03_Lap_b'!$B$10:$AW$10)))))</f>
        <v/>
      </c>
      <c r="J866" s="5">
        <f>SUMPRODUCT(('01_Data'!$B866:$AW866&lt;&gt;"")*(1/(1+EXP(-(H866-'03_Lap_b'!$B$10:$AW$10))))^2)</f>
        <v/>
      </c>
      <c r="K866" s="5">
        <f>MEDIAN(-6,H866+(C866-I866)/MAX(I866-J866,0.000000001),6)</f>
        <v/>
      </c>
      <c r="L866" s="5">
        <f>SUMPRODUCT(('01_Data'!$B866:$AW866&lt;&gt;"")*(1/(1+EXP(-(K866-'03_Lap_b'!$B$15:$AW$15)))))</f>
        <v/>
      </c>
      <c r="M866" s="5">
        <f>SUMPRODUCT(('01_Data'!$B866:$AW866&lt;&gt;"")*(1/(1+EXP(-(K866-'03_Lap_b'!$B$15:$AW$15))))^2)</f>
        <v/>
      </c>
      <c r="N866" s="5">
        <f>MEDIAN(-6,K866+(C866-L866)/MAX(L866-M866,0.000000001),6)</f>
        <v/>
      </c>
      <c r="O866" s="5">
        <f>SUMPRODUCT(('01_Data'!$B866:$AW866&lt;&gt;"")*(1/(1+EXP(-(N866-'03_Lap_b'!$B$20:$AW$20)))))</f>
        <v/>
      </c>
      <c r="P866" s="5">
        <f>SUMPRODUCT(('01_Data'!$B866:$AW866&lt;&gt;"")*(1/(1+EXP(-(N866-'03_Lap_b'!$B$20:$AW$20))))^2)</f>
        <v/>
      </c>
      <c r="Q866" s="5">
        <f>MEDIAN(-6,N866+(C866-O866)/MAX(O866-P866,0.000000001),6)</f>
        <v/>
      </c>
      <c r="R866" s="5">
        <f>SUMPRODUCT(('01_Data'!$B866:$AW866&lt;&gt;"")*(1/(1+EXP(-(Q866-'03_Lap_b'!$B$25:$AW$25)))))</f>
        <v/>
      </c>
      <c r="S866" s="5">
        <f>SUMPRODUCT(('01_Data'!$B866:$AW866&lt;&gt;"")*(1/(1+EXP(-(Q866-'03_Lap_b'!$B$25:$AW$25))))^2)</f>
        <v/>
      </c>
      <c r="T866" s="5">
        <f>MEDIAN(-6,Q866+(C866-R866)/MAX(R866-S866,0.000000001),6)</f>
        <v/>
      </c>
      <c r="U866" s="5">
        <f>SUMPRODUCT(('01_Data'!$B866:$AW866&lt;&gt;"")*(1/(1+EXP(-(T866-'03_Lap_b'!$B$30:$AW$30)))))</f>
        <v/>
      </c>
      <c r="V866" s="5">
        <f>SUMPRODUCT(('01_Data'!$B866:$AW866&lt;&gt;"")*(1/(1+EXP(-(T866-'03_Lap_b'!$B$30:$AW$30))))^2)</f>
        <v/>
      </c>
      <c r="W866" s="5">
        <f>MEDIAN(-6,T866+(C866-U866)/MAX(U866-V866,0.000000001),6)</f>
        <v/>
      </c>
      <c r="X866" s="5">
        <f>SUMPRODUCT(('01_Data'!$B866:$AW866&lt;&gt;"")*(1/(1+EXP(-(W866-'03_Lap_b'!$B$35:$AW$35)))))</f>
        <v/>
      </c>
      <c r="Y866" s="5">
        <f>SUMPRODUCT(('01_Data'!$B866:$AW866&lt;&gt;"")*(1/(1+EXP(-(W866-'03_Lap_b'!$B$35:$AW$35))))^2)</f>
        <v/>
      </c>
      <c r="Z866" s="5">
        <f>MEDIAN(-6,W866+(C866-X866)/MAX(X866-Y866,0.000000001),6)</f>
        <v/>
      </c>
      <c r="AA866" s="5">
        <f>SUMPRODUCT(('01_Data'!$B866:$AW866&lt;&gt;"")*(1/(1+EXP(-(Z866-'03_Lap_b'!$B$40:$AW$40)))))</f>
        <v/>
      </c>
      <c r="AB866" s="5">
        <f>SUMPRODUCT(('01_Data'!$B866:$AW866&lt;&gt;"")*(1/(1+EXP(-(Z866-'03_Lap_b'!$B$40:$AW$40))))^2)</f>
        <v/>
      </c>
      <c r="AC866" s="5">
        <f>MEDIAN(-6,Z866+(C866-AA866)/MAX(AA866-AB866,0.000000001),6)</f>
        <v/>
      </c>
    </row>
    <row r="867">
      <c r="A867" t="n">
        <v>866</v>
      </c>
      <c r="B867">
        <f>'01_Data'!A867</f>
        <v/>
      </c>
      <c r="C867">
        <f>SUM('01_Data'!$B867:$AW867)</f>
        <v/>
      </c>
      <c r="D867">
        <f>COUNT('01_Data'!$B867:$AW867)</f>
        <v/>
      </c>
      <c r="E867" s="5">
        <f>MEDIAN(-6,LN((C867+0.3)/(D867-C867+0.3)),6)</f>
        <v/>
      </c>
      <c r="F867" s="5">
        <f>SUMPRODUCT(('01_Data'!$B867:$AW867&lt;&gt;"")*(1/(1+EXP(-(E867-'03_Lap_b'!$B$5:$AW$5)))))</f>
        <v/>
      </c>
      <c r="G867" s="5">
        <f>SUMPRODUCT(('01_Data'!$B867:$AW867&lt;&gt;"")*(1/(1+EXP(-(E867-'03_Lap_b'!$B$5:$AW$5))))^2)</f>
        <v/>
      </c>
      <c r="H867" s="5">
        <f>MEDIAN(-6,E867+(C867-F867)/MAX(F867-G867,0.000000001),6)</f>
        <v/>
      </c>
      <c r="I867" s="5">
        <f>SUMPRODUCT(('01_Data'!$B867:$AW867&lt;&gt;"")*(1/(1+EXP(-(H867-'03_Lap_b'!$B$10:$AW$10)))))</f>
        <v/>
      </c>
      <c r="J867" s="5">
        <f>SUMPRODUCT(('01_Data'!$B867:$AW867&lt;&gt;"")*(1/(1+EXP(-(H867-'03_Lap_b'!$B$10:$AW$10))))^2)</f>
        <v/>
      </c>
      <c r="K867" s="5">
        <f>MEDIAN(-6,H867+(C867-I867)/MAX(I867-J867,0.000000001),6)</f>
        <v/>
      </c>
      <c r="L867" s="5">
        <f>SUMPRODUCT(('01_Data'!$B867:$AW867&lt;&gt;"")*(1/(1+EXP(-(K867-'03_Lap_b'!$B$15:$AW$15)))))</f>
        <v/>
      </c>
      <c r="M867" s="5">
        <f>SUMPRODUCT(('01_Data'!$B867:$AW867&lt;&gt;"")*(1/(1+EXP(-(K867-'03_Lap_b'!$B$15:$AW$15))))^2)</f>
        <v/>
      </c>
      <c r="N867" s="5">
        <f>MEDIAN(-6,K867+(C867-L867)/MAX(L867-M867,0.000000001),6)</f>
        <v/>
      </c>
      <c r="O867" s="5">
        <f>SUMPRODUCT(('01_Data'!$B867:$AW867&lt;&gt;"")*(1/(1+EXP(-(N867-'03_Lap_b'!$B$20:$AW$20)))))</f>
        <v/>
      </c>
      <c r="P867" s="5">
        <f>SUMPRODUCT(('01_Data'!$B867:$AW867&lt;&gt;"")*(1/(1+EXP(-(N867-'03_Lap_b'!$B$20:$AW$20))))^2)</f>
        <v/>
      </c>
      <c r="Q867" s="5">
        <f>MEDIAN(-6,N867+(C867-O867)/MAX(O867-P867,0.000000001),6)</f>
        <v/>
      </c>
      <c r="R867" s="5">
        <f>SUMPRODUCT(('01_Data'!$B867:$AW867&lt;&gt;"")*(1/(1+EXP(-(Q867-'03_Lap_b'!$B$25:$AW$25)))))</f>
        <v/>
      </c>
      <c r="S867" s="5">
        <f>SUMPRODUCT(('01_Data'!$B867:$AW867&lt;&gt;"")*(1/(1+EXP(-(Q867-'03_Lap_b'!$B$25:$AW$25))))^2)</f>
        <v/>
      </c>
      <c r="T867" s="5">
        <f>MEDIAN(-6,Q867+(C867-R867)/MAX(R867-S867,0.000000001),6)</f>
        <v/>
      </c>
      <c r="U867" s="5">
        <f>SUMPRODUCT(('01_Data'!$B867:$AW867&lt;&gt;"")*(1/(1+EXP(-(T867-'03_Lap_b'!$B$30:$AW$30)))))</f>
        <v/>
      </c>
      <c r="V867" s="5">
        <f>SUMPRODUCT(('01_Data'!$B867:$AW867&lt;&gt;"")*(1/(1+EXP(-(T867-'03_Lap_b'!$B$30:$AW$30))))^2)</f>
        <v/>
      </c>
      <c r="W867" s="5">
        <f>MEDIAN(-6,T867+(C867-U867)/MAX(U867-V867,0.000000001),6)</f>
        <v/>
      </c>
      <c r="X867" s="5">
        <f>SUMPRODUCT(('01_Data'!$B867:$AW867&lt;&gt;"")*(1/(1+EXP(-(W867-'03_Lap_b'!$B$35:$AW$35)))))</f>
        <v/>
      </c>
      <c r="Y867" s="5">
        <f>SUMPRODUCT(('01_Data'!$B867:$AW867&lt;&gt;"")*(1/(1+EXP(-(W867-'03_Lap_b'!$B$35:$AW$35))))^2)</f>
        <v/>
      </c>
      <c r="Z867" s="5">
        <f>MEDIAN(-6,W867+(C867-X867)/MAX(X867-Y867,0.000000001),6)</f>
        <v/>
      </c>
      <c r="AA867" s="5">
        <f>SUMPRODUCT(('01_Data'!$B867:$AW867&lt;&gt;"")*(1/(1+EXP(-(Z867-'03_Lap_b'!$B$40:$AW$40)))))</f>
        <v/>
      </c>
      <c r="AB867" s="5">
        <f>SUMPRODUCT(('01_Data'!$B867:$AW867&lt;&gt;"")*(1/(1+EXP(-(Z867-'03_Lap_b'!$B$40:$AW$40))))^2)</f>
        <v/>
      </c>
      <c r="AC867" s="5">
        <f>MEDIAN(-6,Z867+(C867-AA867)/MAX(AA867-AB867,0.000000001),6)</f>
        <v/>
      </c>
    </row>
    <row r="868">
      <c r="A868" t="n">
        <v>867</v>
      </c>
      <c r="B868">
        <f>'01_Data'!A868</f>
        <v/>
      </c>
      <c r="C868">
        <f>SUM('01_Data'!$B868:$AW868)</f>
        <v/>
      </c>
      <c r="D868">
        <f>COUNT('01_Data'!$B868:$AW868)</f>
        <v/>
      </c>
      <c r="E868" s="5">
        <f>MEDIAN(-6,LN((C868+0.3)/(D868-C868+0.3)),6)</f>
        <v/>
      </c>
      <c r="F868" s="5">
        <f>SUMPRODUCT(('01_Data'!$B868:$AW868&lt;&gt;"")*(1/(1+EXP(-(E868-'03_Lap_b'!$B$5:$AW$5)))))</f>
        <v/>
      </c>
      <c r="G868" s="5">
        <f>SUMPRODUCT(('01_Data'!$B868:$AW868&lt;&gt;"")*(1/(1+EXP(-(E868-'03_Lap_b'!$B$5:$AW$5))))^2)</f>
        <v/>
      </c>
      <c r="H868" s="5">
        <f>MEDIAN(-6,E868+(C868-F868)/MAX(F868-G868,0.000000001),6)</f>
        <v/>
      </c>
      <c r="I868" s="5">
        <f>SUMPRODUCT(('01_Data'!$B868:$AW868&lt;&gt;"")*(1/(1+EXP(-(H868-'03_Lap_b'!$B$10:$AW$10)))))</f>
        <v/>
      </c>
      <c r="J868" s="5">
        <f>SUMPRODUCT(('01_Data'!$B868:$AW868&lt;&gt;"")*(1/(1+EXP(-(H868-'03_Lap_b'!$B$10:$AW$10))))^2)</f>
        <v/>
      </c>
      <c r="K868" s="5">
        <f>MEDIAN(-6,H868+(C868-I868)/MAX(I868-J868,0.000000001),6)</f>
        <v/>
      </c>
      <c r="L868" s="5">
        <f>SUMPRODUCT(('01_Data'!$B868:$AW868&lt;&gt;"")*(1/(1+EXP(-(K868-'03_Lap_b'!$B$15:$AW$15)))))</f>
        <v/>
      </c>
      <c r="M868" s="5">
        <f>SUMPRODUCT(('01_Data'!$B868:$AW868&lt;&gt;"")*(1/(1+EXP(-(K868-'03_Lap_b'!$B$15:$AW$15))))^2)</f>
        <v/>
      </c>
      <c r="N868" s="5">
        <f>MEDIAN(-6,K868+(C868-L868)/MAX(L868-M868,0.000000001),6)</f>
        <v/>
      </c>
      <c r="O868" s="5">
        <f>SUMPRODUCT(('01_Data'!$B868:$AW868&lt;&gt;"")*(1/(1+EXP(-(N868-'03_Lap_b'!$B$20:$AW$20)))))</f>
        <v/>
      </c>
      <c r="P868" s="5">
        <f>SUMPRODUCT(('01_Data'!$B868:$AW868&lt;&gt;"")*(1/(1+EXP(-(N868-'03_Lap_b'!$B$20:$AW$20))))^2)</f>
        <v/>
      </c>
      <c r="Q868" s="5">
        <f>MEDIAN(-6,N868+(C868-O868)/MAX(O868-P868,0.000000001),6)</f>
        <v/>
      </c>
      <c r="R868" s="5">
        <f>SUMPRODUCT(('01_Data'!$B868:$AW868&lt;&gt;"")*(1/(1+EXP(-(Q868-'03_Lap_b'!$B$25:$AW$25)))))</f>
        <v/>
      </c>
      <c r="S868" s="5">
        <f>SUMPRODUCT(('01_Data'!$B868:$AW868&lt;&gt;"")*(1/(1+EXP(-(Q868-'03_Lap_b'!$B$25:$AW$25))))^2)</f>
        <v/>
      </c>
      <c r="T868" s="5">
        <f>MEDIAN(-6,Q868+(C868-R868)/MAX(R868-S868,0.000000001),6)</f>
        <v/>
      </c>
      <c r="U868" s="5">
        <f>SUMPRODUCT(('01_Data'!$B868:$AW868&lt;&gt;"")*(1/(1+EXP(-(T868-'03_Lap_b'!$B$30:$AW$30)))))</f>
        <v/>
      </c>
      <c r="V868" s="5">
        <f>SUMPRODUCT(('01_Data'!$B868:$AW868&lt;&gt;"")*(1/(1+EXP(-(T868-'03_Lap_b'!$B$30:$AW$30))))^2)</f>
        <v/>
      </c>
      <c r="W868" s="5">
        <f>MEDIAN(-6,T868+(C868-U868)/MAX(U868-V868,0.000000001),6)</f>
        <v/>
      </c>
      <c r="X868" s="5">
        <f>SUMPRODUCT(('01_Data'!$B868:$AW868&lt;&gt;"")*(1/(1+EXP(-(W868-'03_Lap_b'!$B$35:$AW$35)))))</f>
        <v/>
      </c>
      <c r="Y868" s="5">
        <f>SUMPRODUCT(('01_Data'!$B868:$AW868&lt;&gt;"")*(1/(1+EXP(-(W868-'03_Lap_b'!$B$35:$AW$35))))^2)</f>
        <v/>
      </c>
      <c r="Z868" s="5">
        <f>MEDIAN(-6,W868+(C868-X868)/MAX(X868-Y868,0.000000001),6)</f>
        <v/>
      </c>
      <c r="AA868" s="5">
        <f>SUMPRODUCT(('01_Data'!$B868:$AW868&lt;&gt;"")*(1/(1+EXP(-(Z868-'03_Lap_b'!$B$40:$AW$40)))))</f>
        <v/>
      </c>
      <c r="AB868" s="5">
        <f>SUMPRODUCT(('01_Data'!$B868:$AW868&lt;&gt;"")*(1/(1+EXP(-(Z868-'03_Lap_b'!$B$40:$AW$40))))^2)</f>
        <v/>
      </c>
      <c r="AC868" s="5">
        <f>MEDIAN(-6,Z868+(C868-AA868)/MAX(AA868-AB868,0.000000001),6)</f>
        <v/>
      </c>
    </row>
    <row r="869">
      <c r="A869" t="n">
        <v>868</v>
      </c>
      <c r="B869">
        <f>'01_Data'!A869</f>
        <v/>
      </c>
      <c r="C869">
        <f>SUM('01_Data'!$B869:$AW869)</f>
        <v/>
      </c>
      <c r="D869">
        <f>COUNT('01_Data'!$B869:$AW869)</f>
        <v/>
      </c>
      <c r="E869" s="5">
        <f>MEDIAN(-6,LN((C869+0.3)/(D869-C869+0.3)),6)</f>
        <v/>
      </c>
      <c r="F869" s="5">
        <f>SUMPRODUCT(('01_Data'!$B869:$AW869&lt;&gt;"")*(1/(1+EXP(-(E869-'03_Lap_b'!$B$5:$AW$5)))))</f>
        <v/>
      </c>
      <c r="G869" s="5">
        <f>SUMPRODUCT(('01_Data'!$B869:$AW869&lt;&gt;"")*(1/(1+EXP(-(E869-'03_Lap_b'!$B$5:$AW$5))))^2)</f>
        <v/>
      </c>
      <c r="H869" s="5">
        <f>MEDIAN(-6,E869+(C869-F869)/MAX(F869-G869,0.000000001),6)</f>
        <v/>
      </c>
      <c r="I869" s="5">
        <f>SUMPRODUCT(('01_Data'!$B869:$AW869&lt;&gt;"")*(1/(1+EXP(-(H869-'03_Lap_b'!$B$10:$AW$10)))))</f>
        <v/>
      </c>
      <c r="J869" s="5">
        <f>SUMPRODUCT(('01_Data'!$B869:$AW869&lt;&gt;"")*(1/(1+EXP(-(H869-'03_Lap_b'!$B$10:$AW$10))))^2)</f>
        <v/>
      </c>
      <c r="K869" s="5">
        <f>MEDIAN(-6,H869+(C869-I869)/MAX(I869-J869,0.000000001),6)</f>
        <v/>
      </c>
      <c r="L869" s="5">
        <f>SUMPRODUCT(('01_Data'!$B869:$AW869&lt;&gt;"")*(1/(1+EXP(-(K869-'03_Lap_b'!$B$15:$AW$15)))))</f>
        <v/>
      </c>
      <c r="M869" s="5">
        <f>SUMPRODUCT(('01_Data'!$B869:$AW869&lt;&gt;"")*(1/(1+EXP(-(K869-'03_Lap_b'!$B$15:$AW$15))))^2)</f>
        <v/>
      </c>
      <c r="N869" s="5">
        <f>MEDIAN(-6,K869+(C869-L869)/MAX(L869-M869,0.000000001),6)</f>
        <v/>
      </c>
      <c r="O869" s="5">
        <f>SUMPRODUCT(('01_Data'!$B869:$AW869&lt;&gt;"")*(1/(1+EXP(-(N869-'03_Lap_b'!$B$20:$AW$20)))))</f>
        <v/>
      </c>
      <c r="P869" s="5">
        <f>SUMPRODUCT(('01_Data'!$B869:$AW869&lt;&gt;"")*(1/(1+EXP(-(N869-'03_Lap_b'!$B$20:$AW$20))))^2)</f>
        <v/>
      </c>
      <c r="Q869" s="5">
        <f>MEDIAN(-6,N869+(C869-O869)/MAX(O869-P869,0.000000001),6)</f>
        <v/>
      </c>
      <c r="R869" s="5">
        <f>SUMPRODUCT(('01_Data'!$B869:$AW869&lt;&gt;"")*(1/(1+EXP(-(Q869-'03_Lap_b'!$B$25:$AW$25)))))</f>
        <v/>
      </c>
      <c r="S869" s="5">
        <f>SUMPRODUCT(('01_Data'!$B869:$AW869&lt;&gt;"")*(1/(1+EXP(-(Q869-'03_Lap_b'!$B$25:$AW$25))))^2)</f>
        <v/>
      </c>
      <c r="T869" s="5">
        <f>MEDIAN(-6,Q869+(C869-R869)/MAX(R869-S869,0.000000001),6)</f>
        <v/>
      </c>
      <c r="U869" s="5">
        <f>SUMPRODUCT(('01_Data'!$B869:$AW869&lt;&gt;"")*(1/(1+EXP(-(T869-'03_Lap_b'!$B$30:$AW$30)))))</f>
        <v/>
      </c>
      <c r="V869" s="5">
        <f>SUMPRODUCT(('01_Data'!$B869:$AW869&lt;&gt;"")*(1/(1+EXP(-(T869-'03_Lap_b'!$B$30:$AW$30))))^2)</f>
        <v/>
      </c>
      <c r="W869" s="5">
        <f>MEDIAN(-6,T869+(C869-U869)/MAX(U869-V869,0.000000001),6)</f>
        <v/>
      </c>
      <c r="X869" s="5">
        <f>SUMPRODUCT(('01_Data'!$B869:$AW869&lt;&gt;"")*(1/(1+EXP(-(W869-'03_Lap_b'!$B$35:$AW$35)))))</f>
        <v/>
      </c>
      <c r="Y869" s="5">
        <f>SUMPRODUCT(('01_Data'!$B869:$AW869&lt;&gt;"")*(1/(1+EXP(-(W869-'03_Lap_b'!$B$35:$AW$35))))^2)</f>
        <v/>
      </c>
      <c r="Z869" s="5">
        <f>MEDIAN(-6,W869+(C869-X869)/MAX(X869-Y869,0.000000001),6)</f>
        <v/>
      </c>
      <c r="AA869" s="5">
        <f>SUMPRODUCT(('01_Data'!$B869:$AW869&lt;&gt;"")*(1/(1+EXP(-(Z869-'03_Lap_b'!$B$40:$AW$40)))))</f>
        <v/>
      </c>
      <c r="AB869" s="5">
        <f>SUMPRODUCT(('01_Data'!$B869:$AW869&lt;&gt;"")*(1/(1+EXP(-(Z869-'03_Lap_b'!$B$40:$AW$40))))^2)</f>
        <v/>
      </c>
      <c r="AC869" s="5">
        <f>MEDIAN(-6,Z869+(C869-AA869)/MAX(AA869-AB869,0.000000001),6)</f>
        <v/>
      </c>
    </row>
    <row r="870">
      <c r="A870" t="n">
        <v>869</v>
      </c>
      <c r="B870">
        <f>'01_Data'!A870</f>
        <v/>
      </c>
      <c r="C870">
        <f>SUM('01_Data'!$B870:$AW870)</f>
        <v/>
      </c>
      <c r="D870">
        <f>COUNT('01_Data'!$B870:$AW870)</f>
        <v/>
      </c>
      <c r="E870" s="5">
        <f>MEDIAN(-6,LN((C870+0.3)/(D870-C870+0.3)),6)</f>
        <v/>
      </c>
      <c r="F870" s="5">
        <f>SUMPRODUCT(('01_Data'!$B870:$AW870&lt;&gt;"")*(1/(1+EXP(-(E870-'03_Lap_b'!$B$5:$AW$5)))))</f>
        <v/>
      </c>
      <c r="G870" s="5">
        <f>SUMPRODUCT(('01_Data'!$B870:$AW870&lt;&gt;"")*(1/(1+EXP(-(E870-'03_Lap_b'!$B$5:$AW$5))))^2)</f>
        <v/>
      </c>
      <c r="H870" s="5">
        <f>MEDIAN(-6,E870+(C870-F870)/MAX(F870-G870,0.000000001),6)</f>
        <v/>
      </c>
      <c r="I870" s="5">
        <f>SUMPRODUCT(('01_Data'!$B870:$AW870&lt;&gt;"")*(1/(1+EXP(-(H870-'03_Lap_b'!$B$10:$AW$10)))))</f>
        <v/>
      </c>
      <c r="J870" s="5">
        <f>SUMPRODUCT(('01_Data'!$B870:$AW870&lt;&gt;"")*(1/(1+EXP(-(H870-'03_Lap_b'!$B$10:$AW$10))))^2)</f>
        <v/>
      </c>
      <c r="K870" s="5">
        <f>MEDIAN(-6,H870+(C870-I870)/MAX(I870-J870,0.000000001),6)</f>
        <v/>
      </c>
      <c r="L870" s="5">
        <f>SUMPRODUCT(('01_Data'!$B870:$AW870&lt;&gt;"")*(1/(1+EXP(-(K870-'03_Lap_b'!$B$15:$AW$15)))))</f>
        <v/>
      </c>
      <c r="M870" s="5">
        <f>SUMPRODUCT(('01_Data'!$B870:$AW870&lt;&gt;"")*(1/(1+EXP(-(K870-'03_Lap_b'!$B$15:$AW$15))))^2)</f>
        <v/>
      </c>
      <c r="N870" s="5">
        <f>MEDIAN(-6,K870+(C870-L870)/MAX(L870-M870,0.000000001),6)</f>
        <v/>
      </c>
      <c r="O870" s="5">
        <f>SUMPRODUCT(('01_Data'!$B870:$AW870&lt;&gt;"")*(1/(1+EXP(-(N870-'03_Lap_b'!$B$20:$AW$20)))))</f>
        <v/>
      </c>
      <c r="P870" s="5">
        <f>SUMPRODUCT(('01_Data'!$B870:$AW870&lt;&gt;"")*(1/(1+EXP(-(N870-'03_Lap_b'!$B$20:$AW$20))))^2)</f>
        <v/>
      </c>
      <c r="Q870" s="5">
        <f>MEDIAN(-6,N870+(C870-O870)/MAX(O870-P870,0.000000001),6)</f>
        <v/>
      </c>
      <c r="R870" s="5">
        <f>SUMPRODUCT(('01_Data'!$B870:$AW870&lt;&gt;"")*(1/(1+EXP(-(Q870-'03_Lap_b'!$B$25:$AW$25)))))</f>
        <v/>
      </c>
      <c r="S870" s="5">
        <f>SUMPRODUCT(('01_Data'!$B870:$AW870&lt;&gt;"")*(1/(1+EXP(-(Q870-'03_Lap_b'!$B$25:$AW$25))))^2)</f>
        <v/>
      </c>
      <c r="T870" s="5">
        <f>MEDIAN(-6,Q870+(C870-R870)/MAX(R870-S870,0.000000001),6)</f>
        <v/>
      </c>
      <c r="U870" s="5">
        <f>SUMPRODUCT(('01_Data'!$B870:$AW870&lt;&gt;"")*(1/(1+EXP(-(T870-'03_Lap_b'!$B$30:$AW$30)))))</f>
        <v/>
      </c>
      <c r="V870" s="5">
        <f>SUMPRODUCT(('01_Data'!$B870:$AW870&lt;&gt;"")*(1/(1+EXP(-(T870-'03_Lap_b'!$B$30:$AW$30))))^2)</f>
        <v/>
      </c>
      <c r="W870" s="5">
        <f>MEDIAN(-6,T870+(C870-U870)/MAX(U870-V870,0.000000001),6)</f>
        <v/>
      </c>
      <c r="X870" s="5">
        <f>SUMPRODUCT(('01_Data'!$B870:$AW870&lt;&gt;"")*(1/(1+EXP(-(W870-'03_Lap_b'!$B$35:$AW$35)))))</f>
        <v/>
      </c>
      <c r="Y870" s="5">
        <f>SUMPRODUCT(('01_Data'!$B870:$AW870&lt;&gt;"")*(1/(1+EXP(-(W870-'03_Lap_b'!$B$35:$AW$35))))^2)</f>
        <v/>
      </c>
      <c r="Z870" s="5">
        <f>MEDIAN(-6,W870+(C870-X870)/MAX(X870-Y870,0.000000001),6)</f>
        <v/>
      </c>
      <c r="AA870" s="5">
        <f>SUMPRODUCT(('01_Data'!$B870:$AW870&lt;&gt;"")*(1/(1+EXP(-(Z870-'03_Lap_b'!$B$40:$AW$40)))))</f>
        <v/>
      </c>
      <c r="AB870" s="5">
        <f>SUMPRODUCT(('01_Data'!$B870:$AW870&lt;&gt;"")*(1/(1+EXP(-(Z870-'03_Lap_b'!$B$40:$AW$40))))^2)</f>
        <v/>
      </c>
      <c r="AC870" s="5">
        <f>MEDIAN(-6,Z870+(C870-AA870)/MAX(AA870-AB870,0.000000001),6)</f>
        <v/>
      </c>
    </row>
    <row r="871">
      <c r="A871" t="n">
        <v>870</v>
      </c>
      <c r="B871">
        <f>'01_Data'!A871</f>
        <v/>
      </c>
      <c r="C871">
        <f>SUM('01_Data'!$B871:$AW871)</f>
        <v/>
      </c>
      <c r="D871">
        <f>COUNT('01_Data'!$B871:$AW871)</f>
        <v/>
      </c>
      <c r="E871" s="5">
        <f>MEDIAN(-6,LN((C871+0.3)/(D871-C871+0.3)),6)</f>
        <v/>
      </c>
      <c r="F871" s="5">
        <f>SUMPRODUCT(('01_Data'!$B871:$AW871&lt;&gt;"")*(1/(1+EXP(-(E871-'03_Lap_b'!$B$5:$AW$5)))))</f>
        <v/>
      </c>
      <c r="G871" s="5">
        <f>SUMPRODUCT(('01_Data'!$B871:$AW871&lt;&gt;"")*(1/(1+EXP(-(E871-'03_Lap_b'!$B$5:$AW$5))))^2)</f>
        <v/>
      </c>
      <c r="H871" s="5">
        <f>MEDIAN(-6,E871+(C871-F871)/MAX(F871-G871,0.000000001),6)</f>
        <v/>
      </c>
      <c r="I871" s="5">
        <f>SUMPRODUCT(('01_Data'!$B871:$AW871&lt;&gt;"")*(1/(1+EXP(-(H871-'03_Lap_b'!$B$10:$AW$10)))))</f>
        <v/>
      </c>
      <c r="J871" s="5">
        <f>SUMPRODUCT(('01_Data'!$B871:$AW871&lt;&gt;"")*(1/(1+EXP(-(H871-'03_Lap_b'!$B$10:$AW$10))))^2)</f>
        <v/>
      </c>
      <c r="K871" s="5">
        <f>MEDIAN(-6,H871+(C871-I871)/MAX(I871-J871,0.000000001),6)</f>
        <v/>
      </c>
      <c r="L871" s="5">
        <f>SUMPRODUCT(('01_Data'!$B871:$AW871&lt;&gt;"")*(1/(1+EXP(-(K871-'03_Lap_b'!$B$15:$AW$15)))))</f>
        <v/>
      </c>
      <c r="M871" s="5">
        <f>SUMPRODUCT(('01_Data'!$B871:$AW871&lt;&gt;"")*(1/(1+EXP(-(K871-'03_Lap_b'!$B$15:$AW$15))))^2)</f>
        <v/>
      </c>
      <c r="N871" s="5">
        <f>MEDIAN(-6,K871+(C871-L871)/MAX(L871-M871,0.000000001),6)</f>
        <v/>
      </c>
      <c r="O871" s="5">
        <f>SUMPRODUCT(('01_Data'!$B871:$AW871&lt;&gt;"")*(1/(1+EXP(-(N871-'03_Lap_b'!$B$20:$AW$20)))))</f>
        <v/>
      </c>
      <c r="P871" s="5">
        <f>SUMPRODUCT(('01_Data'!$B871:$AW871&lt;&gt;"")*(1/(1+EXP(-(N871-'03_Lap_b'!$B$20:$AW$20))))^2)</f>
        <v/>
      </c>
      <c r="Q871" s="5">
        <f>MEDIAN(-6,N871+(C871-O871)/MAX(O871-P871,0.000000001),6)</f>
        <v/>
      </c>
      <c r="R871" s="5">
        <f>SUMPRODUCT(('01_Data'!$B871:$AW871&lt;&gt;"")*(1/(1+EXP(-(Q871-'03_Lap_b'!$B$25:$AW$25)))))</f>
        <v/>
      </c>
      <c r="S871" s="5">
        <f>SUMPRODUCT(('01_Data'!$B871:$AW871&lt;&gt;"")*(1/(1+EXP(-(Q871-'03_Lap_b'!$B$25:$AW$25))))^2)</f>
        <v/>
      </c>
      <c r="T871" s="5">
        <f>MEDIAN(-6,Q871+(C871-R871)/MAX(R871-S871,0.000000001),6)</f>
        <v/>
      </c>
      <c r="U871" s="5">
        <f>SUMPRODUCT(('01_Data'!$B871:$AW871&lt;&gt;"")*(1/(1+EXP(-(T871-'03_Lap_b'!$B$30:$AW$30)))))</f>
        <v/>
      </c>
      <c r="V871" s="5">
        <f>SUMPRODUCT(('01_Data'!$B871:$AW871&lt;&gt;"")*(1/(1+EXP(-(T871-'03_Lap_b'!$B$30:$AW$30))))^2)</f>
        <v/>
      </c>
      <c r="W871" s="5">
        <f>MEDIAN(-6,T871+(C871-U871)/MAX(U871-V871,0.000000001),6)</f>
        <v/>
      </c>
      <c r="X871" s="5">
        <f>SUMPRODUCT(('01_Data'!$B871:$AW871&lt;&gt;"")*(1/(1+EXP(-(W871-'03_Lap_b'!$B$35:$AW$35)))))</f>
        <v/>
      </c>
      <c r="Y871" s="5">
        <f>SUMPRODUCT(('01_Data'!$B871:$AW871&lt;&gt;"")*(1/(1+EXP(-(W871-'03_Lap_b'!$B$35:$AW$35))))^2)</f>
        <v/>
      </c>
      <c r="Z871" s="5">
        <f>MEDIAN(-6,W871+(C871-X871)/MAX(X871-Y871,0.000000001),6)</f>
        <v/>
      </c>
      <c r="AA871" s="5">
        <f>SUMPRODUCT(('01_Data'!$B871:$AW871&lt;&gt;"")*(1/(1+EXP(-(Z871-'03_Lap_b'!$B$40:$AW$40)))))</f>
        <v/>
      </c>
      <c r="AB871" s="5">
        <f>SUMPRODUCT(('01_Data'!$B871:$AW871&lt;&gt;"")*(1/(1+EXP(-(Z871-'03_Lap_b'!$B$40:$AW$40))))^2)</f>
        <v/>
      </c>
      <c r="AC871" s="5">
        <f>MEDIAN(-6,Z871+(C871-AA871)/MAX(AA871-AB871,0.000000001),6)</f>
        <v/>
      </c>
    </row>
    <row r="872">
      <c r="A872" t="n">
        <v>871</v>
      </c>
      <c r="B872">
        <f>'01_Data'!A872</f>
        <v/>
      </c>
      <c r="C872">
        <f>SUM('01_Data'!$B872:$AW872)</f>
        <v/>
      </c>
      <c r="D872">
        <f>COUNT('01_Data'!$B872:$AW872)</f>
        <v/>
      </c>
      <c r="E872" s="5">
        <f>MEDIAN(-6,LN((C872+0.3)/(D872-C872+0.3)),6)</f>
        <v/>
      </c>
      <c r="F872" s="5">
        <f>SUMPRODUCT(('01_Data'!$B872:$AW872&lt;&gt;"")*(1/(1+EXP(-(E872-'03_Lap_b'!$B$5:$AW$5)))))</f>
        <v/>
      </c>
      <c r="G872" s="5">
        <f>SUMPRODUCT(('01_Data'!$B872:$AW872&lt;&gt;"")*(1/(1+EXP(-(E872-'03_Lap_b'!$B$5:$AW$5))))^2)</f>
        <v/>
      </c>
      <c r="H872" s="5">
        <f>MEDIAN(-6,E872+(C872-F872)/MAX(F872-G872,0.000000001),6)</f>
        <v/>
      </c>
      <c r="I872" s="5">
        <f>SUMPRODUCT(('01_Data'!$B872:$AW872&lt;&gt;"")*(1/(1+EXP(-(H872-'03_Lap_b'!$B$10:$AW$10)))))</f>
        <v/>
      </c>
      <c r="J872" s="5">
        <f>SUMPRODUCT(('01_Data'!$B872:$AW872&lt;&gt;"")*(1/(1+EXP(-(H872-'03_Lap_b'!$B$10:$AW$10))))^2)</f>
        <v/>
      </c>
      <c r="K872" s="5">
        <f>MEDIAN(-6,H872+(C872-I872)/MAX(I872-J872,0.000000001),6)</f>
        <v/>
      </c>
      <c r="L872" s="5">
        <f>SUMPRODUCT(('01_Data'!$B872:$AW872&lt;&gt;"")*(1/(1+EXP(-(K872-'03_Lap_b'!$B$15:$AW$15)))))</f>
        <v/>
      </c>
      <c r="M872" s="5">
        <f>SUMPRODUCT(('01_Data'!$B872:$AW872&lt;&gt;"")*(1/(1+EXP(-(K872-'03_Lap_b'!$B$15:$AW$15))))^2)</f>
        <v/>
      </c>
      <c r="N872" s="5">
        <f>MEDIAN(-6,K872+(C872-L872)/MAX(L872-M872,0.000000001),6)</f>
        <v/>
      </c>
      <c r="O872" s="5">
        <f>SUMPRODUCT(('01_Data'!$B872:$AW872&lt;&gt;"")*(1/(1+EXP(-(N872-'03_Lap_b'!$B$20:$AW$20)))))</f>
        <v/>
      </c>
      <c r="P872" s="5">
        <f>SUMPRODUCT(('01_Data'!$B872:$AW872&lt;&gt;"")*(1/(1+EXP(-(N872-'03_Lap_b'!$B$20:$AW$20))))^2)</f>
        <v/>
      </c>
      <c r="Q872" s="5">
        <f>MEDIAN(-6,N872+(C872-O872)/MAX(O872-P872,0.000000001),6)</f>
        <v/>
      </c>
      <c r="R872" s="5">
        <f>SUMPRODUCT(('01_Data'!$B872:$AW872&lt;&gt;"")*(1/(1+EXP(-(Q872-'03_Lap_b'!$B$25:$AW$25)))))</f>
        <v/>
      </c>
      <c r="S872" s="5">
        <f>SUMPRODUCT(('01_Data'!$B872:$AW872&lt;&gt;"")*(1/(1+EXP(-(Q872-'03_Lap_b'!$B$25:$AW$25))))^2)</f>
        <v/>
      </c>
      <c r="T872" s="5">
        <f>MEDIAN(-6,Q872+(C872-R872)/MAX(R872-S872,0.000000001),6)</f>
        <v/>
      </c>
      <c r="U872" s="5">
        <f>SUMPRODUCT(('01_Data'!$B872:$AW872&lt;&gt;"")*(1/(1+EXP(-(T872-'03_Lap_b'!$B$30:$AW$30)))))</f>
        <v/>
      </c>
      <c r="V872" s="5">
        <f>SUMPRODUCT(('01_Data'!$B872:$AW872&lt;&gt;"")*(1/(1+EXP(-(T872-'03_Lap_b'!$B$30:$AW$30))))^2)</f>
        <v/>
      </c>
      <c r="W872" s="5">
        <f>MEDIAN(-6,T872+(C872-U872)/MAX(U872-V872,0.000000001),6)</f>
        <v/>
      </c>
      <c r="X872" s="5">
        <f>SUMPRODUCT(('01_Data'!$B872:$AW872&lt;&gt;"")*(1/(1+EXP(-(W872-'03_Lap_b'!$B$35:$AW$35)))))</f>
        <v/>
      </c>
      <c r="Y872" s="5">
        <f>SUMPRODUCT(('01_Data'!$B872:$AW872&lt;&gt;"")*(1/(1+EXP(-(W872-'03_Lap_b'!$B$35:$AW$35))))^2)</f>
        <v/>
      </c>
      <c r="Z872" s="5">
        <f>MEDIAN(-6,W872+(C872-X872)/MAX(X872-Y872,0.000000001),6)</f>
        <v/>
      </c>
      <c r="AA872" s="5">
        <f>SUMPRODUCT(('01_Data'!$B872:$AW872&lt;&gt;"")*(1/(1+EXP(-(Z872-'03_Lap_b'!$B$40:$AW$40)))))</f>
        <v/>
      </c>
      <c r="AB872" s="5">
        <f>SUMPRODUCT(('01_Data'!$B872:$AW872&lt;&gt;"")*(1/(1+EXP(-(Z872-'03_Lap_b'!$B$40:$AW$40))))^2)</f>
        <v/>
      </c>
      <c r="AC872" s="5">
        <f>MEDIAN(-6,Z872+(C872-AA872)/MAX(AA872-AB872,0.000000001),6)</f>
        <v/>
      </c>
    </row>
    <row r="873">
      <c r="A873" t="n">
        <v>872</v>
      </c>
      <c r="B873">
        <f>'01_Data'!A873</f>
        <v/>
      </c>
      <c r="C873">
        <f>SUM('01_Data'!$B873:$AW873)</f>
        <v/>
      </c>
      <c r="D873">
        <f>COUNT('01_Data'!$B873:$AW873)</f>
        <v/>
      </c>
      <c r="E873" s="5">
        <f>MEDIAN(-6,LN((C873+0.3)/(D873-C873+0.3)),6)</f>
        <v/>
      </c>
      <c r="F873" s="5">
        <f>SUMPRODUCT(('01_Data'!$B873:$AW873&lt;&gt;"")*(1/(1+EXP(-(E873-'03_Lap_b'!$B$5:$AW$5)))))</f>
        <v/>
      </c>
      <c r="G873" s="5">
        <f>SUMPRODUCT(('01_Data'!$B873:$AW873&lt;&gt;"")*(1/(1+EXP(-(E873-'03_Lap_b'!$B$5:$AW$5))))^2)</f>
        <v/>
      </c>
      <c r="H873" s="5">
        <f>MEDIAN(-6,E873+(C873-F873)/MAX(F873-G873,0.000000001),6)</f>
        <v/>
      </c>
      <c r="I873" s="5">
        <f>SUMPRODUCT(('01_Data'!$B873:$AW873&lt;&gt;"")*(1/(1+EXP(-(H873-'03_Lap_b'!$B$10:$AW$10)))))</f>
        <v/>
      </c>
      <c r="J873" s="5">
        <f>SUMPRODUCT(('01_Data'!$B873:$AW873&lt;&gt;"")*(1/(1+EXP(-(H873-'03_Lap_b'!$B$10:$AW$10))))^2)</f>
        <v/>
      </c>
      <c r="K873" s="5">
        <f>MEDIAN(-6,H873+(C873-I873)/MAX(I873-J873,0.000000001),6)</f>
        <v/>
      </c>
      <c r="L873" s="5">
        <f>SUMPRODUCT(('01_Data'!$B873:$AW873&lt;&gt;"")*(1/(1+EXP(-(K873-'03_Lap_b'!$B$15:$AW$15)))))</f>
        <v/>
      </c>
      <c r="M873" s="5">
        <f>SUMPRODUCT(('01_Data'!$B873:$AW873&lt;&gt;"")*(1/(1+EXP(-(K873-'03_Lap_b'!$B$15:$AW$15))))^2)</f>
        <v/>
      </c>
      <c r="N873" s="5">
        <f>MEDIAN(-6,K873+(C873-L873)/MAX(L873-M873,0.000000001),6)</f>
        <v/>
      </c>
      <c r="O873" s="5">
        <f>SUMPRODUCT(('01_Data'!$B873:$AW873&lt;&gt;"")*(1/(1+EXP(-(N873-'03_Lap_b'!$B$20:$AW$20)))))</f>
        <v/>
      </c>
      <c r="P873" s="5">
        <f>SUMPRODUCT(('01_Data'!$B873:$AW873&lt;&gt;"")*(1/(1+EXP(-(N873-'03_Lap_b'!$B$20:$AW$20))))^2)</f>
        <v/>
      </c>
      <c r="Q873" s="5">
        <f>MEDIAN(-6,N873+(C873-O873)/MAX(O873-P873,0.000000001),6)</f>
        <v/>
      </c>
      <c r="R873" s="5">
        <f>SUMPRODUCT(('01_Data'!$B873:$AW873&lt;&gt;"")*(1/(1+EXP(-(Q873-'03_Lap_b'!$B$25:$AW$25)))))</f>
        <v/>
      </c>
      <c r="S873" s="5">
        <f>SUMPRODUCT(('01_Data'!$B873:$AW873&lt;&gt;"")*(1/(1+EXP(-(Q873-'03_Lap_b'!$B$25:$AW$25))))^2)</f>
        <v/>
      </c>
      <c r="T873" s="5">
        <f>MEDIAN(-6,Q873+(C873-R873)/MAX(R873-S873,0.000000001),6)</f>
        <v/>
      </c>
      <c r="U873" s="5">
        <f>SUMPRODUCT(('01_Data'!$B873:$AW873&lt;&gt;"")*(1/(1+EXP(-(T873-'03_Lap_b'!$B$30:$AW$30)))))</f>
        <v/>
      </c>
      <c r="V873" s="5">
        <f>SUMPRODUCT(('01_Data'!$B873:$AW873&lt;&gt;"")*(1/(1+EXP(-(T873-'03_Lap_b'!$B$30:$AW$30))))^2)</f>
        <v/>
      </c>
      <c r="W873" s="5">
        <f>MEDIAN(-6,T873+(C873-U873)/MAX(U873-V873,0.000000001),6)</f>
        <v/>
      </c>
      <c r="X873" s="5">
        <f>SUMPRODUCT(('01_Data'!$B873:$AW873&lt;&gt;"")*(1/(1+EXP(-(W873-'03_Lap_b'!$B$35:$AW$35)))))</f>
        <v/>
      </c>
      <c r="Y873" s="5">
        <f>SUMPRODUCT(('01_Data'!$B873:$AW873&lt;&gt;"")*(1/(1+EXP(-(W873-'03_Lap_b'!$B$35:$AW$35))))^2)</f>
        <v/>
      </c>
      <c r="Z873" s="5">
        <f>MEDIAN(-6,W873+(C873-X873)/MAX(X873-Y873,0.000000001),6)</f>
        <v/>
      </c>
      <c r="AA873" s="5">
        <f>SUMPRODUCT(('01_Data'!$B873:$AW873&lt;&gt;"")*(1/(1+EXP(-(Z873-'03_Lap_b'!$B$40:$AW$40)))))</f>
        <v/>
      </c>
      <c r="AB873" s="5">
        <f>SUMPRODUCT(('01_Data'!$B873:$AW873&lt;&gt;"")*(1/(1+EXP(-(Z873-'03_Lap_b'!$B$40:$AW$40))))^2)</f>
        <v/>
      </c>
      <c r="AC873" s="5">
        <f>MEDIAN(-6,Z873+(C873-AA873)/MAX(AA873-AB873,0.000000001),6)</f>
        <v/>
      </c>
    </row>
    <row r="874">
      <c r="A874" t="n">
        <v>873</v>
      </c>
      <c r="B874">
        <f>'01_Data'!A874</f>
        <v/>
      </c>
      <c r="C874">
        <f>SUM('01_Data'!$B874:$AW874)</f>
        <v/>
      </c>
      <c r="D874">
        <f>COUNT('01_Data'!$B874:$AW874)</f>
        <v/>
      </c>
      <c r="E874" s="5">
        <f>MEDIAN(-6,LN((C874+0.3)/(D874-C874+0.3)),6)</f>
        <v/>
      </c>
      <c r="F874" s="5">
        <f>SUMPRODUCT(('01_Data'!$B874:$AW874&lt;&gt;"")*(1/(1+EXP(-(E874-'03_Lap_b'!$B$5:$AW$5)))))</f>
        <v/>
      </c>
      <c r="G874" s="5">
        <f>SUMPRODUCT(('01_Data'!$B874:$AW874&lt;&gt;"")*(1/(1+EXP(-(E874-'03_Lap_b'!$B$5:$AW$5))))^2)</f>
        <v/>
      </c>
      <c r="H874" s="5">
        <f>MEDIAN(-6,E874+(C874-F874)/MAX(F874-G874,0.000000001),6)</f>
        <v/>
      </c>
      <c r="I874" s="5">
        <f>SUMPRODUCT(('01_Data'!$B874:$AW874&lt;&gt;"")*(1/(1+EXP(-(H874-'03_Lap_b'!$B$10:$AW$10)))))</f>
        <v/>
      </c>
      <c r="J874" s="5">
        <f>SUMPRODUCT(('01_Data'!$B874:$AW874&lt;&gt;"")*(1/(1+EXP(-(H874-'03_Lap_b'!$B$10:$AW$10))))^2)</f>
        <v/>
      </c>
      <c r="K874" s="5">
        <f>MEDIAN(-6,H874+(C874-I874)/MAX(I874-J874,0.000000001),6)</f>
        <v/>
      </c>
      <c r="L874" s="5">
        <f>SUMPRODUCT(('01_Data'!$B874:$AW874&lt;&gt;"")*(1/(1+EXP(-(K874-'03_Lap_b'!$B$15:$AW$15)))))</f>
        <v/>
      </c>
      <c r="M874" s="5">
        <f>SUMPRODUCT(('01_Data'!$B874:$AW874&lt;&gt;"")*(1/(1+EXP(-(K874-'03_Lap_b'!$B$15:$AW$15))))^2)</f>
        <v/>
      </c>
      <c r="N874" s="5">
        <f>MEDIAN(-6,K874+(C874-L874)/MAX(L874-M874,0.000000001),6)</f>
        <v/>
      </c>
      <c r="O874" s="5">
        <f>SUMPRODUCT(('01_Data'!$B874:$AW874&lt;&gt;"")*(1/(1+EXP(-(N874-'03_Lap_b'!$B$20:$AW$20)))))</f>
        <v/>
      </c>
      <c r="P874" s="5">
        <f>SUMPRODUCT(('01_Data'!$B874:$AW874&lt;&gt;"")*(1/(1+EXP(-(N874-'03_Lap_b'!$B$20:$AW$20))))^2)</f>
        <v/>
      </c>
      <c r="Q874" s="5">
        <f>MEDIAN(-6,N874+(C874-O874)/MAX(O874-P874,0.000000001),6)</f>
        <v/>
      </c>
      <c r="R874" s="5">
        <f>SUMPRODUCT(('01_Data'!$B874:$AW874&lt;&gt;"")*(1/(1+EXP(-(Q874-'03_Lap_b'!$B$25:$AW$25)))))</f>
        <v/>
      </c>
      <c r="S874" s="5">
        <f>SUMPRODUCT(('01_Data'!$B874:$AW874&lt;&gt;"")*(1/(1+EXP(-(Q874-'03_Lap_b'!$B$25:$AW$25))))^2)</f>
        <v/>
      </c>
      <c r="T874" s="5">
        <f>MEDIAN(-6,Q874+(C874-R874)/MAX(R874-S874,0.000000001),6)</f>
        <v/>
      </c>
      <c r="U874" s="5">
        <f>SUMPRODUCT(('01_Data'!$B874:$AW874&lt;&gt;"")*(1/(1+EXP(-(T874-'03_Lap_b'!$B$30:$AW$30)))))</f>
        <v/>
      </c>
      <c r="V874" s="5">
        <f>SUMPRODUCT(('01_Data'!$B874:$AW874&lt;&gt;"")*(1/(1+EXP(-(T874-'03_Lap_b'!$B$30:$AW$30))))^2)</f>
        <v/>
      </c>
      <c r="W874" s="5">
        <f>MEDIAN(-6,T874+(C874-U874)/MAX(U874-V874,0.000000001),6)</f>
        <v/>
      </c>
      <c r="X874" s="5">
        <f>SUMPRODUCT(('01_Data'!$B874:$AW874&lt;&gt;"")*(1/(1+EXP(-(W874-'03_Lap_b'!$B$35:$AW$35)))))</f>
        <v/>
      </c>
      <c r="Y874" s="5">
        <f>SUMPRODUCT(('01_Data'!$B874:$AW874&lt;&gt;"")*(1/(1+EXP(-(W874-'03_Lap_b'!$B$35:$AW$35))))^2)</f>
        <v/>
      </c>
      <c r="Z874" s="5">
        <f>MEDIAN(-6,W874+(C874-X874)/MAX(X874-Y874,0.000000001),6)</f>
        <v/>
      </c>
      <c r="AA874" s="5">
        <f>SUMPRODUCT(('01_Data'!$B874:$AW874&lt;&gt;"")*(1/(1+EXP(-(Z874-'03_Lap_b'!$B$40:$AW$40)))))</f>
        <v/>
      </c>
      <c r="AB874" s="5">
        <f>SUMPRODUCT(('01_Data'!$B874:$AW874&lt;&gt;"")*(1/(1+EXP(-(Z874-'03_Lap_b'!$B$40:$AW$40))))^2)</f>
        <v/>
      </c>
      <c r="AC874" s="5">
        <f>MEDIAN(-6,Z874+(C874-AA874)/MAX(AA874-AB874,0.000000001),6)</f>
        <v/>
      </c>
    </row>
    <row r="875">
      <c r="A875" t="n">
        <v>874</v>
      </c>
      <c r="B875">
        <f>'01_Data'!A875</f>
        <v/>
      </c>
      <c r="C875">
        <f>SUM('01_Data'!$B875:$AW875)</f>
        <v/>
      </c>
      <c r="D875">
        <f>COUNT('01_Data'!$B875:$AW875)</f>
        <v/>
      </c>
      <c r="E875" s="5">
        <f>MEDIAN(-6,LN((C875+0.3)/(D875-C875+0.3)),6)</f>
        <v/>
      </c>
      <c r="F875" s="5">
        <f>SUMPRODUCT(('01_Data'!$B875:$AW875&lt;&gt;"")*(1/(1+EXP(-(E875-'03_Lap_b'!$B$5:$AW$5)))))</f>
        <v/>
      </c>
      <c r="G875" s="5">
        <f>SUMPRODUCT(('01_Data'!$B875:$AW875&lt;&gt;"")*(1/(1+EXP(-(E875-'03_Lap_b'!$B$5:$AW$5))))^2)</f>
        <v/>
      </c>
      <c r="H875" s="5">
        <f>MEDIAN(-6,E875+(C875-F875)/MAX(F875-G875,0.000000001),6)</f>
        <v/>
      </c>
      <c r="I875" s="5">
        <f>SUMPRODUCT(('01_Data'!$B875:$AW875&lt;&gt;"")*(1/(1+EXP(-(H875-'03_Lap_b'!$B$10:$AW$10)))))</f>
        <v/>
      </c>
      <c r="J875" s="5">
        <f>SUMPRODUCT(('01_Data'!$B875:$AW875&lt;&gt;"")*(1/(1+EXP(-(H875-'03_Lap_b'!$B$10:$AW$10))))^2)</f>
        <v/>
      </c>
      <c r="K875" s="5">
        <f>MEDIAN(-6,H875+(C875-I875)/MAX(I875-J875,0.000000001),6)</f>
        <v/>
      </c>
      <c r="L875" s="5">
        <f>SUMPRODUCT(('01_Data'!$B875:$AW875&lt;&gt;"")*(1/(1+EXP(-(K875-'03_Lap_b'!$B$15:$AW$15)))))</f>
        <v/>
      </c>
      <c r="M875" s="5">
        <f>SUMPRODUCT(('01_Data'!$B875:$AW875&lt;&gt;"")*(1/(1+EXP(-(K875-'03_Lap_b'!$B$15:$AW$15))))^2)</f>
        <v/>
      </c>
      <c r="N875" s="5">
        <f>MEDIAN(-6,K875+(C875-L875)/MAX(L875-M875,0.000000001),6)</f>
        <v/>
      </c>
      <c r="O875" s="5">
        <f>SUMPRODUCT(('01_Data'!$B875:$AW875&lt;&gt;"")*(1/(1+EXP(-(N875-'03_Lap_b'!$B$20:$AW$20)))))</f>
        <v/>
      </c>
      <c r="P875" s="5">
        <f>SUMPRODUCT(('01_Data'!$B875:$AW875&lt;&gt;"")*(1/(1+EXP(-(N875-'03_Lap_b'!$B$20:$AW$20))))^2)</f>
        <v/>
      </c>
      <c r="Q875" s="5">
        <f>MEDIAN(-6,N875+(C875-O875)/MAX(O875-P875,0.000000001),6)</f>
        <v/>
      </c>
      <c r="R875" s="5">
        <f>SUMPRODUCT(('01_Data'!$B875:$AW875&lt;&gt;"")*(1/(1+EXP(-(Q875-'03_Lap_b'!$B$25:$AW$25)))))</f>
        <v/>
      </c>
      <c r="S875" s="5">
        <f>SUMPRODUCT(('01_Data'!$B875:$AW875&lt;&gt;"")*(1/(1+EXP(-(Q875-'03_Lap_b'!$B$25:$AW$25))))^2)</f>
        <v/>
      </c>
      <c r="T875" s="5">
        <f>MEDIAN(-6,Q875+(C875-R875)/MAX(R875-S875,0.000000001),6)</f>
        <v/>
      </c>
      <c r="U875" s="5">
        <f>SUMPRODUCT(('01_Data'!$B875:$AW875&lt;&gt;"")*(1/(1+EXP(-(T875-'03_Lap_b'!$B$30:$AW$30)))))</f>
        <v/>
      </c>
      <c r="V875" s="5">
        <f>SUMPRODUCT(('01_Data'!$B875:$AW875&lt;&gt;"")*(1/(1+EXP(-(T875-'03_Lap_b'!$B$30:$AW$30))))^2)</f>
        <v/>
      </c>
      <c r="W875" s="5">
        <f>MEDIAN(-6,T875+(C875-U875)/MAX(U875-V875,0.000000001),6)</f>
        <v/>
      </c>
      <c r="X875" s="5">
        <f>SUMPRODUCT(('01_Data'!$B875:$AW875&lt;&gt;"")*(1/(1+EXP(-(W875-'03_Lap_b'!$B$35:$AW$35)))))</f>
        <v/>
      </c>
      <c r="Y875" s="5">
        <f>SUMPRODUCT(('01_Data'!$B875:$AW875&lt;&gt;"")*(1/(1+EXP(-(W875-'03_Lap_b'!$B$35:$AW$35))))^2)</f>
        <v/>
      </c>
      <c r="Z875" s="5">
        <f>MEDIAN(-6,W875+(C875-X875)/MAX(X875-Y875,0.000000001),6)</f>
        <v/>
      </c>
      <c r="AA875" s="5">
        <f>SUMPRODUCT(('01_Data'!$B875:$AW875&lt;&gt;"")*(1/(1+EXP(-(Z875-'03_Lap_b'!$B$40:$AW$40)))))</f>
        <v/>
      </c>
      <c r="AB875" s="5">
        <f>SUMPRODUCT(('01_Data'!$B875:$AW875&lt;&gt;"")*(1/(1+EXP(-(Z875-'03_Lap_b'!$B$40:$AW$40))))^2)</f>
        <v/>
      </c>
      <c r="AC875" s="5">
        <f>MEDIAN(-6,Z875+(C875-AA875)/MAX(AA875-AB875,0.000000001),6)</f>
        <v/>
      </c>
    </row>
    <row r="876">
      <c r="A876" t="n">
        <v>875</v>
      </c>
      <c r="B876">
        <f>'01_Data'!A876</f>
        <v/>
      </c>
      <c r="C876">
        <f>SUM('01_Data'!$B876:$AW876)</f>
        <v/>
      </c>
      <c r="D876">
        <f>COUNT('01_Data'!$B876:$AW876)</f>
        <v/>
      </c>
      <c r="E876" s="5">
        <f>MEDIAN(-6,LN((C876+0.3)/(D876-C876+0.3)),6)</f>
        <v/>
      </c>
      <c r="F876" s="5">
        <f>SUMPRODUCT(('01_Data'!$B876:$AW876&lt;&gt;"")*(1/(1+EXP(-(E876-'03_Lap_b'!$B$5:$AW$5)))))</f>
        <v/>
      </c>
      <c r="G876" s="5">
        <f>SUMPRODUCT(('01_Data'!$B876:$AW876&lt;&gt;"")*(1/(1+EXP(-(E876-'03_Lap_b'!$B$5:$AW$5))))^2)</f>
        <v/>
      </c>
      <c r="H876" s="5">
        <f>MEDIAN(-6,E876+(C876-F876)/MAX(F876-G876,0.000000001),6)</f>
        <v/>
      </c>
      <c r="I876" s="5">
        <f>SUMPRODUCT(('01_Data'!$B876:$AW876&lt;&gt;"")*(1/(1+EXP(-(H876-'03_Lap_b'!$B$10:$AW$10)))))</f>
        <v/>
      </c>
      <c r="J876" s="5">
        <f>SUMPRODUCT(('01_Data'!$B876:$AW876&lt;&gt;"")*(1/(1+EXP(-(H876-'03_Lap_b'!$B$10:$AW$10))))^2)</f>
        <v/>
      </c>
      <c r="K876" s="5">
        <f>MEDIAN(-6,H876+(C876-I876)/MAX(I876-J876,0.000000001),6)</f>
        <v/>
      </c>
      <c r="L876" s="5">
        <f>SUMPRODUCT(('01_Data'!$B876:$AW876&lt;&gt;"")*(1/(1+EXP(-(K876-'03_Lap_b'!$B$15:$AW$15)))))</f>
        <v/>
      </c>
      <c r="M876" s="5">
        <f>SUMPRODUCT(('01_Data'!$B876:$AW876&lt;&gt;"")*(1/(1+EXP(-(K876-'03_Lap_b'!$B$15:$AW$15))))^2)</f>
        <v/>
      </c>
      <c r="N876" s="5">
        <f>MEDIAN(-6,K876+(C876-L876)/MAX(L876-M876,0.000000001),6)</f>
        <v/>
      </c>
      <c r="O876" s="5">
        <f>SUMPRODUCT(('01_Data'!$B876:$AW876&lt;&gt;"")*(1/(1+EXP(-(N876-'03_Lap_b'!$B$20:$AW$20)))))</f>
        <v/>
      </c>
      <c r="P876" s="5">
        <f>SUMPRODUCT(('01_Data'!$B876:$AW876&lt;&gt;"")*(1/(1+EXP(-(N876-'03_Lap_b'!$B$20:$AW$20))))^2)</f>
        <v/>
      </c>
      <c r="Q876" s="5">
        <f>MEDIAN(-6,N876+(C876-O876)/MAX(O876-P876,0.000000001),6)</f>
        <v/>
      </c>
      <c r="R876" s="5">
        <f>SUMPRODUCT(('01_Data'!$B876:$AW876&lt;&gt;"")*(1/(1+EXP(-(Q876-'03_Lap_b'!$B$25:$AW$25)))))</f>
        <v/>
      </c>
      <c r="S876" s="5">
        <f>SUMPRODUCT(('01_Data'!$B876:$AW876&lt;&gt;"")*(1/(1+EXP(-(Q876-'03_Lap_b'!$B$25:$AW$25))))^2)</f>
        <v/>
      </c>
      <c r="T876" s="5">
        <f>MEDIAN(-6,Q876+(C876-R876)/MAX(R876-S876,0.000000001),6)</f>
        <v/>
      </c>
      <c r="U876" s="5">
        <f>SUMPRODUCT(('01_Data'!$B876:$AW876&lt;&gt;"")*(1/(1+EXP(-(T876-'03_Lap_b'!$B$30:$AW$30)))))</f>
        <v/>
      </c>
      <c r="V876" s="5">
        <f>SUMPRODUCT(('01_Data'!$B876:$AW876&lt;&gt;"")*(1/(1+EXP(-(T876-'03_Lap_b'!$B$30:$AW$30))))^2)</f>
        <v/>
      </c>
      <c r="W876" s="5">
        <f>MEDIAN(-6,T876+(C876-U876)/MAX(U876-V876,0.000000001),6)</f>
        <v/>
      </c>
      <c r="X876" s="5">
        <f>SUMPRODUCT(('01_Data'!$B876:$AW876&lt;&gt;"")*(1/(1+EXP(-(W876-'03_Lap_b'!$B$35:$AW$35)))))</f>
        <v/>
      </c>
      <c r="Y876" s="5">
        <f>SUMPRODUCT(('01_Data'!$B876:$AW876&lt;&gt;"")*(1/(1+EXP(-(W876-'03_Lap_b'!$B$35:$AW$35))))^2)</f>
        <v/>
      </c>
      <c r="Z876" s="5">
        <f>MEDIAN(-6,W876+(C876-X876)/MAX(X876-Y876,0.000000001),6)</f>
        <v/>
      </c>
      <c r="AA876" s="5">
        <f>SUMPRODUCT(('01_Data'!$B876:$AW876&lt;&gt;"")*(1/(1+EXP(-(Z876-'03_Lap_b'!$B$40:$AW$40)))))</f>
        <v/>
      </c>
      <c r="AB876" s="5">
        <f>SUMPRODUCT(('01_Data'!$B876:$AW876&lt;&gt;"")*(1/(1+EXP(-(Z876-'03_Lap_b'!$B$40:$AW$40))))^2)</f>
        <v/>
      </c>
      <c r="AC876" s="5">
        <f>MEDIAN(-6,Z876+(C876-AA876)/MAX(AA876-AB876,0.000000001),6)</f>
        <v/>
      </c>
    </row>
    <row r="877">
      <c r="A877" t="n">
        <v>876</v>
      </c>
      <c r="B877">
        <f>'01_Data'!A877</f>
        <v/>
      </c>
      <c r="C877">
        <f>SUM('01_Data'!$B877:$AW877)</f>
        <v/>
      </c>
      <c r="D877">
        <f>COUNT('01_Data'!$B877:$AW877)</f>
        <v/>
      </c>
      <c r="E877" s="5">
        <f>MEDIAN(-6,LN((C877+0.3)/(D877-C877+0.3)),6)</f>
        <v/>
      </c>
      <c r="F877" s="5">
        <f>SUMPRODUCT(('01_Data'!$B877:$AW877&lt;&gt;"")*(1/(1+EXP(-(E877-'03_Lap_b'!$B$5:$AW$5)))))</f>
        <v/>
      </c>
      <c r="G877" s="5">
        <f>SUMPRODUCT(('01_Data'!$B877:$AW877&lt;&gt;"")*(1/(1+EXP(-(E877-'03_Lap_b'!$B$5:$AW$5))))^2)</f>
        <v/>
      </c>
      <c r="H877" s="5">
        <f>MEDIAN(-6,E877+(C877-F877)/MAX(F877-G877,0.000000001),6)</f>
        <v/>
      </c>
      <c r="I877" s="5">
        <f>SUMPRODUCT(('01_Data'!$B877:$AW877&lt;&gt;"")*(1/(1+EXP(-(H877-'03_Lap_b'!$B$10:$AW$10)))))</f>
        <v/>
      </c>
      <c r="J877" s="5">
        <f>SUMPRODUCT(('01_Data'!$B877:$AW877&lt;&gt;"")*(1/(1+EXP(-(H877-'03_Lap_b'!$B$10:$AW$10))))^2)</f>
        <v/>
      </c>
      <c r="K877" s="5">
        <f>MEDIAN(-6,H877+(C877-I877)/MAX(I877-J877,0.000000001),6)</f>
        <v/>
      </c>
      <c r="L877" s="5">
        <f>SUMPRODUCT(('01_Data'!$B877:$AW877&lt;&gt;"")*(1/(1+EXP(-(K877-'03_Lap_b'!$B$15:$AW$15)))))</f>
        <v/>
      </c>
      <c r="M877" s="5">
        <f>SUMPRODUCT(('01_Data'!$B877:$AW877&lt;&gt;"")*(1/(1+EXP(-(K877-'03_Lap_b'!$B$15:$AW$15))))^2)</f>
        <v/>
      </c>
      <c r="N877" s="5">
        <f>MEDIAN(-6,K877+(C877-L877)/MAX(L877-M877,0.000000001),6)</f>
        <v/>
      </c>
      <c r="O877" s="5">
        <f>SUMPRODUCT(('01_Data'!$B877:$AW877&lt;&gt;"")*(1/(1+EXP(-(N877-'03_Lap_b'!$B$20:$AW$20)))))</f>
        <v/>
      </c>
      <c r="P877" s="5">
        <f>SUMPRODUCT(('01_Data'!$B877:$AW877&lt;&gt;"")*(1/(1+EXP(-(N877-'03_Lap_b'!$B$20:$AW$20))))^2)</f>
        <v/>
      </c>
      <c r="Q877" s="5">
        <f>MEDIAN(-6,N877+(C877-O877)/MAX(O877-P877,0.000000001),6)</f>
        <v/>
      </c>
      <c r="R877" s="5">
        <f>SUMPRODUCT(('01_Data'!$B877:$AW877&lt;&gt;"")*(1/(1+EXP(-(Q877-'03_Lap_b'!$B$25:$AW$25)))))</f>
        <v/>
      </c>
      <c r="S877" s="5">
        <f>SUMPRODUCT(('01_Data'!$B877:$AW877&lt;&gt;"")*(1/(1+EXP(-(Q877-'03_Lap_b'!$B$25:$AW$25))))^2)</f>
        <v/>
      </c>
      <c r="T877" s="5">
        <f>MEDIAN(-6,Q877+(C877-R877)/MAX(R877-S877,0.000000001),6)</f>
        <v/>
      </c>
      <c r="U877" s="5">
        <f>SUMPRODUCT(('01_Data'!$B877:$AW877&lt;&gt;"")*(1/(1+EXP(-(T877-'03_Lap_b'!$B$30:$AW$30)))))</f>
        <v/>
      </c>
      <c r="V877" s="5">
        <f>SUMPRODUCT(('01_Data'!$B877:$AW877&lt;&gt;"")*(1/(1+EXP(-(T877-'03_Lap_b'!$B$30:$AW$30))))^2)</f>
        <v/>
      </c>
      <c r="W877" s="5">
        <f>MEDIAN(-6,T877+(C877-U877)/MAX(U877-V877,0.000000001),6)</f>
        <v/>
      </c>
      <c r="X877" s="5">
        <f>SUMPRODUCT(('01_Data'!$B877:$AW877&lt;&gt;"")*(1/(1+EXP(-(W877-'03_Lap_b'!$B$35:$AW$35)))))</f>
        <v/>
      </c>
      <c r="Y877" s="5">
        <f>SUMPRODUCT(('01_Data'!$B877:$AW877&lt;&gt;"")*(1/(1+EXP(-(W877-'03_Lap_b'!$B$35:$AW$35))))^2)</f>
        <v/>
      </c>
      <c r="Z877" s="5">
        <f>MEDIAN(-6,W877+(C877-X877)/MAX(X877-Y877,0.000000001),6)</f>
        <v/>
      </c>
      <c r="AA877" s="5">
        <f>SUMPRODUCT(('01_Data'!$B877:$AW877&lt;&gt;"")*(1/(1+EXP(-(Z877-'03_Lap_b'!$B$40:$AW$40)))))</f>
        <v/>
      </c>
      <c r="AB877" s="5">
        <f>SUMPRODUCT(('01_Data'!$B877:$AW877&lt;&gt;"")*(1/(1+EXP(-(Z877-'03_Lap_b'!$B$40:$AW$40))))^2)</f>
        <v/>
      </c>
      <c r="AC877" s="5">
        <f>MEDIAN(-6,Z877+(C877-AA877)/MAX(AA877-AB877,0.000000001),6)</f>
        <v/>
      </c>
    </row>
    <row r="878">
      <c r="A878" t="n">
        <v>877</v>
      </c>
      <c r="B878">
        <f>'01_Data'!A878</f>
        <v/>
      </c>
      <c r="C878">
        <f>SUM('01_Data'!$B878:$AW878)</f>
        <v/>
      </c>
      <c r="D878">
        <f>COUNT('01_Data'!$B878:$AW878)</f>
        <v/>
      </c>
      <c r="E878" s="5">
        <f>MEDIAN(-6,LN((C878+0.3)/(D878-C878+0.3)),6)</f>
        <v/>
      </c>
      <c r="F878" s="5">
        <f>SUMPRODUCT(('01_Data'!$B878:$AW878&lt;&gt;"")*(1/(1+EXP(-(E878-'03_Lap_b'!$B$5:$AW$5)))))</f>
        <v/>
      </c>
      <c r="G878" s="5">
        <f>SUMPRODUCT(('01_Data'!$B878:$AW878&lt;&gt;"")*(1/(1+EXP(-(E878-'03_Lap_b'!$B$5:$AW$5))))^2)</f>
        <v/>
      </c>
      <c r="H878" s="5">
        <f>MEDIAN(-6,E878+(C878-F878)/MAX(F878-G878,0.000000001),6)</f>
        <v/>
      </c>
      <c r="I878" s="5">
        <f>SUMPRODUCT(('01_Data'!$B878:$AW878&lt;&gt;"")*(1/(1+EXP(-(H878-'03_Lap_b'!$B$10:$AW$10)))))</f>
        <v/>
      </c>
      <c r="J878" s="5">
        <f>SUMPRODUCT(('01_Data'!$B878:$AW878&lt;&gt;"")*(1/(1+EXP(-(H878-'03_Lap_b'!$B$10:$AW$10))))^2)</f>
        <v/>
      </c>
      <c r="K878" s="5">
        <f>MEDIAN(-6,H878+(C878-I878)/MAX(I878-J878,0.000000001),6)</f>
        <v/>
      </c>
      <c r="L878" s="5">
        <f>SUMPRODUCT(('01_Data'!$B878:$AW878&lt;&gt;"")*(1/(1+EXP(-(K878-'03_Lap_b'!$B$15:$AW$15)))))</f>
        <v/>
      </c>
      <c r="M878" s="5">
        <f>SUMPRODUCT(('01_Data'!$B878:$AW878&lt;&gt;"")*(1/(1+EXP(-(K878-'03_Lap_b'!$B$15:$AW$15))))^2)</f>
        <v/>
      </c>
      <c r="N878" s="5">
        <f>MEDIAN(-6,K878+(C878-L878)/MAX(L878-M878,0.000000001),6)</f>
        <v/>
      </c>
      <c r="O878" s="5">
        <f>SUMPRODUCT(('01_Data'!$B878:$AW878&lt;&gt;"")*(1/(1+EXP(-(N878-'03_Lap_b'!$B$20:$AW$20)))))</f>
        <v/>
      </c>
      <c r="P878" s="5">
        <f>SUMPRODUCT(('01_Data'!$B878:$AW878&lt;&gt;"")*(1/(1+EXP(-(N878-'03_Lap_b'!$B$20:$AW$20))))^2)</f>
        <v/>
      </c>
      <c r="Q878" s="5">
        <f>MEDIAN(-6,N878+(C878-O878)/MAX(O878-P878,0.000000001),6)</f>
        <v/>
      </c>
      <c r="R878" s="5">
        <f>SUMPRODUCT(('01_Data'!$B878:$AW878&lt;&gt;"")*(1/(1+EXP(-(Q878-'03_Lap_b'!$B$25:$AW$25)))))</f>
        <v/>
      </c>
      <c r="S878" s="5">
        <f>SUMPRODUCT(('01_Data'!$B878:$AW878&lt;&gt;"")*(1/(1+EXP(-(Q878-'03_Lap_b'!$B$25:$AW$25))))^2)</f>
        <v/>
      </c>
      <c r="T878" s="5">
        <f>MEDIAN(-6,Q878+(C878-R878)/MAX(R878-S878,0.000000001),6)</f>
        <v/>
      </c>
      <c r="U878" s="5">
        <f>SUMPRODUCT(('01_Data'!$B878:$AW878&lt;&gt;"")*(1/(1+EXP(-(T878-'03_Lap_b'!$B$30:$AW$30)))))</f>
        <v/>
      </c>
      <c r="V878" s="5">
        <f>SUMPRODUCT(('01_Data'!$B878:$AW878&lt;&gt;"")*(1/(1+EXP(-(T878-'03_Lap_b'!$B$30:$AW$30))))^2)</f>
        <v/>
      </c>
      <c r="W878" s="5">
        <f>MEDIAN(-6,T878+(C878-U878)/MAX(U878-V878,0.000000001),6)</f>
        <v/>
      </c>
      <c r="X878" s="5">
        <f>SUMPRODUCT(('01_Data'!$B878:$AW878&lt;&gt;"")*(1/(1+EXP(-(W878-'03_Lap_b'!$B$35:$AW$35)))))</f>
        <v/>
      </c>
      <c r="Y878" s="5">
        <f>SUMPRODUCT(('01_Data'!$B878:$AW878&lt;&gt;"")*(1/(1+EXP(-(W878-'03_Lap_b'!$B$35:$AW$35))))^2)</f>
        <v/>
      </c>
      <c r="Z878" s="5">
        <f>MEDIAN(-6,W878+(C878-X878)/MAX(X878-Y878,0.000000001),6)</f>
        <v/>
      </c>
      <c r="AA878" s="5">
        <f>SUMPRODUCT(('01_Data'!$B878:$AW878&lt;&gt;"")*(1/(1+EXP(-(Z878-'03_Lap_b'!$B$40:$AW$40)))))</f>
        <v/>
      </c>
      <c r="AB878" s="5">
        <f>SUMPRODUCT(('01_Data'!$B878:$AW878&lt;&gt;"")*(1/(1+EXP(-(Z878-'03_Lap_b'!$B$40:$AW$40))))^2)</f>
        <v/>
      </c>
      <c r="AC878" s="5">
        <f>MEDIAN(-6,Z878+(C878-AA878)/MAX(AA878-AB878,0.000000001),6)</f>
        <v/>
      </c>
    </row>
    <row r="879">
      <c r="A879" t="n">
        <v>878</v>
      </c>
      <c r="B879">
        <f>'01_Data'!A879</f>
        <v/>
      </c>
      <c r="C879">
        <f>SUM('01_Data'!$B879:$AW879)</f>
        <v/>
      </c>
      <c r="D879">
        <f>COUNT('01_Data'!$B879:$AW879)</f>
        <v/>
      </c>
      <c r="E879" s="5">
        <f>MEDIAN(-6,LN((C879+0.3)/(D879-C879+0.3)),6)</f>
        <v/>
      </c>
      <c r="F879" s="5">
        <f>SUMPRODUCT(('01_Data'!$B879:$AW879&lt;&gt;"")*(1/(1+EXP(-(E879-'03_Lap_b'!$B$5:$AW$5)))))</f>
        <v/>
      </c>
      <c r="G879" s="5">
        <f>SUMPRODUCT(('01_Data'!$B879:$AW879&lt;&gt;"")*(1/(1+EXP(-(E879-'03_Lap_b'!$B$5:$AW$5))))^2)</f>
        <v/>
      </c>
      <c r="H879" s="5">
        <f>MEDIAN(-6,E879+(C879-F879)/MAX(F879-G879,0.000000001),6)</f>
        <v/>
      </c>
      <c r="I879" s="5">
        <f>SUMPRODUCT(('01_Data'!$B879:$AW879&lt;&gt;"")*(1/(1+EXP(-(H879-'03_Lap_b'!$B$10:$AW$10)))))</f>
        <v/>
      </c>
      <c r="J879" s="5">
        <f>SUMPRODUCT(('01_Data'!$B879:$AW879&lt;&gt;"")*(1/(1+EXP(-(H879-'03_Lap_b'!$B$10:$AW$10))))^2)</f>
        <v/>
      </c>
      <c r="K879" s="5">
        <f>MEDIAN(-6,H879+(C879-I879)/MAX(I879-J879,0.000000001),6)</f>
        <v/>
      </c>
      <c r="L879" s="5">
        <f>SUMPRODUCT(('01_Data'!$B879:$AW879&lt;&gt;"")*(1/(1+EXP(-(K879-'03_Lap_b'!$B$15:$AW$15)))))</f>
        <v/>
      </c>
      <c r="M879" s="5">
        <f>SUMPRODUCT(('01_Data'!$B879:$AW879&lt;&gt;"")*(1/(1+EXP(-(K879-'03_Lap_b'!$B$15:$AW$15))))^2)</f>
        <v/>
      </c>
      <c r="N879" s="5">
        <f>MEDIAN(-6,K879+(C879-L879)/MAX(L879-M879,0.000000001),6)</f>
        <v/>
      </c>
      <c r="O879" s="5">
        <f>SUMPRODUCT(('01_Data'!$B879:$AW879&lt;&gt;"")*(1/(1+EXP(-(N879-'03_Lap_b'!$B$20:$AW$20)))))</f>
        <v/>
      </c>
      <c r="P879" s="5">
        <f>SUMPRODUCT(('01_Data'!$B879:$AW879&lt;&gt;"")*(1/(1+EXP(-(N879-'03_Lap_b'!$B$20:$AW$20))))^2)</f>
        <v/>
      </c>
      <c r="Q879" s="5">
        <f>MEDIAN(-6,N879+(C879-O879)/MAX(O879-P879,0.000000001),6)</f>
        <v/>
      </c>
      <c r="R879" s="5">
        <f>SUMPRODUCT(('01_Data'!$B879:$AW879&lt;&gt;"")*(1/(1+EXP(-(Q879-'03_Lap_b'!$B$25:$AW$25)))))</f>
        <v/>
      </c>
      <c r="S879" s="5">
        <f>SUMPRODUCT(('01_Data'!$B879:$AW879&lt;&gt;"")*(1/(1+EXP(-(Q879-'03_Lap_b'!$B$25:$AW$25))))^2)</f>
        <v/>
      </c>
      <c r="T879" s="5">
        <f>MEDIAN(-6,Q879+(C879-R879)/MAX(R879-S879,0.000000001),6)</f>
        <v/>
      </c>
      <c r="U879" s="5">
        <f>SUMPRODUCT(('01_Data'!$B879:$AW879&lt;&gt;"")*(1/(1+EXP(-(T879-'03_Lap_b'!$B$30:$AW$30)))))</f>
        <v/>
      </c>
      <c r="V879" s="5">
        <f>SUMPRODUCT(('01_Data'!$B879:$AW879&lt;&gt;"")*(1/(1+EXP(-(T879-'03_Lap_b'!$B$30:$AW$30))))^2)</f>
        <v/>
      </c>
      <c r="W879" s="5">
        <f>MEDIAN(-6,T879+(C879-U879)/MAX(U879-V879,0.000000001),6)</f>
        <v/>
      </c>
      <c r="X879" s="5">
        <f>SUMPRODUCT(('01_Data'!$B879:$AW879&lt;&gt;"")*(1/(1+EXP(-(W879-'03_Lap_b'!$B$35:$AW$35)))))</f>
        <v/>
      </c>
      <c r="Y879" s="5">
        <f>SUMPRODUCT(('01_Data'!$B879:$AW879&lt;&gt;"")*(1/(1+EXP(-(W879-'03_Lap_b'!$B$35:$AW$35))))^2)</f>
        <v/>
      </c>
      <c r="Z879" s="5">
        <f>MEDIAN(-6,W879+(C879-X879)/MAX(X879-Y879,0.000000001),6)</f>
        <v/>
      </c>
      <c r="AA879" s="5">
        <f>SUMPRODUCT(('01_Data'!$B879:$AW879&lt;&gt;"")*(1/(1+EXP(-(Z879-'03_Lap_b'!$B$40:$AW$40)))))</f>
        <v/>
      </c>
      <c r="AB879" s="5">
        <f>SUMPRODUCT(('01_Data'!$B879:$AW879&lt;&gt;"")*(1/(1+EXP(-(Z879-'03_Lap_b'!$B$40:$AW$40))))^2)</f>
        <v/>
      </c>
      <c r="AC879" s="5">
        <f>MEDIAN(-6,Z879+(C879-AA879)/MAX(AA879-AB879,0.000000001),6)</f>
        <v/>
      </c>
    </row>
    <row r="880">
      <c r="A880" t="n">
        <v>879</v>
      </c>
      <c r="B880">
        <f>'01_Data'!A880</f>
        <v/>
      </c>
      <c r="C880">
        <f>SUM('01_Data'!$B880:$AW880)</f>
        <v/>
      </c>
      <c r="D880">
        <f>COUNT('01_Data'!$B880:$AW880)</f>
        <v/>
      </c>
      <c r="E880" s="5">
        <f>MEDIAN(-6,LN((C880+0.3)/(D880-C880+0.3)),6)</f>
        <v/>
      </c>
      <c r="F880" s="5">
        <f>SUMPRODUCT(('01_Data'!$B880:$AW880&lt;&gt;"")*(1/(1+EXP(-(E880-'03_Lap_b'!$B$5:$AW$5)))))</f>
        <v/>
      </c>
      <c r="G880" s="5">
        <f>SUMPRODUCT(('01_Data'!$B880:$AW880&lt;&gt;"")*(1/(1+EXP(-(E880-'03_Lap_b'!$B$5:$AW$5))))^2)</f>
        <v/>
      </c>
      <c r="H880" s="5">
        <f>MEDIAN(-6,E880+(C880-F880)/MAX(F880-G880,0.000000001),6)</f>
        <v/>
      </c>
      <c r="I880" s="5">
        <f>SUMPRODUCT(('01_Data'!$B880:$AW880&lt;&gt;"")*(1/(1+EXP(-(H880-'03_Lap_b'!$B$10:$AW$10)))))</f>
        <v/>
      </c>
      <c r="J880" s="5">
        <f>SUMPRODUCT(('01_Data'!$B880:$AW880&lt;&gt;"")*(1/(1+EXP(-(H880-'03_Lap_b'!$B$10:$AW$10))))^2)</f>
        <v/>
      </c>
      <c r="K880" s="5">
        <f>MEDIAN(-6,H880+(C880-I880)/MAX(I880-J880,0.000000001),6)</f>
        <v/>
      </c>
      <c r="L880" s="5">
        <f>SUMPRODUCT(('01_Data'!$B880:$AW880&lt;&gt;"")*(1/(1+EXP(-(K880-'03_Lap_b'!$B$15:$AW$15)))))</f>
        <v/>
      </c>
      <c r="M880" s="5">
        <f>SUMPRODUCT(('01_Data'!$B880:$AW880&lt;&gt;"")*(1/(1+EXP(-(K880-'03_Lap_b'!$B$15:$AW$15))))^2)</f>
        <v/>
      </c>
      <c r="N880" s="5">
        <f>MEDIAN(-6,K880+(C880-L880)/MAX(L880-M880,0.000000001),6)</f>
        <v/>
      </c>
      <c r="O880" s="5">
        <f>SUMPRODUCT(('01_Data'!$B880:$AW880&lt;&gt;"")*(1/(1+EXP(-(N880-'03_Lap_b'!$B$20:$AW$20)))))</f>
        <v/>
      </c>
      <c r="P880" s="5">
        <f>SUMPRODUCT(('01_Data'!$B880:$AW880&lt;&gt;"")*(1/(1+EXP(-(N880-'03_Lap_b'!$B$20:$AW$20))))^2)</f>
        <v/>
      </c>
      <c r="Q880" s="5">
        <f>MEDIAN(-6,N880+(C880-O880)/MAX(O880-P880,0.000000001),6)</f>
        <v/>
      </c>
      <c r="R880" s="5">
        <f>SUMPRODUCT(('01_Data'!$B880:$AW880&lt;&gt;"")*(1/(1+EXP(-(Q880-'03_Lap_b'!$B$25:$AW$25)))))</f>
        <v/>
      </c>
      <c r="S880" s="5">
        <f>SUMPRODUCT(('01_Data'!$B880:$AW880&lt;&gt;"")*(1/(1+EXP(-(Q880-'03_Lap_b'!$B$25:$AW$25))))^2)</f>
        <v/>
      </c>
      <c r="T880" s="5">
        <f>MEDIAN(-6,Q880+(C880-R880)/MAX(R880-S880,0.000000001),6)</f>
        <v/>
      </c>
      <c r="U880" s="5">
        <f>SUMPRODUCT(('01_Data'!$B880:$AW880&lt;&gt;"")*(1/(1+EXP(-(T880-'03_Lap_b'!$B$30:$AW$30)))))</f>
        <v/>
      </c>
      <c r="V880" s="5">
        <f>SUMPRODUCT(('01_Data'!$B880:$AW880&lt;&gt;"")*(1/(1+EXP(-(T880-'03_Lap_b'!$B$30:$AW$30))))^2)</f>
        <v/>
      </c>
      <c r="W880" s="5">
        <f>MEDIAN(-6,T880+(C880-U880)/MAX(U880-V880,0.000000001),6)</f>
        <v/>
      </c>
      <c r="X880" s="5">
        <f>SUMPRODUCT(('01_Data'!$B880:$AW880&lt;&gt;"")*(1/(1+EXP(-(W880-'03_Lap_b'!$B$35:$AW$35)))))</f>
        <v/>
      </c>
      <c r="Y880" s="5">
        <f>SUMPRODUCT(('01_Data'!$B880:$AW880&lt;&gt;"")*(1/(1+EXP(-(W880-'03_Lap_b'!$B$35:$AW$35))))^2)</f>
        <v/>
      </c>
      <c r="Z880" s="5">
        <f>MEDIAN(-6,W880+(C880-X880)/MAX(X880-Y880,0.000000001),6)</f>
        <v/>
      </c>
      <c r="AA880" s="5">
        <f>SUMPRODUCT(('01_Data'!$B880:$AW880&lt;&gt;"")*(1/(1+EXP(-(Z880-'03_Lap_b'!$B$40:$AW$40)))))</f>
        <v/>
      </c>
      <c r="AB880" s="5">
        <f>SUMPRODUCT(('01_Data'!$B880:$AW880&lt;&gt;"")*(1/(1+EXP(-(Z880-'03_Lap_b'!$B$40:$AW$40))))^2)</f>
        <v/>
      </c>
      <c r="AC880" s="5">
        <f>MEDIAN(-6,Z880+(C880-AA880)/MAX(AA880-AB880,0.000000001),6)</f>
        <v/>
      </c>
    </row>
    <row r="881">
      <c r="A881" t="n">
        <v>880</v>
      </c>
      <c r="B881">
        <f>'01_Data'!A881</f>
        <v/>
      </c>
      <c r="C881">
        <f>SUM('01_Data'!$B881:$AW881)</f>
        <v/>
      </c>
      <c r="D881">
        <f>COUNT('01_Data'!$B881:$AW881)</f>
        <v/>
      </c>
      <c r="E881" s="5">
        <f>MEDIAN(-6,LN((C881+0.3)/(D881-C881+0.3)),6)</f>
        <v/>
      </c>
      <c r="F881" s="5">
        <f>SUMPRODUCT(('01_Data'!$B881:$AW881&lt;&gt;"")*(1/(1+EXP(-(E881-'03_Lap_b'!$B$5:$AW$5)))))</f>
        <v/>
      </c>
      <c r="G881" s="5">
        <f>SUMPRODUCT(('01_Data'!$B881:$AW881&lt;&gt;"")*(1/(1+EXP(-(E881-'03_Lap_b'!$B$5:$AW$5))))^2)</f>
        <v/>
      </c>
      <c r="H881" s="5">
        <f>MEDIAN(-6,E881+(C881-F881)/MAX(F881-G881,0.000000001),6)</f>
        <v/>
      </c>
      <c r="I881" s="5">
        <f>SUMPRODUCT(('01_Data'!$B881:$AW881&lt;&gt;"")*(1/(1+EXP(-(H881-'03_Lap_b'!$B$10:$AW$10)))))</f>
        <v/>
      </c>
      <c r="J881" s="5">
        <f>SUMPRODUCT(('01_Data'!$B881:$AW881&lt;&gt;"")*(1/(1+EXP(-(H881-'03_Lap_b'!$B$10:$AW$10))))^2)</f>
        <v/>
      </c>
      <c r="K881" s="5">
        <f>MEDIAN(-6,H881+(C881-I881)/MAX(I881-J881,0.000000001),6)</f>
        <v/>
      </c>
      <c r="L881" s="5">
        <f>SUMPRODUCT(('01_Data'!$B881:$AW881&lt;&gt;"")*(1/(1+EXP(-(K881-'03_Lap_b'!$B$15:$AW$15)))))</f>
        <v/>
      </c>
      <c r="M881" s="5">
        <f>SUMPRODUCT(('01_Data'!$B881:$AW881&lt;&gt;"")*(1/(1+EXP(-(K881-'03_Lap_b'!$B$15:$AW$15))))^2)</f>
        <v/>
      </c>
      <c r="N881" s="5">
        <f>MEDIAN(-6,K881+(C881-L881)/MAX(L881-M881,0.000000001),6)</f>
        <v/>
      </c>
      <c r="O881" s="5">
        <f>SUMPRODUCT(('01_Data'!$B881:$AW881&lt;&gt;"")*(1/(1+EXP(-(N881-'03_Lap_b'!$B$20:$AW$20)))))</f>
        <v/>
      </c>
      <c r="P881" s="5">
        <f>SUMPRODUCT(('01_Data'!$B881:$AW881&lt;&gt;"")*(1/(1+EXP(-(N881-'03_Lap_b'!$B$20:$AW$20))))^2)</f>
        <v/>
      </c>
      <c r="Q881" s="5">
        <f>MEDIAN(-6,N881+(C881-O881)/MAX(O881-P881,0.000000001),6)</f>
        <v/>
      </c>
      <c r="R881" s="5">
        <f>SUMPRODUCT(('01_Data'!$B881:$AW881&lt;&gt;"")*(1/(1+EXP(-(Q881-'03_Lap_b'!$B$25:$AW$25)))))</f>
        <v/>
      </c>
      <c r="S881" s="5">
        <f>SUMPRODUCT(('01_Data'!$B881:$AW881&lt;&gt;"")*(1/(1+EXP(-(Q881-'03_Lap_b'!$B$25:$AW$25))))^2)</f>
        <v/>
      </c>
      <c r="T881" s="5">
        <f>MEDIAN(-6,Q881+(C881-R881)/MAX(R881-S881,0.000000001),6)</f>
        <v/>
      </c>
      <c r="U881" s="5">
        <f>SUMPRODUCT(('01_Data'!$B881:$AW881&lt;&gt;"")*(1/(1+EXP(-(T881-'03_Lap_b'!$B$30:$AW$30)))))</f>
        <v/>
      </c>
      <c r="V881" s="5">
        <f>SUMPRODUCT(('01_Data'!$B881:$AW881&lt;&gt;"")*(1/(1+EXP(-(T881-'03_Lap_b'!$B$30:$AW$30))))^2)</f>
        <v/>
      </c>
      <c r="W881" s="5">
        <f>MEDIAN(-6,T881+(C881-U881)/MAX(U881-V881,0.000000001),6)</f>
        <v/>
      </c>
      <c r="X881" s="5">
        <f>SUMPRODUCT(('01_Data'!$B881:$AW881&lt;&gt;"")*(1/(1+EXP(-(W881-'03_Lap_b'!$B$35:$AW$35)))))</f>
        <v/>
      </c>
      <c r="Y881" s="5">
        <f>SUMPRODUCT(('01_Data'!$B881:$AW881&lt;&gt;"")*(1/(1+EXP(-(W881-'03_Lap_b'!$B$35:$AW$35))))^2)</f>
        <v/>
      </c>
      <c r="Z881" s="5">
        <f>MEDIAN(-6,W881+(C881-X881)/MAX(X881-Y881,0.000000001),6)</f>
        <v/>
      </c>
      <c r="AA881" s="5">
        <f>SUMPRODUCT(('01_Data'!$B881:$AW881&lt;&gt;"")*(1/(1+EXP(-(Z881-'03_Lap_b'!$B$40:$AW$40)))))</f>
        <v/>
      </c>
      <c r="AB881" s="5">
        <f>SUMPRODUCT(('01_Data'!$B881:$AW881&lt;&gt;"")*(1/(1+EXP(-(Z881-'03_Lap_b'!$B$40:$AW$40))))^2)</f>
        <v/>
      </c>
      <c r="AC881" s="5">
        <f>MEDIAN(-6,Z881+(C881-AA881)/MAX(AA881-AB881,0.000000001),6)</f>
        <v/>
      </c>
    </row>
    <row r="882">
      <c r="A882" t="n">
        <v>881</v>
      </c>
      <c r="B882">
        <f>'01_Data'!A882</f>
        <v/>
      </c>
      <c r="C882">
        <f>SUM('01_Data'!$B882:$AW882)</f>
        <v/>
      </c>
      <c r="D882">
        <f>COUNT('01_Data'!$B882:$AW882)</f>
        <v/>
      </c>
      <c r="E882" s="5">
        <f>MEDIAN(-6,LN((C882+0.3)/(D882-C882+0.3)),6)</f>
        <v/>
      </c>
      <c r="F882" s="5">
        <f>SUMPRODUCT(('01_Data'!$B882:$AW882&lt;&gt;"")*(1/(1+EXP(-(E882-'03_Lap_b'!$B$5:$AW$5)))))</f>
        <v/>
      </c>
      <c r="G882" s="5">
        <f>SUMPRODUCT(('01_Data'!$B882:$AW882&lt;&gt;"")*(1/(1+EXP(-(E882-'03_Lap_b'!$B$5:$AW$5))))^2)</f>
        <v/>
      </c>
      <c r="H882" s="5">
        <f>MEDIAN(-6,E882+(C882-F882)/MAX(F882-G882,0.000000001),6)</f>
        <v/>
      </c>
      <c r="I882" s="5">
        <f>SUMPRODUCT(('01_Data'!$B882:$AW882&lt;&gt;"")*(1/(1+EXP(-(H882-'03_Lap_b'!$B$10:$AW$10)))))</f>
        <v/>
      </c>
      <c r="J882" s="5">
        <f>SUMPRODUCT(('01_Data'!$B882:$AW882&lt;&gt;"")*(1/(1+EXP(-(H882-'03_Lap_b'!$B$10:$AW$10))))^2)</f>
        <v/>
      </c>
      <c r="K882" s="5">
        <f>MEDIAN(-6,H882+(C882-I882)/MAX(I882-J882,0.000000001),6)</f>
        <v/>
      </c>
      <c r="L882" s="5">
        <f>SUMPRODUCT(('01_Data'!$B882:$AW882&lt;&gt;"")*(1/(1+EXP(-(K882-'03_Lap_b'!$B$15:$AW$15)))))</f>
        <v/>
      </c>
      <c r="M882" s="5">
        <f>SUMPRODUCT(('01_Data'!$B882:$AW882&lt;&gt;"")*(1/(1+EXP(-(K882-'03_Lap_b'!$B$15:$AW$15))))^2)</f>
        <v/>
      </c>
      <c r="N882" s="5">
        <f>MEDIAN(-6,K882+(C882-L882)/MAX(L882-M882,0.000000001),6)</f>
        <v/>
      </c>
      <c r="O882" s="5">
        <f>SUMPRODUCT(('01_Data'!$B882:$AW882&lt;&gt;"")*(1/(1+EXP(-(N882-'03_Lap_b'!$B$20:$AW$20)))))</f>
        <v/>
      </c>
      <c r="P882" s="5">
        <f>SUMPRODUCT(('01_Data'!$B882:$AW882&lt;&gt;"")*(1/(1+EXP(-(N882-'03_Lap_b'!$B$20:$AW$20))))^2)</f>
        <v/>
      </c>
      <c r="Q882" s="5">
        <f>MEDIAN(-6,N882+(C882-O882)/MAX(O882-P882,0.000000001),6)</f>
        <v/>
      </c>
      <c r="R882" s="5">
        <f>SUMPRODUCT(('01_Data'!$B882:$AW882&lt;&gt;"")*(1/(1+EXP(-(Q882-'03_Lap_b'!$B$25:$AW$25)))))</f>
        <v/>
      </c>
      <c r="S882" s="5">
        <f>SUMPRODUCT(('01_Data'!$B882:$AW882&lt;&gt;"")*(1/(1+EXP(-(Q882-'03_Lap_b'!$B$25:$AW$25))))^2)</f>
        <v/>
      </c>
      <c r="T882" s="5">
        <f>MEDIAN(-6,Q882+(C882-R882)/MAX(R882-S882,0.000000001),6)</f>
        <v/>
      </c>
      <c r="U882" s="5">
        <f>SUMPRODUCT(('01_Data'!$B882:$AW882&lt;&gt;"")*(1/(1+EXP(-(T882-'03_Lap_b'!$B$30:$AW$30)))))</f>
        <v/>
      </c>
      <c r="V882" s="5">
        <f>SUMPRODUCT(('01_Data'!$B882:$AW882&lt;&gt;"")*(1/(1+EXP(-(T882-'03_Lap_b'!$B$30:$AW$30))))^2)</f>
        <v/>
      </c>
      <c r="W882" s="5">
        <f>MEDIAN(-6,T882+(C882-U882)/MAX(U882-V882,0.000000001),6)</f>
        <v/>
      </c>
      <c r="X882" s="5">
        <f>SUMPRODUCT(('01_Data'!$B882:$AW882&lt;&gt;"")*(1/(1+EXP(-(W882-'03_Lap_b'!$B$35:$AW$35)))))</f>
        <v/>
      </c>
      <c r="Y882" s="5">
        <f>SUMPRODUCT(('01_Data'!$B882:$AW882&lt;&gt;"")*(1/(1+EXP(-(W882-'03_Lap_b'!$B$35:$AW$35))))^2)</f>
        <v/>
      </c>
      <c r="Z882" s="5">
        <f>MEDIAN(-6,W882+(C882-X882)/MAX(X882-Y882,0.000000001),6)</f>
        <v/>
      </c>
      <c r="AA882" s="5">
        <f>SUMPRODUCT(('01_Data'!$B882:$AW882&lt;&gt;"")*(1/(1+EXP(-(Z882-'03_Lap_b'!$B$40:$AW$40)))))</f>
        <v/>
      </c>
      <c r="AB882" s="5">
        <f>SUMPRODUCT(('01_Data'!$B882:$AW882&lt;&gt;"")*(1/(1+EXP(-(Z882-'03_Lap_b'!$B$40:$AW$40))))^2)</f>
        <v/>
      </c>
      <c r="AC882" s="5">
        <f>MEDIAN(-6,Z882+(C882-AA882)/MAX(AA882-AB882,0.000000001),6)</f>
        <v/>
      </c>
    </row>
    <row r="883">
      <c r="A883" t="n">
        <v>882</v>
      </c>
      <c r="B883">
        <f>'01_Data'!A883</f>
        <v/>
      </c>
      <c r="C883">
        <f>SUM('01_Data'!$B883:$AW883)</f>
        <v/>
      </c>
      <c r="D883">
        <f>COUNT('01_Data'!$B883:$AW883)</f>
        <v/>
      </c>
      <c r="E883" s="5">
        <f>MEDIAN(-6,LN((C883+0.3)/(D883-C883+0.3)),6)</f>
        <v/>
      </c>
      <c r="F883" s="5">
        <f>SUMPRODUCT(('01_Data'!$B883:$AW883&lt;&gt;"")*(1/(1+EXP(-(E883-'03_Lap_b'!$B$5:$AW$5)))))</f>
        <v/>
      </c>
      <c r="G883" s="5">
        <f>SUMPRODUCT(('01_Data'!$B883:$AW883&lt;&gt;"")*(1/(1+EXP(-(E883-'03_Lap_b'!$B$5:$AW$5))))^2)</f>
        <v/>
      </c>
      <c r="H883" s="5">
        <f>MEDIAN(-6,E883+(C883-F883)/MAX(F883-G883,0.000000001),6)</f>
        <v/>
      </c>
      <c r="I883" s="5">
        <f>SUMPRODUCT(('01_Data'!$B883:$AW883&lt;&gt;"")*(1/(1+EXP(-(H883-'03_Lap_b'!$B$10:$AW$10)))))</f>
        <v/>
      </c>
      <c r="J883" s="5">
        <f>SUMPRODUCT(('01_Data'!$B883:$AW883&lt;&gt;"")*(1/(1+EXP(-(H883-'03_Lap_b'!$B$10:$AW$10))))^2)</f>
        <v/>
      </c>
      <c r="K883" s="5">
        <f>MEDIAN(-6,H883+(C883-I883)/MAX(I883-J883,0.000000001),6)</f>
        <v/>
      </c>
      <c r="L883" s="5">
        <f>SUMPRODUCT(('01_Data'!$B883:$AW883&lt;&gt;"")*(1/(1+EXP(-(K883-'03_Lap_b'!$B$15:$AW$15)))))</f>
        <v/>
      </c>
      <c r="M883" s="5">
        <f>SUMPRODUCT(('01_Data'!$B883:$AW883&lt;&gt;"")*(1/(1+EXP(-(K883-'03_Lap_b'!$B$15:$AW$15))))^2)</f>
        <v/>
      </c>
      <c r="N883" s="5">
        <f>MEDIAN(-6,K883+(C883-L883)/MAX(L883-M883,0.000000001),6)</f>
        <v/>
      </c>
      <c r="O883" s="5">
        <f>SUMPRODUCT(('01_Data'!$B883:$AW883&lt;&gt;"")*(1/(1+EXP(-(N883-'03_Lap_b'!$B$20:$AW$20)))))</f>
        <v/>
      </c>
      <c r="P883" s="5">
        <f>SUMPRODUCT(('01_Data'!$B883:$AW883&lt;&gt;"")*(1/(1+EXP(-(N883-'03_Lap_b'!$B$20:$AW$20))))^2)</f>
        <v/>
      </c>
      <c r="Q883" s="5">
        <f>MEDIAN(-6,N883+(C883-O883)/MAX(O883-P883,0.000000001),6)</f>
        <v/>
      </c>
      <c r="R883" s="5">
        <f>SUMPRODUCT(('01_Data'!$B883:$AW883&lt;&gt;"")*(1/(1+EXP(-(Q883-'03_Lap_b'!$B$25:$AW$25)))))</f>
        <v/>
      </c>
      <c r="S883" s="5">
        <f>SUMPRODUCT(('01_Data'!$B883:$AW883&lt;&gt;"")*(1/(1+EXP(-(Q883-'03_Lap_b'!$B$25:$AW$25))))^2)</f>
        <v/>
      </c>
      <c r="T883" s="5">
        <f>MEDIAN(-6,Q883+(C883-R883)/MAX(R883-S883,0.000000001),6)</f>
        <v/>
      </c>
      <c r="U883" s="5">
        <f>SUMPRODUCT(('01_Data'!$B883:$AW883&lt;&gt;"")*(1/(1+EXP(-(T883-'03_Lap_b'!$B$30:$AW$30)))))</f>
        <v/>
      </c>
      <c r="V883" s="5">
        <f>SUMPRODUCT(('01_Data'!$B883:$AW883&lt;&gt;"")*(1/(1+EXP(-(T883-'03_Lap_b'!$B$30:$AW$30))))^2)</f>
        <v/>
      </c>
      <c r="W883" s="5">
        <f>MEDIAN(-6,T883+(C883-U883)/MAX(U883-V883,0.000000001),6)</f>
        <v/>
      </c>
      <c r="X883" s="5">
        <f>SUMPRODUCT(('01_Data'!$B883:$AW883&lt;&gt;"")*(1/(1+EXP(-(W883-'03_Lap_b'!$B$35:$AW$35)))))</f>
        <v/>
      </c>
      <c r="Y883" s="5">
        <f>SUMPRODUCT(('01_Data'!$B883:$AW883&lt;&gt;"")*(1/(1+EXP(-(W883-'03_Lap_b'!$B$35:$AW$35))))^2)</f>
        <v/>
      </c>
      <c r="Z883" s="5">
        <f>MEDIAN(-6,W883+(C883-X883)/MAX(X883-Y883,0.000000001),6)</f>
        <v/>
      </c>
      <c r="AA883" s="5">
        <f>SUMPRODUCT(('01_Data'!$B883:$AW883&lt;&gt;"")*(1/(1+EXP(-(Z883-'03_Lap_b'!$B$40:$AW$40)))))</f>
        <v/>
      </c>
      <c r="AB883" s="5">
        <f>SUMPRODUCT(('01_Data'!$B883:$AW883&lt;&gt;"")*(1/(1+EXP(-(Z883-'03_Lap_b'!$B$40:$AW$40))))^2)</f>
        <v/>
      </c>
      <c r="AC883" s="5">
        <f>MEDIAN(-6,Z883+(C883-AA883)/MAX(AA883-AB883,0.000000001),6)</f>
        <v/>
      </c>
    </row>
    <row r="884">
      <c r="A884" t="n">
        <v>883</v>
      </c>
      <c r="B884">
        <f>'01_Data'!A884</f>
        <v/>
      </c>
      <c r="C884">
        <f>SUM('01_Data'!$B884:$AW884)</f>
        <v/>
      </c>
      <c r="D884">
        <f>COUNT('01_Data'!$B884:$AW884)</f>
        <v/>
      </c>
      <c r="E884" s="5">
        <f>MEDIAN(-6,LN((C884+0.3)/(D884-C884+0.3)),6)</f>
        <v/>
      </c>
      <c r="F884" s="5">
        <f>SUMPRODUCT(('01_Data'!$B884:$AW884&lt;&gt;"")*(1/(1+EXP(-(E884-'03_Lap_b'!$B$5:$AW$5)))))</f>
        <v/>
      </c>
      <c r="G884" s="5">
        <f>SUMPRODUCT(('01_Data'!$B884:$AW884&lt;&gt;"")*(1/(1+EXP(-(E884-'03_Lap_b'!$B$5:$AW$5))))^2)</f>
        <v/>
      </c>
      <c r="H884" s="5">
        <f>MEDIAN(-6,E884+(C884-F884)/MAX(F884-G884,0.000000001),6)</f>
        <v/>
      </c>
      <c r="I884" s="5">
        <f>SUMPRODUCT(('01_Data'!$B884:$AW884&lt;&gt;"")*(1/(1+EXP(-(H884-'03_Lap_b'!$B$10:$AW$10)))))</f>
        <v/>
      </c>
      <c r="J884" s="5">
        <f>SUMPRODUCT(('01_Data'!$B884:$AW884&lt;&gt;"")*(1/(1+EXP(-(H884-'03_Lap_b'!$B$10:$AW$10))))^2)</f>
        <v/>
      </c>
      <c r="K884" s="5">
        <f>MEDIAN(-6,H884+(C884-I884)/MAX(I884-J884,0.000000001),6)</f>
        <v/>
      </c>
      <c r="L884" s="5">
        <f>SUMPRODUCT(('01_Data'!$B884:$AW884&lt;&gt;"")*(1/(1+EXP(-(K884-'03_Lap_b'!$B$15:$AW$15)))))</f>
        <v/>
      </c>
      <c r="M884" s="5">
        <f>SUMPRODUCT(('01_Data'!$B884:$AW884&lt;&gt;"")*(1/(1+EXP(-(K884-'03_Lap_b'!$B$15:$AW$15))))^2)</f>
        <v/>
      </c>
      <c r="N884" s="5">
        <f>MEDIAN(-6,K884+(C884-L884)/MAX(L884-M884,0.000000001),6)</f>
        <v/>
      </c>
      <c r="O884" s="5">
        <f>SUMPRODUCT(('01_Data'!$B884:$AW884&lt;&gt;"")*(1/(1+EXP(-(N884-'03_Lap_b'!$B$20:$AW$20)))))</f>
        <v/>
      </c>
      <c r="P884" s="5">
        <f>SUMPRODUCT(('01_Data'!$B884:$AW884&lt;&gt;"")*(1/(1+EXP(-(N884-'03_Lap_b'!$B$20:$AW$20))))^2)</f>
        <v/>
      </c>
      <c r="Q884" s="5">
        <f>MEDIAN(-6,N884+(C884-O884)/MAX(O884-P884,0.000000001),6)</f>
        <v/>
      </c>
      <c r="R884" s="5">
        <f>SUMPRODUCT(('01_Data'!$B884:$AW884&lt;&gt;"")*(1/(1+EXP(-(Q884-'03_Lap_b'!$B$25:$AW$25)))))</f>
        <v/>
      </c>
      <c r="S884" s="5">
        <f>SUMPRODUCT(('01_Data'!$B884:$AW884&lt;&gt;"")*(1/(1+EXP(-(Q884-'03_Lap_b'!$B$25:$AW$25))))^2)</f>
        <v/>
      </c>
      <c r="T884" s="5">
        <f>MEDIAN(-6,Q884+(C884-R884)/MAX(R884-S884,0.000000001),6)</f>
        <v/>
      </c>
      <c r="U884" s="5">
        <f>SUMPRODUCT(('01_Data'!$B884:$AW884&lt;&gt;"")*(1/(1+EXP(-(T884-'03_Lap_b'!$B$30:$AW$30)))))</f>
        <v/>
      </c>
      <c r="V884" s="5">
        <f>SUMPRODUCT(('01_Data'!$B884:$AW884&lt;&gt;"")*(1/(1+EXP(-(T884-'03_Lap_b'!$B$30:$AW$30))))^2)</f>
        <v/>
      </c>
      <c r="W884" s="5">
        <f>MEDIAN(-6,T884+(C884-U884)/MAX(U884-V884,0.000000001),6)</f>
        <v/>
      </c>
      <c r="X884" s="5">
        <f>SUMPRODUCT(('01_Data'!$B884:$AW884&lt;&gt;"")*(1/(1+EXP(-(W884-'03_Lap_b'!$B$35:$AW$35)))))</f>
        <v/>
      </c>
      <c r="Y884" s="5">
        <f>SUMPRODUCT(('01_Data'!$B884:$AW884&lt;&gt;"")*(1/(1+EXP(-(W884-'03_Lap_b'!$B$35:$AW$35))))^2)</f>
        <v/>
      </c>
      <c r="Z884" s="5">
        <f>MEDIAN(-6,W884+(C884-X884)/MAX(X884-Y884,0.000000001),6)</f>
        <v/>
      </c>
      <c r="AA884" s="5">
        <f>SUMPRODUCT(('01_Data'!$B884:$AW884&lt;&gt;"")*(1/(1+EXP(-(Z884-'03_Lap_b'!$B$40:$AW$40)))))</f>
        <v/>
      </c>
      <c r="AB884" s="5">
        <f>SUMPRODUCT(('01_Data'!$B884:$AW884&lt;&gt;"")*(1/(1+EXP(-(Z884-'03_Lap_b'!$B$40:$AW$40))))^2)</f>
        <v/>
      </c>
      <c r="AC884" s="5">
        <f>MEDIAN(-6,Z884+(C884-AA884)/MAX(AA884-AB884,0.000000001),6)</f>
        <v/>
      </c>
    </row>
    <row r="885">
      <c r="A885" t="n">
        <v>884</v>
      </c>
      <c r="B885">
        <f>'01_Data'!A885</f>
        <v/>
      </c>
      <c r="C885">
        <f>SUM('01_Data'!$B885:$AW885)</f>
        <v/>
      </c>
      <c r="D885">
        <f>COUNT('01_Data'!$B885:$AW885)</f>
        <v/>
      </c>
      <c r="E885" s="5">
        <f>MEDIAN(-6,LN((C885+0.3)/(D885-C885+0.3)),6)</f>
        <v/>
      </c>
      <c r="F885" s="5">
        <f>SUMPRODUCT(('01_Data'!$B885:$AW885&lt;&gt;"")*(1/(1+EXP(-(E885-'03_Lap_b'!$B$5:$AW$5)))))</f>
        <v/>
      </c>
      <c r="G885" s="5">
        <f>SUMPRODUCT(('01_Data'!$B885:$AW885&lt;&gt;"")*(1/(1+EXP(-(E885-'03_Lap_b'!$B$5:$AW$5))))^2)</f>
        <v/>
      </c>
      <c r="H885" s="5">
        <f>MEDIAN(-6,E885+(C885-F885)/MAX(F885-G885,0.000000001),6)</f>
        <v/>
      </c>
      <c r="I885" s="5">
        <f>SUMPRODUCT(('01_Data'!$B885:$AW885&lt;&gt;"")*(1/(1+EXP(-(H885-'03_Lap_b'!$B$10:$AW$10)))))</f>
        <v/>
      </c>
      <c r="J885" s="5">
        <f>SUMPRODUCT(('01_Data'!$B885:$AW885&lt;&gt;"")*(1/(1+EXP(-(H885-'03_Lap_b'!$B$10:$AW$10))))^2)</f>
        <v/>
      </c>
      <c r="K885" s="5">
        <f>MEDIAN(-6,H885+(C885-I885)/MAX(I885-J885,0.000000001),6)</f>
        <v/>
      </c>
      <c r="L885" s="5">
        <f>SUMPRODUCT(('01_Data'!$B885:$AW885&lt;&gt;"")*(1/(1+EXP(-(K885-'03_Lap_b'!$B$15:$AW$15)))))</f>
        <v/>
      </c>
      <c r="M885" s="5">
        <f>SUMPRODUCT(('01_Data'!$B885:$AW885&lt;&gt;"")*(1/(1+EXP(-(K885-'03_Lap_b'!$B$15:$AW$15))))^2)</f>
        <v/>
      </c>
      <c r="N885" s="5">
        <f>MEDIAN(-6,K885+(C885-L885)/MAX(L885-M885,0.000000001),6)</f>
        <v/>
      </c>
      <c r="O885" s="5">
        <f>SUMPRODUCT(('01_Data'!$B885:$AW885&lt;&gt;"")*(1/(1+EXP(-(N885-'03_Lap_b'!$B$20:$AW$20)))))</f>
        <v/>
      </c>
      <c r="P885" s="5">
        <f>SUMPRODUCT(('01_Data'!$B885:$AW885&lt;&gt;"")*(1/(1+EXP(-(N885-'03_Lap_b'!$B$20:$AW$20))))^2)</f>
        <v/>
      </c>
      <c r="Q885" s="5">
        <f>MEDIAN(-6,N885+(C885-O885)/MAX(O885-P885,0.000000001),6)</f>
        <v/>
      </c>
      <c r="R885" s="5">
        <f>SUMPRODUCT(('01_Data'!$B885:$AW885&lt;&gt;"")*(1/(1+EXP(-(Q885-'03_Lap_b'!$B$25:$AW$25)))))</f>
        <v/>
      </c>
      <c r="S885" s="5">
        <f>SUMPRODUCT(('01_Data'!$B885:$AW885&lt;&gt;"")*(1/(1+EXP(-(Q885-'03_Lap_b'!$B$25:$AW$25))))^2)</f>
        <v/>
      </c>
      <c r="T885" s="5">
        <f>MEDIAN(-6,Q885+(C885-R885)/MAX(R885-S885,0.000000001),6)</f>
        <v/>
      </c>
      <c r="U885" s="5">
        <f>SUMPRODUCT(('01_Data'!$B885:$AW885&lt;&gt;"")*(1/(1+EXP(-(T885-'03_Lap_b'!$B$30:$AW$30)))))</f>
        <v/>
      </c>
      <c r="V885" s="5">
        <f>SUMPRODUCT(('01_Data'!$B885:$AW885&lt;&gt;"")*(1/(1+EXP(-(T885-'03_Lap_b'!$B$30:$AW$30))))^2)</f>
        <v/>
      </c>
      <c r="W885" s="5">
        <f>MEDIAN(-6,T885+(C885-U885)/MAX(U885-V885,0.000000001),6)</f>
        <v/>
      </c>
      <c r="X885" s="5">
        <f>SUMPRODUCT(('01_Data'!$B885:$AW885&lt;&gt;"")*(1/(1+EXP(-(W885-'03_Lap_b'!$B$35:$AW$35)))))</f>
        <v/>
      </c>
      <c r="Y885" s="5">
        <f>SUMPRODUCT(('01_Data'!$B885:$AW885&lt;&gt;"")*(1/(1+EXP(-(W885-'03_Lap_b'!$B$35:$AW$35))))^2)</f>
        <v/>
      </c>
      <c r="Z885" s="5">
        <f>MEDIAN(-6,W885+(C885-X885)/MAX(X885-Y885,0.000000001),6)</f>
        <v/>
      </c>
      <c r="AA885" s="5">
        <f>SUMPRODUCT(('01_Data'!$B885:$AW885&lt;&gt;"")*(1/(1+EXP(-(Z885-'03_Lap_b'!$B$40:$AW$40)))))</f>
        <v/>
      </c>
      <c r="AB885" s="5">
        <f>SUMPRODUCT(('01_Data'!$B885:$AW885&lt;&gt;"")*(1/(1+EXP(-(Z885-'03_Lap_b'!$B$40:$AW$40))))^2)</f>
        <v/>
      </c>
      <c r="AC885" s="5">
        <f>MEDIAN(-6,Z885+(C885-AA885)/MAX(AA885-AB885,0.000000001),6)</f>
        <v/>
      </c>
    </row>
    <row r="886">
      <c r="A886" t="n">
        <v>885</v>
      </c>
      <c r="B886">
        <f>'01_Data'!A886</f>
        <v/>
      </c>
      <c r="C886">
        <f>SUM('01_Data'!$B886:$AW886)</f>
        <v/>
      </c>
      <c r="D886">
        <f>COUNT('01_Data'!$B886:$AW886)</f>
        <v/>
      </c>
      <c r="E886" s="5">
        <f>MEDIAN(-6,LN((C886+0.3)/(D886-C886+0.3)),6)</f>
        <v/>
      </c>
      <c r="F886" s="5">
        <f>SUMPRODUCT(('01_Data'!$B886:$AW886&lt;&gt;"")*(1/(1+EXP(-(E886-'03_Lap_b'!$B$5:$AW$5)))))</f>
        <v/>
      </c>
      <c r="G886" s="5">
        <f>SUMPRODUCT(('01_Data'!$B886:$AW886&lt;&gt;"")*(1/(1+EXP(-(E886-'03_Lap_b'!$B$5:$AW$5))))^2)</f>
        <v/>
      </c>
      <c r="H886" s="5">
        <f>MEDIAN(-6,E886+(C886-F886)/MAX(F886-G886,0.000000001),6)</f>
        <v/>
      </c>
      <c r="I886" s="5">
        <f>SUMPRODUCT(('01_Data'!$B886:$AW886&lt;&gt;"")*(1/(1+EXP(-(H886-'03_Lap_b'!$B$10:$AW$10)))))</f>
        <v/>
      </c>
      <c r="J886" s="5">
        <f>SUMPRODUCT(('01_Data'!$B886:$AW886&lt;&gt;"")*(1/(1+EXP(-(H886-'03_Lap_b'!$B$10:$AW$10))))^2)</f>
        <v/>
      </c>
      <c r="K886" s="5">
        <f>MEDIAN(-6,H886+(C886-I886)/MAX(I886-J886,0.000000001),6)</f>
        <v/>
      </c>
      <c r="L886" s="5">
        <f>SUMPRODUCT(('01_Data'!$B886:$AW886&lt;&gt;"")*(1/(1+EXP(-(K886-'03_Lap_b'!$B$15:$AW$15)))))</f>
        <v/>
      </c>
      <c r="M886" s="5">
        <f>SUMPRODUCT(('01_Data'!$B886:$AW886&lt;&gt;"")*(1/(1+EXP(-(K886-'03_Lap_b'!$B$15:$AW$15))))^2)</f>
        <v/>
      </c>
      <c r="N886" s="5">
        <f>MEDIAN(-6,K886+(C886-L886)/MAX(L886-M886,0.000000001),6)</f>
        <v/>
      </c>
      <c r="O886" s="5">
        <f>SUMPRODUCT(('01_Data'!$B886:$AW886&lt;&gt;"")*(1/(1+EXP(-(N886-'03_Lap_b'!$B$20:$AW$20)))))</f>
        <v/>
      </c>
      <c r="P886" s="5">
        <f>SUMPRODUCT(('01_Data'!$B886:$AW886&lt;&gt;"")*(1/(1+EXP(-(N886-'03_Lap_b'!$B$20:$AW$20))))^2)</f>
        <v/>
      </c>
      <c r="Q886" s="5">
        <f>MEDIAN(-6,N886+(C886-O886)/MAX(O886-P886,0.000000001),6)</f>
        <v/>
      </c>
      <c r="R886" s="5">
        <f>SUMPRODUCT(('01_Data'!$B886:$AW886&lt;&gt;"")*(1/(1+EXP(-(Q886-'03_Lap_b'!$B$25:$AW$25)))))</f>
        <v/>
      </c>
      <c r="S886" s="5">
        <f>SUMPRODUCT(('01_Data'!$B886:$AW886&lt;&gt;"")*(1/(1+EXP(-(Q886-'03_Lap_b'!$B$25:$AW$25))))^2)</f>
        <v/>
      </c>
      <c r="T886" s="5">
        <f>MEDIAN(-6,Q886+(C886-R886)/MAX(R886-S886,0.000000001),6)</f>
        <v/>
      </c>
      <c r="U886" s="5">
        <f>SUMPRODUCT(('01_Data'!$B886:$AW886&lt;&gt;"")*(1/(1+EXP(-(T886-'03_Lap_b'!$B$30:$AW$30)))))</f>
        <v/>
      </c>
      <c r="V886" s="5">
        <f>SUMPRODUCT(('01_Data'!$B886:$AW886&lt;&gt;"")*(1/(1+EXP(-(T886-'03_Lap_b'!$B$30:$AW$30))))^2)</f>
        <v/>
      </c>
      <c r="W886" s="5">
        <f>MEDIAN(-6,T886+(C886-U886)/MAX(U886-V886,0.000000001),6)</f>
        <v/>
      </c>
      <c r="X886" s="5">
        <f>SUMPRODUCT(('01_Data'!$B886:$AW886&lt;&gt;"")*(1/(1+EXP(-(W886-'03_Lap_b'!$B$35:$AW$35)))))</f>
        <v/>
      </c>
      <c r="Y886" s="5">
        <f>SUMPRODUCT(('01_Data'!$B886:$AW886&lt;&gt;"")*(1/(1+EXP(-(W886-'03_Lap_b'!$B$35:$AW$35))))^2)</f>
        <v/>
      </c>
      <c r="Z886" s="5">
        <f>MEDIAN(-6,W886+(C886-X886)/MAX(X886-Y886,0.000000001),6)</f>
        <v/>
      </c>
      <c r="AA886" s="5">
        <f>SUMPRODUCT(('01_Data'!$B886:$AW886&lt;&gt;"")*(1/(1+EXP(-(Z886-'03_Lap_b'!$B$40:$AW$40)))))</f>
        <v/>
      </c>
      <c r="AB886" s="5">
        <f>SUMPRODUCT(('01_Data'!$B886:$AW886&lt;&gt;"")*(1/(1+EXP(-(Z886-'03_Lap_b'!$B$40:$AW$40))))^2)</f>
        <v/>
      </c>
      <c r="AC886" s="5">
        <f>MEDIAN(-6,Z886+(C886-AA886)/MAX(AA886-AB886,0.000000001),6)</f>
        <v/>
      </c>
    </row>
    <row r="887">
      <c r="A887" t="n">
        <v>886</v>
      </c>
      <c r="B887">
        <f>'01_Data'!A887</f>
        <v/>
      </c>
      <c r="C887">
        <f>SUM('01_Data'!$B887:$AW887)</f>
        <v/>
      </c>
      <c r="D887">
        <f>COUNT('01_Data'!$B887:$AW887)</f>
        <v/>
      </c>
      <c r="E887" s="5">
        <f>MEDIAN(-6,LN((C887+0.3)/(D887-C887+0.3)),6)</f>
        <v/>
      </c>
      <c r="F887" s="5">
        <f>SUMPRODUCT(('01_Data'!$B887:$AW887&lt;&gt;"")*(1/(1+EXP(-(E887-'03_Lap_b'!$B$5:$AW$5)))))</f>
        <v/>
      </c>
      <c r="G887" s="5">
        <f>SUMPRODUCT(('01_Data'!$B887:$AW887&lt;&gt;"")*(1/(1+EXP(-(E887-'03_Lap_b'!$B$5:$AW$5))))^2)</f>
        <v/>
      </c>
      <c r="H887" s="5">
        <f>MEDIAN(-6,E887+(C887-F887)/MAX(F887-G887,0.000000001),6)</f>
        <v/>
      </c>
      <c r="I887" s="5">
        <f>SUMPRODUCT(('01_Data'!$B887:$AW887&lt;&gt;"")*(1/(1+EXP(-(H887-'03_Lap_b'!$B$10:$AW$10)))))</f>
        <v/>
      </c>
      <c r="J887" s="5">
        <f>SUMPRODUCT(('01_Data'!$B887:$AW887&lt;&gt;"")*(1/(1+EXP(-(H887-'03_Lap_b'!$B$10:$AW$10))))^2)</f>
        <v/>
      </c>
      <c r="K887" s="5">
        <f>MEDIAN(-6,H887+(C887-I887)/MAX(I887-J887,0.000000001),6)</f>
        <v/>
      </c>
      <c r="L887" s="5">
        <f>SUMPRODUCT(('01_Data'!$B887:$AW887&lt;&gt;"")*(1/(1+EXP(-(K887-'03_Lap_b'!$B$15:$AW$15)))))</f>
        <v/>
      </c>
      <c r="M887" s="5">
        <f>SUMPRODUCT(('01_Data'!$B887:$AW887&lt;&gt;"")*(1/(1+EXP(-(K887-'03_Lap_b'!$B$15:$AW$15))))^2)</f>
        <v/>
      </c>
      <c r="N887" s="5">
        <f>MEDIAN(-6,K887+(C887-L887)/MAX(L887-M887,0.000000001),6)</f>
        <v/>
      </c>
      <c r="O887" s="5">
        <f>SUMPRODUCT(('01_Data'!$B887:$AW887&lt;&gt;"")*(1/(1+EXP(-(N887-'03_Lap_b'!$B$20:$AW$20)))))</f>
        <v/>
      </c>
      <c r="P887" s="5">
        <f>SUMPRODUCT(('01_Data'!$B887:$AW887&lt;&gt;"")*(1/(1+EXP(-(N887-'03_Lap_b'!$B$20:$AW$20))))^2)</f>
        <v/>
      </c>
      <c r="Q887" s="5">
        <f>MEDIAN(-6,N887+(C887-O887)/MAX(O887-P887,0.000000001),6)</f>
        <v/>
      </c>
      <c r="R887" s="5">
        <f>SUMPRODUCT(('01_Data'!$B887:$AW887&lt;&gt;"")*(1/(1+EXP(-(Q887-'03_Lap_b'!$B$25:$AW$25)))))</f>
        <v/>
      </c>
      <c r="S887" s="5">
        <f>SUMPRODUCT(('01_Data'!$B887:$AW887&lt;&gt;"")*(1/(1+EXP(-(Q887-'03_Lap_b'!$B$25:$AW$25))))^2)</f>
        <v/>
      </c>
      <c r="T887" s="5">
        <f>MEDIAN(-6,Q887+(C887-R887)/MAX(R887-S887,0.000000001),6)</f>
        <v/>
      </c>
      <c r="U887" s="5">
        <f>SUMPRODUCT(('01_Data'!$B887:$AW887&lt;&gt;"")*(1/(1+EXP(-(T887-'03_Lap_b'!$B$30:$AW$30)))))</f>
        <v/>
      </c>
      <c r="V887" s="5">
        <f>SUMPRODUCT(('01_Data'!$B887:$AW887&lt;&gt;"")*(1/(1+EXP(-(T887-'03_Lap_b'!$B$30:$AW$30))))^2)</f>
        <v/>
      </c>
      <c r="W887" s="5">
        <f>MEDIAN(-6,T887+(C887-U887)/MAX(U887-V887,0.000000001),6)</f>
        <v/>
      </c>
      <c r="X887" s="5">
        <f>SUMPRODUCT(('01_Data'!$B887:$AW887&lt;&gt;"")*(1/(1+EXP(-(W887-'03_Lap_b'!$B$35:$AW$35)))))</f>
        <v/>
      </c>
      <c r="Y887" s="5">
        <f>SUMPRODUCT(('01_Data'!$B887:$AW887&lt;&gt;"")*(1/(1+EXP(-(W887-'03_Lap_b'!$B$35:$AW$35))))^2)</f>
        <v/>
      </c>
      <c r="Z887" s="5">
        <f>MEDIAN(-6,W887+(C887-X887)/MAX(X887-Y887,0.000000001),6)</f>
        <v/>
      </c>
      <c r="AA887" s="5">
        <f>SUMPRODUCT(('01_Data'!$B887:$AW887&lt;&gt;"")*(1/(1+EXP(-(Z887-'03_Lap_b'!$B$40:$AW$40)))))</f>
        <v/>
      </c>
      <c r="AB887" s="5">
        <f>SUMPRODUCT(('01_Data'!$B887:$AW887&lt;&gt;"")*(1/(1+EXP(-(Z887-'03_Lap_b'!$B$40:$AW$40))))^2)</f>
        <v/>
      </c>
      <c r="AC887" s="5">
        <f>MEDIAN(-6,Z887+(C887-AA887)/MAX(AA887-AB887,0.000000001),6)</f>
        <v/>
      </c>
    </row>
    <row r="888">
      <c r="A888" t="n">
        <v>887</v>
      </c>
      <c r="B888">
        <f>'01_Data'!A888</f>
        <v/>
      </c>
      <c r="C888">
        <f>SUM('01_Data'!$B888:$AW888)</f>
        <v/>
      </c>
      <c r="D888">
        <f>COUNT('01_Data'!$B888:$AW888)</f>
        <v/>
      </c>
      <c r="E888" s="5">
        <f>MEDIAN(-6,LN((C888+0.3)/(D888-C888+0.3)),6)</f>
        <v/>
      </c>
      <c r="F888" s="5">
        <f>SUMPRODUCT(('01_Data'!$B888:$AW888&lt;&gt;"")*(1/(1+EXP(-(E888-'03_Lap_b'!$B$5:$AW$5)))))</f>
        <v/>
      </c>
      <c r="G888" s="5">
        <f>SUMPRODUCT(('01_Data'!$B888:$AW888&lt;&gt;"")*(1/(1+EXP(-(E888-'03_Lap_b'!$B$5:$AW$5))))^2)</f>
        <v/>
      </c>
      <c r="H888" s="5">
        <f>MEDIAN(-6,E888+(C888-F888)/MAX(F888-G888,0.000000001),6)</f>
        <v/>
      </c>
      <c r="I888" s="5">
        <f>SUMPRODUCT(('01_Data'!$B888:$AW888&lt;&gt;"")*(1/(1+EXP(-(H888-'03_Lap_b'!$B$10:$AW$10)))))</f>
        <v/>
      </c>
      <c r="J888" s="5">
        <f>SUMPRODUCT(('01_Data'!$B888:$AW888&lt;&gt;"")*(1/(1+EXP(-(H888-'03_Lap_b'!$B$10:$AW$10))))^2)</f>
        <v/>
      </c>
      <c r="K888" s="5">
        <f>MEDIAN(-6,H888+(C888-I888)/MAX(I888-J888,0.000000001),6)</f>
        <v/>
      </c>
      <c r="L888" s="5">
        <f>SUMPRODUCT(('01_Data'!$B888:$AW888&lt;&gt;"")*(1/(1+EXP(-(K888-'03_Lap_b'!$B$15:$AW$15)))))</f>
        <v/>
      </c>
      <c r="M888" s="5">
        <f>SUMPRODUCT(('01_Data'!$B888:$AW888&lt;&gt;"")*(1/(1+EXP(-(K888-'03_Lap_b'!$B$15:$AW$15))))^2)</f>
        <v/>
      </c>
      <c r="N888" s="5">
        <f>MEDIAN(-6,K888+(C888-L888)/MAX(L888-M888,0.000000001),6)</f>
        <v/>
      </c>
      <c r="O888" s="5">
        <f>SUMPRODUCT(('01_Data'!$B888:$AW888&lt;&gt;"")*(1/(1+EXP(-(N888-'03_Lap_b'!$B$20:$AW$20)))))</f>
        <v/>
      </c>
      <c r="P888" s="5">
        <f>SUMPRODUCT(('01_Data'!$B888:$AW888&lt;&gt;"")*(1/(1+EXP(-(N888-'03_Lap_b'!$B$20:$AW$20))))^2)</f>
        <v/>
      </c>
      <c r="Q888" s="5">
        <f>MEDIAN(-6,N888+(C888-O888)/MAX(O888-P888,0.000000001),6)</f>
        <v/>
      </c>
      <c r="R888" s="5">
        <f>SUMPRODUCT(('01_Data'!$B888:$AW888&lt;&gt;"")*(1/(1+EXP(-(Q888-'03_Lap_b'!$B$25:$AW$25)))))</f>
        <v/>
      </c>
      <c r="S888" s="5">
        <f>SUMPRODUCT(('01_Data'!$B888:$AW888&lt;&gt;"")*(1/(1+EXP(-(Q888-'03_Lap_b'!$B$25:$AW$25))))^2)</f>
        <v/>
      </c>
      <c r="T888" s="5">
        <f>MEDIAN(-6,Q888+(C888-R888)/MAX(R888-S888,0.000000001),6)</f>
        <v/>
      </c>
      <c r="U888" s="5">
        <f>SUMPRODUCT(('01_Data'!$B888:$AW888&lt;&gt;"")*(1/(1+EXP(-(T888-'03_Lap_b'!$B$30:$AW$30)))))</f>
        <v/>
      </c>
      <c r="V888" s="5">
        <f>SUMPRODUCT(('01_Data'!$B888:$AW888&lt;&gt;"")*(1/(1+EXP(-(T888-'03_Lap_b'!$B$30:$AW$30))))^2)</f>
        <v/>
      </c>
      <c r="W888" s="5">
        <f>MEDIAN(-6,T888+(C888-U888)/MAX(U888-V888,0.000000001),6)</f>
        <v/>
      </c>
      <c r="X888" s="5">
        <f>SUMPRODUCT(('01_Data'!$B888:$AW888&lt;&gt;"")*(1/(1+EXP(-(W888-'03_Lap_b'!$B$35:$AW$35)))))</f>
        <v/>
      </c>
      <c r="Y888" s="5">
        <f>SUMPRODUCT(('01_Data'!$B888:$AW888&lt;&gt;"")*(1/(1+EXP(-(W888-'03_Lap_b'!$B$35:$AW$35))))^2)</f>
        <v/>
      </c>
      <c r="Z888" s="5">
        <f>MEDIAN(-6,W888+(C888-X888)/MAX(X888-Y888,0.000000001),6)</f>
        <v/>
      </c>
      <c r="AA888" s="5">
        <f>SUMPRODUCT(('01_Data'!$B888:$AW888&lt;&gt;"")*(1/(1+EXP(-(Z888-'03_Lap_b'!$B$40:$AW$40)))))</f>
        <v/>
      </c>
      <c r="AB888" s="5">
        <f>SUMPRODUCT(('01_Data'!$B888:$AW888&lt;&gt;"")*(1/(1+EXP(-(Z888-'03_Lap_b'!$B$40:$AW$40))))^2)</f>
        <v/>
      </c>
      <c r="AC888" s="5">
        <f>MEDIAN(-6,Z888+(C888-AA888)/MAX(AA888-AB888,0.000000001),6)</f>
        <v/>
      </c>
    </row>
    <row r="889">
      <c r="A889" t="n">
        <v>888</v>
      </c>
      <c r="B889">
        <f>'01_Data'!A889</f>
        <v/>
      </c>
      <c r="C889">
        <f>SUM('01_Data'!$B889:$AW889)</f>
        <v/>
      </c>
      <c r="D889">
        <f>COUNT('01_Data'!$B889:$AW889)</f>
        <v/>
      </c>
      <c r="E889" s="5">
        <f>MEDIAN(-6,LN((C889+0.3)/(D889-C889+0.3)),6)</f>
        <v/>
      </c>
      <c r="F889" s="5">
        <f>SUMPRODUCT(('01_Data'!$B889:$AW889&lt;&gt;"")*(1/(1+EXP(-(E889-'03_Lap_b'!$B$5:$AW$5)))))</f>
        <v/>
      </c>
      <c r="G889" s="5">
        <f>SUMPRODUCT(('01_Data'!$B889:$AW889&lt;&gt;"")*(1/(1+EXP(-(E889-'03_Lap_b'!$B$5:$AW$5))))^2)</f>
        <v/>
      </c>
      <c r="H889" s="5">
        <f>MEDIAN(-6,E889+(C889-F889)/MAX(F889-G889,0.000000001),6)</f>
        <v/>
      </c>
      <c r="I889" s="5">
        <f>SUMPRODUCT(('01_Data'!$B889:$AW889&lt;&gt;"")*(1/(1+EXP(-(H889-'03_Lap_b'!$B$10:$AW$10)))))</f>
        <v/>
      </c>
      <c r="J889" s="5">
        <f>SUMPRODUCT(('01_Data'!$B889:$AW889&lt;&gt;"")*(1/(1+EXP(-(H889-'03_Lap_b'!$B$10:$AW$10))))^2)</f>
        <v/>
      </c>
      <c r="K889" s="5">
        <f>MEDIAN(-6,H889+(C889-I889)/MAX(I889-J889,0.000000001),6)</f>
        <v/>
      </c>
      <c r="L889" s="5">
        <f>SUMPRODUCT(('01_Data'!$B889:$AW889&lt;&gt;"")*(1/(1+EXP(-(K889-'03_Lap_b'!$B$15:$AW$15)))))</f>
        <v/>
      </c>
      <c r="M889" s="5">
        <f>SUMPRODUCT(('01_Data'!$B889:$AW889&lt;&gt;"")*(1/(1+EXP(-(K889-'03_Lap_b'!$B$15:$AW$15))))^2)</f>
        <v/>
      </c>
      <c r="N889" s="5">
        <f>MEDIAN(-6,K889+(C889-L889)/MAX(L889-M889,0.000000001),6)</f>
        <v/>
      </c>
      <c r="O889" s="5">
        <f>SUMPRODUCT(('01_Data'!$B889:$AW889&lt;&gt;"")*(1/(1+EXP(-(N889-'03_Lap_b'!$B$20:$AW$20)))))</f>
        <v/>
      </c>
      <c r="P889" s="5">
        <f>SUMPRODUCT(('01_Data'!$B889:$AW889&lt;&gt;"")*(1/(1+EXP(-(N889-'03_Lap_b'!$B$20:$AW$20))))^2)</f>
        <v/>
      </c>
      <c r="Q889" s="5">
        <f>MEDIAN(-6,N889+(C889-O889)/MAX(O889-P889,0.000000001),6)</f>
        <v/>
      </c>
      <c r="R889" s="5">
        <f>SUMPRODUCT(('01_Data'!$B889:$AW889&lt;&gt;"")*(1/(1+EXP(-(Q889-'03_Lap_b'!$B$25:$AW$25)))))</f>
        <v/>
      </c>
      <c r="S889" s="5">
        <f>SUMPRODUCT(('01_Data'!$B889:$AW889&lt;&gt;"")*(1/(1+EXP(-(Q889-'03_Lap_b'!$B$25:$AW$25))))^2)</f>
        <v/>
      </c>
      <c r="T889" s="5">
        <f>MEDIAN(-6,Q889+(C889-R889)/MAX(R889-S889,0.000000001),6)</f>
        <v/>
      </c>
      <c r="U889" s="5">
        <f>SUMPRODUCT(('01_Data'!$B889:$AW889&lt;&gt;"")*(1/(1+EXP(-(T889-'03_Lap_b'!$B$30:$AW$30)))))</f>
        <v/>
      </c>
      <c r="V889" s="5">
        <f>SUMPRODUCT(('01_Data'!$B889:$AW889&lt;&gt;"")*(1/(1+EXP(-(T889-'03_Lap_b'!$B$30:$AW$30))))^2)</f>
        <v/>
      </c>
      <c r="W889" s="5">
        <f>MEDIAN(-6,T889+(C889-U889)/MAX(U889-V889,0.000000001),6)</f>
        <v/>
      </c>
      <c r="X889" s="5">
        <f>SUMPRODUCT(('01_Data'!$B889:$AW889&lt;&gt;"")*(1/(1+EXP(-(W889-'03_Lap_b'!$B$35:$AW$35)))))</f>
        <v/>
      </c>
      <c r="Y889" s="5">
        <f>SUMPRODUCT(('01_Data'!$B889:$AW889&lt;&gt;"")*(1/(1+EXP(-(W889-'03_Lap_b'!$B$35:$AW$35))))^2)</f>
        <v/>
      </c>
      <c r="Z889" s="5">
        <f>MEDIAN(-6,W889+(C889-X889)/MAX(X889-Y889,0.000000001),6)</f>
        <v/>
      </c>
      <c r="AA889" s="5">
        <f>SUMPRODUCT(('01_Data'!$B889:$AW889&lt;&gt;"")*(1/(1+EXP(-(Z889-'03_Lap_b'!$B$40:$AW$40)))))</f>
        <v/>
      </c>
      <c r="AB889" s="5">
        <f>SUMPRODUCT(('01_Data'!$B889:$AW889&lt;&gt;"")*(1/(1+EXP(-(Z889-'03_Lap_b'!$B$40:$AW$40))))^2)</f>
        <v/>
      </c>
      <c r="AC889" s="5">
        <f>MEDIAN(-6,Z889+(C889-AA889)/MAX(AA889-AB889,0.000000001),6)</f>
        <v/>
      </c>
    </row>
    <row r="890">
      <c r="A890" t="n">
        <v>889</v>
      </c>
      <c r="B890">
        <f>'01_Data'!A890</f>
        <v/>
      </c>
      <c r="C890">
        <f>SUM('01_Data'!$B890:$AW890)</f>
        <v/>
      </c>
      <c r="D890">
        <f>COUNT('01_Data'!$B890:$AW890)</f>
        <v/>
      </c>
      <c r="E890" s="5">
        <f>MEDIAN(-6,LN((C890+0.3)/(D890-C890+0.3)),6)</f>
        <v/>
      </c>
      <c r="F890" s="5">
        <f>SUMPRODUCT(('01_Data'!$B890:$AW890&lt;&gt;"")*(1/(1+EXP(-(E890-'03_Lap_b'!$B$5:$AW$5)))))</f>
        <v/>
      </c>
      <c r="G890" s="5">
        <f>SUMPRODUCT(('01_Data'!$B890:$AW890&lt;&gt;"")*(1/(1+EXP(-(E890-'03_Lap_b'!$B$5:$AW$5))))^2)</f>
        <v/>
      </c>
      <c r="H890" s="5">
        <f>MEDIAN(-6,E890+(C890-F890)/MAX(F890-G890,0.000000001),6)</f>
        <v/>
      </c>
      <c r="I890" s="5">
        <f>SUMPRODUCT(('01_Data'!$B890:$AW890&lt;&gt;"")*(1/(1+EXP(-(H890-'03_Lap_b'!$B$10:$AW$10)))))</f>
        <v/>
      </c>
      <c r="J890" s="5">
        <f>SUMPRODUCT(('01_Data'!$B890:$AW890&lt;&gt;"")*(1/(1+EXP(-(H890-'03_Lap_b'!$B$10:$AW$10))))^2)</f>
        <v/>
      </c>
      <c r="K890" s="5">
        <f>MEDIAN(-6,H890+(C890-I890)/MAX(I890-J890,0.000000001),6)</f>
        <v/>
      </c>
      <c r="L890" s="5">
        <f>SUMPRODUCT(('01_Data'!$B890:$AW890&lt;&gt;"")*(1/(1+EXP(-(K890-'03_Lap_b'!$B$15:$AW$15)))))</f>
        <v/>
      </c>
      <c r="M890" s="5">
        <f>SUMPRODUCT(('01_Data'!$B890:$AW890&lt;&gt;"")*(1/(1+EXP(-(K890-'03_Lap_b'!$B$15:$AW$15))))^2)</f>
        <v/>
      </c>
      <c r="N890" s="5">
        <f>MEDIAN(-6,K890+(C890-L890)/MAX(L890-M890,0.000000001),6)</f>
        <v/>
      </c>
      <c r="O890" s="5">
        <f>SUMPRODUCT(('01_Data'!$B890:$AW890&lt;&gt;"")*(1/(1+EXP(-(N890-'03_Lap_b'!$B$20:$AW$20)))))</f>
        <v/>
      </c>
      <c r="P890" s="5">
        <f>SUMPRODUCT(('01_Data'!$B890:$AW890&lt;&gt;"")*(1/(1+EXP(-(N890-'03_Lap_b'!$B$20:$AW$20))))^2)</f>
        <v/>
      </c>
      <c r="Q890" s="5">
        <f>MEDIAN(-6,N890+(C890-O890)/MAX(O890-P890,0.000000001),6)</f>
        <v/>
      </c>
      <c r="R890" s="5">
        <f>SUMPRODUCT(('01_Data'!$B890:$AW890&lt;&gt;"")*(1/(1+EXP(-(Q890-'03_Lap_b'!$B$25:$AW$25)))))</f>
        <v/>
      </c>
      <c r="S890" s="5">
        <f>SUMPRODUCT(('01_Data'!$B890:$AW890&lt;&gt;"")*(1/(1+EXP(-(Q890-'03_Lap_b'!$B$25:$AW$25))))^2)</f>
        <v/>
      </c>
      <c r="T890" s="5">
        <f>MEDIAN(-6,Q890+(C890-R890)/MAX(R890-S890,0.000000001),6)</f>
        <v/>
      </c>
      <c r="U890" s="5">
        <f>SUMPRODUCT(('01_Data'!$B890:$AW890&lt;&gt;"")*(1/(1+EXP(-(T890-'03_Lap_b'!$B$30:$AW$30)))))</f>
        <v/>
      </c>
      <c r="V890" s="5">
        <f>SUMPRODUCT(('01_Data'!$B890:$AW890&lt;&gt;"")*(1/(1+EXP(-(T890-'03_Lap_b'!$B$30:$AW$30))))^2)</f>
        <v/>
      </c>
      <c r="W890" s="5">
        <f>MEDIAN(-6,T890+(C890-U890)/MAX(U890-V890,0.000000001),6)</f>
        <v/>
      </c>
      <c r="X890" s="5">
        <f>SUMPRODUCT(('01_Data'!$B890:$AW890&lt;&gt;"")*(1/(1+EXP(-(W890-'03_Lap_b'!$B$35:$AW$35)))))</f>
        <v/>
      </c>
      <c r="Y890" s="5">
        <f>SUMPRODUCT(('01_Data'!$B890:$AW890&lt;&gt;"")*(1/(1+EXP(-(W890-'03_Lap_b'!$B$35:$AW$35))))^2)</f>
        <v/>
      </c>
      <c r="Z890" s="5">
        <f>MEDIAN(-6,W890+(C890-X890)/MAX(X890-Y890,0.000000001),6)</f>
        <v/>
      </c>
      <c r="AA890" s="5">
        <f>SUMPRODUCT(('01_Data'!$B890:$AW890&lt;&gt;"")*(1/(1+EXP(-(Z890-'03_Lap_b'!$B$40:$AW$40)))))</f>
        <v/>
      </c>
      <c r="AB890" s="5">
        <f>SUMPRODUCT(('01_Data'!$B890:$AW890&lt;&gt;"")*(1/(1+EXP(-(Z890-'03_Lap_b'!$B$40:$AW$40))))^2)</f>
        <v/>
      </c>
      <c r="AC890" s="5">
        <f>MEDIAN(-6,Z890+(C890-AA890)/MAX(AA890-AB890,0.000000001),6)</f>
        <v/>
      </c>
    </row>
    <row r="891">
      <c r="A891" t="n">
        <v>890</v>
      </c>
      <c r="B891">
        <f>'01_Data'!A891</f>
        <v/>
      </c>
      <c r="C891">
        <f>SUM('01_Data'!$B891:$AW891)</f>
        <v/>
      </c>
      <c r="D891">
        <f>COUNT('01_Data'!$B891:$AW891)</f>
        <v/>
      </c>
      <c r="E891" s="5">
        <f>MEDIAN(-6,LN((C891+0.3)/(D891-C891+0.3)),6)</f>
        <v/>
      </c>
      <c r="F891" s="5">
        <f>SUMPRODUCT(('01_Data'!$B891:$AW891&lt;&gt;"")*(1/(1+EXP(-(E891-'03_Lap_b'!$B$5:$AW$5)))))</f>
        <v/>
      </c>
      <c r="G891" s="5">
        <f>SUMPRODUCT(('01_Data'!$B891:$AW891&lt;&gt;"")*(1/(1+EXP(-(E891-'03_Lap_b'!$B$5:$AW$5))))^2)</f>
        <v/>
      </c>
      <c r="H891" s="5">
        <f>MEDIAN(-6,E891+(C891-F891)/MAX(F891-G891,0.000000001),6)</f>
        <v/>
      </c>
      <c r="I891" s="5">
        <f>SUMPRODUCT(('01_Data'!$B891:$AW891&lt;&gt;"")*(1/(1+EXP(-(H891-'03_Lap_b'!$B$10:$AW$10)))))</f>
        <v/>
      </c>
      <c r="J891" s="5">
        <f>SUMPRODUCT(('01_Data'!$B891:$AW891&lt;&gt;"")*(1/(1+EXP(-(H891-'03_Lap_b'!$B$10:$AW$10))))^2)</f>
        <v/>
      </c>
      <c r="K891" s="5">
        <f>MEDIAN(-6,H891+(C891-I891)/MAX(I891-J891,0.000000001),6)</f>
        <v/>
      </c>
      <c r="L891" s="5">
        <f>SUMPRODUCT(('01_Data'!$B891:$AW891&lt;&gt;"")*(1/(1+EXP(-(K891-'03_Lap_b'!$B$15:$AW$15)))))</f>
        <v/>
      </c>
      <c r="M891" s="5">
        <f>SUMPRODUCT(('01_Data'!$B891:$AW891&lt;&gt;"")*(1/(1+EXP(-(K891-'03_Lap_b'!$B$15:$AW$15))))^2)</f>
        <v/>
      </c>
      <c r="N891" s="5">
        <f>MEDIAN(-6,K891+(C891-L891)/MAX(L891-M891,0.000000001),6)</f>
        <v/>
      </c>
      <c r="O891" s="5">
        <f>SUMPRODUCT(('01_Data'!$B891:$AW891&lt;&gt;"")*(1/(1+EXP(-(N891-'03_Lap_b'!$B$20:$AW$20)))))</f>
        <v/>
      </c>
      <c r="P891" s="5">
        <f>SUMPRODUCT(('01_Data'!$B891:$AW891&lt;&gt;"")*(1/(1+EXP(-(N891-'03_Lap_b'!$B$20:$AW$20))))^2)</f>
        <v/>
      </c>
      <c r="Q891" s="5">
        <f>MEDIAN(-6,N891+(C891-O891)/MAX(O891-P891,0.000000001),6)</f>
        <v/>
      </c>
      <c r="R891" s="5">
        <f>SUMPRODUCT(('01_Data'!$B891:$AW891&lt;&gt;"")*(1/(1+EXP(-(Q891-'03_Lap_b'!$B$25:$AW$25)))))</f>
        <v/>
      </c>
      <c r="S891" s="5">
        <f>SUMPRODUCT(('01_Data'!$B891:$AW891&lt;&gt;"")*(1/(1+EXP(-(Q891-'03_Lap_b'!$B$25:$AW$25))))^2)</f>
        <v/>
      </c>
      <c r="T891" s="5">
        <f>MEDIAN(-6,Q891+(C891-R891)/MAX(R891-S891,0.000000001),6)</f>
        <v/>
      </c>
      <c r="U891" s="5">
        <f>SUMPRODUCT(('01_Data'!$B891:$AW891&lt;&gt;"")*(1/(1+EXP(-(T891-'03_Lap_b'!$B$30:$AW$30)))))</f>
        <v/>
      </c>
      <c r="V891" s="5">
        <f>SUMPRODUCT(('01_Data'!$B891:$AW891&lt;&gt;"")*(1/(1+EXP(-(T891-'03_Lap_b'!$B$30:$AW$30))))^2)</f>
        <v/>
      </c>
      <c r="W891" s="5">
        <f>MEDIAN(-6,T891+(C891-U891)/MAX(U891-V891,0.000000001),6)</f>
        <v/>
      </c>
      <c r="X891" s="5">
        <f>SUMPRODUCT(('01_Data'!$B891:$AW891&lt;&gt;"")*(1/(1+EXP(-(W891-'03_Lap_b'!$B$35:$AW$35)))))</f>
        <v/>
      </c>
      <c r="Y891" s="5">
        <f>SUMPRODUCT(('01_Data'!$B891:$AW891&lt;&gt;"")*(1/(1+EXP(-(W891-'03_Lap_b'!$B$35:$AW$35))))^2)</f>
        <v/>
      </c>
      <c r="Z891" s="5">
        <f>MEDIAN(-6,W891+(C891-X891)/MAX(X891-Y891,0.000000001),6)</f>
        <v/>
      </c>
      <c r="AA891" s="5">
        <f>SUMPRODUCT(('01_Data'!$B891:$AW891&lt;&gt;"")*(1/(1+EXP(-(Z891-'03_Lap_b'!$B$40:$AW$40)))))</f>
        <v/>
      </c>
      <c r="AB891" s="5">
        <f>SUMPRODUCT(('01_Data'!$B891:$AW891&lt;&gt;"")*(1/(1+EXP(-(Z891-'03_Lap_b'!$B$40:$AW$40))))^2)</f>
        <v/>
      </c>
      <c r="AC891" s="5">
        <f>MEDIAN(-6,Z891+(C891-AA891)/MAX(AA891-AB891,0.000000001),6)</f>
        <v/>
      </c>
    </row>
    <row r="892">
      <c r="A892" t="n">
        <v>891</v>
      </c>
      <c r="B892">
        <f>'01_Data'!A892</f>
        <v/>
      </c>
      <c r="C892">
        <f>SUM('01_Data'!$B892:$AW892)</f>
        <v/>
      </c>
      <c r="D892">
        <f>COUNT('01_Data'!$B892:$AW892)</f>
        <v/>
      </c>
      <c r="E892" s="5">
        <f>MEDIAN(-6,LN((C892+0.3)/(D892-C892+0.3)),6)</f>
        <v/>
      </c>
      <c r="F892" s="5">
        <f>SUMPRODUCT(('01_Data'!$B892:$AW892&lt;&gt;"")*(1/(1+EXP(-(E892-'03_Lap_b'!$B$5:$AW$5)))))</f>
        <v/>
      </c>
      <c r="G892" s="5">
        <f>SUMPRODUCT(('01_Data'!$B892:$AW892&lt;&gt;"")*(1/(1+EXP(-(E892-'03_Lap_b'!$B$5:$AW$5))))^2)</f>
        <v/>
      </c>
      <c r="H892" s="5">
        <f>MEDIAN(-6,E892+(C892-F892)/MAX(F892-G892,0.000000001),6)</f>
        <v/>
      </c>
      <c r="I892" s="5">
        <f>SUMPRODUCT(('01_Data'!$B892:$AW892&lt;&gt;"")*(1/(1+EXP(-(H892-'03_Lap_b'!$B$10:$AW$10)))))</f>
        <v/>
      </c>
      <c r="J892" s="5">
        <f>SUMPRODUCT(('01_Data'!$B892:$AW892&lt;&gt;"")*(1/(1+EXP(-(H892-'03_Lap_b'!$B$10:$AW$10))))^2)</f>
        <v/>
      </c>
      <c r="K892" s="5">
        <f>MEDIAN(-6,H892+(C892-I892)/MAX(I892-J892,0.000000001),6)</f>
        <v/>
      </c>
      <c r="L892" s="5">
        <f>SUMPRODUCT(('01_Data'!$B892:$AW892&lt;&gt;"")*(1/(1+EXP(-(K892-'03_Lap_b'!$B$15:$AW$15)))))</f>
        <v/>
      </c>
      <c r="M892" s="5">
        <f>SUMPRODUCT(('01_Data'!$B892:$AW892&lt;&gt;"")*(1/(1+EXP(-(K892-'03_Lap_b'!$B$15:$AW$15))))^2)</f>
        <v/>
      </c>
      <c r="N892" s="5">
        <f>MEDIAN(-6,K892+(C892-L892)/MAX(L892-M892,0.000000001),6)</f>
        <v/>
      </c>
      <c r="O892" s="5">
        <f>SUMPRODUCT(('01_Data'!$B892:$AW892&lt;&gt;"")*(1/(1+EXP(-(N892-'03_Lap_b'!$B$20:$AW$20)))))</f>
        <v/>
      </c>
      <c r="P892" s="5">
        <f>SUMPRODUCT(('01_Data'!$B892:$AW892&lt;&gt;"")*(1/(1+EXP(-(N892-'03_Lap_b'!$B$20:$AW$20))))^2)</f>
        <v/>
      </c>
      <c r="Q892" s="5">
        <f>MEDIAN(-6,N892+(C892-O892)/MAX(O892-P892,0.000000001),6)</f>
        <v/>
      </c>
      <c r="R892" s="5">
        <f>SUMPRODUCT(('01_Data'!$B892:$AW892&lt;&gt;"")*(1/(1+EXP(-(Q892-'03_Lap_b'!$B$25:$AW$25)))))</f>
        <v/>
      </c>
      <c r="S892" s="5">
        <f>SUMPRODUCT(('01_Data'!$B892:$AW892&lt;&gt;"")*(1/(1+EXP(-(Q892-'03_Lap_b'!$B$25:$AW$25))))^2)</f>
        <v/>
      </c>
      <c r="T892" s="5">
        <f>MEDIAN(-6,Q892+(C892-R892)/MAX(R892-S892,0.000000001),6)</f>
        <v/>
      </c>
      <c r="U892" s="5">
        <f>SUMPRODUCT(('01_Data'!$B892:$AW892&lt;&gt;"")*(1/(1+EXP(-(T892-'03_Lap_b'!$B$30:$AW$30)))))</f>
        <v/>
      </c>
      <c r="V892" s="5">
        <f>SUMPRODUCT(('01_Data'!$B892:$AW892&lt;&gt;"")*(1/(1+EXP(-(T892-'03_Lap_b'!$B$30:$AW$30))))^2)</f>
        <v/>
      </c>
      <c r="W892" s="5">
        <f>MEDIAN(-6,T892+(C892-U892)/MAX(U892-V892,0.000000001),6)</f>
        <v/>
      </c>
      <c r="X892" s="5">
        <f>SUMPRODUCT(('01_Data'!$B892:$AW892&lt;&gt;"")*(1/(1+EXP(-(W892-'03_Lap_b'!$B$35:$AW$35)))))</f>
        <v/>
      </c>
      <c r="Y892" s="5">
        <f>SUMPRODUCT(('01_Data'!$B892:$AW892&lt;&gt;"")*(1/(1+EXP(-(W892-'03_Lap_b'!$B$35:$AW$35))))^2)</f>
        <v/>
      </c>
      <c r="Z892" s="5">
        <f>MEDIAN(-6,W892+(C892-X892)/MAX(X892-Y892,0.000000001),6)</f>
        <v/>
      </c>
      <c r="AA892" s="5">
        <f>SUMPRODUCT(('01_Data'!$B892:$AW892&lt;&gt;"")*(1/(1+EXP(-(Z892-'03_Lap_b'!$B$40:$AW$40)))))</f>
        <v/>
      </c>
      <c r="AB892" s="5">
        <f>SUMPRODUCT(('01_Data'!$B892:$AW892&lt;&gt;"")*(1/(1+EXP(-(Z892-'03_Lap_b'!$B$40:$AW$40))))^2)</f>
        <v/>
      </c>
      <c r="AC892" s="5">
        <f>MEDIAN(-6,Z892+(C892-AA892)/MAX(AA892-AB892,0.000000001),6)</f>
        <v/>
      </c>
    </row>
    <row r="893">
      <c r="A893" t="n">
        <v>892</v>
      </c>
      <c r="B893">
        <f>'01_Data'!A893</f>
        <v/>
      </c>
      <c r="C893">
        <f>SUM('01_Data'!$B893:$AW893)</f>
        <v/>
      </c>
      <c r="D893">
        <f>COUNT('01_Data'!$B893:$AW893)</f>
        <v/>
      </c>
      <c r="E893" s="5">
        <f>MEDIAN(-6,LN((C893+0.3)/(D893-C893+0.3)),6)</f>
        <v/>
      </c>
      <c r="F893" s="5">
        <f>SUMPRODUCT(('01_Data'!$B893:$AW893&lt;&gt;"")*(1/(1+EXP(-(E893-'03_Lap_b'!$B$5:$AW$5)))))</f>
        <v/>
      </c>
      <c r="G893" s="5">
        <f>SUMPRODUCT(('01_Data'!$B893:$AW893&lt;&gt;"")*(1/(1+EXP(-(E893-'03_Lap_b'!$B$5:$AW$5))))^2)</f>
        <v/>
      </c>
      <c r="H893" s="5">
        <f>MEDIAN(-6,E893+(C893-F893)/MAX(F893-G893,0.000000001),6)</f>
        <v/>
      </c>
      <c r="I893" s="5">
        <f>SUMPRODUCT(('01_Data'!$B893:$AW893&lt;&gt;"")*(1/(1+EXP(-(H893-'03_Lap_b'!$B$10:$AW$10)))))</f>
        <v/>
      </c>
      <c r="J893" s="5">
        <f>SUMPRODUCT(('01_Data'!$B893:$AW893&lt;&gt;"")*(1/(1+EXP(-(H893-'03_Lap_b'!$B$10:$AW$10))))^2)</f>
        <v/>
      </c>
      <c r="K893" s="5">
        <f>MEDIAN(-6,H893+(C893-I893)/MAX(I893-J893,0.000000001),6)</f>
        <v/>
      </c>
      <c r="L893" s="5">
        <f>SUMPRODUCT(('01_Data'!$B893:$AW893&lt;&gt;"")*(1/(1+EXP(-(K893-'03_Lap_b'!$B$15:$AW$15)))))</f>
        <v/>
      </c>
      <c r="M893" s="5">
        <f>SUMPRODUCT(('01_Data'!$B893:$AW893&lt;&gt;"")*(1/(1+EXP(-(K893-'03_Lap_b'!$B$15:$AW$15))))^2)</f>
        <v/>
      </c>
      <c r="N893" s="5">
        <f>MEDIAN(-6,K893+(C893-L893)/MAX(L893-M893,0.000000001),6)</f>
        <v/>
      </c>
      <c r="O893" s="5">
        <f>SUMPRODUCT(('01_Data'!$B893:$AW893&lt;&gt;"")*(1/(1+EXP(-(N893-'03_Lap_b'!$B$20:$AW$20)))))</f>
        <v/>
      </c>
      <c r="P893" s="5">
        <f>SUMPRODUCT(('01_Data'!$B893:$AW893&lt;&gt;"")*(1/(1+EXP(-(N893-'03_Lap_b'!$B$20:$AW$20))))^2)</f>
        <v/>
      </c>
      <c r="Q893" s="5">
        <f>MEDIAN(-6,N893+(C893-O893)/MAX(O893-P893,0.000000001),6)</f>
        <v/>
      </c>
      <c r="R893" s="5">
        <f>SUMPRODUCT(('01_Data'!$B893:$AW893&lt;&gt;"")*(1/(1+EXP(-(Q893-'03_Lap_b'!$B$25:$AW$25)))))</f>
        <v/>
      </c>
      <c r="S893" s="5">
        <f>SUMPRODUCT(('01_Data'!$B893:$AW893&lt;&gt;"")*(1/(1+EXP(-(Q893-'03_Lap_b'!$B$25:$AW$25))))^2)</f>
        <v/>
      </c>
      <c r="T893" s="5">
        <f>MEDIAN(-6,Q893+(C893-R893)/MAX(R893-S893,0.000000001),6)</f>
        <v/>
      </c>
      <c r="U893" s="5">
        <f>SUMPRODUCT(('01_Data'!$B893:$AW893&lt;&gt;"")*(1/(1+EXP(-(T893-'03_Lap_b'!$B$30:$AW$30)))))</f>
        <v/>
      </c>
      <c r="V893" s="5">
        <f>SUMPRODUCT(('01_Data'!$B893:$AW893&lt;&gt;"")*(1/(1+EXP(-(T893-'03_Lap_b'!$B$30:$AW$30))))^2)</f>
        <v/>
      </c>
      <c r="W893" s="5">
        <f>MEDIAN(-6,T893+(C893-U893)/MAX(U893-V893,0.000000001),6)</f>
        <v/>
      </c>
      <c r="X893" s="5">
        <f>SUMPRODUCT(('01_Data'!$B893:$AW893&lt;&gt;"")*(1/(1+EXP(-(W893-'03_Lap_b'!$B$35:$AW$35)))))</f>
        <v/>
      </c>
      <c r="Y893" s="5">
        <f>SUMPRODUCT(('01_Data'!$B893:$AW893&lt;&gt;"")*(1/(1+EXP(-(W893-'03_Lap_b'!$B$35:$AW$35))))^2)</f>
        <v/>
      </c>
      <c r="Z893" s="5">
        <f>MEDIAN(-6,W893+(C893-X893)/MAX(X893-Y893,0.000000001),6)</f>
        <v/>
      </c>
      <c r="AA893" s="5">
        <f>SUMPRODUCT(('01_Data'!$B893:$AW893&lt;&gt;"")*(1/(1+EXP(-(Z893-'03_Lap_b'!$B$40:$AW$40)))))</f>
        <v/>
      </c>
      <c r="AB893" s="5">
        <f>SUMPRODUCT(('01_Data'!$B893:$AW893&lt;&gt;"")*(1/(1+EXP(-(Z893-'03_Lap_b'!$B$40:$AW$40))))^2)</f>
        <v/>
      </c>
      <c r="AC893" s="5">
        <f>MEDIAN(-6,Z893+(C893-AA893)/MAX(AA893-AB893,0.000000001),6)</f>
        <v/>
      </c>
    </row>
    <row r="894">
      <c r="A894" t="n">
        <v>893</v>
      </c>
      <c r="B894">
        <f>'01_Data'!A894</f>
        <v/>
      </c>
      <c r="C894">
        <f>SUM('01_Data'!$B894:$AW894)</f>
        <v/>
      </c>
      <c r="D894">
        <f>COUNT('01_Data'!$B894:$AW894)</f>
        <v/>
      </c>
      <c r="E894" s="5">
        <f>MEDIAN(-6,LN((C894+0.3)/(D894-C894+0.3)),6)</f>
        <v/>
      </c>
      <c r="F894" s="5">
        <f>SUMPRODUCT(('01_Data'!$B894:$AW894&lt;&gt;"")*(1/(1+EXP(-(E894-'03_Lap_b'!$B$5:$AW$5)))))</f>
        <v/>
      </c>
      <c r="G894" s="5">
        <f>SUMPRODUCT(('01_Data'!$B894:$AW894&lt;&gt;"")*(1/(1+EXP(-(E894-'03_Lap_b'!$B$5:$AW$5))))^2)</f>
        <v/>
      </c>
      <c r="H894" s="5">
        <f>MEDIAN(-6,E894+(C894-F894)/MAX(F894-G894,0.000000001),6)</f>
        <v/>
      </c>
      <c r="I894" s="5">
        <f>SUMPRODUCT(('01_Data'!$B894:$AW894&lt;&gt;"")*(1/(1+EXP(-(H894-'03_Lap_b'!$B$10:$AW$10)))))</f>
        <v/>
      </c>
      <c r="J894" s="5">
        <f>SUMPRODUCT(('01_Data'!$B894:$AW894&lt;&gt;"")*(1/(1+EXP(-(H894-'03_Lap_b'!$B$10:$AW$10))))^2)</f>
        <v/>
      </c>
      <c r="K894" s="5">
        <f>MEDIAN(-6,H894+(C894-I894)/MAX(I894-J894,0.000000001),6)</f>
        <v/>
      </c>
      <c r="L894" s="5">
        <f>SUMPRODUCT(('01_Data'!$B894:$AW894&lt;&gt;"")*(1/(1+EXP(-(K894-'03_Lap_b'!$B$15:$AW$15)))))</f>
        <v/>
      </c>
      <c r="M894" s="5">
        <f>SUMPRODUCT(('01_Data'!$B894:$AW894&lt;&gt;"")*(1/(1+EXP(-(K894-'03_Lap_b'!$B$15:$AW$15))))^2)</f>
        <v/>
      </c>
      <c r="N894" s="5">
        <f>MEDIAN(-6,K894+(C894-L894)/MAX(L894-M894,0.000000001),6)</f>
        <v/>
      </c>
      <c r="O894" s="5">
        <f>SUMPRODUCT(('01_Data'!$B894:$AW894&lt;&gt;"")*(1/(1+EXP(-(N894-'03_Lap_b'!$B$20:$AW$20)))))</f>
        <v/>
      </c>
      <c r="P894" s="5">
        <f>SUMPRODUCT(('01_Data'!$B894:$AW894&lt;&gt;"")*(1/(1+EXP(-(N894-'03_Lap_b'!$B$20:$AW$20))))^2)</f>
        <v/>
      </c>
      <c r="Q894" s="5">
        <f>MEDIAN(-6,N894+(C894-O894)/MAX(O894-P894,0.000000001),6)</f>
        <v/>
      </c>
      <c r="R894" s="5">
        <f>SUMPRODUCT(('01_Data'!$B894:$AW894&lt;&gt;"")*(1/(1+EXP(-(Q894-'03_Lap_b'!$B$25:$AW$25)))))</f>
        <v/>
      </c>
      <c r="S894" s="5">
        <f>SUMPRODUCT(('01_Data'!$B894:$AW894&lt;&gt;"")*(1/(1+EXP(-(Q894-'03_Lap_b'!$B$25:$AW$25))))^2)</f>
        <v/>
      </c>
      <c r="T894" s="5">
        <f>MEDIAN(-6,Q894+(C894-R894)/MAX(R894-S894,0.000000001),6)</f>
        <v/>
      </c>
      <c r="U894" s="5">
        <f>SUMPRODUCT(('01_Data'!$B894:$AW894&lt;&gt;"")*(1/(1+EXP(-(T894-'03_Lap_b'!$B$30:$AW$30)))))</f>
        <v/>
      </c>
      <c r="V894" s="5">
        <f>SUMPRODUCT(('01_Data'!$B894:$AW894&lt;&gt;"")*(1/(1+EXP(-(T894-'03_Lap_b'!$B$30:$AW$30))))^2)</f>
        <v/>
      </c>
      <c r="W894" s="5">
        <f>MEDIAN(-6,T894+(C894-U894)/MAX(U894-V894,0.000000001),6)</f>
        <v/>
      </c>
      <c r="X894" s="5">
        <f>SUMPRODUCT(('01_Data'!$B894:$AW894&lt;&gt;"")*(1/(1+EXP(-(W894-'03_Lap_b'!$B$35:$AW$35)))))</f>
        <v/>
      </c>
      <c r="Y894" s="5">
        <f>SUMPRODUCT(('01_Data'!$B894:$AW894&lt;&gt;"")*(1/(1+EXP(-(W894-'03_Lap_b'!$B$35:$AW$35))))^2)</f>
        <v/>
      </c>
      <c r="Z894" s="5">
        <f>MEDIAN(-6,W894+(C894-X894)/MAX(X894-Y894,0.000000001),6)</f>
        <v/>
      </c>
      <c r="AA894" s="5">
        <f>SUMPRODUCT(('01_Data'!$B894:$AW894&lt;&gt;"")*(1/(1+EXP(-(Z894-'03_Lap_b'!$B$40:$AW$40)))))</f>
        <v/>
      </c>
      <c r="AB894" s="5">
        <f>SUMPRODUCT(('01_Data'!$B894:$AW894&lt;&gt;"")*(1/(1+EXP(-(Z894-'03_Lap_b'!$B$40:$AW$40))))^2)</f>
        <v/>
      </c>
      <c r="AC894" s="5">
        <f>MEDIAN(-6,Z894+(C894-AA894)/MAX(AA894-AB894,0.000000001),6)</f>
        <v/>
      </c>
    </row>
    <row r="895">
      <c r="A895" t="n">
        <v>894</v>
      </c>
      <c r="B895">
        <f>'01_Data'!A895</f>
        <v/>
      </c>
      <c r="C895">
        <f>SUM('01_Data'!$B895:$AW895)</f>
        <v/>
      </c>
      <c r="D895">
        <f>COUNT('01_Data'!$B895:$AW895)</f>
        <v/>
      </c>
      <c r="E895" s="5">
        <f>MEDIAN(-6,LN((C895+0.3)/(D895-C895+0.3)),6)</f>
        <v/>
      </c>
      <c r="F895" s="5">
        <f>SUMPRODUCT(('01_Data'!$B895:$AW895&lt;&gt;"")*(1/(1+EXP(-(E895-'03_Lap_b'!$B$5:$AW$5)))))</f>
        <v/>
      </c>
      <c r="G895" s="5">
        <f>SUMPRODUCT(('01_Data'!$B895:$AW895&lt;&gt;"")*(1/(1+EXP(-(E895-'03_Lap_b'!$B$5:$AW$5))))^2)</f>
        <v/>
      </c>
      <c r="H895" s="5">
        <f>MEDIAN(-6,E895+(C895-F895)/MAX(F895-G895,0.000000001),6)</f>
        <v/>
      </c>
      <c r="I895" s="5">
        <f>SUMPRODUCT(('01_Data'!$B895:$AW895&lt;&gt;"")*(1/(1+EXP(-(H895-'03_Lap_b'!$B$10:$AW$10)))))</f>
        <v/>
      </c>
      <c r="J895" s="5">
        <f>SUMPRODUCT(('01_Data'!$B895:$AW895&lt;&gt;"")*(1/(1+EXP(-(H895-'03_Lap_b'!$B$10:$AW$10))))^2)</f>
        <v/>
      </c>
      <c r="K895" s="5">
        <f>MEDIAN(-6,H895+(C895-I895)/MAX(I895-J895,0.000000001),6)</f>
        <v/>
      </c>
      <c r="L895" s="5">
        <f>SUMPRODUCT(('01_Data'!$B895:$AW895&lt;&gt;"")*(1/(1+EXP(-(K895-'03_Lap_b'!$B$15:$AW$15)))))</f>
        <v/>
      </c>
      <c r="M895" s="5">
        <f>SUMPRODUCT(('01_Data'!$B895:$AW895&lt;&gt;"")*(1/(1+EXP(-(K895-'03_Lap_b'!$B$15:$AW$15))))^2)</f>
        <v/>
      </c>
      <c r="N895" s="5">
        <f>MEDIAN(-6,K895+(C895-L895)/MAX(L895-M895,0.000000001),6)</f>
        <v/>
      </c>
      <c r="O895" s="5">
        <f>SUMPRODUCT(('01_Data'!$B895:$AW895&lt;&gt;"")*(1/(1+EXP(-(N895-'03_Lap_b'!$B$20:$AW$20)))))</f>
        <v/>
      </c>
      <c r="P895" s="5">
        <f>SUMPRODUCT(('01_Data'!$B895:$AW895&lt;&gt;"")*(1/(1+EXP(-(N895-'03_Lap_b'!$B$20:$AW$20))))^2)</f>
        <v/>
      </c>
      <c r="Q895" s="5">
        <f>MEDIAN(-6,N895+(C895-O895)/MAX(O895-P895,0.000000001),6)</f>
        <v/>
      </c>
      <c r="R895" s="5">
        <f>SUMPRODUCT(('01_Data'!$B895:$AW895&lt;&gt;"")*(1/(1+EXP(-(Q895-'03_Lap_b'!$B$25:$AW$25)))))</f>
        <v/>
      </c>
      <c r="S895" s="5">
        <f>SUMPRODUCT(('01_Data'!$B895:$AW895&lt;&gt;"")*(1/(1+EXP(-(Q895-'03_Lap_b'!$B$25:$AW$25))))^2)</f>
        <v/>
      </c>
      <c r="T895" s="5">
        <f>MEDIAN(-6,Q895+(C895-R895)/MAX(R895-S895,0.000000001),6)</f>
        <v/>
      </c>
      <c r="U895" s="5">
        <f>SUMPRODUCT(('01_Data'!$B895:$AW895&lt;&gt;"")*(1/(1+EXP(-(T895-'03_Lap_b'!$B$30:$AW$30)))))</f>
        <v/>
      </c>
      <c r="V895" s="5">
        <f>SUMPRODUCT(('01_Data'!$B895:$AW895&lt;&gt;"")*(1/(1+EXP(-(T895-'03_Lap_b'!$B$30:$AW$30))))^2)</f>
        <v/>
      </c>
      <c r="W895" s="5">
        <f>MEDIAN(-6,T895+(C895-U895)/MAX(U895-V895,0.000000001),6)</f>
        <v/>
      </c>
      <c r="X895" s="5">
        <f>SUMPRODUCT(('01_Data'!$B895:$AW895&lt;&gt;"")*(1/(1+EXP(-(W895-'03_Lap_b'!$B$35:$AW$35)))))</f>
        <v/>
      </c>
      <c r="Y895" s="5">
        <f>SUMPRODUCT(('01_Data'!$B895:$AW895&lt;&gt;"")*(1/(1+EXP(-(W895-'03_Lap_b'!$B$35:$AW$35))))^2)</f>
        <v/>
      </c>
      <c r="Z895" s="5">
        <f>MEDIAN(-6,W895+(C895-X895)/MAX(X895-Y895,0.000000001),6)</f>
        <v/>
      </c>
      <c r="AA895" s="5">
        <f>SUMPRODUCT(('01_Data'!$B895:$AW895&lt;&gt;"")*(1/(1+EXP(-(Z895-'03_Lap_b'!$B$40:$AW$40)))))</f>
        <v/>
      </c>
      <c r="AB895" s="5">
        <f>SUMPRODUCT(('01_Data'!$B895:$AW895&lt;&gt;"")*(1/(1+EXP(-(Z895-'03_Lap_b'!$B$40:$AW$40))))^2)</f>
        <v/>
      </c>
      <c r="AC895" s="5">
        <f>MEDIAN(-6,Z895+(C895-AA895)/MAX(AA895-AB895,0.000000001),6)</f>
        <v/>
      </c>
    </row>
    <row r="896">
      <c r="A896" t="n">
        <v>895</v>
      </c>
      <c r="B896">
        <f>'01_Data'!A896</f>
        <v/>
      </c>
      <c r="C896">
        <f>SUM('01_Data'!$B896:$AW896)</f>
        <v/>
      </c>
      <c r="D896">
        <f>COUNT('01_Data'!$B896:$AW896)</f>
        <v/>
      </c>
      <c r="E896" s="5">
        <f>MEDIAN(-6,LN((C896+0.3)/(D896-C896+0.3)),6)</f>
        <v/>
      </c>
      <c r="F896" s="5">
        <f>SUMPRODUCT(('01_Data'!$B896:$AW896&lt;&gt;"")*(1/(1+EXP(-(E896-'03_Lap_b'!$B$5:$AW$5)))))</f>
        <v/>
      </c>
      <c r="G896" s="5">
        <f>SUMPRODUCT(('01_Data'!$B896:$AW896&lt;&gt;"")*(1/(1+EXP(-(E896-'03_Lap_b'!$B$5:$AW$5))))^2)</f>
        <v/>
      </c>
      <c r="H896" s="5">
        <f>MEDIAN(-6,E896+(C896-F896)/MAX(F896-G896,0.000000001),6)</f>
        <v/>
      </c>
      <c r="I896" s="5">
        <f>SUMPRODUCT(('01_Data'!$B896:$AW896&lt;&gt;"")*(1/(1+EXP(-(H896-'03_Lap_b'!$B$10:$AW$10)))))</f>
        <v/>
      </c>
      <c r="J896" s="5">
        <f>SUMPRODUCT(('01_Data'!$B896:$AW896&lt;&gt;"")*(1/(1+EXP(-(H896-'03_Lap_b'!$B$10:$AW$10))))^2)</f>
        <v/>
      </c>
      <c r="K896" s="5">
        <f>MEDIAN(-6,H896+(C896-I896)/MAX(I896-J896,0.000000001),6)</f>
        <v/>
      </c>
      <c r="L896" s="5">
        <f>SUMPRODUCT(('01_Data'!$B896:$AW896&lt;&gt;"")*(1/(1+EXP(-(K896-'03_Lap_b'!$B$15:$AW$15)))))</f>
        <v/>
      </c>
      <c r="M896" s="5">
        <f>SUMPRODUCT(('01_Data'!$B896:$AW896&lt;&gt;"")*(1/(1+EXP(-(K896-'03_Lap_b'!$B$15:$AW$15))))^2)</f>
        <v/>
      </c>
      <c r="N896" s="5">
        <f>MEDIAN(-6,K896+(C896-L896)/MAX(L896-M896,0.000000001),6)</f>
        <v/>
      </c>
      <c r="O896" s="5">
        <f>SUMPRODUCT(('01_Data'!$B896:$AW896&lt;&gt;"")*(1/(1+EXP(-(N896-'03_Lap_b'!$B$20:$AW$20)))))</f>
        <v/>
      </c>
      <c r="P896" s="5">
        <f>SUMPRODUCT(('01_Data'!$B896:$AW896&lt;&gt;"")*(1/(1+EXP(-(N896-'03_Lap_b'!$B$20:$AW$20))))^2)</f>
        <v/>
      </c>
      <c r="Q896" s="5">
        <f>MEDIAN(-6,N896+(C896-O896)/MAX(O896-P896,0.000000001),6)</f>
        <v/>
      </c>
      <c r="R896" s="5">
        <f>SUMPRODUCT(('01_Data'!$B896:$AW896&lt;&gt;"")*(1/(1+EXP(-(Q896-'03_Lap_b'!$B$25:$AW$25)))))</f>
        <v/>
      </c>
      <c r="S896" s="5">
        <f>SUMPRODUCT(('01_Data'!$B896:$AW896&lt;&gt;"")*(1/(1+EXP(-(Q896-'03_Lap_b'!$B$25:$AW$25))))^2)</f>
        <v/>
      </c>
      <c r="T896" s="5">
        <f>MEDIAN(-6,Q896+(C896-R896)/MAX(R896-S896,0.000000001),6)</f>
        <v/>
      </c>
      <c r="U896" s="5">
        <f>SUMPRODUCT(('01_Data'!$B896:$AW896&lt;&gt;"")*(1/(1+EXP(-(T896-'03_Lap_b'!$B$30:$AW$30)))))</f>
        <v/>
      </c>
      <c r="V896" s="5">
        <f>SUMPRODUCT(('01_Data'!$B896:$AW896&lt;&gt;"")*(1/(1+EXP(-(T896-'03_Lap_b'!$B$30:$AW$30))))^2)</f>
        <v/>
      </c>
      <c r="W896" s="5">
        <f>MEDIAN(-6,T896+(C896-U896)/MAX(U896-V896,0.000000001),6)</f>
        <v/>
      </c>
      <c r="X896" s="5">
        <f>SUMPRODUCT(('01_Data'!$B896:$AW896&lt;&gt;"")*(1/(1+EXP(-(W896-'03_Lap_b'!$B$35:$AW$35)))))</f>
        <v/>
      </c>
      <c r="Y896" s="5">
        <f>SUMPRODUCT(('01_Data'!$B896:$AW896&lt;&gt;"")*(1/(1+EXP(-(W896-'03_Lap_b'!$B$35:$AW$35))))^2)</f>
        <v/>
      </c>
      <c r="Z896" s="5">
        <f>MEDIAN(-6,W896+(C896-X896)/MAX(X896-Y896,0.000000001),6)</f>
        <v/>
      </c>
      <c r="AA896" s="5">
        <f>SUMPRODUCT(('01_Data'!$B896:$AW896&lt;&gt;"")*(1/(1+EXP(-(Z896-'03_Lap_b'!$B$40:$AW$40)))))</f>
        <v/>
      </c>
      <c r="AB896" s="5">
        <f>SUMPRODUCT(('01_Data'!$B896:$AW896&lt;&gt;"")*(1/(1+EXP(-(Z896-'03_Lap_b'!$B$40:$AW$40))))^2)</f>
        <v/>
      </c>
      <c r="AC896" s="5">
        <f>MEDIAN(-6,Z896+(C896-AA896)/MAX(AA896-AB896,0.000000001),6)</f>
        <v/>
      </c>
    </row>
    <row r="897">
      <c r="A897" t="n">
        <v>896</v>
      </c>
      <c r="B897">
        <f>'01_Data'!A897</f>
        <v/>
      </c>
      <c r="C897">
        <f>SUM('01_Data'!$B897:$AW897)</f>
        <v/>
      </c>
      <c r="D897">
        <f>COUNT('01_Data'!$B897:$AW897)</f>
        <v/>
      </c>
      <c r="E897" s="5">
        <f>MEDIAN(-6,LN((C897+0.3)/(D897-C897+0.3)),6)</f>
        <v/>
      </c>
      <c r="F897" s="5">
        <f>SUMPRODUCT(('01_Data'!$B897:$AW897&lt;&gt;"")*(1/(1+EXP(-(E897-'03_Lap_b'!$B$5:$AW$5)))))</f>
        <v/>
      </c>
      <c r="G897" s="5">
        <f>SUMPRODUCT(('01_Data'!$B897:$AW897&lt;&gt;"")*(1/(1+EXP(-(E897-'03_Lap_b'!$B$5:$AW$5))))^2)</f>
        <v/>
      </c>
      <c r="H897" s="5">
        <f>MEDIAN(-6,E897+(C897-F897)/MAX(F897-G897,0.000000001),6)</f>
        <v/>
      </c>
      <c r="I897" s="5">
        <f>SUMPRODUCT(('01_Data'!$B897:$AW897&lt;&gt;"")*(1/(1+EXP(-(H897-'03_Lap_b'!$B$10:$AW$10)))))</f>
        <v/>
      </c>
      <c r="J897" s="5">
        <f>SUMPRODUCT(('01_Data'!$B897:$AW897&lt;&gt;"")*(1/(1+EXP(-(H897-'03_Lap_b'!$B$10:$AW$10))))^2)</f>
        <v/>
      </c>
      <c r="K897" s="5">
        <f>MEDIAN(-6,H897+(C897-I897)/MAX(I897-J897,0.000000001),6)</f>
        <v/>
      </c>
      <c r="L897" s="5">
        <f>SUMPRODUCT(('01_Data'!$B897:$AW897&lt;&gt;"")*(1/(1+EXP(-(K897-'03_Lap_b'!$B$15:$AW$15)))))</f>
        <v/>
      </c>
      <c r="M897" s="5">
        <f>SUMPRODUCT(('01_Data'!$B897:$AW897&lt;&gt;"")*(1/(1+EXP(-(K897-'03_Lap_b'!$B$15:$AW$15))))^2)</f>
        <v/>
      </c>
      <c r="N897" s="5">
        <f>MEDIAN(-6,K897+(C897-L897)/MAX(L897-M897,0.000000001),6)</f>
        <v/>
      </c>
      <c r="O897" s="5">
        <f>SUMPRODUCT(('01_Data'!$B897:$AW897&lt;&gt;"")*(1/(1+EXP(-(N897-'03_Lap_b'!$B$20:$AW$20)))))</f>
        <v/>
      </c>
      <c r="P897" s="5">
        <f>SUMPRODUCT(('01_Data'!$B897:$AW897&lt;&gt;"")*(1/(1+EXP(-(N897-'03_Lap_b'!$B$20:$AW$20))))^2)</f>
        <v/>
      </c>
      <c r="Q897" s="5">
        <f>MEDIAN(-6,N897+(C897-O897)/MAX(O897-P897,0.000000001),6)</f>
        <v/>
      </c>
      <c r="R897" s="5">
        <f>SUMPRODUCT(('01_Data'!$B897:$AW897&lt;&gt;"")*(1/(1+EXP(-(Q897-'03_Lap_b'!$B$25:$AW$25)))))</f>
        <v/>
      </c>
      <c r="S897" s="5">
        <f>SUMPRODUCT(('01_Data'!$B897:$AW897&lt;&gt;"")*(1/(1+EXP(-(Q897-'03_Lap_b'!$B$25:$AW$25))))^2)</f>
        <v/>
      </c>
      <c r="T897" s="5">
        <f>MEDIAN(-6,Q897+(C897-R897)/MAX(R897-S897,0.000000001),6)</f>
        <v/>
      </c>
      <c r="U897" s="5">
        <f>SUMPRODUCT(('01_Data'!$B897:$AW897&lt;&gt;"")*(1/(1+EXP(-(T897-'03_Lap_b'!$B$30:$AW$30)))))</f>
        <v/>
      </c>
      <c r="V897" s="5">
        <f>SUMPRODUCT(('01_Data'!$B897:$AW897&lt;&gt;"")*(1/(1+EXP(-(T897-'03_Lap_b'!$B$30:$AW$30))))^2)</f>
        <v/>
      </c>
      <c r="W897" s="5">
        <f>MEDIAN(-6,T897+(C897-U897)/MAX(U897-V897,0.000000001),6)</f>
        <v/>
      </c>
      <c r="X897" s="5">
        <f>SUMPRODUCT(('01_Data'!$B897:$AW897&lt;&gt;"")*(1/(1+EXP(-(W897-'03_Lap_b'!$B$35:$AW$35)))))</f>
        <v/>
      </c>
      <c r="Y897" s="5">
        <f>SUMPRODUCT(('01_Data'!$B897:$AW897&lt;&gt;"")*(1/(1+EXP(-(W897-'03_Lap_b'!$B$35:$AW$35))))^2)</f>
        <v/>
      </c>
      <c r="Z897" s="5">
        <f>MEDIAN(-6,W897+(C897-X897)/MAX(X897-Y897,0.000000001),6)</f>
        <v/>
      </c>
      <c r="AA897" s="5">
        <f>SUMPRODUCT(('01_Data'!$B897:$AW897&lt;&gt;"")*(1/(1+EXP(-(Z897-'03_Lap_b'!$B$40:$AW$40)))))</f>
        <v/>
      </c>
      <c r="AB897" s="5">
        <f>SUMPRODUCT(('01_Data'!$B897:$AW897&lt;&gt;"")*(1/(1+EXP(-(Z897-'03_Lap_b'!$B$40:$AW$40))))^2)</f>
        <v/>
      </c>
      <c r="AC897" s="5">
        <f>MEDIAN(-6,Z897+(C897-AA897)/MAX(AA897-AB897,0.000000001),6)</f>
        <v/>
      </c>
    </row>
    <row r="898">
      <c r="A898" t="n">
        <v>897</v>
      </c>
      <c r="B898">
        <f>'01_Data'!A898</f>
        <v/>
      </c>
      <c r="C898">
        <f>SUM('01_Data'!$B898:$AW898)</f>
        <v/>
      </c>
      <c r="D898">
        <f>COUNT('01_Data'!$B898:$AW898)</f>
        <v/>
      </c>
      <c r="E898" s="5">
        <f>MEDIAN(-6,LN((C898+0.3)/(D898-C898+0.3)),6)</f>
        <v/>
      </c>
      <c r="F898" s="5">
        <f>SUMPRODUCT(('01_Data'!$B898:$AW898&lt;&gt;"")*(1/(1+EXP(-(E898-'03_Lap_b'!$B$5:$AW$5)))))</f>
        <v/>
      </c>
      <c r="G898" s="5">
        <f>SUMPRODUCT(('01_Data'!$B898:$AW898&lt;&gt;"")*(1/(1+EXP(-(E898-'03_Lap_b'!$B$5:$AW$5))))^2)</f>
        <v/>
      </c>
      <c r="H898" s="5">
        <f>MEDIAN(-6,E898+(C898-F898)/MAX(F898-G898,0.000000001),6)</f>
        <v/>
      </c>
      <c r="I898" s="5">
        <f>SUMPRODUCT(('01_Data'!$B898:$AW898&lt;&gt;"")*(1/(1+EXP(-(H898-'03_Lap_b'!$B$10:$AW$10)))))</f>
        <v/>
      </c>
      <c r="J898" s="5">
        <f>SUMPRODUCT(('01_Data'!$B898:$AW898&lt;&gt;"")*(1/(1+EXP(-(H898-'03_Lap_b'!$B$10:$AW$10))))^2)</f>
        <v/>
      </c>
      <c r="K898" s="5">
        <f>MEDIAN(-6,H898+(C898-I898)/MAX(I898-J898,0.000000001),6)</f>
        <v/>
      </c>
      <c r="L898" s="5">
        <f>SUMPRODUCT(('01_Data'!$B898:$AW898&lt;&gt;"")*(1/(1+EXP(-(K898-'03_Lap_b'!$B$15:$AW$15)))))</f>
        <v/>
      </c>
      <c r="M898" s="5">
        <f>SUMPRODUCT(('01_Data'!$B898:$AW898&lt;&gt;"")*(1/(1+EXP(-(K898-'03_Lap_b'!$B$15:$AW$15))))^2)</f>
        <v/>
      </c>
      <c r="N898" s="5">
        <f>MEDIAN(-6,K898+(C898-L898)/MAX(L898-M898,0.000000001),6)</f>
        <v/>
      </c>
      <c r="O898" s="5">
        <f>SUMPRODUCT(('01_Data'!$B898:$AW898&lt;&gt;"")*(1/(1+EXP(-(N898-'03_Lap_b'!$B$20:$AW$20)))))</f>
        <v/>
      </c>
      <c r="P898" s="5">
        <f>SUMPRODUCT(('01_Data'!$B898:$AW898&lt;&gt;"")*(1/(1+EXP(-(N898-'03_Lap_b'!$B$20:$AW$20))))^2)</f>
        <v/>
      </c>
      <c r="Q898" s="5">
        <f>MEDIAN(-6,N898+(C898-O898)/MAX(O898-P898,0.000000001),6)</f>
        <v/>
      </c>
      <c r="R898" s="5">
        <f>SUMPRODUCT(('01_Data'!$B898:$AW898&lt;&gt;"")*(1/(1+EXP(-(Q898-'03_Lap_b'!$B$25:$AW$25)))))</f>
        <v/>
      </c>
      <c r="S898" s="5">
        <f>SUMPRODUCT(('01_Data'!$B898:$AW898&lt;&gt;"")*(1/(1+EXP(-(Q898-'03_Lap_b'!$B$25:$AW$25))))^2)</f>
        <v/>
      </c>
      <c r="T898" s="5">
        <f>MEDIAN(-6,Q898+(C898-R898)/MAX(R898-S898,0.000000001),6)</f>
        <v/>
      </c>
      <c r="U898" s="5">
        <f>SUMPRODUCT(('01_Data'!$B898:$AW898&lt;&gt;"")*(1/(1+EXP(-(T898-'03_Lap_b'!$B$30:$AW$30)))))</f>
        <v/>
      </c>
      <c r="V898" s="5">
        <f>SUMPRODUCT(('01_Data'!$B898:$AW898&lt;&gt;"")*(1/(1+EXP(-(T898-'03_Lap_b'!$B$30:$AW$30))))^2)</f>
        <v/>
      </c>
      <c r="W898" s="5">
        <f>MEDIAN(-6,T898+(C898-U898)/MAX(U898-V898,0.000000001),6)</f>
        <v/>
      </c>
      <c r="X898" s="5">
        <f>SUMPRODUCT(('01_Data'!$B898:$AW898&lt;&gt;"")*(1/(1+EXP(-(W898-'03_Lap_b'!$B$35:$AW$35)))))</f>
        <v/>
      </c>
      <c r="Y898" s="5">
        <f>SUMPRODUCT(('01_Data'!$B898:$AW898&lt;&gt;"")*(1/(1+EXP(-(W898-'03_Lap_b'!$B$35:$AW$35))))^2)</f>
        <v/>
      </c>
      <c r="Z898" s="5">
        <f>MEDIAN(-6,W898+(C898-X898)/MAX(X898-Y898,0.000000001),6)</f>
        <v/>
      </c>
      <c r="AA898" s="5">
        <f>SUMPRODUCT(('01_Data'!$B898:$AW898&lt;&gt;"")*(1/(1+EXP(-(Z898-'03_Lap_b'!$B$40:$AW$40)))))</f>
        <v/>
      </c>
      <c r="AB898" s="5">
        <f>SUMPRODUCT(('01_Data'!$B898:$AW898&lt;&gt;"")*(1/(1+EXP(-(Z898-'03_Lap_b'!$B$40:$AW$40))))^2)</f>
        <v/>
      </c>
      <c r="AC898" s="5">
        <f>MEDIAN(-6,Z898+(C898-AA898)/MAX(AA898-AB898,0.000000001),6)</f>
        <v/>
      </c>
    </row>
    <row r="899">
      <c r="A899" t="n">
        <v>898</v>
      </c>
      <c r="B899">
        <f>'01_Data'!A899</f>
        <v/>
      </c>
      <c r="C899">
        <f>SUM('01_Data'!$B899:$AW899)</f>
        <v/>
      </c>
      <c r="D899">
        <f>COUNT('01_Data'!$B899:$AW899)</f>
        <v/>
      </c>
      <c r="E899" s="5">
        <f>MEDIAN(-6,LN((C899+0.3)/(D899-C899+0.3)),6)</f>
        <v/>
      </c>
      <c r="F899" s="5">
        <f>SUMPRODUCT(('01_Data'!$B899:$AW899&lt;&gt;"")*(1/(1+EXP(-(E899-'03_Lap_b'!$B$5:$AW$5)))))</f>
        <v/>
      </c>
      <c r="G899" s="5">
        <f>SUMPRODUCT(('01_Data'!$B899:$AW899&lt;&gt;"")*(1/(1+EXP(-(E899-'03_Lap_b'!$B$5:$AW$5))))^2)</f>
        <v/>
      </c>
      <c r="H899" s="5">
        <f>MEDIAN(-6,E899+(C899-F899)/MAX(F899-G899,0.000000001),6)</f>
        <v/>
      </c>
      <c r="I899" s="5">
        <f>SUMPRODUCT(('01_Data'!$B899:$AW899&lt;&gt;"")*(1/(1+EXP(-(H899-'03_Lap_b'!$B$10:$AW$10)))))</f>
        <v/>
      </c>
      <c r="J899" s="5">
        <f>SUMPRODUCT(('01_Data'!$B899:$AW899&lt;&gt;"")*(1/(1+EXP(-(H899-'03_Lap_b'!$B$10:$AW$10))))^2)</f>
        <v/>
      </c>
      <c r="K899" s="5">
        <f>MEDIAN(-6,H899+(C899-I899)/MAX(I899-J899,0.000000001),6)</f>
        <v/>
      </c>
      <c r="L899" s="5">
        <f>SUMPRODUCT(('01_Data'!$B899:$AW899&lt;&gt;"")*(1/(1+EXP(-(K899-'03_Lap_b'!$B$15:$AW$15)))))</f>
        <v/>
      </c>
      <c r="M899" s="5">
        <f>SUMPRODUCT(('01_Data'!$B899:$AW899&lt;&gt;"")*(1/(1+EXP(-(K899-'03_Lap_b'!$B$15:$AW$15))))^2)</f>
        <v/>
      </c>
      <c r="N899" s="5">
        <f>MEDIAN(-6,K899+(C899-L899)/MAX(L899-M899,0.000000001),6)</f>
        <v/>
      </c>
      <c r="O899" s="5">
        <f>SUMPRODUCT(('01_Data'!$B899:$AW899&lt;&gt;"")*(1/(1+EXP(-(N899-'03_Lap_b'!$B$20:$AW$20)))))</f>
        <v/>
      </c>
      <c r="P899" s="5">
        <f>SUMPRODUCT(('01_Data'!$B899:$AW899&lt;&gt;"")*(1/(1+EXP(-(N899-'03_Lap_b'!$B$20:$AW$20))))^2)</f>
        <v/>
      </c>
      <c r="Q899" s="5">
        <f>MEDIAN(-6,N899+(C899-O899)/MAX(O899-P899,0.000000001),6)</f>
        <v/>
      </c>
      <c r="R899" s="5">
        <f>SUMPRODUCT(('01_Data'!$B899:$AW899&lt;&gt;"")*(1/(1+EXP(-(Q899-'03_Lap_b'!$B$25:$AW$25)))))</f>
        <v/>
      </c>
      <c r="S899" s="5">
        <f>SUMPRODUCT(('01_Data'!$B899:$AW899&lt;&gt;"")*(1/(1+EXP(-(Q899-'03_Lap_b'!$B$25:$AW$25))))^2)</f>
        <v/>
      </c>
      <c r="T899" s="5">
        <f>MEDIAN(-6,Q899+(C899-R899)/MAX(R899-S899,0.000000001),6)</f>
        <v/>
      </c>
      <c r="U899" s="5">
        <f>SUMPRODUCT(('01_Data'!$B899:$AW899&lt;&gt;"")*(1/(1+EXP(-(T899-'03_Lap_b'!$B$30:$AW$30)))))</f>
        <v/>
      </c>
      <c r="V899" s="5">
        <f>SUMPRODUCT(('01_Data'!$B899:$AW899&lt;&gt;"")*(1/(1+EXP(-(T899-'03_Lap_b'!$B$30:$AW$30))))^2)</f>
        <v/>
      </c>
      <c r="W899" s="5">
        <f>MEDIAN(-6,T899+(C899-U899)/MAX(U899-V899,0.000000001),6)</f>
        <v/>
      </c>
      <c r="X899" s="5">
        <f>SUMPRODUCT(('01_Data'!$B899:$AW899&lt;&gt;"")*(1/(1+EXP(-(W899-'03_Lap_b'!$B$35:$AW$35)))))</f>
        <v/>
      </c>
      <c r="Y899" s="5">
        <f>SUMPRODUCT(('01_Data'!$B899:$AW899&lt;&gt;"")*(1/(1+EXP(-(W899-'03_Lap_b'!$B$35:$AW$35))))^2)</f>
        <v/>
      </c>
      <c r="Z899" s="5">
        <f>MEDIAN(-6,W899+(C899-X899)/MAX(X899-Y899,0.000000001),6)</f>
        <v/>
      </c>
      <c r="AA899" s="5">
        <f>SUMPRODUCT(('01_Data'!$B899:$AW899&lt;&gt;"")*(1/(1+EXP(-(Z899-'03_Lap_b'!$B$40:$AW$40)))))</f>
        <v/>
      </c>
      <c r="AB899" s="5">
        <f>SUMPRODUCT(('01_Data'!$B899:$AW899&lt;&gt;"")*(1/(1+EXP(-(Z899-'03_Lap_b'!$B$40:$AW$40))))^2)</f>
        <v/>
      </c>
      <c r="AC899" s="5">
        <f>MEDIAN(-6,Z899+(C899-AA899)/MAX(AA899-AB899,0.000000001),6)</f>
        <v/>
      </c>
    </row>
    <row r="900">
      <c r="A900" t="n">
        <v>899</v>
      </c>
      <c r="B900">
        <f>'01_Data'!A900</f>
        <v/>
      </c>
      <c r="C900">
        <f>SUM('01_Data'!$B900:$AW900)</f>
        <v/>
      </c>
      <c r="D900">
        <f>COUNT('01_Data'!$B900:$AW900)</f>
        <v/>
      </c>
      <c r="E900" s="5">
        <f>MEDIAN(-6,LN((C900+0.3)/(D900-C900+0.3)),6)</f>
        <v/>
      </c>
      <c r="F900" s="5">
        <f>SUMPRODUCT(('01_Data'!$B900:$AW900&lt;&gt;"")*(1/(1+EXP(-(E900-'03_Lap_b'!$B$5:$AW$5)))))</f>
        <v/>
      </c>
      <c r="G900" s="5">
        <f>SUMPRODUCT(('01_Data'!$B900:$AW900&lt;&gt;"")*(1/(1+EXP(-(E900-'03_Lap_b'!$B$5:$AW$5))))^2)</f>
        <v/>
      </c>
      <c r="H900" s="5">
        <f>MEDIAN(-6,E900+(C900-F900)/MAX(F900-G900,0.000000001),6)</f>
        <v/>
      </c>
      <c r="I900" s="5">
        <f>SUMPRODUCT(('01_Data'!$B900:$AW900&lt;&gt;"")*(1/(1+EXP(-(H900-'03_Lap_b'!$B$10:$AW$10)))))</f>
        <v/>
      </c>
      <c r="J900" s="5">
        <f>SUMPRODUCT(('01_Data'!$B900:$AW900&lt;&gt;"")*(1/(1+EXP(-(H900-'03_Lap_b'!$B$10:$AW$10))))^2)</f>
        <v/>
      </c>
      <c r="K900" s="5">
        <f>MEDIAN(-6,H900+(C900-I900)/MAX(I900-J900,0.000000001),6)</f>
        <v/>
      </c>
      <c r="L900" s="5">
        <f>SUMPRODUCT(('01_Data'!$B900:$AW900&lt;&gt;"")*(1/(1+EXP(-(K900-'03_Lap_b'!$B$15:$AW$15)))))</f>
        <v/>
      </c>
      <c r="M900" s="5">
        <f>SUMPRODUCT(('01_Data'!$B900:$AW900&lt;&gt;"")*(1/(1+EXP(-(K900-'03_Lap_b'!$B$15:$AW$15))))^2)</f>
        <v/>
      </c>
      <c r="N900" s="5">
        <f>MEDIAN(-6,K900+(C900-L900)/MAX(L900-M900,0.000000001),6)</f>
        <v/>
      </c>
      <c r="O900" s="5">
        <f>SUMPRODUCT(('01_Data'!$B900:$AW900&lt;&gt;"")*(1/(1+EXP(-(N900-'03_Lap_b'!$B$20:$AW$20)))))</f>
        <v/>
      </c>
      <c r="P900" s="5">
        <f>SUMPRODUCT(('01_Data'!$B900:$AW900&lt;&gt;"")*(1/(1+EXP(-(N900-'03_Lap_b'!$B$20:$AW$20))))^2)</f>
        <v/>
      </c>
      <c r="Q900" s="5">
        <f>MEDIAN(-6,N900+(C900-O900)/MAX(O900-P900,0.000000001),6)</f>
        <v/>
      </c>
      <c r="R900" s="5">
        <f>SUMPRODUCT(('01_Data'!$B900:$AW900&lt;&gt;"")*(1/(1+EXP(-(Q900-'03_Lap_b'!$B$25:$AW$25)))))</f>
        <v/>
      </c>
      <c r="S900" s="5">
        <f>SUMPRODUCT(('01_Data'!$B900:$AW900&lt;&gt;"")*(1/(1+EXP(-(Q900-'03_Lap_b'!$B$25:$AW$25))))^2)</f>
        <v/>
      </c>
      <c r="T900" s="5">
        <f>MEDIAN(-6,Q900+(C900-R900)/MAX(R900-S900,0.000000001),6)</f>
        <v/>
      </c>
      <c r="U900" s="5">
        <f>SUMPRODUCT(('01_Data'!$B900:$AW900&lt;&gt;"")*(1/(1+EXP(-(T900-'03_Lap_b'!$B$30:$AW$30)))))</f>
        <v/>
      </c>
      <c r="V900" s="5">
        <f>SUMPRODUCT(('01_Data'!$B900:$AW900&lt;&gt;"")*(1/(1+EXP(-(T900-'03_Lap_b'!$B$30:$AW$30))))^2)</f>
        <v/>
      </c>
      <c r="W900" s="5">
        <f>MEDIAN(-6,T900+(C900-U900)/MAX(U900-V900,0.000000001),6)</f>
        <v/>
      </c>
      <c r="X900" s="5">
        <f>SUMPRODUCT(('01_Data'!$B900:$AW900&lt;&gt;"")*(1/(1+EXP(-(W900-'03_Lap_b'!$B$35:$AW$35)))))</f>
        <v/>
      </c>
      <c r="Y900" s="5">
        <f>SUMPRODUCT(('01_Data'!$B900:$AW900&lt;&gt;"")*(1/(1+EXP(-(W900-'03_Lap_b'!$B$35:$AW$35))))^2)</f>
        <v/>
      </c>
      <c r="Z900" s="5">
        <f>MEDIAN(-6,W900+(C900-X900)/MAX(X900-Y900,0.000000001),6)</f>
        <v/>
      </c>
      <c r="AA900" s="5">
        <f>SUMPRODUCT(('01_Data'!$B900:$AW900&lt;&gt;"")*(1/(1+EXP(-(Z900-'03_Lap_b'!$B$40:$AW$40)))))</f>
        <v/>
      </c>
      <c r="AB900" s="5">
        <f>SUMPRODUCT(('01_Data'!$B900:$AW900&lt;&gt;"")*(1/(1+EXP(-(Z900-'03_Lap_b'!$B$40:$AW$40))))^2)</f>
        <v/>
      </c>
      <c r="AC900" s="5">
        <f>MEDIAN(-6,Z900+(C900-AA900)/MAX(AA900-AB900,0.000000001),6)</f>
        <v/>
      </c>
    </row>
    <row r="901">
      <c r="A901" t="n">
        <v>900</v>
      </c>
      <c r="B901">
        <f>'01_Data'!A901</f>
        <v/>
      </c>
      <c r="C901">
        <f>SUM('01_Data'!$B901:$AW901)</f>
        <v/>
      </c>
      <c r="D901">
        <f>COUNT('01_Data'!$B901:$AW901)</f>
        <v/>
      </c>
      <c r="E901" s="5">
        <f>MEDIAN(-6,LN((C901+0.3)/(D901-C901+0.3)),6)</f>
        <v/>
      </c>
      <c r="F901" s="5">
        <f>SUMPRODUCT(('01_Data'!$B901:$AW901&lt;&gt;"")*(1/(1+EXP(-(E901-'03_Lap_b'!$B$5:$AW$5)))))</f>
        <v/>
      </c>
      <c r="G901" s="5">
        <f>SUMPRODUCT(('01_Data'!$B901:$AW901&lt;&gt;"")*(1/(1+EXP(-(E901-'03_Lap_b'!$B$5:$AW$5))))^2)</f>
        <v/>
      </c>
      <c r="H901" s="5">
        <f>MEDIAN(-6,E901+(C901-F901)/MAX(F901-G901,0.000000001),6)</f>
        <v/>
      </c>
      <c r="I901" s="5">
        <f>SUMPRODUCT(('01_Data'!$B901:$AW901&lt;&gt;"")*(1/(1+EXP(-(H901-'03_Lap_b'!$B$10:$AW$10)))))</f>
        <v/>
      </c>
      <c r="J901" s="5">
        <f>SUMPRODUCT(('01_Data'!$B901:$AW901&lt;&gt;"")*(1/(1+EXP(-(H901-'03_Lap_b'!$B$10:$AW$10))))^2)</f>
        <v/>
      </c>
      <c r="K901" s="5">
        <f>MEDIAN(-6,H901+(C901-I901)/MAX(I901-J901,0.000000001),6)</f>
        <v/>
      </c>
      <c r="L901" s="5">
        <f>SUMPRODUCT(('01_Data'!$B901:$AW901&lt;&gt;"")*(1/(1+EXP(-(K901-'03_Lap_b'!$B$15:$AW$15)))))</f>
        <v/>
      </c>
      <c r="M901" s="5">
        <f>SUMPRODUCT(('01_Data'!$B901:$AW901&lt;&gt;"")*(1/(1+EXP(-(K901-'03_Lap_b'!$B$15:$AW$15))))^2)</f>
        <v/>
      </c>
      <c r="N901" s="5">
        <f>MEDIAN(-6,K901+(C901-L901)/MAX(L901-M901,0.000000001),6)</f>
        <v/>
      </c>
      <c r="O901" s="5">
        <f>SUMPRODUCT(('01_Data'!$B901:$AW901&lt;&gt;"")*(1/(1+EXP(-(N901-'03_Lap_b'!$B$20:$AW$20)))))</f>
        <v/>
      </c>
      <c r="P901" s="5">
        <f>SUMPRODUCT(('01_Data'!$B901:$AW901&lt;&gt;"")*(1/(1+EXP(-(N901-'03_Lap_b'!$B$20:$AW$20))))^2)</f>
        <v/>
      </c>
      <c r="Q901" s="5">
        <f>MEDIAN(-6,N901+(C901-O901)/MAX(O901-P901,0.000000001),6)</f>
        <v/>
      </c>
      <c r="R901" s="5">
        <f>SUMPRODUCT(('01_Data'!$B901:$AW901&lt;&gt;"")*(1/(1+EXP(-(Q901-'03_Lap_b'!$B$25:$AW$25)))))</f>
        <v/>
      </c>
      <c r="S901" s="5">
        <f>SUMPRODUCT(('01_Data'!$B901:$AW901&lt;&gt;"")*(1/(1+EXP(-(Q901-'03_Lap_b'!$B$25:$AW$25))))^2)</f>
        <v/>
      </c>
      <c r="T901" s="5">
        <f>MEDIAN(-6,Q901+(C901-R901)/MAX(R901-S901,0.000000001),6)</f>
        <v/>
      </c>
      <c r="U901" s="5">
        <f>SUMPRODUCT(('01_Data'!$B901:$AW901&lt;&gt;"")*(1/(1+EXP(-(T901-'03_Lap_b'!$B$30:$AW$30)))))</f>
        <v/>
      </c>
      <c r="V901" s="5">
        <f>SUMPRODUCT(('01_Data'!$B901:$AW901&lt;&gt;"")*(1/(1+EXP(-(T901-'03_Lap_b'!$B$30:$AW$30))))^2)</f>
        <v/>
      </c>
      <c r="W901" s="5">
        <f>MEDIAN(-6,T901+(C901-U901)/MAX(U901-V901,0.000000001),6)</f>
        <v/>
      </c>
      <c r="X901" s="5">
        <f>SUMPRODUCT(('01_Data'!$B901:$AW901&lt;&gt;"")*(1/(1+EXP(-(W901-'03_Lap_b'!$B$35:$AW$35)))))</f>
        <v/>
      </c>
      <c r="Y901" s="5">
        <f>SUMPRODUCT(('01_Data'!$B901:$AW901&lt;&gt;"")*(1/(1+EXP(-(W901-'03_Lap_b'!$B$35:$AW$35))))^2)</f>
        <v/>
      </c>
      <c r="Z901" s="5">
        <f>MEDIAN(-6,W901+(C901-X901)/MAX(X901-Y901,0.000000001),6)</f>
        <v/>
      </c>
      <c r="AA901" s="5">
        <f>SUMPRODUCT(('01_Data'!$B901:$AW901&lt;&gt;"")*(1/(1+EXP(-(Z901-'03_Lap_b'!$B$40:$AW$40)))))</f>
        <v/>
      </c>
      <c r="AB901" s="5">
        <f>SUMPRODUCT(('01_Data'!$B901:$AW901&lt;&gt;"")*(1/(1+EXP(-(Z901-'03_Lap_b'!$B$40:$AW$40))))^2)</f>
        <v/>
      </c>
      <c r="AC901" s="5">
        <f>MEDIAN(-6,Z901+(C901-AA901)/MAX(AA901-AB901,0.000000001),6)</f>
        <v/>
      </c>
    </row>
    <row r="902">
      <c r="A902" t="n">
        <v>901</v>
      </c>
      <c r="B902">
        <f>'01_Data'!A902</f>
        <v/>
      </c>
      <c r="C902">
        <f>SUM('01_Data'!$B902:$AW902)</f>
        <v/>
      </c>
      <c r="D902">
        <f>COUNT('01_Data'!$B902:$AW902)</f>
        <v/>
      </c>
      <c r="E902" s="5">
        <f>MEDIAN(-6,LN((C902+0.3)/(D902-C902+0.3)),6)</f>
        <v/>
      </c>
      <c r="F902" s="5">
        <f>SUMPRODUCT(('01_Data'!$B902:$AW902&lt;&gt;"")*(1/(1+EXP(-(E902-'03_Lap_b'!$B$5:$AW$5)))))</f>
        <v/>
      </c>
      <c r="G902" s="5">
        <f>SUMPRODUCT(('01_Data'!$B902:$AW902&lt;&gt;"")*(1/(1+EXP(-(E902-'03_Lap_b'!$B$5:$AW$5))))^2)</f>
        <v/>
      </c>
      <c r="H902" s="5">
        <f>MEDIAN(-6,E902+(C902-F902)/MAX(F902-G902,0.000000001),6)</f>
        <v/>
      </c>
      <c r="I902" s="5">
        <f>SUMPRODUCT(('01_Data'!$B902:$AW902&lt;&gt;"")*(1/(1+EXP(-(H902-'03_Lap_b'!$B$10:$AW$10)))))</f>
        <v/>
      </c>
      <c r="J902" s="5">
        <f>SUMPRODUCT(('01_Data'!$B902:$AW902&lt;&gt;"")*(1/(1+EXP(-(H902-'03_Lap_b'!$B$10:$AW$10))))^2)</f>
        <v/>
      </c>
      <c r="K902" s="5">
        <f>MEDIAN(-6,H902+(C902-I902)/MAX(I902-J902,0.000000001),6)</f>
        <v/>
      </c>
      <c r="L902" s="5">
        <f>SUMPRODUCT(('01_Data'!$B902:$AW902&lt;&gt;"")*(1/(1+EXP(-(K902-'03_Lap_b'!$B$15:$AW$15)))))</f>
        <v/>
      </c>
      <c r="M902" s="5">
        <f>SUMPRODUCT(('01_Data'!$B902:$AW902&lt;&gt;"")*(1/(1+EXP(-(K902-'03_Lap_b'!$B$15:$AW$15))))^2)</f>
        <v/>
      </c>
      <c r="N902" s="5">
        <f>MEDIAN(-6,K902+(C902-L902)/MAX(L902-M902,0.000000001),6)</f>
        <v/>
      </c>
      <c r="O902" s="5">
        <f>SUMPRODUCT(('01_Data'!$B902:$AW902&lt;&gt;"")*(1/(1+EXP(-(N902-'03_Lap_b'!$B$20:$AW$20)))))</f>
        <v/>
      </c>
      <c r="P902" s="5">
        <f>SUMPRODUCT(('01_Data'!$B902:$AW902&lt;&gt;"")*(1/(1+EXP(-(N902-'03_Lap_b'!$B$20:$AW$20))))^2)</f>
        <v/>
      </c>
      <c r="Q902" s="5">
        <f>MEDIAN(-6,N902+(C902-O902)/MAX(O902-P902,0.000000001),6)</f>
        <v/>
      </c>
      <c r="R902" s="5">
        <f>SUMPRODUCT(('01_Data'!$B902:$AW902&lt;&gt;"")*(1/(1+EXP(-(Q902-'03_Lap_b'!$B$25:$AW$25)))))</f>
        <v/>
      </c>
      <c r="S902" s="5">
        <f>SUMPRODUCT(('01_Data'!$B902:$AW902&lt;&gt;"")*(1/(1+EXP(-(Q902-'03_Lap_b'!$B$25:$AW$25))))^2)</f>
        <v/>
      </c>
      <c r="T902" s="5">
        <f>MEDIAN(-6,Q902+(C902-R902)/MAX(R902-S902,0.000000001),6)</f>
        <v/>
      </c>
      <c r="U902" s="5">
        <f>SUMPRODUCT(('01_Data'!$B902:$AW902&lt;&gt;"")*(1/(1+EXP(-(T902-'03_Lap_b'!$B$30:$AW$30)))))</f>
        <v/>
      </c>
      <c r="V902" s="5">
        <f>SUMPRODUCT(('01_Data'!$B902:$AW902&lt;&gt;"")*(1/(1+EXP(-(T902-'03_Lap_b'!$B$30:$AW$30))))^2)</f>
        <v/>
      </c>
      <c r="W902" s="5">
        <f>MEDIAN(-6,T902+(C902-U902)/MAX(U902-V902,0.000000001),6)</f>
        <v/>
      </c>
      <c r="X902" s="5">
        <f>SUMPRODUCT(('01_Data'!$B902:$AW902&lt;&gt;"")*(1/(1+EXP(-(W902-'03_Lap_b'!$B$35:$AW$35)))))</f>
        <v/>
      </c>
      <c r="Y902" s="5">
        <f>SUMPRODUCT(('01_Data'!$B902:$AW902&lt;&gt;"")*(1/(1+EXP(-(W902-'03_Lap_b'!$B$35:$AW$35))))^2)</f>
        <v/>
      </c>
      <c r="Z902" s="5">
        <f>MEDIAN(-6,W902+(C902-X902)/MAX(X902-Y902,0.000000001),6)</f>
        <v/>
      </c>
      <c r="AA902" s="5">
        <f>SUMPRODUCT(('01_Data'!$B902:$AW902&lt;&gt;"")*(1/(1+EXP(-(Z902-'03_Lap_b'!$B$40:$AW$40)))))</f>
        <v/>
      </c>
      <c r="AB902" s="5">
        <f>SUMPRODUCT(('01_Data'!$B902:$AW902&lt;&gt;"")*(1/(1+EXP(-(Z902-'03_Lap_b'!$B$40:$AW$40))))^2)</f>
        <v/>
      </c>
      <c r="AC902" s="5">
        <f>MEDIAN(-6,Z902+(C902-AA902)/MAX(AA902-AB902,0.000000001),6)</f>
        <v/>
      </c>
    </row>
    <row r="903">
      <c r="A903" t="n">
        <v>902</v>
      </c>
      <c r="B903">
        <f>'01_Data'!A903</f>
        <v/>
      </c>
      <c r="C903">
        <f>SUM('01_Data'!$B903:$AW903)</f>
        <v/>
      </c>
      <c r="D903">
        <f>COUNT('01_Data'!$B903:$AW903)</f>
        <v/>
      </c>
      <c r="E903" s="5">
        <f>MEDIAN(-6,LN((C903+0.3)/(D903-C903+0.3)),6)</f>
        <v/>
      </c>
      <c r="F903" s="5">
        <f>SUMPRODUCT(('01_Data'!$B903:$AW903&lt;&gt;"")*(1/(1+EXP(-(E903-'03_Lap_b'!$B$5:$AW$5)))))</f>
        <v/>
      </c>
      <c r="G903" s="5">
        <f>SUMPRODUCT(('01_Data'!$B903:$AW903&lt;&gt;"")*(1/(1+EXP(-(E903-'03_Lap_b'!$B$5:$AW$5))))^2)</f>
        <v/>
      </c>
      <c r="H903" s="5">
        <f>MEDIAN(-6,E903+(C903-F903)/MAX(F903-G903,0.000000001),6)</f>
        <v/>
      </c>
      <c r="I903" s="5">
        <f>SUMPRODUCT(('01_Data'!$B903:$AW903&lt;&gt;"")*(1/(1+EXP(-(H903-'03_Lap_b'!$B$10:$AW$10)))))</f>
        <v/>
      </c>
      <c r="J903" s="5">
        <f>SUMPRODUCT(('01_Data'!$B903:$AW903&lt;&gt;"")*(1/(1+EXP(-(H903-'03_Lap_b'!$B$10:$AW$10))))^2)</f>
        <v/>
      </c>
      <c r="K903" s="5">
        <f>MEDIAN(-6,H903+(C903-I903)/MAX(I903-J903,0.000000001),6)</f>
        <v/>
      </c>
      <c r="L903" s="5">
        <f>SUMPRODUCT(('01_Data'!$B903:$AW903&lt;&gt;"")*(1/(1+EXP(-(K903-'03_Lap_b'!$B$15:$AW$15)))))</f>
        <v/>
      </c>
      <c r="M903" s="5">
        <f>SUMPRODUCT(('01_Data'!$B903:$AW903&lt;&gt;"")*(1/(1+EXP(-(K903-'03_Lap_b'!$B$15:$AW$15))))^2)</f>
        <v/>
      </c>
      <c r="N903" s="5">
        <f>MEDIAN(-6,K903+(C903-L903)/MAX(L903-M903,0.000000001),6)</f>
        <v/>
      </c>
      <c r="O903" s="5">
        <f>SUMPRODUCT(('01_Data'!$B903:$AW903&lt;&gt;"")*(1/(1+EXP(-(N903-'03_Lap_b'!$B$20:$AW$20)))))</f>
        <v/>
      </c>
      <c r="P903" s="5">
        <f>SUMPRODUCT(('01_Data'!$B903:$AW903&lt;&gt;"")*(1/(1+EXP(-(N903-'03_Lap_b'!$B$20:$AW$20))))^2)</f>
        <v/>
      </c>
      <c r="Q903" s="5">
        <f>MEDIAN(-6,N903+(C903-O903)/MAX(O903-P903,0.000000001),6)</f>
        <v/>
      </c>
      <c r="R903" s="5">
        <f>SUMPRODUCT(('01_Data'!$B903:$AW903&lt;&gt;"")*(1/(1+EXP(-(Q903-'03_Lap_b'!$B$25:$AW$25)))))</f>
        <v/>
      </c>
      <c r="S903" s="5">
        <f>SUMPRODUCT(('01_Data'!$B903:$AW903&lt;&gt;"")*(1/(1+EXP(-(Q903-'03_Lap_b'!$B$25:$AW$25))))^2)</f>
        <v/>
      </c>
      <c r="T903" s="5">
        <f>MEDIAN(-6,Q903+(C903-R903)/MAX(R903-S903,0.000000001),6)</f>
        <v/>
      </c>
      <c r="U903" s="5">
        <f>SUMPRODUCT(('01_Data'!$B903:$AW903&lt;&gt;"")*(1/(1+EXP(-(T903-'03_Lap_b'!$B$30:$AW$30)))))</f>
        <v/>
      </c>
      <c r="V903" s="5">
        <f>SUMPRODUCT(('01_Data'!$B903:$AW903&lt;&gt;"")*(1/(1+EXP(-(T903-'03_Lap_b'!$B$30:$AW$30))))^2)</f>
        <v/>
      </c>
      <c r="W903" s="5">
        <f>MEDIAN(-6,T903+(C903-U903)/MAX(U903-V903,0.000000001),6)</f>
        <v/>
      </c>
      <c r="X903" s="5">
        <f>SUMPRODUCT(('01_Data'!$B903:$AW903&lt;&gt;"")*(1/(1+EXP(-(W903-'03_Lap_b'!$B$35:$AW$35)))))</f>
        <v/>
      </c>
      <c r="Y903" s="5">
        <f>SUMPRODUCT(('01_Data'!$B903:$AW903&lt;&gt;"")*(1/(1+EXP(-(W903-'03_Lap_b'!$B$35:$AW$35))))^2)</f>
        <v/>
      </c>
      <c r="Z903" s="5">
        <f>MEDIAN(-6,W903+(C903-X903)/MAX(X903-Y903,0.000000001),6)</f>
        <v/>
      </c>
      <c r="AA903" s="5">
        <f>SUMPRODUCT(('01_Data'!$B903:$AW903&lt;&gt;"")*(1/(1+EXP(-(Z903-'03_Lap_b'!$B$40:$AW$40)))))</f>
        <v/>
      </c>
      <c r="AB903" s="5">
        <f>SUMPRODUCT(('01_Data'!$B903:$AW903&lt;&gt;"")*(1/(1+EXP(-(Z903-'03_Lap_b'!$B$40:$AW$40))))^2)</f>
        <v/>
      </c>
      <c r="AC903" s="5">
        <f>MEDIAN(-6,Z903+(C903-AA903)/MAX(AA903-AB903,0.000000001),6)</f>
        <v/>
      </c>
    </row>
    <row r="904">
      <c r="A904" t="n">
        <v>903</v>
      </c>
      <c r="B904">
        <f>'01_Data'!A904</f>
        <v/>
      </c>
      <c r="C904">
        <f>SUM('01_Data'!$B904:$AW904)</f>
        <v/>
      </c>
      <c r="D904">
        <f>COUNT('01_Data'!$B904:$AW904)</f>
        <v/>
      </c>
      <c r="E904" s="5">
        <f>MEDIAN(-6,LN((C904+0.3)/(D904-C904+0.3)),6)</f>
        <v/>
      </c>
      <c r="F904" s="5">
        <f>SUMPRODUCT(('01_Data'!$B904:$AW904&lt;&gt;"")*(1/(1+EXP(-(E904-'03_Lap_b'!$B$5:$AW$5)))))</f>
        <v/>
      </c>
      <c r="G904" s="5">
        <f>SUMPRODUCT(('01_Data'!$B904:$AW904&lt;&gt;"")*(1/(1+EXP(-(E904-'03_Lap_b'!$B$5:$AW$5))))^2)</f>
        <v/>
      </c>
      <c r="H904" s="5">
        <f>MEDIAN(-6,E904+(C904-F904)/MAX(F904-G904,0.000000001),6)</f>
        <v/>
      </c>
      <c r="I904" s="5">
        <f>SUMPRODUCT(('01_Data'!$B904:$AW904&lt;&gt;"")*(1/(1+EXP(-(H904-'03_Lap_b'!$B$10:$AW$10)))))</f>
        <v/>
      </c>
      <c r="J904" s="5">
        <f>SUMPRODUCT(('01_Data'!$B904:$AW904&lt;&gt;"")*(1/(1+EXP(-(H904-'03_Lap_b'!$B$10:$AW$10))))^2)</f>
        <v/>
      </c>
      <c r="K904" s="5">
        <f>MEDIAN(-6,H904+(C904-I904)/MAX(I904-J904,0.000000001),6)</f>
        <v/>
      </c>
      <c r="L904" s="5">
        <f>SUMPRODUCT(('01_Data'!$B904:$AW904&lt;&gt;"")*(1/(1+EXP(-(K904-'03_Lap_b'!$B$15:$AW$15)))))</f>
        <v/>
      </c>
      <c r="M904" s="5">
        <f>SUMPRODUCT(('01_Data'!$B904:$AW904&lt;&gt;"")*(1/(1+EXP(-(K904-'03_Lap_b'!$B$15:$AW$15))))^2)</f>
        <v/>
      </c>
      <c r="N904" s="5">
        <f>MEDIAN(-6,K904+(C904-L904)/MAX(L904-M904,0.000000001),6)</f>
        <v/>
      </c>
      <c r="O904" s="5">
        <f>SUMPRODUCT(('01_Data'!$B904:$AW904&lt;&gt;"")*(1/(1+EXP(-(N904-'03_Lap_b'!$B$20:$AW$20)))))</f>
        <v/>
      </c>
      <c r="P904" s="5">
        <f>SUMPRODUCT(('01_Data'!$B904:$AW904&lt;&gt;"")*(1/(1+EXP(-(N904-'03_Lap_b'!$B$20:$AW$20))))^2)</f>
        <v/>
      </c>
      <c r="Q904" s="5">
        <f>MEDIAN(-6,N904+(C904-O904)/MAX(O904-P904,0.000000001),6)</f>
        <v/>
      </c>
      <c r="R904" s="5">
        <f>SUMPRODUCT(('01_Data'!$B904:$AW904&lt;&gt;"")*(1/(1+EXP(-(Q904-'03_Lap_b'!$B$25:$AW$25)))))</f>
        <v/>
      </c>
      <c r="S904" s="5">
        <f>SUMPRODUCT(('01_Data'!$B904:$AW904&lt;&gt;"")*(1/(1+EXP(-(Q904-'03_Lap_b'!$B$25:$AW$25))))^2)</f>
        <v/>
      </c>
      <c r="T904" s="5">
        <f>MEDIAN(-6,Q904+(C904-R904)/MAX(R904-S904,0.000000001),6)</f>
        <v/>
      </c>
      <c r="U904" s="5">
        <f>SUMPRODUCT(('01_Data'!$B904:$AW904&lt;&gt;"")*(1/(1+EXP(-(T904-'03_Lap_b'!$B$30:$AW$30)))))</f>
        <v/>
      </c>
      <c r="V904" s="5">
        <f>SUMPRODUCT(('01_Data'!$B904:$AW904&lt;&gt;"")*(1/(1+EXP(-(T904-'03_Lap_b'!$B$30:$AW$30))))^2)</f>
        <v/>
      </c>
      <c r="W904" s="5">
        <f>MEDIAN(-6,T904+(C904-U904)/MAX(U904-V904,0.000000001),6)</f>
        <v/>
      </c>
      <c r="X904" s="5">
        <f>SUMPRODUCT(('01_Data'!$B904:$AW904&lt;&gt;"")*(1/(1+EXP(-(W904-'03_Lap_b'!$B$35:$AW$35)))))</f>
        <v/>
      </c>
      <c r="Y904" s="5">
        <f>SUMPRODUCT(('01_Data'!$B904:$AW904&lt;&gt;"")*(1/(1+EXP(-(W904-'03_Lap_b'!$B$35:$AW$35))))^2)</f>
        <v/>
      </c>
      <c r="Z904" s="5">
        <f>MEDIAN(-6,W904+(C904-X904)/MAX(X904-Y904,0.000000001),6)</f>
        <v/>
      </c>
      <c r="AA904" s="5">
        <f>SUMPRODUCT(('01_Data'!$B904:$AW904&lt;&gt;"")*(1/(1+EXP(-(Z904-'03_Lap_b'!$B$40:$AW$40)))))</f>
        <v/>
      </c>
      <c r="AB904" s="5">
        <f>SUMPRODUCT(('01_Data'!$B904:$AW904&lt;&gt;"")*(1/(1+EXP(-(Z904-'03_Lap_b'!$B$40:$AW$40))))^2)</f>
        <v/>
      </c>
      <c r="AC904" s="5">
        <f>MEDIAN(-6,Z904+(C904-AA904)/MAX(AA904-AB904,0.000000001),6)</f>
        <v/>
      </c>
    </row>
    <row r="905">
      <c r="A905" t="n">
        <v>904</v>
      </c>
      <c r="B905">
        <f>'01_Data'!A905</f>
        <v/>
      </c>
      <c r="C905">
        <f>SUM('01_Data'!$B905:$AW905)</f>
        <v/>
      </c>
      <c r="D905">
        <f>COUNT('01_Data'!$B905:$AW905)</f>
        <v/>
      </c>
      <c r="E905" s="5">
        <f>MEDIAN(-6,LN((C905+0.3)/(D905-C905+0.3)),6)</f>
        <v/>
      </c>
      <c r="F905" s="5">
        <f>SUMPRODUCT(('01_Data'!$B905:$AW905&lt;&gt;"")*(1/(1+EXP(-(E905-'03_Lap_b'!$B$5:$AW$5)))))</f>
        <v/>
      </c>
      <c r="G905" s="5">
        <f>SUMPRODUCT(('01_Data'!$B905:$AW905&lt;&gt;"")*(1/(1+EXP(-(E905-'03_Lap_b'!$B$5:$AW$5))))^2)</f>
        <v/>
      </c>
      <c r="H905" s="5">
        <f>MEDIAN(-6,E905+(C905-F905)/MAX(F905-G905,0.000000001),6)</f>
        <v/>
      </c>
      <c r="I905" s="5">
        <f>SUMPRODUCT(('01_Data'!$B905:$AW905&lt;&gt;"")*(1/(1+EXP(-(H905-'03_Lap_b'!$B$10:$AW$10)))))</f>
        <v/>
      </c>
      <c r="J905" s="5">
        <f>SUMPRODUCT(('01_Data'!$B905:$AW905&lt;&gt;"")*(1/(1+EXP(-(H905-'03_Lap_b'!$B$10:$AW$10))))^2)</f>
        <v/>
      </c>
      <c r="K905" s="5">
        <f>MEDIAN(-6,H905+(C905-I905)/MAX(I905-J905,0.000000001),6)</f>
        <v/>
      </c>
      <c r="L905" s="5">
        <f>SUMPRODUCT(('01_Data'!$B905:$AW905&lt;&gt;"")*(1/(1+EXP(-(K905-'03_Lap_b'!$B$15:$AW$15)))))</f>
        <v/>
      </c>
      <c r="M905" s="5">
        <f>SUMPRODUCT(('01_Data'!$B905:$AW905&lt;&gt;"")*(1/(1+EXP(-(K905-'03_Lap_b'!$B$15:$AW$15))))^2)</f>
        <v/>
      </c>
      <c r="N905" s="5">
        <f>MEDIAN(-6,K905+(C905-L905)/MAX(L905-M905,0.000000001),6)</f>
        <v/>
      </c>
      <c r="O905" s="5">
        <f>SUMPRODUCT(('01_Data'!$B905:$AW905&lt;&gt;"")*(1/(1+EXP(-(N905-'03_Lap_b'!$B$20:$AW$20)))))</f>
        <v/>
      </c>
      <c r="P905" s="5">
        <f>SUMPRODUCT(('01_Data'!$B905:$AW905&lt;&gt;"")*(1/(1+EXP(-(N905-'03_Lap_b'!$B$20:$AW$20))))^2)</f>
        <v/>
      </c>
      <c r="Q905" s="5">
        <f>MEDIAN(-6,N905+(C905-O905)/MAX(O905-P905,0.000000001),6)</f>
        <v/>
      </c>
      <c r="R905" s="5">
        <f>SUMPRODUCT(('01_Data'!$B905:$AW905&lt;&gt;"")*(1/(1+EXP(-(Q905-'03_Lap_b'!$B$25:$AW$25)))))</f>
        <v/>
      </c>
      <c r="S905" s="5">
        <f>SUMPRODUCT(('01_Data'!$B905:$AW905&lt;&gt;"")*(1/(1+EXP(-(Q905-'03_Lap_b'!$B$25:$AW$25))))^2)</f>
        <v/>
      </c>
      <c r="T905" s="5">
        <f>MEDIAN(-6,Q905+(C905-R905)/MAX(R905-S905,0.000000001),6)</f>
        <v/>
      </c>
      <c r="U905" s="5">
        <f>SUMPRODUCT(('01_Data'!$B905:$AW905&lt;&gt;"")*(1/(1+EXP(-(T905-'03_Lap_b'!$B$30:$AW$30)))))</f>
        <v/>
      </c>
      <c r="V905" s="5">
        <f>SUMPRODUCT(('01_Data'!$B905:$AW905&lt;&gt;"")*(1/(1+EXP(-(T905-'03_Lap_b'!$B$30:$AW$30))))^2)</f>
        <v/>
      </c>
      <c r="W905" s="5">
        <f>MEDIAN(-6,T905+(C905-U905)/MAX(U905-V905,0.000000001),6)</f>
        <v/>
      </c>
      <c r="X905" s="5">
        <f>SUMPRODUCT(('01_Data'!$B905:$AW905&lt;&gt;"")*(1/(1+EXP(-(W905-'03_Lap_b'!$B$35:$AW$35)))))</f>
        <v/>
      </c>
      <c r="Y905" s="5">
        <f>SUMPRODUCT(('01_Data'!$B905:$AW905&lt;&gt;"")*(1/(1+EXP(-(W905-'03_Lap_b'!$B$35:$AW$35))))^2)</f>
        <v/>
      </c>
      <c r="Z905" s="5">
        <f>MEDIAN(-6,W905+(C905-X905)/MAX(X905-Y905,0.000000001),6)</f>
        <v/>
      </c>
      <c r="AA905" s="5">
        <f>SUMPRODUCT(('01_Data'!$B905:$AW905&lt;&gt;"")*(1/(1+EXP(-(Z905-'03_Lap_b'!$B$40:$AW$40)))))</f>
        <v/>
      </c>
      <c r="AB905" s="5">
        <f>SUMPRODUCT(('01_Data'!$B905:$AW905&lt;&gt;"")*(1/(1+EXP(-(Z905-'03_Lap_b'!$B$40:$AW$40))))^2)</f>
        <v/>
      </c>
      <c r="AC905" s="5">
        <f>MEDIAN(-6,Z905+(C905-AA905)/MAX(AA905-AB905,0.000000001),6)</f>
        <v/>
      </c>
    </row>
    <row r="906">
      <c r="A906" t="n">
        <v>905</v>
      </c>
      <c r="B906">
        <f>'01_Data'!A906</f>
        <v/>
      </c>
      <c r="C906">
        <f>SUM('01_Data'!$B906:$AW906)</f>
        <v/>
      </c>
      <c r="D906">
        <f>COUNT('01_Data'!$B906:$AW906)</f>
        <v/>
      </c>
      <c r="E906" s="5">
        <f>MEDIAN(-6,LN((C906+0.3)/(D906-C906+0.3)),6)</f>
        <v/>
      </c>
      <c r="F906" s="5">
        <f>SUMPRODUCT(('01_Data'!$B906:$AW906&lt;&gt;"")*(1/(1+EXP(-(E906-'03_Lap_b'!$B$5:$AW$5)))))</f>
        <v/>
      </c>
      <c r="G906" s="5">
        <f>SUMPRODUCT(('01_Data'!$B906:$AW906&lt;&gt;"")*(1/(1+EXP(-(E906-'03_Lap_b'!$B$5:$AW$5))))^2)</f>
        <v/>
      </c>
      <c r="H906" s="5">
        <f>MEDIAN(-6,E906+(C906-F906)/MAX(F906-G906,0.000000001),6)</f>
        <v/>
      </c>
      <c r="I906" s="5">
        <f>SUMPRODUCT(('01_Data'!$B906:$AW906&lt;&gt;"")*(1/(1+EXP(-(H906-'03_Lap_b'!$B$10:$AW$10)))))</f>
        <v/>
      </c>
      <c r="J906" s="5">
        <f>SUMPRODUCT(('01_Data'!$B906:$AW906&lt;&gt;"")*(1/(1+EXP(-(H906-'03_Lap_b'!$B$10:$AW$10))))^2)</f>
        <v/>
      </c>
      <c r="K906" s="5">
        <f>MEDIAN(-6,H906+(C906-I906)/MAX(I906-J906,0.000000001),6)</f>
        <v/>
      </c>
      <c r="L906" s="5">
        <f>SUMPRODUCT(('01_Data'!$B906:$AW906&lt;&gt;"")*(1/(1+EXP(-(K906-'03_Lap_b'!$B$15:$AW$15)))))</f>
        <v/>
      </c>
      <c r="M906" s="5">
        <f>SUMPRODUCT(('01_Data'!$B906:$AW906&lt;&gt;"")*(1/(1+EXP(-(K906-'03_Lap_b'!$B$15:$AW$15))))^2)</f>
        <v/>
      </c>
      <c r="N906" s="5">
        <f>MEDIAN(-6,K906+(C906-L906)/MAX(L906-M906,0.000000001),6)</f>
        <v/>
      </c>
      <c r="O906" s="5">
        <f>SUMPRODUCT(('01_Data'!$B906:$AW906&lt;&gt;"")*(1/(1+EXP(-(N906-'03_Lap_b'!$B$20:$AW$20)))))</f>
        <v/>
      </c>
      <c r="P906" s="5">
        <f>SUMPRODUCT(('01_Data'!$B906:$AW906&lt;&gt;"")*(1/(1+EXP(-(N906-'03_Lap_b'!$B$20:$AW$20))))^2)</f>
        <v/>
      </c>
      <c r="Q906" s="5">
        <f>MEDIAN(-6,N906+(C906-O906)/MAX(O906-P906,0.000000001),6)</f>
        <v/>
      </c>
      <c r="R906" s="5">
        <f>SUMPRODUCT(('01_Data'!$B906:$AW906&lt;&gt;"")*(1/(1+EXP(-(Q906-'03_Lap_b'!$B$25:$AW$25)))))</f>
        <v/>
      </c>
      <c r="S906" s="5">
        <f>SUMPRODUCT(('01_Data'!$B906:$AW906&lt;&gt;"")*(1/(1+EXP(-(Q906-'03_Lap_b'!$B$25:$AW$25))))^2)</f>
        <v/>
      </c>
      <c r="T906" s="5">
        <f>MEDIAN(-6,Q906+(C906-R906)/MAX(R906-S906,0.000000001),6)</f>
        <v/>
      </c>
      <c r="U906" s="5">
        <f>SUMPRODUCT(('01_Data'!$B906:$AW906&lt;&gt;"")*(1/(1+EXP(-(T906-'03_Lap_b'!$B$30:$AW$30)))))</f>
        <v/>
      </c>
      <c r="V906" s="5">
        <f>SUMPRODUCT(('01_Data'!$B906:$AW906&lt;&gt;"")*(1/(1+EXP(-(T906-'03_Lap_b'!$B$30:$AW$30))))^2)</f>
        <v/>
      </c>
      <c r="W906" s="5">
        <f>MEDIAN(-6,T906+(C906-U906)/MAX(U906-V906,0.000000001),6)</f>
        <v/>
      </c>
      <c r="X906" s="5">
        <f>SUMPRODUCT(('01_Data'!$B906:$AW906&lt;&gt;"")*(1/(1+EXP(-(W906-'03_Lap_b'!$B$35:$AW$35)))))</f>
        <v/>
      </c>
      <c r="Y906" s="5">
        <f>SUMPRODUCT(('01_Data'!$B906:$AW906&lt;&gt;"")*(1/(1+EXP(-(W906-'03_Lap_b'!$B$35:$AW$35))))^2)</f>
        <v/>
      </c>
      <c r="Z906" s="5">
        <f>MEDIAN(-6,W906+(C906-X906)/MAX(X906-Y906,0.000000001),6)</f>
        <v/>
      </c>
      <c r="AA906" s="5">
        <f>SUMPRODUCT(('01_Data'!$B906:$AW906&lt;&gt;"")*(1/(1+EXP(-(Z906-'03_Lap_b'!$B$40:$AW$40)))))</f>
        <v/>
      </c>
      <c r="AB906" s="5">
        <f>SUMPRODUCT(('01_Data'!$B906:$AW906&lt;&gt;"")*(1/(1+EXP(-(Z906-'03_Lap_b'!$B$40:$AW$40))))^2)</f>
        <v/>
      </c>
      <c r="AC906" s="5">
        <f>MEDIAN(-6,Z906+(C906-AA906)/MAX(AA906-AB906,0.000000001),6)</f>
        <v/>
      </c>
    </row>
    <row r="907">
      <c r="A907" t="n">
        <v>906</v>
      </c>
      <c r="B907">
        <f>'01_Data'!A907</f>
        <v/>
      </c>
      <c r="C907">
        <f>SUM('01_Data'!$B907:$AW907)</f>
        <v/>
      </c>
      <c r="D907">
        <f>COUNT('01_Data'!$B907:$AW907)</f>
        <v/>
      </c>
      <c r="E907" s="5">
        <f>MEDIAN(-6,LN((C907+0.3)/(D907-C907+0.3)),6)</f>
        <v/>
      </c>
      <c r="F907" s="5">
        <f>SUMPRODUCT(('01_Data'!$B907:$AW907&lt;&gt;"")*(1/(1+EXP(-(E907-'03_Lap_b'!$B$5:$AW$5)))))</f>
        <v/>
      </c>
      <c r="G907" s="5">
        <f>SUMPRODUCT(('01_Data'!$B907:$AW907&lt;&gt;"")*(1/(1+EXP(-(E907-'03_Lap_b'!$B$5:$AW$5))))^2)</f>
        <v/>
      </c>
      <c r="H907" s="5">
        <f>MEDIAN(-6,E907+(C907-F907)/MAX(F907-G907,0.000000001),6)</f>
        <v/>
      </c>
      <c r="I907" s="5">
        <f>SUMPRODUCT(('01_Data'!$B907:$AW907&lt;&gt;"")*(1/(1+EXP(-(H907-'03_Lap_b'!$B$10:$AW$10)))))</f>
        <v/>
      </c>
      <c r="J907" s="5">
        <f>SUMPRODUCT(('01_Data'!$B907:$AW907&lt;&gt;"")*(1/(1+EXP(-(H907-'03_Lap_b'!$B$10:$AW$10))))^2)</f>
        <v/>
      </c>
      <c r="K907" s="5">
        <f>MEDIAN(-6,H907+(C907-I907)/MAX(I907-J907,0.000000001),6)</f>
        <v/>
      </c>
      <c r="L907" s="5">
        <f>SUMPRODUCT(('01_Data'!$B907:$AW907&lt;&gt;"")*(1/(1+EXP(-(K907-'03_Lap_b'!$B$15:$AW$15)))))</f>
        <v/>
      </c>
      <c r="M907" s="5">
        <f>SUMPRODUCT(('01_Data'!$B907:$AW907&lt;&gt;"")*(1/(1+EXP(-(K907-'03_Lap_b'!$B$15:$AW$15))))^2)</f>
        <v/>
      </c>
      <c r="N907" s="5">
        <f>MEDIAN(-6,K907+(C907-L907)/MAX(L907-M907,0.000000001),6)</f>
        <v/>
      </c>
      <c r="O907" s="5">
        <f>SUMPRODUCT(('01_Data'!$B907:$AW907&lt;&gt;"")*(1/(1+EXP(-(N907-'03_Lap_b'!$B$20:$AW$20)))))</f>
        <v/>
      </c>
      <c r="P907" s="5">
        <f>SUMPRODUCT(('01_Data'!$B907:$AW907&lt;&gt;"")*(1/(1+EXP(-(N907-'03_Lap_b'!$B$20:$AW$20))))^2)</f>
        <v/>
      </c>
      <c r="Q907" s="5">
        <f>MEDIAN(-6,N907+(C907-O907)/MAX(O907-P907,0.000000001),6)</f>
        <v/>
      </c>
      <c r="R907" s="5">
        <f>SUMPRODUCT(('01_Data'!$B907:$AW907&lt;&gt;"")*(1/(1+EXP(-(Q907-'03_Lap_b'!$B$25:$AW$25)))))</f>
        <v/>
      </c>
      <c r="S907" s="5">
        <f>SUMPRODUCT(('01_Data'!$B907:$AW907&lt;&gt;"")*(1/(1+EXP(-(Q907-'03_Lap_b'!$B$25:$AW$25))))^2)</f>
        <v/>
      </c>
      <c r="T907" s="5">
        <f>MEDIAN(-6,Q907+(C907-R907)/MAX(R907-S907,0.000000001),6)</f>
        <v/>
      </c>
      <c r="U907" s="5">
        <f>SUMPRODUCT(('01_Data'!$B907:$AW907&lt;&gt;"")*(1/(1+EXP(-(T907-'03_Lap_b'!$B$30:$AW$30)))))</f>
        <v/>
      </c>
      <c r="V907" s="5">
        <f>SUMPRODUCT(('01_Data'!$B907:$AW907&lt;&gt;"")*(1/(1+EXP(-(T907-'03_Lap_b'!$B$30:$AW$30))))^2)</f>
        <v/>
      </c>
      <c r="W907" s="5">
        <f>MEDIAN(-6,T907+(C907-U907)/MAX(U907-V907,0.000000001),6)</f>
        <v/>
      </c>
      <c r="X907" s="5">
        <f>SUMPRODUCT(('01_Data'!$B907:$AW907&lt;&gt;"")*(1/(1+EXP(-(W907-'03_Lap_b'!$B$35:$AW$35)))))</f>
        <v/>
      </c>
      <c r="Y907" s="5">
        <f>SUMPRODUCT(('01_Data'!$B907:$AW907&lt;&gt;"")*(1/(1+EXP(-(W907-'03_Lap_b'!$B$35:$AW$35))))^2)</f>
        <v/>
      </c>
      <c r="Z907" s="5">
        <f>MEDIAN(-6,W907+(C907-X907)/MAX(X907-Y907,0.000000001),6)</f>
        <v/>
      </c>
      <c r="AA907" s="5">
        <f>SUMPRODUCT(('01_Data'!$B907:$AW907&lt;&gt;"")*(1/(1+EXP(-(Z907-'03_Lap_b'!$B$40:$AW$40)))))</f>
        <v/>
      </c>
      <c r="AB907" s="5">
        <f>SUMPRODUCT(('01_Data'!$B907:$AW907&lt;&gt;"")*(1/(1+EXP(-(Z907-'03_Lap_b'!$B$40:$AW$40))))^2)</f>
        <v/>
      </c>
      <c r="AC907" s="5">
        <f>MEDIAN(-6,Z907+(C907-AA907)/MAX(AA907-AB907,0.000000001),6)</f>
        <v/>
      </c>
    </row>
    <row r="908">
      <c r="A908" t="n">
        <v>907</v>
      </c>
      <c r="B908">
        <f>'01_Data'!A908</f>
        <v/>
      </c>
      <c r="C908">
        <f>SUM('01_Data'!$B908:$AW908)</f>
        <v/>
      </c>
      <c r="D908">
        <f>COUNT('01_Data'!$B908:$AW908)</f>
        <v/>
      </c>
      <c r="E908" s="5">
        <f>MEDIAN(-6,LN((C908+0.3)/(D908-C908+0.3)),6)</f>
        <v/>
      </c>
      <c r="F908" s="5">
        <f>SUMPRODUCT(('01_Data'!$B908:$AW908&lt;&gt;"")*(1/(1+EXP(-(E908-'03_Lap_b'!$B$5:$AW$5)))))</f>
        <v/>
      </c>
      <c r="G908" s="5">
        <f>SUMPRODUCT(('01_Data'!$B908:$AW908&lt;&gt;"")*(1/(1+EXP(-(E908-'03_Lap_b'!$B$5:$AW$5))))^2)</f>
        <v/>
      </c>
      <c r="H908" s="5">
        <f>MEDIAN(-6,E908+(C908-F908)/MAX(F908-G908,0.000000001),6)</f>
        <v/>
      </c>
      <c r="I908" s="5">
        <f>SUMPRODUCT(('01_Data'!$B908:$AW908&lt;&gt;"")*(1/(1+EXP(-(H908-'03_Lap_b'!$B$10:$AW$10)))))</f>
        <v/>
      </c>
      <c r="J908" s="5">
        <f>SUMPRODUCT(('01_Data'!$B908:$AW908&lt;&gt;"")*(1/(1+EXP(-(H908-'03_Lap_b'!$B$10:$AW$10))))^2)</f>
        <v/>
      </c>
      <c r="K908" s="5">
        <f>MEDIAN(-6,H908+(C908-I908)/MAX(I908-J908,0.000000001),6)</f>
        <v/>
      </c>
      <c r="L908" s="5">
        <f>SUMPRODUCT(('01_Data'!$B908:$AW908&lt;&gt;"")*(1/(1+EXP(-(K908-'03_Lap_b'!$B$15:$AW$15)))))</f>
        <v/>
      </c>
      <c r="M908" s="5">
        <f>SUMPRODUCT(('01_Data'!$B908:$AW908&lt;&gt;"")*(1/(1+EXP(-(K908-'03_Lap_b'!$B$15:$AW$15))))^2)</f>
        <v/>
      </c>
      <c r="N908" s="5">
        <f>MEDIAN(-6,K908+(C908-L908)/MAX(L908-M908,0.000000001),6)</f>
        <v/>
      </c>
      <c r="O908" s="5">
        <f>SUMPRODUCT(('01_Data'!$B908:$AW908&lt;&gt;"")*(1/(1+EXP(-(N908-'03_Lap_b'!$B$20:$AW$20)))))</f>
        <v/>
      </c>
      <c r="P908" s="5">
        <f>SUMPRODUCT(('01_Data'!$B908:$AW908&lt;&gt;"")*(1/(1+EXP(-(N908-'03_Lap_b'!$B$20:$AW$20))))^2)</f>
        <v/>
      </c>
      <c r="Q908" s="5">
        <f>MEDIAN(-6,N908+(C908-O908)/MAX(O908-P908,0.000000001),6)</f>
        <v/>
      </c>
      <c r="R908" s="5">
        <f>SUMPRODUCT(('01_Data'!$B908:$AW908&lt;&gt;"")*(1/(1+EXP(-(Q908-'03_Lap_b'!$B$25:$AW$25)))))</f>
        <v/>
      </c>
      <c r="S908" s="5">
        <f>SUMPRODUCT(('01_Data'!$B908:$AW908&lt;&gt;"")*(1/(1+EXP(-(Q908-'03_Lap_b'!$B$25:$AW$25))))^2)</f>
        <v/>
      </c>
      <c r="T908" s="5">
        <f>MEDIAN(-6,Q908+(C908-R908)/MAX(R908-S908,0.000000001),6)</f>
        <v/>
      </c>
      <c r="U908" s="5">
        <f>SUMPRODUCT(('01_Data'!$B908:$AW908&lt;&gt;"")*(1/(1+EXP(-(T908-'03_Lap_b'!$B$30:$AW$30)))))</f>
        <v/>
      </c>
      <c r="V908" s="5">
        <f>SUMPRODUCT(('01_Data'!$B908:$AW908&lt;&gt;"")*(1/(1+EXP(-(T908-'03_Lap_b'!$B$30:$AW$30))))^2)</f>
        <v/>
      </c>
      <c r="W908" s="5">
        <f>MEDIAN(-6,T908+(C908-U908)/MAX(U908-V908,0.000000001),6)</f>
        <v/>
      </c>
      <c r="X908" s="5">
        <f>SUMPRODUCT(('01_Data'!$B908:$AW908&lt;&gt;"")*(1/(1+EXP(-(W908-'03_Lap_b'!$B$35:$AW$35)))))</f>
        <v/>
      </c>
      <c r="Y908" s="5">
        <f>SUMPRODUCT(('01_Data'!$B908:$AW908&lt;&gt;"")*(1/(1+EXP(-(W908-'03_Lap_b'!$B$35:$AW$35))))^2)</f>
        <v/>
      </c>
      <c r="Z908" s="5">
        <f>MEDIAN(-6,W908+(C908-X908)/MAX(X908-Y908,0.000000001),6)</f>
        <v/>
      </c>
      <c r="AA908" s="5">
        <f>SUMPRODUCT(('01_Data'!$B908:$AW908&lt;&gt;"")*(1/(1+EXP(-(Z908-'03_Lap_b'!$B$40:$AW$40)))))</f>
        <v/>
      </c>
      <c r="AB908" s="5">
        <f>SUMPRODUCT(('01_Data'!$B908:$AW908&lt;&gt;"")*(1/(1+EXP(-(Z908-'03_Lap_b'!$B$40:$AW$40))))^2)</f>
        <v/>
      </c>
      <c r="AC908" s="5">
        <f>MEDIAN(-6,Z908+(C908-AA908)/MAX(AA908-AB908,0.000000001),6)</f>
        <v/>
      </c>
    </row>
    <row r="909">
      <c r="A909" t="n">
        <v>908</v>
      </c>
      <c r="B909">
        <f>'01_Data'!A909</f>
        <v/>
      </c>
      <c r="C909">
        <f>SUM('01_Data'!$B909:$AW909)</f>
        <v/>
      </c>
      <c r="D909">
        <f>COUNT('01_Data'!$B909:$AW909)</f>
        <v/>
      </c>
      <c r="E909" s="5">
        <f>MEDIAN(-6,LN((C909+0.3)/(D909-C909+0.3)),6)</f>
        <v/>
      </c>
      <c r="F909" s="5">
        <f>SUMPRODUCT(('01_Data'!$B909:$AW909&lt;&gt;"")*(1/(1+EXP(-(E909-'03_Lap_b'!$B$5:$AW$5)))))</f>
        <v/>
      </c>
      <c r="G909" s="5">
        <f>SUMPRODUCT(('01_Data'!$B909:$AW909&lt;&gt;"")*(1/(1+EXP(-(E909-'03_Lap_b'!$B$5:$AW$5))))^2)</f>
        <v/>
      </c>
      <c r="H909" s="5">
        <f>MEDIAN(-6,E909+(C909-F909)/MAX(F909-G909,0.000000001),6)</f>
        <v/>
      </c>
      <c r="I909" s="5">
        <f>SUMPRODUCT(('01_Data'!$B909:$AW909&lt;&gt;"")*(1/(1+EXP(-(H909-'03_Lap_b'!$B$10:$AW$10)))))</f>
        <v/>
      </c>
      <c r="J909" s="5">
        <f>SUMPRODUCT(('01_Data'!$B909:$AW909&lt;&gt;"")*(1/(1+EXP(-(H909-'03_Lap_b'!$B$10:$AW$10))))^2)</f>
        <v/>
      </c>
      <c r="K909" s="5">
        <f>MEDIAN(-6,H909+(C909-I909)/MAX(I909-J909,0.000000001),6)</f>
        <v/>
      </c>
      <c r="L909" s="5">
        <f>SUMPRODUCT(('01_Data'!$B909:$AW909&lt;&gt;"")*(1/(1+EXP(-(K909-'03_Lap_b'!$B$15:$AW$15)))))</f>
        <v/>
      </c>
      <c r="M909" s="5">
        <f>SUMPRODUCT(('01_Data'!$B909:$AW909&lt;&gt;"")*(1/(1+EXP(-(K909-'03_Lap_b'!$B$15:$AW$15))))^2)</f>
        <v/>
      </c>
      <c r="N909" s="5">
        <f>MEDIAN(-6,K909+(C909-L909)/MAX(L909-M909,0.000000001),6)</f>
        <v/>
      </c>
      <c r="O909" s="5">
        <f>SUMPRODUCT(('01_Data'!$B909:$AW909&lt;&gt;"")*(1/(1+EXP(-(N909-'03_Lap_b'!$B$20:$AW$20)))))</f>
        <v/>
      </c>
      <c r="P909" s="5">
        <f>SUMPRODUCT(('01_Data'!$B909:$AW909&lt;&gt;"")*(1/(1+EXP(-(N909-'03_Lap_b'!$B$20:$AW$20))))^2)</f>
        <v/>
      </c>
      <c r="Q909" s="5">
        <f>MEDIAN(-6,N909+(C909-O909)/MAX(O909-P909,0.000000001),6)</f>
        <v/>
      </c>
      <c r="R909" s="5">
        <f>SUMPRODUCT(('01_Data'!$B909:$AW909&lt;&gt;"")*(1/(1+EXP(-(Q909-'03_Lap_b'!$B$25:$AW$25)))))</f>
        <v/>
      </c>
      <c r="S909" s="5">
        <f>SUMPRODUCT(('01_Data'!$B909:$AW909&lt;&gt;"")*(1/(1+EXP(-(Q909-'03_Lap_b'!$B$25:$AW$25))))^2)</f>
        <v/>
      </c>
      <c r="T909" s="5">
        <f>MEDIAN(-6,Q909+(C909-R909)/MAX(R909-S909,0.000000001),6)</f>
        <v/>
      </c>
      <c r="U909" s="5">
        <f>SUMPRODUCT(('01_Data'!$B909:$AW909&lt;&gt;"")*(1/(1+EXP(-(T909-'03_Lap_b'!$B$30:$AW$30)))))</f>
        <v/>
      </c>
      <c r="V909" s="5">
        <f>SUMPRODUCT(('01_Data'!$B909:$AW909&lt;&gt;"")*(1/(1+EXP(-(T909-'03_Lap_b'!$B$30:$AW$30))))^2)</f>
        <v/>
      </c>
      <c r="W909" s="5">
        <f>MEDIAN(-6,T909+(C909-U909)/MAX(U909-V909,0.000000001),6)</f>
        <v/>
      </c>
      <c r="X909" s="5">
        <f>SUMPRODUCT(('01_Data'!$B909:$AW909&lt;&gt;"")*(1/(1+EXP(-(W909-'03_Lap_b'!$B$35:$AW$35)))))</f>
        <v/>
      </c>
      <c r="Y909" s="5">
        <f>SUMPRODUCT(('01_Data'!$B909:$AW909&lt;&gt;"")*(1/(1+EXP(-(W909-'03_Lap_b'!$B$35:$AW$35))))^2)</f>
        <v/>
      </c>
      <c r="Z909" s="5">
        <f>MEDIAN(-6,W909+(C909-X909)/MAX(X909-Y909,0.000000001),6)</f>
        <v/>
      </c>
      <c r="AA909" s="5">
        <f>SUMPRODUCT(('01_Data'!$B909:$AW909&lt;&gt;"")*(1/(1+EXP(-(Z909-'03_Lap_b'!$B$40:$AW$40)))))</f>
        <v/>
      </c>
      <c r="AB909" s="5">
        <f>SUMPRODUCT(('01_Data'!$B909:$AW909&lt;&gt;"")*(1/(1+EXP(-(Z909-'03_Lap_b'!$B$40:$AW$40))))^2)</f>
        <v/>
      </c>
      <c r="AC909" s="5">
        <f>MEDIAN(-6,Z909+(C909-AA909)/MAX(AA909-AB909,0.000000001),6)</f>
        <v/>
      </c>
    </row>
    <row r="910">
      <c r="A910" t="n">
        <v>909</v>
      </c>
      <c r="B910">
        <f>'01_Data'!A910</f>
        <v/>
      </c>
      <c r="C910">
        <f>SUM('01_Data'!$B910:$AW910)</f>
        <v/>
      </c>
      <c r="D910">
        <f>COUNT('01_Data'!$B910:$AW910)</f>
        <v/>
      </c>
      <c r="E910" s="5">
        <f>MEDIAN(-6,LN((C910+0.3)/(D910-C910+0.3)),6)</f>
        <v/>
      </c>
      <c r="F910" s="5">
        <f>SUMPRODUCT(('01_Data'!$B910:$AW910&lt;&gt;"")*(1/(1+EXP(-(E910-'03_Lap_b'!$B$5:$AW$5)))))</f>
        <v/>
      </c>
      <c r="G910" s="5">
        <f>SUMPRODUCT(('01_Data'!$B910:$AW910&lt;&gt;"")*(1/(1+EXP(-(E910-'03_Lap_b'!$B$5:$AW$5))))^2)</f>
        <v/>
      </c>
      <c r="H910" s="5">
        <f>MEDIAN(-6,E910+(C910-F910)/MAX(F910-G910,0.000000001),6)</f>
        <v/>
      </c>
      <c r="I910" s="5">
        <f>SUMPRODUCT(('01_Data'!$B910:$AW910&lt;&gt;"")*(1/(1+EXP(-(H910-'03_Lap_b'!$B$10:$AW$10)))))</f>
        <v/>
      </c>
      <c r="J910" s="5">
        <f>SUMPRODUCT(('01_Data'!$B910:$AW910&lt;&gt;"")*(1/(1+EXP(-(H910-'03_Lap_b'!$B$10:$AW$10))))^2)</f>
        <v/>
      </c>
      <c r="K910" s="5">
        <f>MEDIAN(-6,H910+(C910-I910)/MAX(I910-J910,0.000000001),6)</f>
        <v/>
      </c>
      <c r="L910" s="5">
        <f>SUMPRODUCT(('01_Data'!$B910:$AW910&lt;&gt;"")*(1/(1+EXP(-(K910-'03_Lap_b'!$B$15:$AW$15)))))</f>
        <v/>
      </c>
      <c r="M910" s="5">
        <f>SUMPRODUCT(('01_Data'!$B910:$AW910&lt;&gt;"")*(1/(1+EXP(-(K910-'03_Lap_b'!$B$15:$AW$15))))^2)</f>
        <v/>
      </c>
      <c r="N910" s="5">
        <f>MEDIAN(-6,K910+(C910-L910)/MAX(L910-M910,0.000000001),6)</f>
        <v/>
      </c>
      <c r="O910" s="5">
        <f>SUMPRODUCT(('01_Data'!$B910:$AW910&lt;&gt;"")*(1/(1+EXP(-(N910-'03_Lap_b'!$B$20:$AW$20)))))</f>
        <v/>
      </c>
      <c r="P910" s="5">
        <f>SUMPRODUCT(('01_Data'!$B910:$AW910&lt;&gt;"")*(1/(1+EXP(-(N910-'03_Lap_b'!$B$20:$AW$20))))^2)</f>
        <v/>
      </c>
      <c r="Q910" s="5">
        <f>MEDIAN(-6,N910+(C910-O910)/MAX(O910-P910,0.000000001),6)</f>
        <v/>
      </c>
      <c r="R910" s="5">
        <f>SUMPRODUCT(('01_Data'!$B910:$AW910&lt;&gt;"")*(1/(1+EXP(-(Q910-'03_Lap_b'!$B$25:$AW$25)))))</f>
        <v/>
      </c>
      <c r="S910" s="5">
        <f>SUMPRODUCT(('01_Data'!$B910:$AW910&lt;&gt;"")*(1/(1+EXP(-(Q910-'03_Lap_b'!$B$25:$AW$25))))^2)</f>
        <v/>
      </c>
      <c r="T910" s="5">
        <f>MEDIAN(-6,Q910+(C910-R910)/MAX(R910-S910,0.000000001),6)</f>
        <v/>
      </c>
      <c r="U910" s="5">
        <f>SUMPRODUCT(('01_Data'!$B910:$AW910&lt;&gt;"")*(1/(1+EXP(-(T910-'03_Lap_b'!$B$30:$AW$30)))))</f>
        <v/>
      </c>
      <c r="V910" s="5">
        <f>SUMPRODUCT(('01_Data'!$B910:$AW910&lt;&gt;"")*(1/(1+EXP(-(T910-'03_Lap_b'!$B$30:$AW$30))))^2)</f>
        <v/>
      </c>
      <c r="W910" s="5">
        <f>MEDIAN(-6,T910+(C910-U910)/MAX(U910-V910,0.000000001),6)</f>
        <v/>
      </c>
      <c r="X910" s="5">
        <f>SUMPRODUCT(('01_Data'!$B910:$AW910&lt;&gt;"")*(1/(1+EXP(-(W910-'03_Lap_b'!$B$35:$AW$35)))))</f>
        <v/>
      </c>
      <c r="Y910" s="5">
        <f>SUMPRODUCT(('01_Data'!$B910:$AW910&lt;&gt;"")*(1/(1+EXP(-(W910-'03_Lap_b'!$B$35:$AW$35))))^2)</f>
        <v/>
      </c>
      <c r="Z910" s="5">
        <f>MEDIAN(-6,W910+(C910-X910)/MAX(X910-Y910,0.000000001),6)</f>
        <v/>
      </c>
      <c r="AA910" s="5">
        <f>SUMPRODUCT(('01_Data'!$B910:$AW910&lt;&gt;"")*(1/(1+EXP(-(Z910-'03_Lap_b'!$B$40:$AW$40)))))</f>
        <v/>
      </c>
      <c r="AB910" s="5">
        <f>SUMPRODUCT(('01_Data'!$B910:$AW910&lt;&gt;"")*(1/(1+EXP(-(Z910-'03_Lap_b'!$B$40:$AW$40))))^2)</f>
        <v/>
      </c>
      <c r="AC910" s="5">
        <f>MEDIAN(-6,Z910+(C910-AA910)/MAX(AA910-AB910,0.000000001),6)</f>
        <v/>
      </c>
    </row>
    <row r="911">
      <c r="A911" t="n">
        <v>910</v>
      </c>
      <c r="B911">
        <f>'01_Data'!A911</f>
        <v/>
      </c>
      <c r="C911">
        <f>SUM('01_Data'!$B911:$AW911)</f>
        <v/>
      </c>
      <c r="D911">
        <f>COUNT('01_Data'!$B911:$AW911)</f>
        <v/>
      </c>
      <c r="E911" s="5">
        <f>MEDIAN(-6,LN((C911+0.3)/(D911-C911+0.3)),6)</f>
        <v/>
      </c>
      <c r="F911" s="5">
        <f>SUMPRODUCT(('01_Data'!$B911:$AW911&lt;&gt;"")*(1/(1+EXP(-(E911-'03_Lap_b'!$B$5:$AW$5)))))</f>
        <v/>
      </c>
      <c r="G911" s="5">
        <f>SUMPRODUCT(('01_Data'!$B911:$AW911&lt;&gt;"")*(1/(1+EXP(-(E911-'03_Lap_b'!$B$5:$AW$5))))^2)</f>
        <v/>
      </c>
      <c r="H911" s="5">
        <f>MEDIAN(-6,E911+(C911-F911)/MAX(F911-G911,0.000000001),6)</f>
        <v/>
      </c>
      <c r="I911" s="5">
        <f>SUMPRODUCT(('01_Data'!$B911:$AW911&lt;&gt;"")*(1/(1+EXP(-(H911-'03_Lap_b'!$B$10:$AW$10)))))</f>
        <v/>
      </c>
      <c r="J911" s="5">
        <f>SUMPRODUCT(('01_Data'!$B911:$AW911&lt;&gt;"")*(1/(1+EXP(-(H911-'03_Lap_b'!$B$10:$AW$10))))^2)</f>
        <v/>
      </c>
      <c r="K911" s="5">
        <f>MEDIAN(-6,H911+(C911-I911)/MAX(I911-J911,0.000000001),6)</f>
        <v/>
      </c>
      <c r="L911" s="5">
        <f>SUMPRODUCT(('01_Data'!$B911:$AW911&lt;&gt;"")*(1/(1+EXP(-(K911-'03_Lap_b'!$B$15:$AW$15)))))</f>
        <v/>
      </c>
      <c r="M911" s="5">
        <f>SUMPRODUCT(('01_Data'!$B911:$AW911&lt;&gt;"")*(1/(1+EXP(-(K911-'03_Lap_b'!$B$15:$AW$15))))^2)</f>
        <v/>
      </c>
      <c r="N911" s="5">
        <f>MEDIAN(-6,K911+(C911-L911)/MAX(L911-M911,0.000000001),6)</f>
        <v/>
      </c>
      <c r="O911" s="5">
        <f>SUMPRODUCT(('01_Data'!$B911:$AW911&lt;&gt;"")*(1/(1+EXP(-(N911-'03_Lap_b'!$B$20:$AW$20)))))</f>
        <v/>
      </c>
      <c r="P911" s="5">
        <f>SUMPRODUCT(('01_Data'!$B911:$AW911&lt;&gt;"")*(1/(1+EXP(-(N911-'03_Lap_b'!$B$20:$AW$20))))^2)</f>
        <v/>
      </c>
      <c r="Q911" s="5">
        <f>MEDIAN(-6,N911+(C911-O911)/MAX(O911-P911,0.000000001),6)</f>
        <v/>
      </c>
      <c r="R911" s="5">
        <f>SUMPRODUCT(('01_Data'!$B911:$AW911&lt;&gt;"")*(1/(1+EXP(-(Q911-'03_Lap_b'!$B$25:$AW$25)))))</f>
        <v/>
      </c>
      <c r="S911" s="5">
        <f>SUMPRODUCT(('01_Data'!$B911:$AW911&lt;&gt;"")*(1/(1+EXP(-(Q911-'03_Lap_b'!$B$25:$AW$25))))^2)</f>
        <v/>
      </c>
      <c r="T911" s="5">
        <f>MEDIAN(-6,Q911+(C911-R911)/MAX(R911-S911,0.000000001),6)</f>
        <v/>
      </c>
      <c r="U911" s="5">
        <f>SUMPRODUCT(('01_Data'!$B911:$AW911&lt;&gt;"")*(1/(1+EXP(-(T911-'03_Lap_b'!$B$30:$AW$30)))))</f>
        <v/>
      </c>
      <c r="V911" s="5">
        <f>SUMPRODUCT(('01_Data'!$B911:$AW911&lt;&gt;"")*(1/(1+EXP(-(T911-'03_Lap_b'!$B$30:$AW$30))))^2)</f>
        <v/>
      </c>
      <c r="W911" s="5">
        <f>MEDIAN(-6,T911+(C911-U911)/MAX(U911-V911,0.000000001),6)</f>
        <v/>
      </c>
      <c r="X911" s="5">
        <f>SUMPRODUCT(('01_Data'!$B911:$AW911&lt;&gt;"")*(1/(1+EXP(-(W911-'03_Lap_b'!$B$35:$AW$35)))))</f>
        <v/>
      </c>
      <c r="Y911" s="5">
        <f>SUMPRODUCT(('01_Data'!$B911:$AW911&lt;&gt;"")*(1/(1+EXP(-(W911-'03_Lap_b'!$B$35:$AW$35))))^2)</f>
        <v/>
      </c>
      <c r="Z911" s="5">
        <f>MEDIAN(-6,W911+(C911-X911)/MAX(X911-Y911,0.000000001),6)</f>
        <v/>
      </c>
      <c r="AA911" s="5">
        <f>SUMPRODUCT(('01_Data'!$B911:$AW911&lt;&gt;"")*(1/(1+EXP(-(Z911-'03_Lap_b'!$B$40:$AW$40)))))</f>
        <v/>
      </c>
      <c r="AB911" s="5">
        <f>SUMPRODUCT(('01_Data'!$B911:$AW911&lt;&gt;"")*(1/(1+EXP(-(Z911-'03_Lap_b'!$B$40:$AW$40))))^2)</f>
        <v/>
      </c>
      <c r="AC911" s="5">
        <f>MEDIAN(-6,Z911+(C911-AA911)/MAX(AA911-AB911,0.000000001),6)</f>
        <v/>
      </c>
    </row>
    <row r="912">
      <c r="A912" t="n">
        <v>911</v>
      </c>
      <c r="B912">
        <f>'01_Data'!A912</f>
        <v/>
      </c>
      <c r="C912">
        <f>SUM('01_Data'!$B912:$AW912)</f>
        <v/>
      </c>
      <c r="D912">
        <f>COUNT('01_Data'!$B912:$AW912)</f>
        <v/>
      </c>
      <c r="E912" s="5">
        <f>MEDIAN(-6,LN((C912+0.3)/(D912-C912+0.3)),6)</f>
        <v/>
      </c>
      <c r="F912" s="5">
        <f>SUMPRODUCT(('01_Data'!$B912:$AW912&lt;&gt;"")*(1/(1+EXP(-(E912-'03_Lap_b'!$B$5:$AW$5)))))</f>
        <v/>
      </c>
      <c r="G912" s="5">
        <f>SUMPRODUCT(('01_Data'!$B912:$AW912&lt;&gt;"")*(1/(1+EXP(-(E912-'03_Lap_b'!$B$5:$AW$5))))^2)</f>
        <v/>
      </c>
      <c r="H912" s="5">
        <f>MEDIAN(-6,E912+(C912-F912)/MAX(F912-G912,0.000000001),6)</f>
        <v/>
      </c>
      <c r="I912" s="5">
        <f>SUMPRODUCT(('01_Data'!$B912:$AW912&lt;&gt;"")*(1/(1+EXP(-(H912-'03_Lap_b'!$B$10:$AW$10)))))</f>
        <v/>
      </c>
      <c r="J912" s="5">
        <f>SUMPRODUCT(('01_Data'!$B912:$AW912&lt;&gt;"")*(1/(1+EXP(-(H912-'03_Lap_b'!$B$10:$AW$10))))^2)</f>
        <v/>
      </c>
      <c r="K912" s="5">
        <f>MEDIAN(-6,H912+(C912-I912)/MAX(I912-J912,0.000000001),6)</f>
        <v/>
      </c>
      <c r="L912" s="5">
        <f>SUMPRODUCT(('01_Data'!$B912:$AW912&lt;&gt;"")*(1/(1+EXP(-(K912-'03_Lap_b'!$B$15:$AW$15)))))</f>
        <v/>
      </c>
      <c r="M912" s="5">
        <f>SUMPRODUCT(('01_Data'!$B912:$AW912&lt;&gt;"")*(1/(1+EXP(-(K912-'03_Lap_b'!$B$15:$AW$15))))^2)</f>
        <v/>
      </c>
      <c r="N912" s="5">
        <f>MEDIAN(-6,K912+(C912-L912)/MAX(L912-M912,0.000000001),6)</f>
        <v/>
      </c>
      <c r="O912" s="5">
        <f>SUMPRODUCT(('01_Data'!$B912:$AW912&lt;&gt;"")*(1/(1+EXP(-(N912-'03_Lap_b'!$B$20:$AW$20)))))</f>
        <v/>
      </c>
      <c r="P912" s="5">
        <f>SUMPRODUCT(('01_Data'!$B912:$AW912&lt;&gt;"")*(1/(1+EXP(-(N912-'03_Lap_b'!$B$20:$AW$20))))^2)</f>
        <v/>
      </c>
      <c r="Q912" s="5">
        <f>MEDIAN(-6,N912+(C912-O912)/MAX(O912-P912,0.000000001),6)</f>
        <v/>
      </c>
      <c r="R912" s="5">
        <f>SUMPRODUCT(('01_Data'!$B912:$AW912&lt;&gt;"")*(1/(1+EXP(-(Q912-'03_Lap_b'!$B$25:$AW$25)))))</f>
        <v/>
      </c>
      <c r="S912" s="5">
        <f>SUMPRODUCT(('01_Data'!$B912:$AW912&lt;&gt;"")*(1/(1+EXP(-(Q912-'03_Lap_b'!$B$25:$AW$25))))^2)</f>
        <v/>
      </c>
      <c r="T912" s="5">
        <f>MEDIAN(-6,Q912+(C912-R912)/MAX(R912-S912,0.000000001),6)</f>
        <v/>
      </c>
      <c r="U912" s="5">
        <f>SUMPRODUCT(('01_Data'!$B912:$AW912&lt;&gt;"")*(1/(1+EXP(-(T912-'03_Lap_b'!$B$30:$AW$30)))))</f>
        <v/>
      </c>
      <c r="V912" s="5">
        <f>SUMPRODUCT(('01_Data'!$B912:$AW912&lt;&gt;"")*(1/(1+EXP(-(T912-'03_Lap_b'!$B$30:$AW$30))))^2)</f>
        <v/>
      </c>
      <c r="W912" s="5">
        <f>MEDIAN(-6,T912+(C912-U912)/MAX(U912-V912,0.000000001),6)</f>
        <v/>
      </c>
      <c r="X912" s="5">
        <f>SUMPRODUCT(('01_Data'!$B912:$AW912&lt;&gt;"")*(1/(1+EXP(-(W912-'03_Lap_b'!$B$35:$AW$35)))))</f>
        <v/>
      </c>
      <c r="Y912" s="5">
        <f>SUMPRODUCT(('01_Data'!$B912:$AW912&lt;&gt;"")*(1/(1+EXP(-(W912-'03_Lap_b'!$B$35:$AW$35))))^2)</f>
        <v/>
      </c>
      <c r="Z912" s="5">
        <f>MEDIAN(-6,W912+(C912-X912)/MAX(X912-Y912,0.000000001),6)</f>
        <v/>
      </c>
      <c r="AA912" s="5">
        <f>SUMPRODUCT(('01_Data'!$B912:$AW912&lt;&gt;"")*(1/(1+EXP(-(Z912-'03_Lap_b'!$B$40:$AW$40)))))</f>
        <v/>
      </c>
      <c r="AB912" s="5">
        <f>SUMPRODUCT(('01_Data'!$B912:$AW912&lt;&gt;"")*(1/(1+EXP(-(Z912-'03_Lap_b'!$B$40:$AW$40))))^2)</f>
        <v/>
      </c>
      <c r="AC912" s="5">
        <f>MEDIAN(-6,Z912+(C912-AA912)/MAX(AA912-AB912,0.000000001),6)</f>
        <v/>
      </c>
    </row>
    <row r="913">
      <c r="A913" t="n">
        <v>912</v>
      </c>
      <c r="B913">
        <f>'01_Data'!A913</f>
        <v/>
      </c>
      <c r="C913">
        <f>SUM('01_Data'!$B913:$AW913)</f>
        <v/>
      </c>
      <c r="D913">
        <f>COUNT('01_Data'!$B913:$AW913)</f>
        <v/>
      </c>
      <c r="E913" s="5">
        <f>MEDIAN(-6,LN((C913+0.3)/(D913-C913+0.3)),6)</f>
        <v/>
      </c>
      <c r="F913" s="5">
        <f>SUMPRODUCT(('01_Data'!$B913:$AW913&lt;&gt;"")*(1/(1+EXP(-(E913-'03_Lap_b'!$B$5:$AW$5)))))</f>
        <v/>
      </c>
      <c r="G913" s="5">
        <f>SUMPRODUCT(('01_Data'!$B913:$AW913&lt;&gt;"")*(1/(1+EXP(-(E913-'03_Lap_b'!$B$5:$AW$5))))^2)</f>
        <v/>
      </c>
      <c r="H913" s="5">
        <f>MEDIAN(-6,E913+(C913-F913)/MAX(F913-G913,0.000000001),6)</f>
        <v/>
      </c>
      <c r="I913" s="5">
        <f>SUMPRODUCT(('01_Data'!$B913:$AW913&lt;&gt;"")*(1/(1+EXP(-(H913-'03_Lap_b'!$B$10:$AW$10)))))</f>
        <v/>
      </c>
      <c r="J913" s="5">
        <f>SUMPRODUCT(('01_Data'!$B913:$AW913&lt;&gt;"")*(1/(1+EXP(-(H913-'03_Lap_b'!$B$10:$AW$10))))^2)</f>
        <v/>
      </c>
      <c r="K913" s="5">
        <f>MEDIAN(-6,H913+(C913-I913)/MAX(I913-J913,0.000000001),6)</f>
        <v/>
      </c>
      <c r="L913" s="5">
        <f>SUMPRODUCT(('01_Data'!$B913:$AW913&lt;&gt;"")*(1/(1+EXP(-(K913-'03_Lap_b'!$B$15:$AW$15)))))</f>
        <v/>
      </c>
      <c r="M913" s="5">
        <f>SUMPRODUCT(('01_Data'!$B913:$AW913&lt;&gt;"")*(1/(1+EXP(-(K913-'03_Lap_b'!$B$15:$AW$15))))^2)</f>
        <v/>
      </c>
      <c r="N913" s="5">
        <f>MEDIAN(-6,K913+(C913-L913)/MAX(L913-M913,0.000000001),6)</f>
        <v/>
      </c>
      <c r="O913" s="5">
        <f>SUMPRODUCT(('01_Data'!$B913:$AW913&lt;&gt;"")*(1/(1+EXP(-(N913-'03_Lap_b'!$B$20:$AW$20)))))</f>
        <v/>
      </c>
      <c r="P913" s="5">
        <f>SUMPRODUCT(('01_Data'!$B913:$AW913&lt;&gt;"")*(1/(1+EXP(-(N913-'03_Lap_b'!$B$20:$AW$20))))^2)</f>
        <v/>
      </c>
      <c r="Q913" s="5">
        <f>MEDIAN(-6,N913+(C913-O913)/MAX(O913-P913,0.000000001),6)</f>
        <v/>
      </c>
      <c r="R913" s="5">
        <f>SUMPRODUCT(('01_Data'!$B913:$AW913&lt;&gt;"")*(1/(1+EXP(-(Q913-'03_Lap_b'!$B$25:$AW$25)))))</f>
        <v/>
      </c>
      <c r="S913" s="5">
        <f>SUMPRODUCT(('01_Data'!$B913:$AW913&lt;&gt;"")*(1/(1+EXP(-(Q913-'03_Lap_b'!$B$25:$AW$25))))^2)</f>
        <v/>
      </c>
      <c r="T913" s="5">
        <f>MEDIAN(-6,Q913+(C913-R913)/MAX(R913-S913,0.000000001),6)</f>
        <v/>
      </c>
      <c r="U913" s="5">
        <f>SUMPRODUCT(('01_Data'!$B913:$AW913&lt;&gt;"")*(1/(1+EXP(-(T913-'03_Lap_b'!$B$30:$AW$30)))))</f>
        <v/>
      </c>
      <c r="V913" s="5">
        <f>SUMPRODUCT(('01_Data'!$B913:$AW913&lt;&gt;"")*(1/(1+EXP(-(T913-'03_Lap_b'!$B$30:$AW$30))))^2)</f>
        <v/>
      </c>
      <c r="W913" s="5">
        <f>MEDIAN(-6,T913+(C913-U913)/MAX(U913-V913,0.000000001),6)</f>
        <v/>
      </c>
      <c r="X913" s="5">
        <f>SUMPRODUCT(('01_Data'!$B913:$AW913&lt;&gt;"")*(1/(1+EXP(-(W913-'03_Lap_b'!$B$35:$AW$35)))))</f>
        <v/>
      </c>
      <c r="Y913" s="5">
        <f>SUMPRODUCT(('01_Data'!$B913:$AW913&lt;&gt;"")*(1/(1+EXP(-(W913-'03_Lap_b'!$B$35:$AW$35))))^2)</f>
        <v/>
      </c>
      <c r="Z913" s="5">
        <f>MEDIAN(-6,W913+(C913-X913)/MAX(X913-Y913,0.000000001),6)</f>
        <v/>
      </c>
      <c r="AA913" s="5">
        <f>SUMPRODUCT(('01_Data'!$B913:$AW913&lt;&gt;"")*(1/(1+EXP(-(Z913-'03_Lap_b'!$B$40:$AW$40)))))</f>
        <v/>
      </c>
      <c r="AB913" s="5">
        <f>SUMPRODUCT(('01_Data'!$B913:$AW913&lt;&gt;"")*(1/(1+EXP(-(Z913-'03_Lap_b'!$B$40:$AW$40))))^2)</f>
        <v/>
      </c>
      <c r="AC913" s="5">
        <f>MEDIAN(-6,Z913+(C913-AA913)/MAX(AA913-AB913,0.000000001),6)</f>
        <v/>
      </c>
    </row>
    <row r="914">
      <c r="A914" t="n">
        <v>913</v>
      </c>
      <c r="B914">
        <f>'01_Data'!A914</f>
        <v/>
      </c>
      <c r="C914">
        <f>SUM('01_Data'!$B914:$AW914)</f>
        <v/>
      </c>
      <c r="D914">
        <f>COUNT('01_Data'!$B914:$AW914)</f>
        <v/>
      </c>
      <c r="E914" s="5">
        <f>MEDIAN(-6,LN((C914+0.3)/(D914-C914+0.3)),6)</f>
        <v/>
      </c>
      <c r="F914" s="5">
        <f>SUMPRODUCT(('01_Data'!$B914:$AW914&lt;&gt;"")*(1/(1+EXP(-(E914-'03_Lap_b'!$B$5:$AW$5)))))</f>
        <v/>
      </c>
      <c r="G914" s="5">
        <f>SUMPRODUCT(('01_Data'!$B914:$AW914&lt;&gt;"")*(1/(1+EXP(-(E914-'03_Lap_b'!$B$5:$AW$5))))^2)</f>
        <v/>
      </c>
      <c r="H914" s="5">
        <f>MEDIAN(-6,E914+(C914-F914)/MAX(F914-G914,0.000000001),6)</f>
        <v/>
      </c>
      <c r="I914" s="5">
        <f>SUMPRODUCT(('01_Data'!$B914:$AW914&lt;&gt;"")*(1/(1+EXP(-(H914-'03_Lap_b'!$B$10:$AW$10)))))</f>
        <v/>
      </c>
      <c r="J914" s="5">
        <f>SUMPRODUCT(('01_Data'!$B914:$AW914&lt;&gt;"")*(1/(1+EXP(-(H914-'03_Lap_b'!$B$10:$AW$10))))^2)</f>
        <v/>
      </c>
      <c r="K914" s="5">
        <f>MEDIAN(-6,H914+(C914-I914)/MAX(I914-J914,0.000000001),6)</f>
        <v/>
      </c>
      <c r="L914" s="5">
        <f>SUMPRODUCT(('01_Data'!$B914:$AW914&lt;&gt;"")*(1/(1+EXP(-(K914-'03_Lap_b'!$B$15:$AW$15)))))</f>
        <v/>
      </c>
      <c r="M914" s="5">
        <f>SUMPRODUCT(('01_Data'!$B914:$AW914&lt;&gt;"")*(1/(1+EXP(-(K914-'03_Lap_b'!$B$15:$AW$15))))^2)</f>
        <v/>
      </c>
      <c r="N914" s="5">
        <f>MEDIAN(-6,K914+(C914-L914)/MAX(L914-M914,0.000000001),6)</f>
        <v/>
      </c>
      <c r="O914" s="5">
        <f>SUMPRODUCT(('01_Data'!$B914:$AW914&lt;&gt;"")*(1/(1+EXP(-(N914-'03_Lap_b'!$B$20:$AW$20)))))</f>
        <v/>
      </c>
      <c r="P914" s="5">
        <f>SUMPRODUCT(('01_Data'!$B914:$AW914&lt;&gt;"")*(1/(1+EXP(-(N914-'03_Lap_b'!$B$20:$AW$20))))^2)</f>
        <v/>
      </c>
      <c r="Q914" s="5">
        <f>MEDIAN(-6,N914+(C914-O914)/MAX(O914-P914,0.000000001),6)</f>
        <v/>
      </c>
      <c r="R914" s="5">
        <f>SUMPRODUCT(('01_Data'!$B914:$AW914&lt;&gt;"")*(1/(1+EXP(-(Q914-'03_Lap_b'!$B$25:$AW$25)))))</f>
        <v/>
      </c>
      <c r="S914" s="5">
        <f>SUMPRODUCT(('01_Data'!$B914:$AW914&lt;&gt;"")*(1/(1+EXP(-(Q914-'03_Lap_b'!$B$25:$AW$25))))^2)</f>
        <v/>
      </c>
      <c r="T914" s="5">
        <f>MEDIAN(-6,Q914+(C914-R914)/MAX(R914-S914,0.000000001),6)</f>
        <v/>
      </c>
      <c r="U914" s="5">
        <f>SUMPRODUCT(('01_Data'!$B914:$AW914&lt;&gt;"")*(1/(1+EXP(-(T914-'03_Lap_b'!$B$30:$AW$30)))))</f>
        <v/>
      </c>
      <c r="V914" s="5">
        <f>SUMPRODUCT(('01_Data'!$B914:$AW914&lt;&gt;"")*(1/(1+EXP(-(T914-'03_Lap_b'!$B$30:$AW$30))))^2)</f>
        <v/>
      </c>
      <c r="W914" s="5">
        <f>MEDIAN(-6,T914+(C914-U914)/MAX(U914-V914,0.000000001),6)</f>
        <v/>
      </c>
      <c r="X914" s="5">
        <f>SUMPRODUCT(('01_Data'!$B914:$AW914&lt;&gt;"")*(1/(1+EXP(-(W914-'03_Lap_b'!$B$35:$AW$35)))))</f>
        <v/>
      </c>
      <c r="Y914" s="5">
        <f>SUMPRODUCT(('01_Data'!$B914:$AW914&lt;&gt;"")*(1/(1+EXP(-(W914-'03_Lap_b'!$B$35:$AW$35))))^2)</f>
        <v/>
      </c>
      <c r="Z914" s="5">
        <f>MEDIAN(-6,W914+(C914-X914)/MAX(X914-Y914,0.000000001),6)</f>
        <v/>
      </c>
      <c r="AA914" s="5">
        <f>SUMPRODUCT(('01_Data'!$B914:$AW914&lt;&gt;"")*(1/(1+EXP(-(Z914-'03_Lap_b'!$B$40:$AW$40)))))</f>
        <v/>
      </c>
      <c r="AB914" s="5">
        <f>SUMPRODUCT(('01_Data'!$B914:$AW914&lt;&gt;"")*(1/(1+EXP(-(Z914-'03_Lap_b'!$B$40:$AW$40))))^2)</f>
        <v/>
      </c>
      <c r="AC914" s="5">
        <f>MEDIAN(-6,Z914+(C914-AA914)/MAX(AA914-AB914,0.000000001),6)</f>
        <v/>
      </c>
    </row>
    <row r="915">
      <c r="A915" t="n">
        <v>914</v>
      </c>
      <c r="B915">
        <f>'01_Data'!A915</f>
        <v/>
      </c>
      <c r="C915">
        <f>SUM('01_Data'!$B915:$AW915)</f>
        <v/>
      </c>
      <c r="D915">
        <f>COUNT('01_Data'!$B915:$AW915)</f>
        <v/>
      </c>
      <c r="E915" s="5">
        <f>MEDIAN(-6,LN((C915+0.3)/(D915-C915+0.3)),6)</f>
        <v/>
      </c>
      <c r="F915" s="5">
        <f>SUMPRODUCT(('01_Data'!$B915:$AW915&lt;&gt;"")*(1/(1+EXP(-(E915-'03_Lap_b'!$B$5:$AW$5)))))</f>
        <v/>
      </c>
      <c r="G915" s="5">
        <f>SUMPRODUCT(('01_Data'!$B915:$AW915&lt;&gt;"")*(1/(1+EXP(-(E915-'03_Lap_b'!$B$5:$AW$5))))^2)</f>
        <v/>
      </c>
      <c r="H915" s="5">
        <f>MEDIAN(-6,E915+(C915-F915)/MAX(F915-G915,0.000000001),6)</f>
        <v/>
      </c>
      <c r="I915" s="5">
        <f>SUMPRODUCT(('01_Data'!$B915:$AW915&lt;&gt;"")*(1/(1+EXP(-(H915-'03_Lap_b'!$B$10:$AW$10)))))</f>
        <v/>
      </c>
      <c r="J915" s="5">
        <f>SUMPRODUCT(('01_Data'!$B915:$AW915&lt;&gt;"")*(1/(1+EXP(-(H915-'03_Lap_b'!$B$10:$AW$10))))^2)</f>
        <v/>
      </c>
      <c r="K915" s="5">
        <f>MEDIAN(-6,H915+(C915-I915)/MAX(I915-J915,0.000000001),6)</f>
        <v/>
      </c>
      <c r="L915" s="5">
        <f>SUMPRODUCT(('01_Data'!$B915:$AW915&lt;&gt;"")*(1/(1+EXP(-(K915-'03_Lap_b'!$B$15:$AW$15)))))</f>
        <v/>
      </c>
      <c r="M915" s="5">
        <f>SUMPRODUCT(('01_Data'!$B915:$AW915&lt;&gt;"")*(1/(1+EXP(-(K915-'03_Lap_b'!$B$15:$AW$15))))^2)</f>
        <v/>
      </c>
      <c r="N915" s="5">
        <f>MEDIAN(-6,K915+(C915-L915)/MAX(L915-M915,0.000000001),6)</f>
        <v/>
      </c>
      <c r="O915" s="5">
        <f>SUMPRODUCT(('01_Data'!$B915:$AW915&lt;&gt;"")*(1/(1+EXP(-(N915-'03_Lap_b'!$B$20:$AW$20)))))</f>
        <v/>
      </c>
      <c r="P915" s="5">
        <f>SUMPRODUCT(('01_Data'!$B915:$AW915&lt;&gt;"")*(1/(1+EXP(-(N915-'03_Lap_b'!$B$20:$AW$20))))^2)</f>
        <v/>
      </c>
      <c r="Q915" s="5">
        <f>MEDIAN(-6,N915+(C915-O915)/MAX(O915-P915,0.000000001),6)</f>
        <v/>
      </c>
      <c r="R915" s="5">
        <f>SUMPRODUCT(('01_Data'!$B915:$AW915&lt;&gt;"")*(1/(1+EXP(-(Q915-'03_Lap_b'!$B$25:$AW$25)))))</f>
        <v/>
      </c>
      <c r="S915" s="5">
        <f>SUMPRODUCT(('01_Data'!$B915:$AW915&lt;&gt;"")*(1/(1+EXP(-(Q915-'03_Lap_b'!$B$25:$AW$25))))^2)</f>
        <v/>
      </c>
      <c r="T915" s="5">
        <f>MEDIAN(-6,Q915+(C915-R915)/MAX(R915-S915,0.000000001),6)</f>
        <v/>
      </c>
      <c r="U915" s="5">
        <f>SUMPRODUCT(('01_Data'!$B915:$AW915&lt;&gt;"")*(1/(1+EXP(-(T915-'03_Lap_b'!$B$30:$AW$30)))))</f>
        <v/>
      </c>
      <c r="V915" s="5">
        <f>SUMPRODUCT(('01_Data'!$B915:$AW915&lt;&gt;"")*(1/(1+EXP(-(T915-'03_Lap_b'!$B$30:$AW$30))))^2)</f>
        <v/>
      </c>
      <c r="W915" s="5">
        <f>MEDIAN(-6,T915+(C915-U915)/MAX(U915-V915,0.000000001),6)</f>
        <v/>
      </c>
      <c r="X915" s="5">
        <f>SUMPRODUCT(('01_Data'!$B915:$AW915&lt;&gt;"")*(1/(1+EXP(-(W915-'03_Lap_b'!$B$35:$AW$35)))))</f>
        <v/>
      </c>
      <c r="Y915" s="5">
        <f>SUMPRODUCT(('01_Data'!$B915:$AW915&lt;&gt;"")*(1/(1+EXP(-(W915-'03_Lap_b'!$B$35:$AW$35))))^2)</f>
        <v/>
      </c>
      <c r="Z915" s="5">
        <f>MEDIAN(-6,W915+(C915-X915)/MAX(X915-Y915,0.000000001),6)</f>
        <v/>
      </c>
      <c r="AA915" s="5">
        <f>SUMPRODUCT(('01_Data'!$B915:$AW915&lt;&gt;"")*(1/(1+EXP(-(Z915-'03_Lap_b'!$B$40:$AW$40)))))</f>
        <v/>
      </c>
      <c r="AB915" s="5">
        <f>SUMPRODUCT(('01_Data'!$B915:$AW915&lt;&gt;"")*(1/(1+EXP(-(Z915-'03_Lap_b'!$B$40:$AW$40))))^2)</f>
        <v/>
      </c>
      <c r="AC915" s="5">
        <f>MEDIAN(-6,Z915+(C915-AA915)/MAX(AA915-AB915,0.000000001),6)</f>
        <v/>
      </c>
    </row>
    <row r="916">
      <c r="A916" t="n">
        <v>915</v>
      </c>
      <c r="B916">
        <f>'01_Data'!A916</f>
        <v/>
      </c>
      <c r="C916">
        <f>SUM('01_Data'!$B916:$AW916)</f>
        <v/>
      </c>
      <c r="D916">
        <f>COUNT('01_Data'!$B916:$AW916)</f>
        <v/>
      </c>
      <c r="E916" s="5">
        <f>MEDIAN(-6,LN((C916+0.3)/(D916-C916+0.3)),6)</f>
        <v/>
      </c>
      <c r="F916" s="5">
        <f>SUMPRODUCT(('01_Data'!$B916:$AW916&lt;&gt;"")*(1/(1+EXP(-(E916-'03_Lap_b'!$B$5:$AW$5)))))</f>
        <v/>
      </c>
      <c r="G916" s="5">
        <f>SUMPRODUCT(('01_Data'!$B916:$AW916&lt;&gt;"")*(1/(1+EXP(-(E916-'03_Lap_b'!$B$5:$AW$5))))^2)</f>
        <v/>
      </c>
      <c r="H916" s="5">
        <f>MEDIAN(-6,E916+(C916-F916)/MAX(F916-G916,0.000000001),6)</f>
        <v/>
      </c>
      <c r="I916" s="5">
        <f>SUMPRODUCT(('01_Data'!$B916:$AW916&lt;&gt;"")*(1/(1+EXP(-(H916-'03_Lap_b'!$B$10:$AW$10)))))</f>
        <v/>
      </c>
      <c r="J916" s="5">
        <f>SUMPRODUCT(('01_Data'!$B916:$AW916&lt;&gt;"")*(1/(1+EXP(-(H916-'03_Lap_b'!$B$10:$AW$10))))^2)</f>
        <v/>
      </c>
      <c r="K916" s="5">
        <f>MEDIAN(-6,H916+(C916-I916)/MAX(I916-J916,0.000000001),6)</f>
        <v/>
      </c>
      <c r="L916" s="5">
        <f>SUMPRODUCT(('01_Data'!$B916:$AW916&lt;&gt;"")*(1/(1+EXP(-(K916-'03_Lap_b'!$B$15:$AW$15)))))</f>
        <v/>
      </c>
      <c r="M916" s="5">
        <f>SUMPRODUCT(('01_Data'!$B916:$AW916&lt;&gt;"")*(1/(1+EXP(-(K916-'03_Lap_b'!$B$15:$AW$15))))^2)</f>
        <v/>
      </c>
      <c r="N916" s="5">
        <f>MEDIAN(-6,K916+(C916-L916)/MAX(L916-M916,0.000000001),6)</f>
        <v/>
      </c>
      <c r="O916" s="5">
        <f>SUMPRODUCT(('01_Data'!$B916:$AW916&lt;&gt;"")*(1/(1+EXP(-(N916-'03_Lap_b'!$B$20:$AW$20)))))</f>
        <v/>
      </c>
      <c r="P916" s="5">
        <f>SUMPRODUCT(('01_Data'!$B916:$AW916&lt;&gt;"")*(1/(1+EXP(-(N916-'03_Lap_b'!$B$20:$AW$20))))^2)</f>
        <v/>
      </c>
      <c r="Q916" s="5">
        <f>MEDIAN(-6,N916+(C916-O916)/MAX(O916-P916,0.000000001),6)</f>
        <v/>
      </c>
      <c r="R916" s="5">
        <f>SUMPRODUCT(('01_Data'!$B916:$AW916&lt;&gt;"")*(1/(1+EXP(-(Q916-'03_Lap_b'!$B$25:$AW$25)))))</f>
        <v/>
      </c>
      <c r="S916" s="5">
        <f>SUMPRODUCT(('01_Data'!$B916:$AW916&lt;&gt;"")*(1/(1+EXP(-(Q916-'03_Lap_b'!$B$25:$AW$25))))^2)</f>
        <v/>
      </c>
      <c r="T916" s="5">
        <f>MEDIAN(-6,Q916+(C916-R916)/MAX(R916-S916,0.000000001),6)</f>
        <v/>
      </c>
      <c r="U916" s="5">
        <f>SUMPRODUCT(('01_Data'!$B916:$AW916&lt;&gt;"")*(1/(1+EXP(-(T916-'03_Lap_b'!$B$30:$AW$30)))))</f>
        <v/>
      </c>
      <c r="V916" s="5">
        <f>SUMPRODUCT(('01_Data'!$B916:$AW916&lt;&gt;"")*(1/(1+EXP(-(T916-'03_Lap_b'!$B$30:$AW$30))))^2)</f>
        <v/>
      </c>
      <c r="W916" s="5">
        <f>MEDIAN(-6,T916+(C916-U916)/MAX(U916-V916,0.000000001),6)</f>
        <v/>
      </c>
      <c r="X916" s="5">
        <f>SUMPRODUCT(('01_Data'!$B916:$AW916&lt;&gt;"")*(1/(1+EXP(-(W916-'03_Lap_b'!$B$35:$AW$35)))))</f>
        <v/>
      </c>
      <c r="Y916" s="5">
        <f>SUMPRODUCT(('01_Data'!$B916:$AW916&lt;&gt;"")*(1/(1+EXP(-(W916-'03_Lap_b'!$B$35:$AW$35))))^2)</f>
        <v/>
      </c>
      <c r="Z916" s="5">
        <f>MEDIAN(-6,W916+(C916-X916)/MAX(X916-Y916,0.000000001),6)</f>
        <v/>
      </c>
      <c r="AA916" s="5">
        <f>SUMPRODUCT(('01_Data'!$B916:$AW916&lt;&gt;"")*(1/(1+EXP(-(Z916-'03_Lap_b'!$B$40:$AW$40)))))</f>
        <v/>
      </c>
      <c r="AB916" s="5">
        <f>SUMPRODUCT(('01_Data'!$B916:$AW916&lt;&gt;"")*(1/(1+EXP(-(Z916-'03_Lap_b'!$B$40:$AW$40))))^2)</f>
        <v/>
      </c>
      <c r="AC916" s="5">
        <f>MEDIAN(-6,Z916+(C916-AA916)/MAX(AA916-AB916,0.000000001),6)</f>
        <v/>
      </c>
    </row>
    <row r="917">
      <c r="A917" t="n">
        <v>916</v>
      </c>
      <c r="B917">
        <f>'01_Data'!A917</f>
        <v/>
      </c>
      <c r="C917">
        <f>SUM('01_Data'!$B917:$AW917)</f>
        <v/>
      </c>
      <c r="D917">
        <f>COUNT('01_Data'!$B917:$AW917)</f>
        <v/>
      </c>
      <c r="E917" s="5">
        <f>MEDIAN(-6,LN((C917+0.3)/(D917-C917+0.3)),6)</f>
        <v/>
      </c>
      <c r="F917" s="5">
        <f>SUMPRODUCT(('01_Data'!$B917:$AW917&lt;&gt;"")*(1/(1+EXP(-(E917-'03_Lap_b'!$B$5:$AW$5)))))</f>
        <v/>
      </c>
      <c r="G917" s="5">
        <f>SUMPRODUCT(('01_Data'!$B917:$AW917&lt;&gt;"")*(1/(1+EXP(-(E917-'03_Lap_b'!$B$5:$AW$5))))^2)</f>
        <v/>
      </c>
      <c r="H917" s="5">
        <f>MEDIAN(-6,E917+(C917-F917)/MAX(F917-G917,0.000000001),6)</f>
        <v/>
      </c>
      <c r="I917" s="5">
        <f>SUMPRODUCT(('01_Data'!$B917:$AW917&lt;&gt;"")*(1/(1+EXP(-(H917-'03_Lap_b'!$B$10:$AW$10)))))</f>
        <v/>
      </c>
      <c r="J917" s="5">
        <f>SUMPRODUCT(('01_Data'!$B917:$AW917&lt;&gt;"")*(1/(1+EXP(-(H917-'03_Lap_b'!$B$10:$AW$10))))^2)</f>
        <v/>
      </c>
      <c r="K917" s="5">
        <f>MEDIAN(-6,H917+(C917-I917)/MAX(I917-J917,0.000000001),6)</f>
        <v/>
      </c>
      <c r="L917" s="5">
        <f>SUMPRODUCT(('01_Data'!$B917:$AW917&lt;&gt;"")*(1/(1+EXP(-(K917-'03_Lap_b'!$B$15:$AW$15)))))</f>
        <v/>
      </c>
      <c r="M917" s="5">
        <f>SUMPRODUCT(('01_Data'!$B917:$AW917&lt;&gt;"")*(1/(1+EXP(-(K917-'03_Lap_b'!$B$15:$AW$15))))^2)</f>
        <v/>
      </c>
      <c r="N917" s="5">
        <f>MEDIAN(-6,K917+(C917-L917)/MAX(L917-M917,0.000000001),6)</f>
        <v/>
      </c>
      <c r="O917" s="5">
        <f>SUMPRODUCT(('01_Data'!$B917:$AW917&lt;&gt;"")*(1/(1+EXP(-(N917-'03_Lap_b'!$B$20:$AW$20)))))</f>
        <v/>
      </c>
      <c r="P917" s="5">
        <f>SUMPRODUCT(('01_Data'!$B917:$AW917&lt;&gt;"")*(1/(1+EXP(-(N917-'03_Lap_b'!$B$20:$AW$20))))^2)</f>
        <v/>
      </c>
      <c r="Q917" s="5">
        <f>MEDIAN(-6,N917+(C917-O917)/MAX(O917-P917,0.000000001),6)</f>
        <v/>
      </c>
      <c r="R917" s="5">
        <f>SUMPRODUCT(('01_Data'!$B917:$AW917&lt;&gt;"")*(1/(1+EXP(-(Q917-'03_Lap_b'!$B$25:$AW$25)))))</f>
        <v/>
      </c>
      <c r="S917" s="5">
        <f>SUMPRODUCT(('01_Data'!$B917:$AW917&lt;&gt;"")*(1/(1+EXP(-(Q917-'03_Lap_b'!$B$25:$AW$25))))^2)</f>
        <v/>
      </c>
      <c r="T917" s="5">
        <f>MEDIAN(-6,Q917+(C917-R917)/MAX(R917-S917,0.000000001),6)</f>
        <v/>
      </c>
      <c r="U917" s="5">
        <f>SUMPRODUCT(('01_Data'!$B917:$AW917&lt;&gt;"")*(1/(1+EXP(-(T917-'03_Lap_b'!$B$30:$AW$30)))))</f>
        <v/>
      </c>
      <c r="V917" s="5">
        <f>SUMPRODUCT(('01_Data'!$B917:$AW917&lt;&gt;"")*(1/(1+EXP(-(T917-'03_Lap_b'!$B$30:$AW$30))))^2)</f>
        <v/>
      </c>
      <c r="W917" s="5">
        <f>MEDIAN(-6,T917+(C917-U917)/MAX(U917-V917,0.000000001),6)</f>
        <v/>
      </c>
      <c r="X917" s="5">
        <f>SUMPRODUCT(('01_Data'!$B917:$AW917&lt;&gt;"")*(1/(1+EXP(-(W917-'03_Lap_b'!$B$35:$AW$35)))))</f>
        <v/>
      </c>
      <c r="Y917" s="5">
        <f>SUMPRODUCT(('01_Data'!$B917:$AW917&lt;&gt;"")*(1/(1+EXP(-(W917-'03_Lap_b'!$B$35:$AW$35))))^2)</f>
        <v/>
      </c>
      <c r="Z917" s="5">
        <f>MEDIAN(-6,W917+(C917-X917)/MAX(X917-Y917,0.000000001),6)</f>
        <v/>
      </c>
      <c r="AA917" s="5">
        <f>SUMPRODUCT(('01_Data'!$B917:$AW917&lt;&gt;"")*(1/(1+EXP(-(Z917-'03_Lap_b'!$B$40:$AW$40)))))</f>
        <v/>
      </c>
      <c r="AB917" s="5">
        <f>SUMPRODUCT(('01_Data'!$B917:$AW917&lt;&gt;"")*(1/(1+EXP(-(Z917-'03_Lap_b'!$B$40:$AW$40))))^2)</f>
        <v/>
      </c>
      <c r="AC917" s="5">
        <f>MEDIAN(-6,Z917+(C917-AA917)/MAX(AA917-AB917,0.000000001),6)</f>
        <v/>
      </c>
    </row>
    <row r="918">
      <c r="A918" t="n">
        <v>917</v>
      </c>
      <c r="B918">
        <f>'01_Data'!A918</f>
        <v/>
      </c>
      <c r="C918">
        <f>SUM('01_Data'!$B918:$AW918)</f>
        <v/>
      </c>
      <c r="D918">
        <f>COUNT('01_Data'!$B918:$AW918)</f>
        <v/>
      </c>
      <c r="E918" s="5">
        <f>MEDIAN(-6,LN((C918+0.3)/(D918-C918+0.3)),6)</f>
        <v/>
      </c>
      <c r="F918" s="5">
        <f>SUMPRODUCT(('01_Data'!$B918:$AW918&lt;&gt;"")*(1/(1+EXP(-(E918-'03_Lap_b'!$B$5:$AW$5)))))</f>
        <v/>
      </c>
      <c r="G918" s="5">
        <f>SUMPRODUCT(('01_Data'!$B918:$AW918&lt;&gt;"")*(1/(1+EXP(-(E918-'03_Lap_b'!$B$5:$AW$5))))^2)</f>
        <v/>
      </c>
      <c r="H918" s="5">
        <f>MEDIAN(-6,E918+(C918-F918)/MAX(F918-G918,0.000000001),6)</f>
        <v/>
      </c>
      <c r="I918" s="5">
        <f>SUMPRODUCT(('01_Data'!$B918:$AW918&lt;&gt;"")*(1/(1+EXP(-(H918-'03_Lap_b'!$B$10:$AW$10)))))</f>
        <v/>
      </c>
      <c r="J918" s="5">
        <f>SUMPRODUCT(('01_Data'!$B918:$AW918&lt;&gt;"")*(1/(1+EXP(-(H918-'03_Lap_b'!$B$10:$AW$10))))^2)</f>
        <v/>
      </c>
      <c r="K918" s="5">
        <f>MEDIAN(-6,H918+(C918-I918)/MAX(I918-J918,0.000000001),6)</f>
        <v/>
      </c>
      <c r="L918" s="5">
        <f>SUMPRODUCT(('01_Data'!$B918:$AW918&lt;&gt;"")*(1/(1+EXP(-(K918-'03_Lap_b'!$B$15:$AW$15)))))</f>
        <v/>
      </c>
      <c r="M918" s="5">
        <f>SUMPRODUCT(('01_Data'!$B918:$AW918&lt;&gt;"")*(1/(1+EXP(-(K918-'03_Lap_b'!$B$15:$AW$15))))^2)</f>
        <v/>
      </c>
      <c r="N918" s="5">
        <f>MEDIAN(-6,K918+(C918-L918)/MAX(L918-M918,0.000000001),6)</f>
        <v/>
      </c>
      <c r="O918" s="5">
        <f>SUMPRODUCT(('01_Data'!$B918:$AW918&lt;&gt;"")*(1/(1+EXP(-(N918-'03_Lap_b'!$B$20:$AW$20)))))</f>
        <v/>
      </c>
      <c r="P918" s="5">
        <f>SUMPRODUCT(('01_Data'!$B918:$AW918&lt;&gt;"")*(1/(1+EXP(-(N918-'03_Lap_b'!$B$20:$AW$20))))^2)</f>
        <v/>
      </c>
      <c r="Q918" s="5">
        <f>MEDIAN(-6,N918+(C918-O918)/MAX(O918-P918,0.000000001),6)</f>
        <v/>
      </c>
      <c r="R918" s="5">
        <f>SUMPRODUCT(('01_Data'!$B918:$AW918&lt;&gt;"")*(1/(1+EXP(-(Q918-'03_Lap_b'!$B$25:$AW$25)))))</f>
        <v/>
      </c>
      <c r="S918" s="5">
        <f>SUMPRODUCT(('01_Data'!$B918:$AW918&lt;&gt;"")*(1/(1+EXP(-(Q918-'03_Lap_b'!$B$25:$AW$25))))^2)</f>
        <v/>
      </c>
      <c r="T918" s="5">
        <f>MEDIAN(-6,Q918+(C918-R918)/MAX(R918-S918,0.000000001),6)</f>
        <v/>
      </c>
      <c r="U918" s="5">
        <f>SUMPRODUCT(('01_Data'!$B918:$AW918&lt;&gt;"")*(1/(1+EXP(-(T918-'03_Lap_b'!$B$30:$AW$30)))))</f>
        <v/>
      </c>
      <c r="V918" s="5">
        <f>SUMPRODUCT(('01_Data'!$B918:$AW918&lt;&gt;"")*(1/(1+EXP(-(T918-'03_Lap_b'!$B$30:$AW$30))))^2)</f>
        <v/>
      </c>
      <c r="W918" s="5">
        <f>MEDIAN(-6,T918+(C918-U918)/MAX(U918-V918,0.000000001),6)</f>
        <v/>
      </c>
      <c r="X918" s="5">
        <f>SUMPRODUCT(('01_Data'!$B918:$AW918&lt;&gt;"")*(1/(1+EXP(-(W918-'03_Lap_b'!$B$35:$AW$35)))))</f>
        <v/>
      </c>
      <c r="Y918" s="5">
        <f>SUMPRODUCT(('01_Data'!$B918:$AW918&lt;&gt;"")*(1/(1+EXP(-(W918-'03_Lap_b'!$B$35:$AW$35))))^2)</f>
        <v/>
      </c>
      <c r="Z918" s="5">
        <f>MEDIAN(-6,W918+(C918-X918)/MAX(X918-Y918,0.000000001),6)</f>
        <v/>
      </c>
      <c r="AA918" s="5">
        <f>SUMPRODUCT(('01_Data'!$B918:$AW918&lt;&gt;"")*(1/(1+EXP(-(Z918-'03_Lap_b'!$B$40:$AW$40)))))</f>
        <v/>
      </c>
      <c r="AB918" s="5">
        <f>SUMPRODUCT(('01_Data'!$B918:$AW918&lt;&gt;"")*(1/(1+EXP(-(Z918-'03_Lap_b'!$B$40:$AW$40))))^2)</f>
        <v/>
      </c>
      <c r="AC918" s="5">
        <f>MEDIAN(-6,Z918+(C918-AA918)/MAX(AA918-AB918,0.000000001),6)</f>
        <v/>
      </c>
    </row>
    <row r="919">
      <c r="A919" t="n">
        <v>918</v>
      </c>
      <c r="B919">
        <f>'01_Data'!A919</f>
        <v/>
      </c>
      <c r="C919">
        <f>SUM('01_Data'!$B919:$AW919)</f>
        <v/>
      </c>
      <c r="D919">
        <f>COUNT('01_Data'!$B919:$AW919)</f>
        <v/>
      </c>
      <c r="E919" s="5">
        <f>MEDIAN(-6,LN((C919+0.3)/(D919-C919+0.3)),6)</f>
        <v/>
      </c>
      <c r="F919" s="5">
        <f>SUMPRODUCT(('01_Data'!$B919:$AW919&lt;&gt;"")*(1/(1+EXP(-(E919-'03_Lap_b'!$B$5:$AW$5)))))</f>
        <v/>
      </c>
      <c r="G919" s="5">
        <f>SUMPRODUCT(('01_Data'!$B919:$AW919&lt;&gt;"")*(1/(1+EXP(-(E919-'03_Lap_b'!$B$5:$AW$5))))^2)</f>
        <v/>
      </c>
      <c r="H919" s="5">
        <f>MEDIAN(-6,E919+(C919-F919)/MAX(F919-G919,0.000000001),6)</f>
        <v/>
      </c>
      <c r="I919" s="5">
        <f>SUMPRODUCT(('01_Data'!$B919:$AW919&lt;&gt;"")*(1/(1+EXP(-(H919-'03_Lap_b'!$B$10:$AW$10)))))</f>
        <v/>
      </c>
      <c r="J919" s="5">
        <f>SUMPRODUCT(('01_Data'!$B919:$AW919&lt;&gt;"")*(1/(1+EXP(-(H919-'03_Lap_b'!$B$10:$AW$10))))^2)</f>
        <v/>
      </c>
      <c r="K919" s="5">
        <f>MEDIAN(-6,H919+(C919-I919)/MAX(I919-J919,0.000000001),6)</f>
        <v/>
      </c>
      <c r="L919" s="5">
        <f>SUMPRODUCT(('01_Data'!$B919:$AW919&lt;&gt;"")*(1/(1+EXP(-(K919-'03_Lap_b'!$B$15:$AW$15)))))</f>
        <v/>
      </c>
      <c r="M919" s="5">
        <f>SUMPRODUCT(('01_Data'!$B919:$AW919&lt;&gt;"")*(1/(1+EXP(-(K919-'03_Lap_b'!$B$15:$AW$15))))^2)</f>
        <v/>
      </c>
      <c r="N919" s="5">
        <f>MEDIAN(-6,K919+(C919-L919)/MAX(L919-M919,0.000000001),6)</f>
        <v/>
      </c>
      <c r="O919" s="5">
        <f>SUMPRODUCT(('01_Data'!$B919:$AW919&lt;&gt;"")*(1/(1+EXP(-(N919-'03_Lap_b'!$B$20:$AW$20)))))</f>
        <v/>
      </c>
      <c r="P919" s="5">
        <f>SUMPRODUCT(('01_Data'!$B919:$AW919&lt;&gt;"")*(1/(1+EXP(-(N919-'03_Lap_b'!$B$20:$AW$20))))^2)</f>
        <v/>
      </c>
      <c r="Q919" s="5">
        <f>MEDIAN(-6,N919+(C919-O919)/MAX(O919-P919,0.000000001),6)</f>
        <v/>
      </c>
      <c r="R919" s="5">
        <f>SUMPRODUCT(('01_Data'!$B919:$AW919&lt;&gt;"")*(1/(1+EXP(-(Q919-'03_Lap_b'!$B$25:$AW$25)))))</f>
        <v/>
      </c>
      <c r="S919" s="5">
        <f>SUMPRODUCT(('01_Data'!$B919:$AW919&lt;&gt;"")*(1/(1+EXP(-(Q919-'03_Lap_b'!$B$25:$AW$25))))^2)</f>
        <v/>
      </c>
      <c r="T919" s="5">
        <f>MEDIAN(-6,Q919+(C919-R919)/MAX(R919-S919,0.000000001),6)</f>
        <v/>
      </c>
      <c r="U919" s="5">
        <f>SUMPRODUCT(('01_Data'!$B919:$AW919&lt;&gt;"")*(1/(1+EXP(-(T919-'03_Lap_b'!$B$30:$AW$30)))))</f>
        <v/>
      </c>
      <c r="V919" s="5">
        <f>SUMPRODUCT(('01_Data'!$B919:$AW919&lt;&gt;"")*(1/(1+EXP(-(T919-'03_Lap_b'!$B$30:$AW$30))))^2)</f>
        <v/>
      </c>
      <c r="W919" s="5">
        <f>MEDIAN(-6,T919+(C919-U919)/MAX(U919-V919,0.000000001),6)</f>
        <v/>
      </c>
      <c r="X919" s="5">
        <f>SUMPRODUCT(('01_Data'!$B919:$AW919&lt;&gt;"")*(1/(1+EXP(-(W919-'03_Lap_b'!$B$35:$AW$35)))))</f>
        <v/>
      </c>
      <c r="Y919" s="5">
        <f>SUMPRODUCT(('01_Data'!$B919:$AW919&lt;&gt;"")*(1/(1+EXP(-(W919-'03_Lap_b'!$B$35:$AW$35))))^2)</f>
        <v/>
      </c>
      <c r="Z919" s="5">
        <f>MEDIAN(-6,W919+(C919-X919)/MAX(X919-Y919,0.000000001),6)</f>
        <v/>
      </c>
      <c r="AA919" s="5">
        <f>SUMPRODUCT(('01_Data'!$B919:$AW919&lt;&gt;"")*(1/(1+EXP(-(Z919-'03_Lap_b'!$B$40:$AW$40)))))</f>
        <v/>
      </c>
      <c r="AB919" s="5">
        <f>SUMPRODUCT(('01_Data'!$B919:$AW919&lt;&gt;"")*(1/(1+EXP(-(Z919-'03_Lap_b'!$B$40:$AW$40))))^2)</f>
        <v/>
      </c>
      <c r="AC919" s="5">
        <f>MEDIAN(-6,Z919+(C919-AA919)/MAX(AA919-AB919,0.000000001),6)</f>
        <v/>
      </c>
    </row>
    <row r="920">
      <c r="A920" t="n">
        <v>919</v>
      </c>
      <c r="B920">
        <f>'01_Data'!A920</f>
        <v/>
      </c>
      <c r="C920">
        <f>SUM('01_Data'!$B920:$AW920)</f>
        <v/>
      </c>
      <c r="D920">
        <f>COUNT('01_Data'!$B920:$AW920)</f>
        <v/>
      </c>
      <c r="E920" s="5">
        <f>MEDIAN(-6,LN((C920+0.3)/(D920-C920+0.3)),6)</f>
        <v/>
      </c>
      <c r="F920" s="5">
        <f>SUMPRODUCT(('01_Data'!$B920:$AW920&lt;&gt;"")*(1/(1+EXP(-(E920-'03_Lap_b'!$B$5:$AW$5)))))</f>
        <v/>
      </c>
      <c r="G920" s="5">
        <f>SUMPRODUCT(('01_Data'!$B920:$AW920&lt;&gt;"")*(1/(1+EXP(-(E920-'03_Lap_b'!$B$5:$AW$5))))^2)</f>
        <v/>
      </c>
      <c r="H920" s="5">
        <f>MEDIAN(-6,E920+(C920-F920)/MAX(F920-G920,0.000000001),6)</f>
        <v/>
      </c>
      <c r="I920" s="5">
        <f>SUMPRODUCT(('01_Data'!$B920:$AW920&lt;&gt;"")*(1/(1+EXP(-(H920-'03_Lap_b'!$B$10:$AW$10)))))</f>
        <v/>
      </c>
      <c r="J920" s="5">
        <f>SUMPRODUCT(('01_Data'!$B920:$AW920&lt;&gt;"")*(1/(1+EXP(-(H920-'03_Lap_b'!$B$10:$AW$10))))^2)</f>
        <v/>
      </c>
      <c r="K920" s="5">
        <f>MEDIAN(-6,H920+(C920-I920)/MAX(I920-J920,0.000000001),6)</f>
        <v/>
      </c>
      <c r="L920" s="5">
        <f>SUMPRODUCT(('01_Data'!$B920:$AW920&lt;&gt;"")*(1/(1+EXP(-(K920-'03_Lap_b'!$B$15:$AW$15)))))</f>
        <v/>
      </c>
      <c r="M920" s="5">
        <f>SUMPRODUCT(('01_Data'!$B920:$AW920&lt;&gt;"")*(1/(1+EXP(-(K920-'03_Lap_b'!$B$15:$AW$15))))^2)</f>
        <v/>
      </c>
      <c r="N920" s="5">
        <f>MEDIAN(-6,K920+(C920-L920)/MAX(L920-M920,0.000000001),6)</f>
        <v/>
      </c>
      <c r="O920" s="5">
        <f>SUMPRODUCT(('01_Data'!$B920:$AW920&lt;&gt;"")*(1/(1+EXP(-(N920-'03_Lap_b'!$B$20:$AW$20)))))</f>
        <v/>
      </c>
      <c r="P920" s="5">
        <f>SUMPRODUCT(('01_Data'!$B920:$AW920&lt;&gt;"")*(1/(1+EXP(-(N920-'03_Lap_b'!$B$20:$AW$20))))^2)</f>
        <v/>
      </c>
      <c r="Q920" s="5">
        <f>MEDIAN(-6,N920+(C920-O920)/MAX(O920-P920,0.000000001),6)</f>
        <v/>
      </c>
      <c r="R920" s="5">
        <f>SUMPRODUCT(('01_Data'!$B920:$AW920&lt;&gt;"")*(1/(1+EXP(-(Q920-'03_Lap_b'!$B$25:$AW$25)))))</f>
        <v/>
      </c>
      <c r="S920" s="5">
        <f>SUMPRODUCT(('01_Data'!$B920:$AW920&lt;&gt;"")*(1/(1+EXP(-(Q920-'03_Lap_b'!$B$25:$AW$25))))^2)</f>
        <v/>
      </c>
      <c r="T920" s="5">
        <f>MEDIAN(-6,Q920+(C920-R920)/MAX(R920-S920,0.000000001),6)</f>
        <v/>
      </c>
      <c r="U920" s="5">
        <f>SUMPRODUCT(('01_Data'!$B920:$AW920&lt;&gt;"")*(1/(1+EXP(-(T920-'03_Lap_b'!$B$30:$AW$30)))))</f>
        <v/>
      </c>
      <c r="V920" s="5">
        <f>SUMPRODUCT(('01_Data'!$B920:$AW920&lt;&gt;"")*(1/(1+EXP(-(T920-'03_Lap_b'!$B$30:$AW$30))))^2)</f>
        <v/>
      </c>
      <c r="W920" s="5">
        <f>MEDIAN(-6,T920+(C920-U920)/MAX(U920-V920,0.000000001),6)</f>
        <v/>
      </c>
      <c r="X920" s="5">
        <f>SUMPRODUCT(('01_Data'!$B920:$AW920&lt;&gt;"")*(1/(1+EXP(-(W920-'03_Lap_b'!$B$35:$AW$35)))))</f>
        <v/>
      </c>
      <c r="Y920" s="5">
        <f>SUMPRODUCT(('01_Data'!$B920:$AW920&lt;&gt;"")*(1/(1+EXP(-(W920-'03_Lap_b'!$B$35:$AW$35))))^2)</f>
        <v/>
      </c>
      <c r="Z920" s="5">
        <f>MEDIAN(-6,W920+(C920-X920)/MAX(X920-Y920,0.000000001),6)</f>
        <v/>
      </c>
      <c r="AA920" s="5">
        <f>SUMPRODUCT(('01_Data'!$B920:$AW920&lt;&gt;"")*(1/(1+EXP(-(Z920-'03_Lap_b'!$B$40:$AW$40)))))</f>
        <v/>
      </c>
      <c r="AB920" s="5">
        <f>SUMPRODUCT(('01_Data'!$B920:$AW920&lt;&gt;"")*(1/(1+EXP(-(Z920-'03_Lap_b'!$B$40:$AW$40))))^2)</f>
        <v/>
      </c>
      <c r="AC920" s="5">
        <f>MEDIAN(-6,Z920+(C920-AA920)/MAX(AA920-AB920,0.000000001),6)</f>
        <v/>
      </c>
    </row>
    <row r="921">
      <c r="A921" t="n">
        <v>920</v>
      </c>
      <c r="B921">
        <f>'01_Data'!A921</f>
        <v/>
      </c>
      <c r="C921">
        <f>SUM('01_Data'!$B921:$AW921)</f>
        <v/>
      </c>
      <c r="D921">
        <f>COUNT('01_Data'!$B921:$AW921)</f>
        <v/>
      </c>
      <c r="E921" s="5">
        <f>MEDIAN(-6,LN((C921+0.3)/(D921-C921+0.3)),6)</f>
        <v/>
      </c>
      <c r="F921" s="5">
        <f>SUMPRODUCT(('01_Data'!$B921:$AW921&lt;&gt;"")*(1/(1+EXP(-(E921-'03_Lap_b'!$B$5:$AW$5)))))</f>
        <v/>
      </c>
      <c r="G921" s="5">
        <f>SUMPRODUCT(('01_Data'!$B921:$AW921&lt;&gt;"")*(1/(1+EXP(-(E921-'03_Lap_b'!$B$5:$AW$5))))^2)</f>
        <v/>
      </c>
      <c r="H921" s="5">
        <f>MEDIAN(-6,E921+(C921-F921)/MAX(F921-G921,0.000000001),6)</f>
        <v/>
      </c>
      <c r="I921" s="5">
        <f>SUMPRODUCT(('01_Data'!$B921:$AW921&lt;&gt;"")*(1/(1+EXP(-(H921-'03_Lap_b'!$B$10:$AW$10)))))</f>
        <v/>
      </c>
      <c r="J921" s="5">
        <f>SUMPRODUCT(('01_Data'!$B921:$AW921&lt;&gt;"")*(1/(1+EXP(-(H921-'03_Lap_b'!$B$10:$AW$10))))^2)</f>
        <v/>
      </c>
      <c r="K921" s="5">
        <f>MEDIAN(-6,H921+(C921-I921)/MAX(I921-J921,0.000000001),6)</f>
        <v/>
      </c>
      <c r="L921" s="5">
        <f>SUMPRODUCT(('01_Data'!$B921:$AW921&lt;&gt;"")*(1/(1+EXP(-(K921-'03_Lap_b'!$B$15:$AW$15)))))</f>
        <v/>
      </c>
      <c r="M921" s="5">
        <f>SUMPRODUCT(('01_Data'!$B921:$AW921&lt;&gt;"")*(1/(1+EXP(-(K921-'03_Lap_b'!$B$15:$AW$15))))^2)</f>
        <v/>
      </c>
      <c r="N921" s="5">
        <f>MEDIAN(-6,K921+(C921-L921)/MAX(L921-M921,0.000000001),6)</f>
        <v/>
      </c>
      <c r="O921" s="5">
        <f>SUMPRODUCT(('01_Data'!$B921:$AW921&lt;&gt;"")*(1/(1+EXP(-(N921-'03_Lap_b'!$B$20:$AW$20)))))</f>
        <v/>
      </c>
      <c r="P921" s="5">
        <f>SUMPRODUCT(('01_Data'!$B921:$AW921&lt;&gt;"")*(1/(1+EXP(-(N921-'03_Lap_b'!$B$20:$AW$20))))^2)</f>
        <v/>
      </c>
      <c r="Q921" s="5">
        <f>MEDIAN(-6,N921+(C921-O921)/MAX(O921-P921,0.000000001),6)</f>
        <v/>
      </c>
      <c r="R921" s="5">
        <f>SUMPRODUCT(('01_Data'!$B921:$AW921&lt;&gt;"")*(1/(1+EXP(-(Q921-'03_Lap_b'!$B$25:$AW$25)))))</f>
        <v/>
      </c>
      <c r="S921" s="5">
        <f>SUMPRODUCT(('01_Data'!$B921:$AW921&lt;&gt;"")*(1/(1+EXP(-(Q921-'03_Lap_b'!$B$25:$AW$25))))^2)</f>
        <v/>
      </c>
      <c r="T921" s="5">
        <f>MEDIAN(-6,Q921+(C921-R921)/MAX(R921-S921,0.000000001),6)</f>
        <v/>
      </c>
      <c r="U921" s="5">
        <f>SUMPRODUCT(('01_Data'!$B921:$AW921&lt;&gt;"")*(1/(1+EXP(-(T921-'03_Lap_b'!$B$30:$AW$30)))))</f>
        <v/>
      </c>
      <c r="V921" s="5">
        <f>SUMPRODUCT(('01_Data'!$B921:$AW921&lt;&gt;"")*(1/(1+EXP(-(T921-'03_Lap_b'!$B$30:$AW$30))))^2)</f>
        <v/>
      </c>
      <c r="W921" s="5">
        <f>MEDIAN(-6,T921+(C921-U921)/MAX(U921-V921,0.000000001),6)</f>
        <v/>
      </c>
      <c r="X921" s="5">
        <f>SUMPRODUCT(('01_Data'!$B921:$AW921&lt;&gt;"")*(1/(1+EXP(-(W921-'03_Lap_b'!$B$35:$AW$35)))))</f>
        <v/>
      </c>
      <c r="Y921" s="5">
        <f>SUMPRODUCT(('01_Data'!$B921:$AW921&lt;&gt;"")*(1/(1+EXP(-(W921-'03_Lap_b'!$B$35:$AW$35))))^2)</f>
        <v/>
      </c>
      <c r="Z921" s="5">
        <f>MEDIAN(-6,W921+(C921-X921)/MAX(X921-Y921,0.000000001),6)</f>
        <v/>
      </c>
      <c r="AA921" s="5">
        <f>SUMPRODUCT(('01_Data'!$B921:$AW921&lt;&gt;"")*(1/(1+EXP(-(Z921-'03_Lap_b'!$B$40:$AW$40)))))</f>
        <v/>
      </c>
      <c r="AB921" s="5">
        <f>SUMPRODUCT(('01_Data'!$B921:$AW921&lt;&gt;"")*(1/(1+EXP(-(Z921-'03_Lap_b'!$B$40:$AW$40))))^2)</f>
        <v/>
      </c>
      <c r="AC921" s="5">
        <f>MEDIAN(-6,Z921+(C921-AA921)/MAX(AA921-AB921,0.000000001),6)</f>
        <v/>
      </c>
    </row>
    <row r="922">
      <c r="A922" t="n">
        <v>921</v>
      </c>
      <c r="B922">
        <f>'01_Data'!A922</f>
        <v/>
      </c>
      <c r="C922">
        <f>SUM('01_Data'!$B922:$AW922)</f>
        <v/>
      </c>
      <c r="D922">
        <f>COUNT('01_Data'!$B922:$AW922)</f>
        <v/>
      </c>
      <c r="E922" s="5">
        <f>MEDIAN(-6,LN((C922+0.3)/(D922-C922+0.3)),6)</f>
        <v/>
      </c>
      <c r="F922" s="5">
        <f>SUMPRODUCT(('01_Data'!$B922:$AW922&lt;&gt;"")*(1/(1+EXP(-(E922-'03_Lap_b'!$B$5:$AW$5)))))</f>
        <v/>
      </c>
      <c r="G922" s="5">
        <f>SUMPRODUCT(('01_Data'!$B922:$AW922&lt;&gt;"")*(1/(1+EXP(-(E922-'03_Lap_b'!$B$5:$AW$5))))^2)</f>
        <v/>
      </c>
      <c r="H922" s="5">
        <f>MEDIAN(-6,E922+(C922-F922)/MAX(F922-G922,0.000000001),6)</f>
        <v/>
      </c>
      <c r="I922" s="5">
        <f>SUMPRODUCT(('01_Data'!$B922:$AW922&lt;&gt;"")*(1/(1+EXP(-(H922-'03_Lap_b'!$B$10:$AW$10)))))</f>
        <v/>
      </c>
      <c r="J922" s="5">
        <f>SUMPRODUCT(('01_Data'!$B922:$AW922&lt;&gt;"")*(1/(1+EXP(-(H922-'03_Lap_b'!$B$10:$AW$10))))^2)</f>
        <v/>
      </c>
      <c r="K922" s="5">
        <f>MEDIAN(-6,H922+(C922-I922)/MAX(I922-J922,0.000000001),6)</f>
        <v/>
      </c>
      <c r="L922" s="5">
        <f>SUMPRODUCT(('01_Data'!$B922:$AW922&lt;&gt;"")*(1/(1+EXP(-(K922-'03_Lap_b'!$B$15:$AW$15)))))</f>
        <v/>
      </c>
      <c r="M922" s="5">
        <f>SUMPRODUCT(('01_Data'!$B922:$AW922&lt;&gt;"")*(1/(1+EXP(-(K922-'03_Lap_b'!$B$15:$AW$15))))^2)</f>
        <v/>
      </c>
      <c r="N922" s="5">
        <f>MEDIAN(-6,K922+(C922-L922)/MAX(L922-M922,0.000000001),6)</f>
        <v/>
      </c>
      <c r="O922" s="5">
        <f>SUMPRODUCT(('01_Data'!$B922:$AW922&lt;&gt;"")*(1/(1+EXP(-(N922-'03_Lap_b'!$B$20:$AW$20)))))</f>
        <v/>
      </c>
      <c r="P922" s="5">
        <f>SUMPRODUCT(('01_Data'!$B922:$AW922&lt;&gt;"")*(1/(1+EXP(-(N922-'03_Lap_b'!$B$20:$AW$20))))^2)</f>
        <v/>
      </c>
      <c r="Q922" s="5">
        <f>MEDIAN(-6,N922+(C922-O922)/MAX(O922-P922,0.000000001),6)</f>
        <v/>
      </c>
      <c r="R922" s="5">
        <f>SUMPRODUCT(('01_Data'!$B922:$AW922&lt;&gt;"")*(1/(1+EXP(-(Q922-'03_Lap_b'!$B$25:$AW$25)))))</f>
        <v/>
      </c>
      <c r="S922" s="5">
        <f>SUMPRODUCT(('01_Data'!$B922:$AW922&lt;&gt;"")*(1/(1+EXP(-(Q922-'03_Lap_b'!$B$25:$AW$25))))^2)</f>
        <v/>
      </c>
      <c r="T922" s="5">
        <f>MEDIAN(-6,Q922+(C922-R922)/MAX(R922-S922,0.000000001),6)</f>
        <v/>
      </c>
      <c r="U922" s="5">
        <f>SUMPRODUCT(('01_Data'!$B922:$AW922&lt;&gt;"")*(1/(1+EXP(-(T922-'03_Lap_b'!$B$30:$AW$30)))))</f>
        <v/>
      </c>
      <c r="V922" s="5">
        <f>SUMPRODUCT(('01_Data'!$B922:$AW922&lt;&gt;"")*(1/(1+EXP(-(T922-'03_Lap_b'!$B$30:$AW$30))))^2)</f>
        <v/>
      </c>
      <c r="W922" s="5">
        <f>MEDIAN(-6,T922+(C922-U922)/MAX(U922-V922,0.000000001),6)</f>
        <v/>
      </c>
      <c r="X922" s="5">
        <f>SUMPRODUCT(('01_Data'!$B922:$AW922&lt;&gt;"")*(1/(1+EXP(-(W922-'03_Lap_b'!$B$35:$AW$35)))))</f>
        <v/>
      </c>
      <c r="Y922" s="5">
        <f>SUMPRODUCT(('01_Data'!$B922:$AW922&lt;&gt;"")*(1/(1+EXP(-(W922-'03_Lap_b'!$B$35:$AW$35))))^2)</f>
        <v/>
      </c>
      <c r="Z922" s="5">
        <f>MEDIAN(-6,W922+(C922-X922)/MAX(X922-Y922,0.000000001),6)</f>
        <v/>
      </c>
      <c r="AA922" s="5">
        <f>SUMPRODUCT(('01_Data'!$B922:$AW922&lt;&gt;"")*(1/(1+EXP(-(Z922-'03_Lap_b'!$B$40:$AW$40)))))</f>
        <v/>
      </c>
      <c r="AB922" s="5">
        <f>SUMPRODUCT(('01_Data'!$B922:$AW922&lt;&gt;"")*(1/(1+EXP(-(Z922-'03_Lap_b'!$B$40:$AW$40))))^2)</f>
        <v/>
      </c>
      <c r="AC922" s="5">
        <f>MEDIAN(-6,Z922+(C922-AA922)/MAX(AA922-AB922,0.000000001),6)</f>
        <v/>
      </c>
    </row>
    <row r="923">
      <c r="A923" t="n">
        <v>922</v>
      </c>
      <c r="B923">
        <f>'01_Data'!A923</f>
        <v/>
      </c>
      <c r="C923">
        <f>SUM('01_Data'!$B923:$AW923)</f>
        <v/>
      </c>
      <c r="D923">
        <f>COUNT('01_Data'!$B923:$AW923)</f>
        <v/>
      </c>
      <c r="E923" s="5">
        <f>MEDIAN(-6,LN((C923+0.3)/(D923-C923+0.3)),6)</f>
        <v/>
      </c>
      <c r="F923" s="5">
        <f>SUMPRODUCT(('01_Data'!$B923:$AW923&lt;&gt;"")*(1/(1+EXP(-(E923-'03_Lap_b'!$B$5:$AW$5)))))</f>
        <v/>
      </c>
      <c r="G923" s="5">
        <f>SUMPRODUCT(('01_Data'!$B923:$AW923&lt;&gt;"")*(1/(1+EXP(-(E923-'03_Lap_b'!$B$5:$AW$5))))^2)</f>
        <v/>
      </c>
      <c r="H923" s="5">
        <f>MEDIAN(-6,E923+(C923-F923)/MAX(F923-G923,0.000000001),6)</f>
        <v/>
      </c>
      <c r="I923" s="5">
        <f>SUMPRODUCT(('01_Data'!$B923:$AW923&lt;&gt;"")*(1/(1+EXP(-(H923-'03_Lap_b'!$B$10:$AW$10)))))</f>
        <v/>
      </c>
      <c r="J923" s="5">
        <f>SUMPRODUCT(('01_Data'!$B923:$AW923&lt;&gt;"")*(1/(1+EXP(-(H923-'03_Lap_b'!$B$10:$AW$10))))^2)</f>
        <v/>
      </c>
      <c r="K923" s="5">
        <f>MEDIAN(-6,H923+(C923-I923)/MAX(I923-J923,0.000000001),6)</f>
        <v/>
      </c>
      <c r="L923" s="5">
        <f>SUMPRODUCT(('01_Data'!$B923:$AW923&lt;&gt;"")*(1/(1+EXP(-(K923-'03_Lap_b'!$B$15:$AW$15)))))</f>
        <v/>
      </c>
      <c r="M923" s="5">
        <f>SUMPRODUCT(('01_Data'!$B923:$AW923&lt;&gt;"")*(1/(1+EXP(-(K923-'03_Lap_b'!$B$15:$AW$15))))^2)</f>
        <v/>
      </c>
      <c r="N923" s="5">
        <f>MEDIAN(-6,K923+(C923-L923)/MAX(L923-M923,0.000000001),6)</f>
        <v/>
      </c>
      <c r="O923" s="5">
        <f>SUMPRODUCT(('01_Data'!$B923:$AW923&lt;&gt;"")*(1/(1+EXP(-(N923-'03_Lap_b'!$B$20:$AW$20)))))</f>
        <v/>
      </c>
      <c r="P923" s="5">
        <f>SUMPRODUCT(('01_Data'!$B923:$AW923&lt;&gt;"")*(1/(1+EXP(-(N923-'03_Lap_b'!$B$20:$AW$20))))^2)</f>
        <v/>
      </c>
      <c r="Q923" s="5">
        <f>MEDIAN(-6,N923+(C923-O923)/MAX(O923-P923,0.000000001),6)</f>
        <v/>
      </c>
      <c r="R923" s="5">
        <f>SUMPRODUCT(('01_Data'!$B923:$AW923&lt;&gt;"")*(1/(1+EXP(-(Q923-'03_Lap_b'!$B$25:$AW$25)))))</f>
        <v/>
      </c>
      <c r="S923" s="5">
        <f>SUMPRODUCT(('01_Data'!$B923:$AW923&lt;&gt;"")*(1/(1+EXP(-(Q923-'03_Lap_b'!$B$25:$AW$25))))^2)</f>
        <v/>
      </c>
      <c r="T923" s="5">
        <f>MEDIAN(-6,Q923+(C923-R923)/MAX(R923-S923,0.000000001),6)</f>
        <v/>
      </c>
      <c r="U923" s="5">
        <f>SUMPRODUCT(('01_Data'!$B923:$AW923&lt;&gt;"")*(1/(1+EXP(-(T923-'03_Lap_b'!$B$30:$AW$30)))))</f>
        <v/>
      </c>
      <c r="V923" s="5">
        <f>SUMPRODUCT(('01_Data'!$B923:$AW923&lt;&gt;"")*(1/(1+EXP(-(T923-'03_Lap_b'!$B$30:$AW$30))))^2)</f>
        <v/>
      </c>
      <c r="W923" s="5">
        <f>MEDIAN(-6,T923+(C923-U923)/MAX(U923-V923,0.000000001),6)</f>
        <v/>
      </c>
      <c r="X923" s="5">
        <f>SUMPRODUCT(('01_Data'!$B923:$AW923&lt;&gt;"")*(1/(1+EXP(-(W923-'03_Lap_b'!$B$35:$AW$35)))))</f>
        <v/>
      </c>
      <c r="Y923" s="5">
        <f>SUMPRODUCT(('01_Data'!$B923:$AW923&lt;&gt;"")*(1/(1+EXP(-(W923-'03_Lap_b'!$B$35:$AW$35))))^2)</f>
        <v/>
      </c>
      <c r="Z923" s="5">
        <f>MEDIAN(-6,W923+(C923-X923)/MAX(X923-Y923,0.000000001),6)</f>
        <v/>
      </c>
      <c r="AA923" s="5">
        <f>SUMPRODUCT(('01_Data'!$B923:$AW923&lt;&gt;"")*(1/(1+EXP(-(Z923-'03_Lap_b'!$B$40:$AW$40)))))</f>
        <v/>
      </c>
      <c r="AB923" s="5">
        <f>SUMPRODUCT(('01_Data'!$B923:$AW923&lt;&gt;"")*(1/(1+EXP(-(Z923-'03_Lap_b'!$B$40:$AW$40))))^2)</f>
        <v/>
      </c>
      <c r="AC923" s="5">
        <f>MEDIAN(-6,Z923+(C923-AA923)/MAX(AA923-AB923,0.000000001),6)</f>
        <v/>
      </c>
    </row>
    <row r="924">
      <c r="A924" t="n">
        <v>923</v>
      </c>
      <c r="B924">
        <f>'01_Data'!A924</f>
        <v/>
      </c>
      <c r="C924">
        <f>SUM('01_Data'!$B924:$AW924)</f>
        <v/>
      </c>
      <c r="D924">
        <f>COUNT('01_Data'!$B924:$AW924)</f>
        <v/>
      </c>
      <c r="E924" s="5">
        <f>MEDIAN(-6,LN((C924+0.3)/(D924-C924+0.3)),6)</f>
        <v/>
      </c>
      <c r="F924" s="5">
        <f>SUMPRODUCT(('01_Data'!$B924:$AW924&lt;&gt;"")*(1/(1+EXP(-(E924-'03_Lap_b'!$B$5:$AW$5)))))</f>
        <v/>
      </c>
      <c r="G924" s="5">
        <f>SUMPRODUCT(('01_Data'!$B924:$AW924&lt;&gt;"")*(1/(1+EXP(-(E924-'03_Lap_b'!$B$5:$AW$5))))^2)</f>
        <v/>
      </c>
      <c r="H924" s="5">
        <f>MEDIAN(-6,E924+(C924-F924)/MAX(F924-G924,0.000000001),6)</f>
        <v/>
      </c>
      <c r="I924" s="5">
        <f>SUMPRODUCT(('01_Data'!$B924:$AW924&lt;&gt;"")*(1/(1+EXP(-(H924-'03_Lap_b'!$B$10:$AW$10)))))</f>
        <v/>
      </c>
      <c r="J924" s="5">
        <f>SUMPRODUCT(('01_Data'!$B924:$AW924&lt;&gt;"")*(1/(1+EXP(-(H924-'03_Lap_b'!$B$10:$AW$10))))^2)</f>
        <v/>
      </c>
      <c r="K924" s="5">
        <f>MEDIAN(-6,H924+(C924-I924)/MAX(I924-J924,0.000000001),6)</f>
        <v/>
      </c>
      <c r="L924" s="5">
        <f>SUMPRODUCT(('01_Data'!$B924:$AW924&lt;&gt;"")*(1/(1+EXP(-(K924-'03_Lap_b'!$B$15:$AW$15)))))</f>
        <v/>
      </c>
      <c r="M924" s="5">
        <f>SUMPRODUCT(('01_Data'!$B924:$AW924&lt;&gt;"")*(1/(1+EXP(-(K924-'03_Lap_b'!$B$15:$AW$15))))^2)</f>
        <v/>
      </c>
      <c r="N924" s="5">
        <f>MEDIAN(-6,K924+(C924-L924)/MAX(L924-M924,0.000000001),6)</f>
        <v/>
      </c>
      <c r="O924" s="5">
        <f>SUMPRODUCT(('01_Data'!$B924:$AW924&lt;&gt;"")*(1/(1+EXP(-(N924-'03_Lap_b'!$B$20:$AW$20)))))</f>
        <v/>
      </c>
      <c r="P924" s="5">
        <f>SUMPRODUCT(('01_Data'!$B924:$AW924&lt;&gt;"")*(1/(1+EXP(-(N924-'03_Lap_b'!$B$20:$AW$20))))^2)</f>
        <v/>
      </c>
      <c r="Q924" s="5">
        <f>MEDIAN(-6,N924+(C924-O924)/MAX(O924-P924,0.000000001),6)</f>
        <v/>
      </c>
      <c r="R924" s="5">
        <f>SUMPRODUCT(('01_Data'!$B924:$AW924&lt;&gt;"")*(1/(1+EXP(-(Q924-'03_Lap_b'!$B$25:$AW$25)))))</f>
        <v/>
      </c>
      <c r="S924" s="5">
        <f>SUMPRODUCT(('01_Data'!$B924:$AW924&lt;&gt;"")*(1/(1+EXP(-(Q924-'03_Lap_b'!$B$25:$AW$25))))^2)</f>
        <v/>
      </c>
      <c r="T924" s="5">
        <f>MEDIAN(-6,Q924+(C924-R924)/MAX(R924-S924,0.000000001),6)</f>
        <v/>
      </c>
      <c r="U924" s="5">
        <f>SUMPRODUCT(('01_Data'!$B924:$AW924&lt;&gt;"")*(1/(1+EXP(-(T924-'03_Lap_b'!$B$30:$AW$30)))))</f>
        <v/>
      </c>
      <c r="V924" s="5">
        <f>SUMPRODUCT(('01_Data'!$B924:$AW924&lt;&gt;"")*(1/(1+EXP(-(T924-'03_Lap_b'!$B$30:$AW$30))))^2)</f>
        <v/>
      </c>
      <c r="W924" s="5">
        <f>MEDIAN(-6,T924+(C924-U924)/MAX(U924-V924,0.000000001),6)</f>
        <v/>
      </c>
      <c r="X924" s="5">
        <f>SUMPRODUCT(('01_Data'!$B924:$AW924&lt;&gt;"")*(1/(1+EXP(-(W924-'03_Lap_b'!$B$35:$AW$35)))))</f>
        <v/>
      </c>
      <c r="Y924" s="5">
        <f>SUMPRODUCT(('01_Data'!$B924:$AW924&lt;&gt;"")*(1/(1+EXP(-(W924-'03_Lap_b'!$B$35:$AW$35))))^2)</f>
        <v/>
      </c>
      <c r="Z924" s="5">
        <f>MEDIAN(-6,W924+(C924-X924)/MAX(X924-Y924,0.000000001),6)</f>
        <v/>
      </c>
      <c r="AA924" s="5">
        <f>SUMPRODUCT(('01_Data'!$B924:$AW924&lt;&gt;"")*(1/(1+EXP(-(Z924-'03_Lap_b'!$B$40:$AW$40)))))</f>
        <v/>
      </c>
      <c r="AB924" s="5">
        <f>SUMPRODUCT(('01_Data'!$B924:$AW924&lt;&gt;"")*(1/(1+EXP(-(Z924-'03_Lap_b'!$B$40:$AW$40))))^2)</f>
        <v/>
      </c>
      <c r="AC924" s="5">
        <f>MEDIAN(-6,Z924+(C924-AA924)/MAX(AA924-AB924,0.000000001),6)</f>
        <v/>
      </c>
    </row>
    <row r="925">
      <c r="A925" t="n">
        <v>924</v>
      </c>
      <c r="B925">
        <f>'01_Data'!A925</f>
        <v/>
      </c>
      <c r="C925">
        <f>SUM('01_Data'!$B925:$AW925)</f>
        <v/>
      </c>
      <c r="D925">
        <f>COUNT('01_Data'!$B925:$AW925)</f>
        <v/>
      </c>
      <c r="E925" s="5">
        <f>MEDIAN(-6,LN((C925+0.3)/(D925-C925+0.3)),6)</f>
        <v/>
      </c>
      <c r="F925" s="5">
        <f>SUMPRODUCT(('01_Data'!$B925:$AW925&lt;&gt;"")*(1/(1+EXP(-(E925-'03_Lap_b'!$B$5:$AW$5)))))</f>
        <v/>
      </c>
      <c r="G925" s="5">
        <f>SUMPRODUCT(('01_Data'!$B925:$AW925&lt;&gt;"")*(1/(1+EXP(-(E925-'03_Lap_b'!$B$5:$AW$5))))^2)</f>
        <v/>
      </c>
      <c r="H925" s="5">
        <f>MEDIAN(-6,E925+(C925-F925)/MAX(F925-G925,0.000000001),6)</f>
        <v/>
      </c>
      <c r="I925" s="5">
        <f>SUMPRODUCT(('01_Data'!$B925:$AW925&lt;&gt;"")*(1/(1+EXP(-(H925-'03_Lap_b'!$B$10:$AW$10)))))</f>
        <v/>
      </c>
      <c r="J925" s="5">
        <f>SUMPRODUCT(('01_Data'!$B925:$AW925&lt;&gt;"")*(1/(1+EXP(-(H925-'03_Lap_b'!$B$10:$AW$10))))^2)</f>
        <v/>
      </c>
      <c r="K925" s="5">
        <f>MEDIAN(-6,H925+(C925-I925)/MAX(I925-J925,0.000000001),6)</f>
        <v/>
      </c>
      <c r="L925" s="5">
        <f>SUMPRODUCT(('01_Data'!$B925:$AW925&lt;&gt;"")*(1/(1+EXP(-(K925-'03_Lap_b'!$B$15:$AW$15)))))</f>
        <v/>
      </c>
      <c r="M925" s="5">
        <f>SUMPRODUCT(('01_Data'!$B925:$AW925&lt;&gt;"")*(1/(1+EXP(-(K925-'03_Lap_b'!$B$15:$AW$15))))^2)</f>
        <v/>
      </c>
      <c r="N925" s="5">
        <f>MEDIAN(-6,K925+(C925-L925)/MAX(L925-M925,0.000000001),6)</f>
        <v/>
      </c>
      <c r="O925" s="5">
        <f>SUMPRODUCT(('01_Data'!$B925:$AW925&lt;&gt;"")*(1/(1+EXP(-(N925-'03_Lap_b'!$B$20:$AW$20)))))</f>
        <v/>
      </c>
      <c r="P925" s="5">
        <f>SUMPRODUCT(('01_Data'!$B925:$AW925&lt;&gt;"")*(1/(1+EXP(-(N925-'03_Lap_b'!$B$20:$AW$20))))^2)</f>
        <v/>
      </c>
      <c r="Q925" s="5">
        <f>MEDIAN(-6,N925+(C925-O925)/MAX(O925-P925,0.000000001),6)</f>
        <v/>
      </c>
      <c r="R925" s="5">
        <f>SUMPRODUCT(('01_Data'!$B925:$AW925&lt;&gt;"")*(1/(1+EXP(-(Q925-'03_Lap_b'!$B$25:$AW$25)))))</f>
        <v/>
      </c>
      <c r="S925" s="5">
        <f>SUMPRODUCT(('01_Data'!$B925:$AW925&lt;&gt;"")*(1/(1+EXP(-(Q925-'03_Lap_b'!$B$25:$AW$25))))^2)</f>
        <v/>
      </c>
      <c r="T925" s="5">
        <f>MEDIAN(-6,Q925+(C925-R925)/MAX(R925-S925,0.000000001),6)</f>
        <v/>
      </c>
      <c r="U925" s="5">
        <f>SUMPRODUCT(('01_Data'!$B925:$AW925&lt;&gt;"")*(1/(1+EXP(-(T925-'03_Lap_b'!$B$30:$AW$30)))))</f>
        <v/>
      </c>
      <c r="V925" s="5">
        <f>SUMPRODUCT(('01_Data'!$B925:$AW925&lt;&gt;"")*(1/(1+EXP(-(T925-'03_Lap_b'!$B$30:$AW$30))))^2)</f>
        <v/>
      </c>
      <c r="W925" s="5">
        <f>MEDIAN(-6,T925+(C925-U925)/MAX(U925-V925,0.000000001),6)</f>
        <v/>
      </c>
      <c r="X925" s="5">
        <f>SUMPRODUCT(('01_Data'!$B925:$AW925&lt;&gt;"")*(1/(1+EXP(-(W925-'03_Lap_b'!$B$35:$AW$35)))))</f>
        <v/>
      </c>
      <c r="Y925" s="5">
        <f>SUMPRODUCT(('01_Data'!$B925:$AW925&lt;&gt;"")*(1/(1+EXP(-(W925-'03_Lap_b'!$B$35:$AW$35))))^2)</f>
        <v/>
      </c>
      <c r="Z925" s="5">
        <f>MEDIAN(-6,W925+(C925-X925)/MAX(X925-Y925,0.000000001),6)</f>
        <v/>
      </c>
      <c r="AA925" s="5">
        <f>SUMPRODUCT(('01_Data'!$B925:$AW925&lt;&gt;"")*(1/(1+EXP(-(Z925-'03_Lap_b'!$B$40:$AW$40)))))</f>
        <v/>
      </c>
      <c r="AB925" s="5">
        <f>SUMPRODUCT(('01_Data'!$B925:$AW925&lt;&gt;"")*(1/(1+EXP(-(Z925-'03_Lap_b'!$B$40:$AW$40))))^2)</f>
        <v/>
      </c>
      <c r="AC925" s="5">
        <f>MEDIAN(-6,Z925+(C925-AA925)/MAX(AA925-AB925,0.000000001),6)</f>
        <v/>
      </c>
    </row>
    <row r="926">
      <c r="A926" t="n">
        <v>925</v>
      </c>
      <c r="B926">
        <f>'01_Data'!A926</f>
        <v/>
      </c>
      <c r="C926">
        <f>SUM('01_Data'!$B926:$AW926)</f>
        <v/>
      </c>
      <c r="D926">
        <f>COUNT('01_Data'!$B926:$AW926)</f>
        <v/>
      </c>
      <c r="E926" s="5">
        <f>MEDIAN(-6,LN((C926+0.3)/(D926-C926+0.3)),6)</f>
        <v/>
      </c>
      <c r="F926" s="5">
        <f>SUMPRODUCT(('01_Data'!$B926:$AW926&lt;&gt;"")*(1/(1+EXP(-(E926-'03_Lap_b'!$B$5:$AW$5)))))</f>
        <v/>
      </c>
      <c r="G926" s="5">
        <f>SUMPRODUCT(('01_Data'!$B926:$AW926&lt;&gt;"")*(1/(1+EXP(-(E926-'03_Lap_b'!$B$5:$AW$5))))^2)</f>
        <v/>
      </c>
      <c r="H926" s="5">
        <f>MEDIAN(-6,E926+(C926-F926)/MAX(F926-G926,0.000000001),6)</f>
        <v/>
      </c>
      <c r="I926" s="5">
        <f>SUMPRODUCT(('01_Data'!$B926:$AW926&lt;&gt;"")*(1/(1+EXP(-(H926-'03_Lap_b'!$B$10:$AW$10)))))</f>
        <v/>
      </c>
      <c r="J926" s="5">
        <f>SUMPRODUCT(('01_Data'!$B926:$AW926&lt;&gt;"")*(1/(1+EXP(-(H926-'03_Lap_b'!$B$10:$AW$10))))^2)</f>
        <v/>
      </c>
      <c r="K926" s="5">
        <f>MEDIAN(-6,H926+(C926-I926)/MAX(I926-J926,0.000000001),6)</f>
        <v/>
      </c>
      <c r="L926" s="5">
        <f>SUMPRODUCT(('01_Data'!$B926:$AW926&lt;&gt;"")*(1/(1+EXP(-(K926-'03_Lap_b'!$B$15:$AW$15)))))</f>
        <v/>
      </c>
      <c r="M926" s="5">
        <f>SUMPRODUCT(('01_Data'!$B926:$AW926&lt;&gt;"")*(1/(1+EXP(-(K926-'03_Lap_b'!$B$15:$AW$15))))^2)</f>
        <v/>
      </c>
      <c r="N926" s="5">
        <f>MEDIAN(-6,K926+(C926-L926)/MAX(L926-M926,0.000000001),6)</f>
        <v/>
      </c>
      <c r="O926" s="5">
        <f>SUMPRODUCT(('01_Data'!$B926:$AW926&lt;&gt;"")*(1/(1+EXP(-(N926-'03_Lap_b'!$B$20:$AW$20)))))</f>
        <v/>
      </c>
      <c r="P926" s="5">
        <f>SUMPRODUCT(('01_Data'!$B926:$AW926&lt;&gt;"")*(1/(1+EXP(-(N926-'03_Lap_b'!$B$20:$AW$20))))^2)</f>
        <v/>
      </c>
      <c r="Q926" s="5">
        <f>MEDIAN(-6,N926+(C926-O926)/MAX(O926-P926,0.000000001),6)</f>
        <v/>
      </c>
      <c r="R926" s="5">
        <f>SUMPRODUCT(('01_Data'!$B926:$AW926&lt;&gt;"")*(1/(1+EXP(-(Q926-'03_Lap_b'!$B$25:$AW$25)))))</f>
        <v/>
      </c>
      <c r="S926" s="5">
        <f>SUMPRODUCT(('01_Data'!$B926:$AW926&lt;&gt;"")*(1/(1+EXP(-(Q926-'03_Lap_b'!$B$25:$AW$25))))^2)</f>
        <v/>
      </c>
      <c r="T926" s="5">
        <f>MEDIAN(-6,Q926+(C926-R926)/MAX(R926-S926,0.000000001),6)</f>
        <v/>
      </c>
      <c r="U926" s="5">
        <f>SUMPRODUCT(('01_Data'!$B926:$AW926&lt;&gt;"")*(1/(1+EXP(-(T926-'03_Lap_b'!$B$30:$AW$30)))))</f>
        <v/>
      </c>
      <c r="V926" s="5">
        <f>SUMPRODUCT(('01_Data'!$B926:$AW926&lt;&gt;"")*(1/(1+EXP(-(T926-'03_Lap_b'!$B$30:$AW$30))))^2)</f>
        <v/>
      </c>
      <c r="W926" s="5">
        <f>MEDIAN(-6,T926+(C926-U926)/MAX(U926-V926,0.000000001),6)</f>
        <v/>
      </c>
      <c r="X926" s="5">
        <f>SUMPRODUCT(('01_Data'!$B926:$AW926&lt;&gt;"")*(1/(1+EXP(-(W926-'03_Lap_b'!$B$35:$AW$35)))))</f>
        <v/>
      </c>
      <c r="Y926" s="5">
        <f>SUMPRODUCT(('01_Data'!$B926:$AW926&lt;&gt;"")*(1/(1+EXP(-(W926-'03_Lap_b'!$B$35:$AW$35))))^2)</f>
        <v/>
      </c>
      <c r="Z926" s="5">
        <f>MEDIAN(-6,W926+(C926-X926)/MAX(X926-Y926,0.000000001),6)</f>
        <v/>
      </c>
      <c r="AA926" s="5">
        <f>SUMPRODUCT(('01_Data'!$B926:$AW926&lt;&gt;"")*(1/(1+EXP(-(Z926-'03_Lap_b'!$B$40:$AW$40)))))</f>
        <v/>
      </c>
      <c r="AB926" s="5">
        <f>SUMPRODUCT(('01_Data'!$B926:$AW926&lt;&gt;"")*(1/(1+EXP(-(Z926-'03_Lap_b'!$B$40:$AW$40))))^2)</f>
        <v/>
      </c>
      <c r="AC926" s="5">
        <f>MEDIAN(-6,Z926+(C926-AA926)/MAX(AA926-AB926,0.000000001),6)</f>
        <v/>
      </c>
    </row>
    <row r="927">
      <c r="A927" t="n">
        <v>926</v>
      </c>
      <c r="B927">
        <f>'01_Data'!A927</f>
        <v/>
      </c>
      <c r="C927">
        <f>SUM('01_Data'!$B927:$AW927)</f>
        <v/>
      </c>
      <c r="D927">
        <f>COUNT('01_Data'!$B927:$AW927)</f>
        <v/>
      </c>
      <c r="E927" s="5">
        <f>MEDIAN(-6,LN((C927+0.3)/(D927-C927+0.3)),6)</f>
        <v/>
      </c>
      <c r="F927" s="5">
        <f>SUMPRODUCT(('01_Data'!$B927:$AW927&lt;&gt;"")*(1/(1+EXP(-(E927-'03_Lap_b'!$B$5:$AW$5)))))</f>
        <v/>
      </c>
      <c r="G927" s="5">
        <f>SUMPRODUCT(('01_Data'!$B927:$AW927&lt;&gt;"")*(1/(1+EXP(-(E927-'03_Lap_b'!$B$5:$AW$5))))^2)</f>
        <v/>
      </c>
      <c r="H927" s="5">
        <f>MEDIAN(-6,E927+(C927-F927)/MAX(F927-G927,0.000000001),6)</f>
        <v/>
      </c>
      <c r="I927" s="5">
        <f>SUMPRODUCT(('01_Data'!$B927:$AW927&lt;&gt;"")*(1/(1+EXP(-(H927-'03_Lap_b'!$B$10:$AW$10)))))</f>
        <v/>
      </c>
      <c r="J927" s="5">
        <f>SUMPRODUCT(('01_Data'!$B927:$AW927&lt;&gt;"")*(1/(1+EXP(-(H927-'03_Lap_b'!$B$10:$AW$10))))^2)</f>
        <v/>
      </c>
      <c r="K927" s="5">
        <f>MEDIAN(-6,H927+(C927-I927)/MAX(I927-J927,0.000000001),6)</f>
        <v/>
      </c>
      <c r="L927" s="5">
        <f>SUMPRODUCT(('01_Data'!$B927:$AW927&lt;&gt;"")*(1/(1+EXP(-(K927-'03_Lap_b'!$B$15:$AW$15)))))</f>
        <v/>
      </c>
      <c r="M927" s="5">
        <f>SUMPRODUCT(('01_Data'!$B927:$AW927&lt;&gt;"")*(1/(1+EXP(-(K927-'03_Lap_b'!$B$15:$AW$15))))^2)</f>
        <v/>
      </c>
      <c r="N927" s="5">
        <f>MEDIAN(-6,K927+(C927-L927)/MAX(L927-M927,0.000000001),6)</f>
        <v/>
      </c>
      <c r="O927" s="5">
        <f>SUMPRODUCT(('01_Data'!$B927:$AW927&lt;&gt;"")*(1/(1+EXP(-(N927-'03_Lap_b'!$B$20:$AW$20)))))</f>
        <v/>
      </c>
      <c r="P927" s="5">
        <f>SUMPRODUCT(('01_Data'!$B927:$AW927&lt;&gt;"")*(1/(1+EXP(-(N927-'03_Lap_b'!$B$20:$AW$20))))^2)</f>
        <v/>
      </c>
      <c r="Q927" s="5">
        <f>MEDIAN(-6,N927+(C927-O927)/MAX(O927-P927,0.000000001),6)</f>
        <v/>
      </c>
      <c r="R927" s="5">
        <f>SUMPRODUCT(('01_Data'!$B927:$AW927&lt;&gt;"")*(1/(1+EXP(-(Q927-'03_Lap_b'!$B$25:$AW$25)))))</f>
        <v/>
      </c>
      <c r="S927" s="5">
        <f>SUMPRODUCT(('01_Data'!$B927:$AW927&lt;&gt;"")*(1/(1+EXP(-(Q927-'03_Lap_b'!$B$25:$AW$25))))^2)</f>
        <v/>
      </c>
      <c r="T927" s="5">
        <f>MEDIAN(-6,Q927+(C927-R927)/MAX(R927-S927,0.000000001),6)</f>
        <v/>
      </c>
      <c r="U927" s="5">
        <f>SUMPRODUCT(('01_Data'!$B927:$AW927&lt;&gt;"")*(1/(1+EXP(-(T927-'03_Lap_b'!$B$30:$AW$30)))))</f>
        <v/>
      </c>
      <c r="V927" s="5">
        <f>SUMPRODUCT(('01_Data'!$B927:$AW927&lt;&gt;"")*(1/(1+EXP(-(T927-'03_Lap_b'!$B$30:$AW$30))))^2)</f>
        <v/>
      </c>
      <c r="W927" s="5">
        <f>MEDIAN(-6,T927+(C927-U927)/MAX(U927-V927,0.000000001),6)</f>
        <v/>
      </c>
      <c r="X927" s="5">
        <f>SUMPRODUCT(('01_Data'!$B927:$AW927&lt;&gt;"")*(1/(1+EXP(-(W927-'03_Lap_b'!$B$35:$AW$35)))))</f>
        <v/>
      </c>
      <c r="Y927" s="5">
        <f>SUMPRODUCT(('01_Data'!$B927:$AW927&lt;&gt;"")*(1/(1+EXP(-(W927-'03_Lap_b'!$B$35:$AW$35))))^2)</f>
        <v/>
      </c>
      <c r="Z927" s="5">
        <f>MEDIAN(-6,W927+(C927-X927)/MAX(X927-Y927,0.000000001),6)</f>
        <v/>
      </c>
      <c r="AA927" s="5">
        <f>SUMPRODUCT(('01_Data'!$B927:$AW927&lt;&gt;"")*(1/(1+EXP(-(Z927-'03_Lap_b'!$B$40:$AW$40)))))</f>
        <v/>
      </c>
      <c r="AB927" s="5">
        <f>SUMPRODUCT(('01_Data'!$B927:$AW927&lt;&gt;"")*(1/(1+EXP(-(Z927-'03_Lap_b'!$B$40:$AW$40))))^2)</f>
        <v/>
      </c>
      <c r="AC927" s="5">
        <f>MEDIAN(-6,Z927+(C927-AA927)/MAX(AA927-AB927,0.000000001),6)</f>
        <v/>
      </c>
    </row>
    <row r="928">
      <c r="A928" t="n">
        <v>927</v>
      </c>
      <c r="B928">
        <f>'01_Data'!A928</f>
        <v/>
      </c>
      <c r="C928">
        <f>SUM('01_Data'!$B928:$AW928)</f>
        <v/>
      </c>
      <c r="D928">
        <f>COUNT('01_Data'!$B928:$AW928)</f>
        <v/>
      </c>
      <c r="E928" s="5">
        <f>MEDIAN(-6,LN((C928+0.3)/(D928-C928+0.3)),6)</f>
        <v/>
      </c>
      <c r="F928" s="5">
        <f>SUMPRODUCT(('01_Data'!$B928:$AW928&lt;&gt;"")*(1/(1+EXP(-(E928-'03_Lap_b'!$B$5:$AW$5)))))</f>
        <v/>
      </c>
      <c r="G928" s="5">
        <f>SUMPRODUCT(('01_Data'!$B928:$AW928&lt;&gt;"")*(1/(1+EXP(-(E928-'03_Lap_b'!$B$5:$AW$5))))^2)</f>
        <v/>
      </c>
      <c r="H928" s="5">
        <f>MEDIAN(-6,E928+(C928-F928)/MAX(F928-G928,0.000000001),6)</f>
        <v/>
      </c>
      <c r="I928" s="5">
        <f>SUMPRODUCT(('01_Data'!$B928:$AW928&lt;&gt;"")*(1/(1+EXP(-(H928-'03_Lap_b'!$B$10:$AW$10)))))</f>
        <v/>
      </c>
      <c r="J928" s="5">
        <f>SUMPRODUCT(('01_Data'!$B928:$AW928&lt;&gt;"")*(1/(1+EXP(-(H928-'03_Lap_b'!$B$10:$AW$10))))^2)</f>
        <v/>
      </c>
      <c r="K928" s="5">
        <f>MEDIAN(-6,H928+(C928-I928)/MAX(I928-J928,0.000000001),6)</f>
        <v/>
      </c>
      <c r="L928" s="5">
        <f>SUMPRODUCT(('01_Data'!$B928:$AW928&lt;&gt;"")*(1/(1+EXP(-(K928-'03_Lap_b'!$B$15:$AW$15)))))</f>
        <v/>
      </c>
      <c r="M928" s="5">
        <f>SUMPRODUCT(('01_Data'!$B928:$AW928&lt;&gt;"")*(1/(1+EXP(-(K928-'03_Lap_b'!$B$15:$AW$15))))^2)</f>
        <v/>
      </c>
      <c r="N928" s="5">
        <f>MEDIAN(-6,K928+(C928-L928)/MAX(L928-M928,0.000000001),6)</f>
        <v/>
      </c>
      <c r="O928" s="5">
        <f>SUMPRODUCT(('01_Data'!$B928:$AW928&lt;&gt;"")*(1/(1+EXP(-(N928-'03_Lap_b'!$B$20:$AW$20)))))</f>
        <v/>
      </c>
      <c r="P928" s="5">
        <f>SUMPRODUCT(('01_Data'!$B928:$AW928&lt;&gt;"")*(1/(1+EXP(-(N928-'03_Lap_b'!$B$20:$AW$20))))^2)</f>
        <v/>
      </c>
      <c r="Q928" s="5">
        <f>MEDIAN(-6,N928+(C928-O928)/MAX(O928-P928,0.000000001),6)</f>
        <v/>
      </c>
      <c r="R928" s="5">
        <f>SUMPRODUCT(('01_Data'!$B928:$AW928&lt;&gt;"")*(1/(1+EXP(-(Q928-'03_Lap_b'!$B$25:$AW$25)))))</f>
        <v/>
      </c>
      <c r="S928" s="5">
        <f>SUMPRODUCT(('01_Data'!$B928:$AW928&lt;&gt;"")*(1/(1+EXP(-(Q928-'03_Lap_b'!$B$25:$AW$25))))^2)</f>
        <v/>
      </c>
      <c r="T928" s="5">
        <f>MEDIAN(-6,Q928+(C928-R928)/MAX(R928-S928,0.000000001),6)</f>
        <v/>
      </c>
      <c r="U928" s="5">
        <f>SUMPRODUCT(('01_Data'!$B928:$AW928&lt;&gt;"")*(1/(1+EXP(-(T928-'03_Lap_b'!$B$30:$AW$30)))))</f>
        <v/>
      </c>
      <c r="V928" s="5">
        <f>SUMPRODUCT(('01_Data'!$B928:$AW928&lt;&gt;"")*(1/(1+EXP(-(T928-'03_Lap_b'!$B$30:$AW$30))))^2)</f>
        <v/>
      </c>
      <c r="W928" s="5">
        <f>MEDIAN(-6,T928+(C928-U928)/MAX(U928-V928,0.000000001),6)</f>
        <v/>
      </c>
      <c r="X928" s="5">
        <f>SUMPRODUCT(('01_Data'!$B928:$AW928&lt;&gt;"")*(1/(1+EXP(-(W928-'03_Lap_b'!$B$35:$AW$35)))))</f>
        <v/>
      </c>
      <c r="Y928" s="5">
        <f>SUMPRODUCT(('01_Data'!$B928:$AW928&lt;&gt;"")*(1/(1+EXP(-(W928-'03_Lap_b'!$B$35:$AW$35))))^2)</f>
        <v/>
      </c>
      <c r="Z928" s="5">
        <f>MEDIAN(-6,W928+(C928-X928)/MAX(X928-Y928,0.000000001),6)</f>
        <v/>
      </c>
      <c r="AA928" s="5">
        <f>SUMPRODUCT(('01_Data'!$B928:$AW928&lt;&gt;"")*(1/(1+EXP(-(Z928-'03_Lap_b'!$B$40:$AW$40)))))</f>
        <v/>
      </c>
      <c r="AB928" s="5">
        <f>SUMPRODUCT(('01_Data'!$B928:$AW928&lt;&gt;"")*(1/(1+EXP(-(Z928-'03_Lap_b'!$B$40:$AW$40))))^2)</f>
        <v/>
      </c>
      <c r="AC928" s="5">
        <f>MEDIAN(-6,Z928+(C928-AA928)/MAX(AA928-AB928,0.000000001),6)</f>
        <v/>
      </c>
    </row>
    <row r="929">
      <c r="A929" t="n">
        <v>928</v>
      </c>
      <c r="B929">
        <f>'01_Data'!A929</f>
        <v/>
      </c>
      <c r="C929">
        <f>SUM('01_Data'!$B929:$AW929)</f>
        <v/>
      </c>
      <c r="D929">
        <f>COUNT('01_Data'!$B929:$AW929)</f>
        <v/>
      </c>
      <c r="E929" s="5">
        <f>MEDIAN(-6,LN((C929+0.3)/(D929-C929+0.3)),6)</f>
        <v/>
      </c>
      <c r="F929" s="5">
        <f>SUMPRODUCT(('01_Data'!$B929:$AW929&lt;&gt;"")*(1/(1+EXP(-(E929-'03_Lap_b'!$B$5:$AW$5)))))</f>
        <v/>
      </c>
      <c r="G929" s="5">
        <f>SUMPRODUCT(('01_Data'!$B929:$AW929&lt;&gt;"")*(1/(1+EXP(-(E929-'03_Lap_b'!$B$5:$AW$5))))^2)</f>
        <v/>
      </c>
      <c r="H929" s="5">
        <f>MEDIAN(-6,E929+(C929-F929)/MAX(F929-G929,0.000000001),6)</f>
        <v/>
      </c>
      <c r="I929" s="5">
        <f>SUMPRODUCT(('01_Data'!$B929:$AW929&lt;&gt;"")*(1/(1+EXP(-(H929-'03_Lap_b'!$B$10:$AW$10)))))</f>
        <v/>
      </c>
      <c r="J929" s="5">
        <f>SUMPRODUCT(('01_Data'!$B929:$AW929&lt;&gt;"")*(1/(1+EXP(-(H929-'03_Lap_b'!$B$10:$AW$10))))^2)</f>
        <v/>
      </c>
      <c r="K929" s="5">
        <f>MEDIAN(-6,H929+(C929-I929)/MAX(I929-J929,0.000000001),6)</f>
        <v/>
      </c>
      <c r="L929" s="5">
        <f>SUMPRODUCT(('01_Data'!$B929:$AW929&lt;&gt;"")*(1/(1+EXP(-(K929-'03_Lap_b'!$B$15:$AW$15)))))</f>
        <v/>
      </c>
      <c r="M929" s="5">
        <f>SUMPRODUCT(('01_Data'!$B929:$AW929&lt;&gt;"")*(1/(1+EXP(-(K929-'03_Lap_b'!$B$15:$AW$15))))^2)</f>
        <v/>
      </c>
      <c r="N929" s="5">
        <f>MEDIAN(-6,K929+(C929-L929)/MAX(L929-M929,0.000000001),6)</f>
        <v/>
      </c>
      <c r="O929" s="5">
        <f>SUMPRODUCT(('01_Data'!$B929:$AW929&lt;&gt;"")*(1/(1+EXP(-(N929-'03_Lap_b'!$B$20:$AW$20)))))</f>
        <v/>
      </c>
      <c r="P929" s="5">
        <f>SUMPRODUCT(('01_Data'!$B929:$AW929&lt;&gt;"")*(1/(1+EXP(-(N929-'03_Lap_b'!$B$20:$AW$20))))^2)</f>
        <v/>
      </c>
      <c r="Q929" s="5">
        <f>MEDIAN(-6,N929+(C929-O929)/MAX(O929-P929,0.000000001),6)</f>
        <v/>
      </c>
      <c r="R929" s="5">
        <f>SUMPRODUCT(('01_Data'!$B929:$AW929&lt;&gt;"")*(1/(1+EXP(-(Q929-'03_Lap_b'!$B$25:$AW$25)))))</f>
        <v/>
      </c>
      <c r="S929" s="5">
        <f>SUMPRODUCT(('01_Data'!$B929:$AW929&lt;&gt;"")*(1/(1+EXP(-(Q929-'03_Lap_b'!$B$25:$AW$25))))^2)</f>
        <v/>
      </c>
      <c r="T929" s="5">
        <f>MEDIAN(-6,Q929+(C929-R929)/MAX(R929-S929,0.000000001),6)</f>
        <v/>
      </c>
      <c r="U929" s="5">
        <f>SUMPRODUCT(('01_Data'!$B929:$AW929&lt;&gt;"")*(1/(1+EXP(-(T929-'03_Lap_b'!$B$30:$AW$30)))))</f>
        <v/>
      </c>
      <c r="V929" s="5">
        <f>SUMPRODUCT(('01_Data'!$B929:$AW929&lt;&gt;"")*(1/(1+EXP(-(T929-'03_Lap_b'!$B$30:$AW$30))))^2)</f>
        <v/>
      </c>
      <c r="W929" s="5">
        <f>MEDIAN(-6,T929+(C929-U929)/MAX(U929-V929,0.000000001),6)</f>
        <v/>
      </c>
      <c r="X929" s="5">
        <f>SUMPRODUCT(('01_Data'!$B929:$AW929&lt;&gt;"")*(1/(1+EXP(-(W929-'03_Lap_b'!$B$35:$AW$35)))))</f>
        <v/>
      </c>
      <c r="Y929" s="5">
        <f>SUMPRODUCT(('01_Data'!$B929:$AW929&lt;&gt;"")*(1/(1+EXP(-(W929-'03_Lap_b'!$B$35:$AW$35))))^2)</f>
        <v/>
      </c>
      <c r="Z929" s="5">
        <f>MEDIAN(-6,W929+(C929-X929)/MAX(X929-Y929,0.000000001),6)</f>
        <v/>
      </c>
      <c r="AA929" s="5">
        <f>SUMPRODUCT(('01_Data'!$B929:$AW929&lt;&gt;"")*(1/(1+EXP(-(Z929-'03_Lap_b'!$B$40:$AW$40)))))</f>
        <v/>
      </c>
      <c r="AB929" s="5">
        <f>SUMPRODUCT(('01_Data'!$B929:$AW929&lt;&gt;"")*(1/(1+EXP(-(Z929-'03_Lap_b'!$B$40:$AW$40))))^2)</f>
        <v/>
      </c>
      <c r="AC929" s="5">
        <f>MEDIAN(-6,Z929+(C929-AA929)/MAX(AA929-AB929,0.000000001),6)</f>
        <v/>
      </c>
    </row>
    <row r="930">
      <c r="A930" t="n">
        <v>929</v>
      </c>
      <c r="B930">
        <f>'01_Data'!A930</f>
        <v/>
      </c>
      <c r="C930">
        <f>SUM('01_Data'!$B930:$AW930)</f>
        <v/>
      </c>
      <c r="D930">
        <f>COUNT('01_Data'!$B930:$AW930)</f>
        <v/>
      </c>
      <c r="E930" s="5">
        <f>MEDIAN(-6,LN((C930+0.3)/(D930-C930+0.3)),6)</f>
        <v/>
      </c>
      <c r="F930" s="5">
        <f>SUMPRODUCT(('01_Data'!$B930:$AW930&lt;&gt;"")*(1/(1+EXP(-(E930-'03_Lap_b'!$B$5:$AW$5)))))</f>
        <v/>
      </c>
      <c r="G930" s="5">
        <f>SUMPRODUCT(('01_Data'!$B930:$AW930&lt;&gt;"")*(1/(1+EXP(-(E930-'03_Lap_b'!$B$5:$AW$5))))^2)</f>
        <v/>
      </c>
      <c r="H930" s="5">
        <f>MEDIAN(-6,E930+(C930-F930)/MAX(F930-G930,0.000000001),6)</f>
        <v/>
      </c>
      <c r="I930" s="5">
        <f>SUMPRODUCT(('01_Data'!$B930:$AW930&lt;&gt;"")*(1/(1+EXP(-(H930-'03_Lap_b'!$B$10:$AW$10)))))</f>
        <v/>
      </c>
      <c r="J930" s="5">
        <f>SUMPRODUCT(('01_Data'!$B930:$AW930&lt;&gt;"")*(1/(1+EXP(-(H930-'03_Lap_b'!$B$10:$AW$10))))^2)</f>
        <v/>
      </c>
      <c r="K930" s="5">
        <f>MEDIAN(-6,H930+(C930-I930)/MAX(I930-J930,0.000000001),6)</f>
        <v/>
      </c>
      <c r="L930" s="5">
        <f>SUMPRODUCT(('01_Data'!$B930:$AW930&lt;&gt;"")*(1/(1+EXP(-(K930-'03_Lap_b'!$B$15:$AW$15)))))</f>
        <v/>
      </c>
      <c r="M930" s="5">
        <f>SUMPRODUCT(('01_Data'!$B930:$AW930&lt;&gt;"")*(1/(1+EXP(-(K930-'03_Lap_b'!$B$15:$AW$15))))^2)</f>
        <v/>
      </c>
      <c r="N930" s="5">
        <f>MEDIAN(-6,K930+(C930-L930)/MAX(L930-M930,0.000000001),6)</f>
        <v/>
      </c>
      <c r="O930" s="5">
        <f>SUMPRODUCT(('01_Data'!$B930:$AW930&lt;&gt;"")*(1/(1+EXP(-(N930-'03_Lap_b'!$B$20:$AW$20)))))</f>
        <v/>
      </c>
      <c r="P930" s="5">
        <f>SUMPRODUCT(('01_Data'!$B930:$AW930&lt;&gt;"")*(1/(1+EXP(-(N930-'03_Lap_b'!$B$20:$AW$20))))^2)</f>
        <v/>
      </c>
      <c r="Q930" s="5">
        <f>MEDIAN(-6,N930+(C930-O930)/MAX(O930-P930,0.000000001),6)</f>
        <v/>
      </c>
      <c r="R930" s="5">
        <f>SUMPRODUCT(('01_Data'!$B930:$AW930&lt;&gt;"")*(1/(1+EXP(-(Q930-'03_Lap_b'!$B$25:$AW$25)))))</f>
        <v/>
      </c>
      <c r="S930" s="5">
        <f>SUMPRODUCT(('01_Data'!$B930:$AW930&lt;&gt;"")*(1/(1+EXP(-(Q930-'03_Lap_b'!$B$25:$AW$25))))^2)</f>
        <v/>
      </c>
      <c r="T930" s="5">
        <f>MEDIAN(-6,Q930+(C930-R930)/MAX(R930-S930,0.000000001),6)</f>
        <v/>
      </c>
      <c r="U930" s="5">
        <f>SUMPRODUCT(('01_Data'!$B930:$AW930&lt;&gt;"")*(1/(1+EXP(-(T930-'03_Lap_b'!$B$30:$AW$30)))))</f>
        <v/>
      </c>
      <c r="V930" s="5">
        <f>SUMPRODUCT(('01_Data'!$B930:$AW930&lt;&gt;"")*(1/(1+EXP(-(T930-'03_Lap_b'!$B$30:$AW$30))))^2)</f>
        <v/>
      </c>
      <c r="W930" s="5">
        <f>MEDIAN(-6,T930+(C930-U930)/MAX(U930-V930,0.000000001),6)</f>
        <v/>
      </c>
      <c r="X930" s="5">
        <f>SUMPRODUCT(('01_Data'!$B930:$AW930&lt;&gt;"")*(1/(1+EXP(-(W930-'03_Lap_b'!$B$35:$AW$35)))))</f>
        <v/>
      </c>
      <c r="Y930" s="5">
        <f>SUMPRODUCT(('01_Data'!$B930:$AW930&lt;&gt;"")*(1/(1+EXP(-(W930-'03_Lap_b'!$B$35:$AW$35))))^2)</f>
        <v/>
      </c>
      <c r="Z930" s="5">
        <f>MEDIAN(-6,W930+(C930-X930)/MAX(X930-Y930,0.000000001),6)</f>
        <v/>
      </c>
      <c r="AA930" s="5">
        <f>SUMPRODUCT(('01_Data'!$B930:$AW930&lt;&gt;"")*(1/(1+EXP(-(Z930-'03_Lap_b'!$B$40:$AW$40)))))</f>
        <v/>
      </c>
      <c r="AB930" s="5">
        <f>SUMPRODUCT(('01_Data'!$B930:$AW930&lt;&gt;"")*(1/(1+EXP(-(Z930-'03_Lap_b'!$B$40:$AW$40))))^2)</f>
        <v/>
      </c>
      <c r="AC930" s="5">
        <f>MEDIAN(-6,Z930+(C930-AA930)/MAX(AA930-AB930,0.000000001),6)</f>
        <v/>
      </c>
    </row>
    <row r="931">
      <c r="A931" t="n">
        <v>930</v>
      </c>
      <c r="B931">
        <f>'01_Data'!A931</f>
        <v/>
      </c>
      <c r="C931">
        <f>SUM('01_Data'!$B931:$AW931)</f>
        <v/>
      </c>
      <c r="D931">
        <f>COUNT('01_Data'!$B931:$AW931)</f>
        <v/>
      </c>
      <c r="E931" s="5">
        <f>MEDIAN(-6,LN((C931+0.3)/(D931-C931+0.3)),6)</f>
        <v/>
      </c>
      <c r="F931" s="5">
        <f>SUMPRODUCT(('01_Data'!$B931:$AW931&lt;&gt;"")*(1/(1+EXP(-(E931-'03_Lap_b'!$B$5:$AW$5)))))</f>
        <v/>
      </c>
      <c r="G931" s="5">
        <f>SUMPRODUCT(('01_Data'!$B931:$AW931&lt;&gt;"")*(1/(1+EXP(-(E931-'03_Lap_b'!$B$5:$AW$5))))^2)</f>
        <v/>
      </c>
      <c r="H931" s="5">
        <f>MEDIAN(-6,E931+(C931-F931)/MAX(F931-G931,0.000000001),6)</f>
        <v/>
      </c>
      <c r="I931" s="5">
        <f>SUMPRODUCT(('01_Data'!$B931:$AW931&lt;&gt;"")*(1/(1+EXP(-(H931-'03_Lap_b'!$B$10:$AW$10)))))</f>
        <v/>
      </c>
      <c r="J931" s="5">
        <f>SUMPRODUCT(('01_Data'!$B931:$AW931&lt;&gt;"")*(1/(1+EXP(-(H931-'03_Lap_b'!$B$10:$AW$10))))^2)</f>
        <v/>
      </c>
      <c r="K931" s="5">
        <f>MEDIAN(-6,H931+(C931-I931)/MAX(I931-J931,0.000000001),6)</f>
        <v/>
      </c>
      <c r="L931" s="5">
        <f>SUMPRODUCT(('01_Data'!$B931:$AW931&lt;&gt;"")*(1/(1+EXP(-(K931-'03_Lap_b'!$B$15:$AW$15)))))</f>
        <v/>
      </c>
      <c r="M931" s="5">
        <f>SUMPRODUCT(('01_Data'!$B931:$AW931&lt;&gt;"")*(1/(1+EXP(-(K931-'03_Lap_b'!$B$15:$AW$15))))^2)</f>
        <v/>
      </c>
      <c r="N931" s="5">
        <f>MEDIAN(-6,K931+(C931-L931)/MAX(L931-M931,0.000000001),6)</f>
        <v/>
      </c>
      <c r="O931" s="5">
        <f>SUMPRODUCT(('01_Data'!$B931:$AW931&lt;&gt;"")*(1/(1+EXP(-(N931-'03_Lap_b'!$B$20:$AW$20)))))</f>
        <v/>
      </c>
      <c r="P931" s="5">
        <f>SUMPRODUCT(('01_Data'!$B931:$AW931&lt;&gt;"")*(1/(1+EXP(-(N931-'03_Lap_b'!$B$20:$AW$20))))^2)</f>
        <v/>
      </c>
      <c r="Q931" s="5">
        <f>MEDIAN(-6,N931+(C931-O931)/MAX(O931-P931,0.000000001),6)</f>
        <v/>
      </c>
      <c r="R931" s="5">
        <f>SUMPRODUCT(('01_Data'!$B931:$AW931&lt;&gt;"")*(1/(1+EXP(-(Q931-'03_Lap_b'!$B$25:$AW$25)))))</f>
        <v/>
      </c>
      <c r="S931" s="5">
        <f>SUMPRODUCT(('01_Data'!$B931:$AW931&lt;&gt;"")*(1/(1+EXP(-(Q931-'03_Lap_b'!$B$25:$AW$25))))^2)</f>
        <v/>
      </c>
      <c r="T931" s="5">
        <f>MEDIAN(-6,Q931+(C931-R931)/MAX(R931-S931,0.000000001),6)</f>
        <v/>
      </c>
      <c r="U931" s="5">
        <f>SUMPRODUCT(('01_Data'!$B931:$AW931&lt;&gt;"")*(1/(1+EXP(-(T931-'03_Lap_b'!$B$30:$AW$30)))))</f>
        <v/>
      </c>
      <c r="V931" s="5">
        <f>SUMPRODUCT(('01_Data'!$B931:$AW931&lt;&gt;"")*(1/(1+EXP(-(T931-'03_Lap_b'!$B$30:$AW$30))))^2)</f>
        <v/>
      </c>
      <c r="W931" s="5">
        <f>MEDIAN(-6,T931+(C931-U931)/MAX(U931-V931,0.000000001),6)</f>
        <v/>
      </c>
      <c r="X931" s="5">
        <f>SUMPRODUCT(('01_Data'!$B931:$AW931&lt;&gt;"")*(1/(1+EXP(-(W931-'03_Lap_b'!$B$35:$AW$35)))))</f>
        <v/>
      </c>
      <c r="Y931" s="5">
        <f>SUMPRODUCT(('01_Data'!$B931:$AW931&lt;&gt;"")*(1/(1+EXP(-(W931-'03_Lap_b'!$B$35:$AW$35))))^2)</f>
        <v/>
      </c>
      <c r="Z931" s="5">
        <f>MEDIAN(-6,W931+(C931-X931)/MAX(X931-Y931,0.000000001),6)</f>
        <v/>
      </c>
      <c r="AA931" s="5">
        <f>SUMPRODUCT(('01_Data'!$B931:$AW931&lt;&gt;"")*(1/(1+EXP(-(Z931-'03_Lap_b'!$B$40:$AW$40)))))</f>
        <v/>
      </c>
      <c r="AB931" s="5">
        <f>SUMPRODUCT(('01_Data'!$B931:$AW931&lt;&gt;"")*(1/(1+EXP(-(Z931-'03_Lap_b'!$B$40:$AW$40))))^2)</f>
        <v/>
      </c>
      <c r="AC931" s="5">
        <f>MEDIAN(-6,Z931+(C931-AA931)/MAX(AA931-AB931,0.000000001),6)</f>
        <v/>
      </c>
    </row>
    <row r="932">
      <c r="A932" t="n">
        <v>931</v>
      </c>
      <c r="B932">
        <f>'01_Data'!A932</f>
        <v/>
      </c>
      <c r="C932">
        <f>SUM('01_Data'!$B932:$AW932)</f>
        <v/>
      </c>
      <c r="D932">
        <f>COUNT('01_Data'!$B932:$AW932)</f>
        <v/>
      </c>
      <c r="E932" s="5">
        <f>MEDIAN(-6,LN((C932+0.3)/(D932-C932+0.3)),6)</f>
        <v/>
      </c>
      <c r="F932" s="5">
        <f>SUMPRODUCT(('01_Data'!$B932:$AW932&lt;&gt;"")*(1/(1+EXP(-(E932-'03_Lap_b'!$B$5:$AW$5)))))</f>
        <v/>
      </c>
      <c r="G932" s="5">
        <f>SUMPRODUCT(('01_Data'!$B932:$AW932&lt;&gt;"")*(1/(1+EXP(-(E932-'03_Lap_b'!$B$5:$AW$5))))^2)</f>
        <v/>
      </c>
      <c r="H932" s="5">
        <f>MEDIAN(-6,E932+(C932-F932)/MAX(F932-G932,0.000000001),6)</f>
        <v/>
      </c>
      <c r="I932" s="5">
        <f>SUMPRODUCT(('01_Data'!$B932:$AW932&lt;&gt;"")*(1/(1+EXP(-(H932-'03_Lap_b'!$B$10:$AW$10)))))</f>
        <v/>
      </c>
      <c r="J932" s="5">
        <f>SUMPRODUCT(('01_Data'!$B932:$AW932&lt;&gt;"")*(1/(1+EXP(-(H932-'03_Lap_b'!$B$10:$AW$10))))^2)</f>
        <v/>
      </c>
      <c r="K932" s="5">
        <f>MEDIAN(-6,H932+(C932-I932)/MAX(I932-J932,0.000000001),6)</f>
        <v/>
      </c>
      <c r="L932" s="5">
        <f>SUMPRODUCT(('01_Data'!$B932:$AW932&lt;&gt;"")*(1/(1+EXP(-(K932-'03_Lap_b'!$B$15:$AW$15)))))</f>
        <v/>
      </c>
      <c r="M932" s="5">
        <f>SUMPRODUCT(('01_Data'!$B932:$AW932&lt;&gt;"")*(1/(1+EXP(-(K932-'03_Lap_b'!$B$15:$AW$15))))^2)</f>
        <v/>
      </c>
      <c r="N932" s="5">
        <f>MEDIAN(-6,K932+(C932-L932)/MAX(L932-M932,0.000000001),6)</f>
        <v/>
      </c>
      <c r="O932" s="5">
        <f>SUMPRODUCT(('01_Data'!$B932:$AW932&lt;&gt;"")*(1/(1+EXP(-(N932-'03_Lap_b'!$B$20:$AW$20)))))</f>
        <v/>
      </c>
      <c r="P932" s="5">
        <f>SUMPRODUCT(('01_Data'!$B932:$AW932&lt;&gt;"")*(1/(1+EXP(-(N932-'03_Lap_b'!$B$20:$AW$20))))^2)</f>
        <v/>
      </c>
      <c r="Q932" s="5">
        <f>MEDIAN(-6,N932+(C932-O932)/MAX(O932-P932,0.000000001),6)</f>
        <v/>
      </c>
      <c r="R932" s="5">
        <f>SUMPRODUCT(('01_Data'!$B932:$AW932&lt;&gt;"")*(1/(1+EXP(-(Q932-'03_Lap_b'!$B$25:$AW$25)))))</f>
        <v/>
      </c>
      <c r="S932" s="5">
        <f>SUMPRODUCT(('01_Data'!$B932:$AW932&lt;&gt;"")*(1/(1+EXP(-(Q932-'03_Lap_b'!$B$25:$AW$25))))^2)</f>
        <v/>
      </c>
      <c r="T932" s="5">
        <f>MEDIAN(-6,Q932+(C932-R932)/MAX(R932-S932,0.000000001),6)</f>
        <v/>
      </c>
      <c r="U932" s="5">
        <f>SUMPRODUCT(('01_Data'!$B932:$AW932&lt;&gt;"")*(1/(1+EXP(-(T932-'03_Lap_b'!$B$30:$AW$30)))))</f>
        <v/>
      </c>
      <c r="V932" s="5">
        <f>SUMPRODUCT(('01_Data'!$B932:$AW932&lt;&gt;"")*(1/(1+EXP(-(T932-'03_Lap_b'!$B$30:$AW$30))))^2)</f>
        <v/>
      </c>
      <c r="W932" s="5">
        <f>MEDIAN(-6,T932+(C932-U932)/MAX(U932-V932,0.000000001),6)</f>
        <v/>
      </c>
      <c r="X932" s="5">
        <f>SUMPRODUCT(('01_Data'!$B932:$AW932&lt;&gt;"")*(1/(1+EXP(-(W932-'03_Lap_b'!$B$35:$AW$35)))))</f>
        <v/>
      </c>
      <c r="Y932" s="5">
        <f>SUMPRODUCT(('01_Data'!$B932:$AW932&lt;&gt;"")*(1/(1+EXP(-(W932-'03_Lap_b'!$B$35:$AW$35))))^2)</f>
        <v/>
      </c>
      <c r="Z932" s="5">
        <f>MEDIAN(-6,W932+(C932-X932)/MAX(X932-Y932,0.000000001),6)</f>
        <v/>
      </c>
      <c r="AA932" s="5">
        <f>SUMPRODUCT(('01_Data'!$B932:$AW932&lt;&gt;"")*(1/(1+EXP(-(Z932-'03_Lap_b'!$B$40:$AW$40)))))</f>
        <v/>
      </c>
      <c r="AB932" s="5">
        <f>SUMPRODUCT(('01_Data'!$B932:$AW932&lt;&gt;"")*(1/(1+EXP(-(Z932-'03_Lap_b'!$B$40:$AW$40))))^2)</f>
        <v/>
      </c>
      <c r="AC932" s="5">
        <f>MEDIAN(-6,Z932+(C932-AA932)/MAX(AA932-AB932,0.000000001),6)</f>
        <v/>
      </c>
    </row>
    <row r="933">
      <c r="A933" t="n">
        <v>932</v>
      </c>
      <c r="B933">
        <f>'01_Data'!A933</f>
        <v/>
      </c>
      <c r="C933">
        <f>SUM('01_Data'!$B933:$AW933)</f>
        <v/>
      </c>
      <c r="D933">
        <f>COUNT('01_Data'!$B933:$AW933)</f>
        <v/>
      </c>
      <c r="E933" s="5">
        <f>MEDIAN(-6,LN((C933+0.3)/(D933-C933+0.3)),6)</f>
        <v/>
      </c>
      <c r="F933" s="5">
        <f>SUMPRODUCT(('01_Data'!$B933:$AW933&lt;&gt;"")*(1/(1+EXP(-(E933-'03_Lap_b'!$B$5:$AW$5)))))</f>
        <v/>
      </c>
      <c r="G933" s="5">
        <f>SUMPRODUCT(('01_Data'!$B933:$AW933&lt;&gt;"")*(1/(1+EXP(-(E933-'03_Lap_b'!$B$5:$AW$5))))^2)</f>
        <v/>
      </c>
      <c r="H933" s="5">
        <f>MEDIAN(-6,E933+(C933-F933)/MAX(F933-G933,0.000000001),6)</f>
        <v/>
      </c>
      <c r="I933" s="5">
        <f>SUMPRODUCT(('01_Data'!$B933:$AW933&lt;&gt;"")*(1/(1+EXP(-(H933-'03_Lap_b'!$B$10:$AW$10)))))</f>
        <v/>
      </c>
      <c r="J933" s="5">
        <f>SUMPRODUCT(('01_Data'!$B933:$AW933&lt;&gt;"")*(1/(1+EXP(-(H933-'03_Lap_b'!$B$10:$AW$10))))^2)</f>
        <v/>
      </c>
      <c r="K933" s="5">
        <f>MEDIAN(-6,H933+(C933-I933)/MAX(I933-J933,0.000000001),6)</f>
        <v/>
      </c>
      <c r="L933" s="5">
        <f>SUMPRODUCT(('01_Data'!$B933:$AW933&lt;&gt;"")*(1/(1+EXP(-(K933-'03_Lap_b'!$B$15:$AW$15)))))</f>
        <v/>
      </c>
      <c r="M933" s="5">
        <f>SUMPRODUCT(('01_Data'!$B933:$AW933&lt;&gt;"")*(1/(1+EXP(-(K933-'03_Lap_b'!$B$15:$AW$15))))^2)</f>
        <v/>
      </c>
      <c r="N933" s="5">
        <f>MEDIAN(-6,K933+(C933-L933)/MAX(L933-M933,0.000000001),6)</f>
        <v/>
      </c>
      <c r="O933" s="5">
        <f>SUMPRODUCT(('01_Data'!$B933:$AW933&lt;&gt;"")*(1/(1+EXP(-(N933-'03_Lap_b'!$B$20:$AW$20)))))</f>
        <v/>
      </c>
      <c r="P933" s="5">
        <f>SUMPRODUCT(('01_Data'!$B933:$AW933&lt;&gt;"")*(1/(1+EXP(-(N933-'03_Lap_b'!$B$20:$AW$20))))^2)</f>
        <v/>
      </c>
      <c r="Q933" s="5">
        <f>MEDIAN(-6,N933+(C933-O933)/MAX(O933-P933,0.000000001),6)</f>
        <v/>
      </c>
      <c r="R933" s="5">
        <f>SUMPRODUCT(('01_Data'!$B933:$AW933&lt;&gt;"")*(1/(1+EXP(-(Q933-'03_Lap_b'!$B$25:$AW$25)))))</f>
        <v/>
      </c>
      <c r="S933" s="5">
        <f>SUMPRODUCT(('01_Data'!$B933:$AW933&lt;&gt;"")*(1/(1+EXP(-(Q933-'03_Lap_b'!$B$25:$AW$25))))^2)</f>
        <v/>
      </c>
      <c r="T933" s="5">
        <f>MEDIAN(-6,Q933+(C933-R933)/MAX(R933-S933,0.000000001),6)</f>
        <v/>
      </c>
      <c r="U933" s="5">
        <f>SUMPRODUCT(('01_Data'!$B933:$AW933&lt;&gt;"")*(1/(1+EXP(-(T933-'03_Lap_b'!$B$30:$AW$30)))))</f>
        <v/>
      </c>
      <c r="V933" s="5">
        <f>SUMPRODUCT(('01_Data'!$B933:$AW933&lt;&gt;"")*(1/(1+EXP(-(T933-'03_Lap_b'!$B$30:$AW$30))))^2)</f>
        <v/>
      </c>
      <c r="W933" s="5">
        <f>MEDIAN(-6,T933+(C933-U933)/MAX(U933-V933,0.000000001),6)</f>
        <v/>
      </c>
      <c r="X933" s="5">
        <f>SUMPRODUCT(('01_Data'!$B933:$AW933&lt;&gt;"")*(1/(1+EXP(-(W933-'03_Lap_b'!$B$35:$AW$35)))))</f>
        <v/>
      </c>
      <c r="Y933" s="5">
        <f>SUMPRODUCT(('01_Data'!$B933:$AW933&lt;&gt;"")*(1/(1+EXP(-(W933-'03_Lap_b'!$B$35:$AW$35))))^2)</f>
        <v/>
      </c>
      <c r="Z933" s="5">
        <f>MEDIAN(-6,W933+(C933-X933)/MAX(X933-Y933,0.000000001),6)</f>
        <v/>
      </c>
      <c r="AA933" s="5">
        <f>SUMPRODUCT(('01_Data'!$B933:$AW933&lt;&gt;"")*(1/(1+EXP(-(Z933-'03_Lap_b'!$B$40:$AW$40)))))</f>
        <v/>
      </c>
      <c r="AB933" s="5">
        <f>SUMPRODUCT(('01_Data'!$B933:$AW933&lt;&gt;"")*(1/(1+EXP(-(Z933-'03_Lap_b'!$B$40:$AW$40))))^2)</f>
        <v/>
      </c>
      <c r="AC933" s="5">
        <f>MEDIAN(-6,Z933+(C933-AA933)/MAX(AA933-AB933,0.000000001),6)</f>
        <v/>
      </c>
    </row>
    <row r="934">
      <c r="A934" t="n">
        <v>933</v>
      </c>
      <c r="B934">
        <f>'01_Data'!A934</f>
        <v/>
      </c>
      <c r="C934">
        <f>SUM('01_Data'!$B934:$AW934)</f>
        <v/>
      </c>
      <c r="D934">
        <f>COUNT('01_Data'!$B934:$AW934)</f>
        <v/>
      </c>
      <c r="E934" s="5">
        <f>MEDIAN(-6,LN((C934+0.3)/(D934-C934+0.3)),6)</f>
        <v/>
      </c>
      <c r="F934" s="5">
        <f>SUMPRODUCT(('01_Data'!$B934:$AW934&lt;&gt;"")*(1/(1+EXP(-(E934-'03_Lap_b'!$B$5:$AW$5)))))</f>
        <v/>
      </c>
      <c r="G934" s="5">
        <f>SUMPRODUCT(('01_Data'!$B934:$AW934&lt;&gt;"")*(1/(1+EXP(-(E934-'03_Lap_b'!$B$5:$AW$5))))^2)</f>
        <v/>
      </c>
      <c r="H934" s="5">
        <f>MEDIAN(-6,E934+(C934-F934)/MAX(F934-G934,0.000000001),6)</f>
        <v/>
      </c>
      <c r="I934" s="5">
        <f>SUMPRODUCT(('01_Data'!$B934:$AW934&lt;&gt;"")*(1/(1+EXP(-(H934-'03_Lap_b'!$B$10:$AW$10)))))</f>
        <v/>
      </c>
      <c r="J934" s="5">
        <f>SUMPRODUCT(('01_Data'!$B934:$AW934&lt;&gt;"")*(1/(1+EXP(-(H934-'03_Lap_b'!$B$10:$AW$10))))^2)</f>
        <v/>
      </c>
      <c r="K934" s="5">
        <f>MEDIAN(-6,H934+(C934-I934)/MAX(I934-J934,0.000000001),6)</f>
        <v/>
      </c>
      <c r="L934" s="5">
        <f>SUMPRODUCT(('01_Data'!$B934:$AW934&lt;&gt;"")*(1/(1+EXP(-(K934-'03_Lap_b'!$B$15:$AW$15)))))</f>
        <v/>
      </c>
      <c r="M934" s="5">
        <f>SUMPRODUCT(('01_Data'!$B934:$AW934&lt;&gt;"")*(1/(1+EXP(-(K934-'03_Lap_b'!$B$15:$AW$15))))^2)</f>
        <v/>
      </c>
      <c r="N934" s="5">
        <f>MEDIAN(-6,K934+(C934-L934)/MAX(L934-M934,0.000000001),6)</f>
        <v/>
      </c>
      <c r="O934" s="5">
        <f>SUMPRODUCT(('01_Data'!$B934:$AW934&lt;&gt;"")*(1/(1+EXP(-(N934-'03_Lap_b'!$B$20:$AW$20)))))</f>
        <v/>
      </c>
      <c r="P934" s="5">
        <f>SUMPRODUCT(('01_Data'!$B934:$AW934&lt;&gt;"")*(1/(1+EXP(-(N934-'03_Lap_b'!$B$20:$AW$20))))^2)</f>
        <v/>
      </c>
      <c r="Q934" s="5">
        <f>MEDIAN(-6,N934+(C934-O934)/MAX(O934-P934,0.000000001),6)</f>
        <v/>
      </c>
      <c r="R934" s="5">
        <f>SUMPRODUCT(('01_Data'!$B934:$AW934&lt;&gt;"")*(1/(1+EXP(-(Q934-'03_Lap_b'!$B$25:$AW$25)))))</f>
        <v/>
      </c>
      <c r="S934" s="5">
        <f>SUMPRODUCT(('01_Data'!$B934:$AW934&lt;&gt;"")*(1/(1+EXP(-(Q934-'03_Lap_b'!$B$25:$AW$25))))^2)</f>
        <v/>
      </c>
      <c r="T934" s="5">
        <f>MEDIAN(-6,Q934+(C934-R934)/MAX(R934-S934,0.000000001),6)</f>
        <v/>
      </c>
      <c r="U934" s="5">
        <f>SUMPRODUCT(('01_Data'!$B934:$AW934&lt;&gt;"")*(1/(1+EXP(-(T934-'03_Lap_b'!$B$30:$AW$30)))))</f>
        <v/>
      </c>
      <c r="V934" s="5">
        <f>SUMPRODUCT(('01_Data'!$B934:$AW934&lt;&gt;"")*(1/(1+EXP(-(T934-'03_Lap_b'!$B$30:$AW$30))))^2)</f>
        <v/>
      </c>
      <c r="W934" s="5">
        <f>MEDIAN(-6,T934+(C934-U934)/MAX(U934-V934,0.000000001),6)</f>
        <v/>
      </c>
      <c r="X934" s="5">
        <f>SUMPRODUCT(('01_Data'!$B934:$AW934&lt;&gt;"")*(1/(1+EXP(-(W934-'03_Lap_b'!$B$35:$AW$35)))))</f>
        <v/>
      </c>
      <c r="Y934" s="5">
        <f>SUMPRODUCT(('01_Data'!$B934:$AW934&lt;&gt;"")*(1/(1+EXP(-(W934-'03_Lap_b'!$B$35:$AW$35))))^2)</f>
        <v/>
      </c>
      <c r="Z934" s="5">
        <f>MEDIAN(-6,W934+(C934-X934)/MAX(X934-Y934,0.000000001),6)</f>
        <v/>
      </c>
      <c r="AA934" s="5">
        <f>SUMPRODUCT(('01_Data'!$B934:$AW934&lt;&gt;"")*(1/(1+EXP(-(Z934-'03_Lap_b'!$B$40:$AW$40)))))</f>
        <v/>
      </c>
      <c r="AB934" s="5">
        <f>SUMPRODUCT(('01_Data'!$B934:$AW934&lt;&gt;"")*(1/(1+EXP(-(Z934-'03_Lap_b'!$B$40:$AW$40))))^2)</f>
        <v/>
      </c>
      <c r="AC934" s="5">
        <f>MEDIAN(-6,Z934+(C934-AA934)/MAX(AA934-AB934,0.000000001),6)</f>
        <v/>
      </c>
    </row>
    <row r="935">
      <c r="A935" t="n">
        <v>934</v>
      </c>
      <c r="B935">
        <f>'01_Data'!A935</f>
        <v/>
      </c>
      <c r="C935">
        <f>SUM('01_Data'!$B935:$AW935)</f>
        <v/>
      </c>
      <c r="D935">
        <f>COUNT('01_Data'!$B935:$AW935)</f>
        <v/>
      </c>
      <c r="E935" s="5">
        <f>MEDIAN(-6,LN((C935+0.3)/(D935-C935+0.3)),6)</f>
        <v/>
      </c>
      <c r="F935" s="5">
        <f>SUMPRODUCT(('01_Data'!$B935:$AW935&lt;&gt;"")*(1/(1+EXP(-(E935-'03_Lap_b'!$B$5:$AW$5)))))</f>
        <v/>
      </c>
      <c r="G935" s="5">
        <f>SUMPRODUCT(('01_Data'!$B935:$AW935&lt;&gt;"")*(1/(1+EXP(-(E935-'03_Lap_b'!$B$5:$AW$5))))^2)</f>
        <v/>
      </c>
      <c r="H935" s="5">
        <f>MEDIAN(-6,E935+(C935-F935)/MAX(F935-G935,0.000000001),6)</f>
        <v/>
      </c>
      <c r="I935" s="5">
        <f>SUMPRODUCT(('01_Data'!$B935:$AW935&lt;&gt;"")*(1/(1+EXP(-(H935-'03_Lap_b'!$B$10:$AW$10)))))</f>
        <v/>
      </c>
      <c r="J935" s="5">
        <f>SUMPRODUCT(('01_Data'!$B935:$AW935&lt;&gt;"")*(1/(1+EXP(-(H935-'03_Lap_b'!$B$10:$AW$10))))^2)</f>
        <v/>
      </c>
      <c r="K935" s="5">
        <f>MEDIAN(-6,H935+(C935-I935)/MAX(I935-J935,0.000000001),6)</f>
        <v/>
      </c>
      <c r="L935" s="5">
        <f>SUMPRODUCT(('01_Data'!$B935:$AW935&lt;&gt;"")*(1/(1+EXP(-(K935-'03_Lap_b'!$B$15:$AW$15)))))</f>
        <v/>
      </c>
      <c r="M935" s="5">
        <f>SUMPRODUCT(('01_Data'!$B935:$AW935&lt;&gt;"")*(1/(1+EXP(-(K935-'03_Lap_b'!$B$15:$AW$15))))^2)</f>
        <v/>
      </c>
      <c r="N935" s="5">
        <f>MEDIAN(-6,K935+(C935-L935)/MAX(L935-M935,0.000000001),6)</f>
        <v/>
      </c>
      <c r="O935" s="5">
        <f>SUMPRODUCT(('01_Data'!$B935:$AW935&lt;&gt;"")*(1/(1+EXP(-(N935-'03_Lap_b'!$B$20:$AW$20)))))</f>
        <v/>
      </c>
      <c r="P935" s="5">
        <f>SUMPRODUCT(('01_Data'!$B935:$AW935&lt;&gt;"")*(1/(1+EXP(-(N935-'03_Lap_b'!$B$20:$AW$20))))^2)</f>
        <v/>
      </c>
      <c r="Q935" s="5">
        <f>MEDIAN(-6,N935+(C935-O935)/MAX(O935-P935,0.000000001),6)</f>
        <v/>
      </c>
      <c r="R935" s="5">
        <f>SUMPRODUCT(('01_Data'!$B935:$AW935&lt;&gt;"")*(1/(1+EXP(-(Q935-'03_Lap_b'!$B$25:$AW$25)))))</f>
        <v/>
      </c>
      <c r="S935" s="5">
        <f>SUMPRODUCT(('01_Data'!$B935:$AW935&lt;&gt;"")*(1/(1+EXP(-(Q935-'03_Lap_b'!$B$25:$AW$25))))^2)</f>
        <v/>
      </c>
      <c r="T935" s="5">
        <f>MEDIAN(-6,Q935+(C935-R935)/MAX(R935-S935,0.000000001),6)</f>
        <v/>
      </c>
      <c r="U935" s="5">
        <f>SUMPRODUCT(('01_Data'!$B935:$AW935&lt;&gt;"")*(1/(1+EXP(-(T935-'03_Lap_b'!$B$30:$AW$30)))))</f>
        <v/>
      </c>
      <c r="V935" s="5">
        <f>SUMPRODUCT(('01_Data'!$B935:$AW935&lt;&gt;"")*(1/(1+EXP(-(T935-'03_Lap_b'!$B$30:$AW$30))))^2)</f>
        <v/>
      </c>
      <c r="W935" s="5">
        <f>MEDIAN(-6,T935+(C935-U935)/MAX(U935-V935,0.000000001),6)</f>
        <v/>
      </c>
      <c r="X935" s="5">
        <f>SUMPRODUCT(('01_Data'!$B935:$AW935&lt;&gt;"")*(1/(1+EXP(-(W935-'03_Lap_b'!$B$35:$AW$35)))))</f>
        <v/>
      </c>
      <c r="Y935" s="5">
        <f>SUMPRODUCT(('01_Data'!$B935:$AW935&lt;&gt;"")*(1/(1+EXP(-(W935-'03_Lap_b'!$B$35:$AW$35))))^2)</f>
        <v/>
      </c>
      <c r="Z935" s="5">
        <f>MEDIAN(-6,W935+(C935-X935)/MAX(X935-Y935,0.000000001),6)</f>
        <v/>
      </c>
      <c r="AA935" s="5">
        <f>SUMPRODUCT(('01_Data'!$B935:$AW935&lt;&gt;"")*(1/(1+EXP(-(Z935-'03_Lap_b'!$B$40:$AW$40)))))</f>
        <v/>
      </c>
      <c r="AB935" s="5">
        <f>SUMPRODUCT(('01_Data'!$B935:$AW935&lt;&gt;"")*(1/(1+EXP(-(Z935-'03_Lap_b'!$B$40:$AW$40))))^2)</f>
        <v/>
      </c>
      <c r="AC935" s="5">
        <f>MEDIAN(-6,Z935+(C935-AA935)/MAX(AA935-AB935,0.000000001),6)</f>
        <v/>
      </c>
    </row>
    <row r="936">
      <c r="A936" t="n">
        <v>935</v>
      </c>
      <c r="B936">
        <f>'01_Data'!A936</f>
        <v/>
      </c>
      <c r="C936">
        <f>SUM('01_Data'!$B936:$AW936)</f>
        <v/>
      </c>
      <c r="D936">
        <f>COUNT('01_Data'!$B936:$AW936)</f>
        <v/>
      </c>
      <c r="E936" s="5">
        <f>MEDIAN(-6,LN((C936+0.3)/(D936-C936+0.3)),6)</f>
        <v/>
      </c>
      <c r="F936" s="5">
        <f>SUMPRODUCT(('01_Data'!$B936:$AW936&lt;&gt;"")*(1/(1+EXP(-(E936-'03_Lap_b'!$B$5:$AW$5)))))</f>
        <v/>
      </c>
      <c r="G936" s="5">
        <f>SUMPRODUCT(('01_Data'!$B936:$AW936&lt;&gt;"")*(1/(1+EXP(-(E936-'03_Lap_b'!$B$5:$AW$5))))^2)</f>
        <v/>
      </c>
      <c r="H936" s="5">
        <f>MEDIAN(-6,E936+(C936-F936)/MAX(F936-G936,0.000000001),6)</f>
        <v/>
      </c>
      <c r="I936" s="5">
        <f>SUMPRODUCT(('01_Data'!$B936:$AW936&lt;&gt;"")*(1/(1+EXP(-(H936-'03_Lap_b'!$B$10:$AW$10)))))</f>
        <v/>
      </c>
      <c r="J936" s="5">
        <f>SUMPRODUCT(('01_Data'!$B936:$AW936&lt;&gt;"")*(1/(1+EXP(-(H936-'03_Lap_b'!$B$10:$AW$10))))^2)</f>
        <v/>
      </c>
      <c r="K936" s="5">
        <f>MEDIAN(-6,H936+(C936-I936)/MAX(I936-J936,0.000000001),6)</f>
        <v/>
      </c>
      <c r="L936" s="5">
        <f>SUMPRODUCT(('01_Data'!$B936:$AW936&lt;&gt;"")*(1/(1+EXP(-(K936-'03_Lap_b'!$B$15:$AW$15)))))</f>
        <v/>
      </c>
      <c r="M936" s="5">
        <f>SUMPRODUCT(('01_Data'!$B936:$AW936&lt;&gt;"")*(1/(1+EXP(-(K936-'03_Lap_b'!$B$15:$AW$15))))^2)</f>
        <v/>
      </c>
      <c r="N936" s="5">
        <f>MEDIAN(-6,K936+(C936-L936)/MAX(L936-M936,0.000000001),6)</f>
        <v/>
      </c>
      <c r="O936" s="5">
        <f>SUMPRODUCT(('01_Data'!$B936:$AW936&lt;&gt;"")*(1/(1+EXP(-(N936-'03_Lap_b'!$B$20:$AW$20)))))</f>
        <v/>
      </c>
      <c r="P936" s="5">
        <f>SUMPRODUCT(('01_Data'!$B936:$AW936&lt;&gt;"")*(1/(1+EXP(-(N936-'03_Lap_b'!$B$20:$AW$20))))^2)</f>
        <v/>
      </c>
      <c r="Q936" s="5">
        <f>MEDIAN(-6,N936+(C936-O936)/MAX(O936-P936,0.000000001),6)</f>
        <v/>
      </c>
      <c r="R936" s="5">
        <f>SUMPRODUCT(('01_Data'!$B936:$AW936&lt;&gt;"")*(1/(1+EXP(-(Q936-'03_Lap_b'!$B$25:$AW$25)))))</f>
        <v/>
      </c>
      <c r="S936" s="5">
        <f>SUMPRODUCT(('01_Data'!$B936:$AW936&lt;&gt;"")*(1/(1+EXP(-(Q936-'03_Lap_b'!$B$25:$AW$25))))^2)</f>
        <v/>
      </c>
      <c r="T936" s="5">
        <f>MEDIAN(-6,Q936+(C936-R936)/MAX(R936-S936,0.000000001),6)</f>
        <v/>
      </c>
      <c r="U936" s="5">
        <f>SUMPRODUCT(('01_Data'!$B936:$AW936&lt;&gt;"")*(1/(1+EXP(-(T936-'03_Lap_b'!$B$30:$AW$30)))))</f>
        <v/>
      </c>
      <c r="V936" s="5">
        <f>SUMPRODUCT(('01_Data'!$B936:$AW936&lt;&gt;"")*(1/(1+EXP(-(T936-'03_Lap_b'!$B$30:$AW$30))))^2)</f>
        <v/>
      </c>
      <c r="W936" s="5">
        <f>MEDIAN(-6,T936+(C936-U936)/MAX(U936-V936,0.000000001),6)</f>
        <v/>
      </c>
      <c r="X936" s="5">
        <f>SUMPRODUCT(('01_Data'!$B936:$AW936&lt;&gt;"")*(1/(1+EXP(-(W936-'03_Lap_b'!$B$35:$AW$35)))))</f>
        <v/>
      </c>
      <c r="Y936" s="5">
        <f>SUMPRODUCT(('01_Data'!$B936:$AW936&lt;&gt;"")*(1/(1+EXP(-(W936-'03_Lap_b'!$B$35:$AW$35))))^2)</f>
        <v/>
      </c>
      <c r="Z936" s="5">
        <f>MEDIAN(-6,W936+(C936-X936)/MAX(X936-Y936,0.000000001),6)</f>
        <v/>
      </c>
      <c r="AA936" s="5">
        <f>SUMPRODUCT(('01_Data'!$B936:$AW936&lt;&gt;"")*(1/(1+EXP(-(Z936-'03_Lap_b'!$B$40:$AW$40)))))</f>
        <v/>
      </c>
      <c r="AB936" s="5">
        <f>SUMPRODUCT(('01_Data'!$B936:$AW936&lt;&gt;"")*(1/(1+EXP(-(Z936-'03_Lap_b'!$B$40:$AW$40))))^2)</f>
        <v/>
      </c>
      <c r="AC936" s="5">
        <f>MEDIAN(-6,Z936+(C936-AA936)/MAX(AA936-AB936,0.000000001),6)</f>
        <v/>
      </c>
    </row>
    <row r="937">
      <c r="A937" t="n">
        <v>936</v>
      </c>
      <c r="B937">
        <f>'01_Data'!A937</f>
        <v/>
      </c>
      <c r="C937">
        <f>SUM('01_Data'!$B937:$AW937)</f>
        <v/>
      </c>
      <c r="D937">
        <f>COUNT('01_Data'!$B937:$AW937)</f>
        <v/>
      </c>
      <c r="E937" s="5">
        <f>MEDIAN(-6,LN((C937+0.3)/(D937-C937+0.3)),6)</f>
        <v/>
      </c>
      <c r="F937" s="5">
        <f>SUMPRODUCT(('01_Data'!$B937:$AW937&lt;&gt;"")*(1/(1+EXP(-(E937-'03_Lap_b'!$B$5:$AW$5)))))</f>
        <v/>
      </c>
      <c r="G937" s="5">
        <f>SUMPRODUCT(('01_Data'!$B937:$AW937&lt;&gt;"")*(1/(1+EXP(-(E937-'03_Lap_b'!$B$5:$AW$5))))^2)</f>
        <v/>
      </c>
      <c r="H937" s="5">
        <f>MEDIAN(-6,E937+(C937-F937)/MAX(F937-G937,0.000000001),6)</f>
        <v/>
      </c>
      <c r="I937" s="5">
        <f>SUMPRODUCT(('01_Data'!$B937:$AW937&lt;&gt;"")*(1/(1+EXP(-(H937-'03_Lap_b'!$B$10:$AW$10)))))</f>
        <v/>
      </c>
      <c r="J937" s="5">
        <f>SUMPRODUCT(('01_Data'!$B937:$AW937&lt;&gt;"")*(1/(1+EXP(-(H937-'03_Lap_b'!$B$10:$AW$10))))^2)</f>
        <v/>
      </c>
      <c r="K937" s="5">
        <f>MEDIAN(-6,H937+(C937-I937)/MAX(I937-J937,0.000000001),6)</f>
        <v/>
      </c>
      <c r="L937" s="5">
        <f>SUMPRODUCT(('01_Data'!$B937:$AW937&lt;&gt;"")*(1/(1+EXP(-(K937-'03_Lap_b'!$B$15:$AW$15)))))</f>
        <v/>
      </c>
      <c r="M937" s="5">
        <f>SUMPRODUCT(('01_Data'!$B937:$AW937&lt;&gt;"")*(1/(1+EXP(-(K937-'03_Lap_b'!$B$15:$AW$15))))^2)</f>
        <v/>
      </c>
      <c r="N937" s="5">
        <f>MEDIAN(-6,K937+(C937-L937)/MAX(L937-M937,0.000000001),6)</f>
        <v/>
      </c>
      <c r="O937" s="5">
        <f>SUMPRODUCT(('01_Data'!$B937:$AW937&lt;&gt;"")*(1/(1+EXP(-(N937-'03_Lap_b'!$B$20:$AW$20)))))</f>
        <v/>
      </c>
      <c r="P937" s="5">
        <f>SUMPRODUCT(('01_Data'!$B937:$AW937&lt;&gt;"")*(1/(1+EXP(-(N937-'03_Lap_b'!$B$20:$AW$20))))^2)</f>
        <v/>
      </c>
      <c r="Q937" s="5">
        <f>MEDIAN(-6,N937+(C937-O937)/MAX(O937-P937,0.000000001),6)</f>
        <v/>
      </c>
      <c r="R937" s="5">
        <f>SUMPRODUCT(('01_Data'!$B937:$AW937&lt;&gt;"")*(1/(1+EXP(-(Q937-'03_Lap_b'!$B$25:$AW$25)))))</f>
        <v/>
      </c>
      <c r="S937" s="5">
        <f>SUMPRODUCT(('01_Data'!$B937:$AW937&lt;&gt;"")*(1/(1+EXP(-(Q937-'03_Lap_b'!$B$25:$AW$25))))^2)</f>
        <v/>
      </c>
      <c r="T937" s="5">
        <f>MEDIAN(-6,Q937+(C937-R937)/MAX(R937-S937,0.000000001),6)</f>
        <v/>
      </c>
      <c r="U937" s="5">
        <f>SUMPRODUCT(('01_Data'!$B937:$AW937&lt;&gt;"")*(1/(1+EXP(-(T937-'03_Lap_b'!$B$30:$AW$30)))))</f>
        <v/>
      </c>
      <c r="V937" s="5">
        <f>SUMPRODUCT(('01_Data'!$B937:$AW937&lt;&gt;"")*(1/(1+EXP(-(T937-'03_Lap_b'!$B$30:$AW$30))))^2)</f>
        <v/>
      </c>
      <c r="W937" s="5">
        <f>MEDIAN(-6,T937+(C937-U937)/MAX(U937-V937,0.000000001),6)</f>
        <v/>
      </c>
      <c r="X937" s="5">
        <f>SUMPRODUCT(('01_Data'!$B937:$AW937&lt;&gt;"")*(1/(1+EXP(-(W937-'03_Lap_b'!$B$35:$AW$35)))))</f>
        <v/>
      </c>
      <c r="Y937" s="5">
        <f>SUMPRODUCT(('01_Data'!$B937:$AW937&lt;&gt;"")*(1/(1+EXP(-(W937-'03_Lap_b'!$B$35:$AW$35))))^2)</f>
        <v/>
      </c>
      <c r="Z937" s="5">
        <f>MEDIAN(-6,W937+(C937-X937)/MAX(X937-Y937,0.000000001),6)</f>
        <v/>
      </c>
      <c r="AA937" s="5">
        <f>SUMPRODUCT(('01_Data'!$B937:$AW937&lt;&gt;"")*(1/(1+EXP(-(Z937-'03_Lap_b'!$B$40:$AW$40)))))</f>
        <v/>
      </c>
      <c r="AB937" s="5">
        <f>SUMPRODUCT(('01_Data'!$B937:$AW937&lt;&gt;"")*(1/(1+EXP(-(Z937-'03_Lap_b'!$B$40:$AW$40))))^2)</f>
        <v/>
      </c>
      <c r="AC937" s="5">
        <f>MEDIAN(-6,Z937+(C937-AA937)/MAX(AA937-AB937,0.000000001),6)</f>
        <v/>
      </c>
    </row>
    <row r="938">
      <c r="A938" t="n">
        <v>937</v>
      </c>
      <c r="B938">
        <f>'01_Data'!A938</f>
        <v/>
      </c>
      <c r="C938">
        <f>SUM('01_Data'!$B938:$AW938)</f>
        <v/>
      </c>
      <c r="D938">
        <f>COUNT('01_Data'!$B938:$AW938)</f>
        <v/>
      </c>
      <c r="E938" s="5">
        <f>MEDIAN(-6,LN((C938+0.3)/(D938-C938+0.3)),6)</f>
        <v/>
      </c>
      <c r="F938" s="5">
        <f>SUMPRODUCT(('01_Data'!$B938:$AW938&lt;&gt;"")*(1/(1+EXP(-(E938-'03_Lap_b'!$B$5:$AW$5)))))</f>
        <v/>
      </c>
      <c r="G938" s="5">
        <f>SUMPRODUCT(('01_Data'!$B938:$AW938&lt;&gt;"")*(1/(1+EXP(-(E938-'03_Lap_b'!$B$5:$AW$5))))^2)</f>
        <v/>
      </c>
      <c r="H938" s="5">
        <f>MEDIAN(-6,E938+(C938-F938)/MAX(F938-G938,0.000000001),6)</f>
        <v/>
      </c>
      <c r="I938" s="5">
        <f>SUMPRODUCT(('01_Data'!$B938:$AW938&lt;&gt;"")*(1/(1+EXP(-(H938-'03_Lap_b'!$B$10:$AW$10)))))</f>
        <v/>
      </c>
      <c r="J938" s="5">
        <f>SUMPRODUCT(('01_Data'!$B938:$AW938&lt;&gt;"")*(1/(1+EXP(-(H938-'03_Lap_b'!$B$10:$AW$10))))^2)</f>
        <v/>
      </c>
      <c r="K938" s="5">
        <f>MEDIAN(-6,H938+(C938-I938)/MAX(I938-J938,0.000000001),6)</f>
        <v/>
      </c>
      <c r="L938" s="5">
        <f>SUMPRODUCT(('01_Data'!$B938:$AW938&lt;&gt;"")*(1/(1+EXP(-(K938-'03_Lap_b'!$B$15:$AW$15)))))</f>
        <v/>
      </c>
      <c r="M938" s="5">
        <f>SUMPRODUCT(('01_Data'!$B938:$AW938&lt;&gt;"")*(1/(1+EXP(-(K938-'03_Lap_b'!$B$15:$AW$15))))^2)</f>
        <v/>
      </c>
      <c r="N938" s="5">
        <f>MEDIAN(-6,K938+(C938-L938)/MAX(L938-M938,0.000000001),6)</f>
        <v/>
      </c>
      <c r="O938" s="5">
        <f>SUMPRODUCT(('01_Data'!$B938:$AW938&lt;&gt;"")*(1/(1+EXP(-(N938-'03_Lap_b'!$B$20:$AW$20)))))</f>
        <v/>
      </c>
      <c r="P938" s="5">
        <f>SUMPRODUCT(('01_Data'!$B938:$AW938&lt;&gt;"")*(1/(1+EXP(-(N938-'03_Lap_b'!$B$20:$AW$20))))^2)</f>
        <v/>
      </c>
      <c r="Q938" s="5">
        <f>MEDIAN(-6,N938+(C938-O938)/MAX(O938-P938,0.000000001),6)</f>
        <v/>
      </c>
      <c r="R938" s="5">
        <f>SUMPRODUCT(('01_Data'!$B938:$AW938&lt;&gt;"")*(1/(1+EXP(-(Q938-'03_Lap_b'!$B$25:$AW$25)))))</f>
        <v/>
      </c>
      <c r="S938" s="5">
        <f>SUMPRODUCT(('01_Data'!$B938:$AW938&lt;&gt;"")*(1/(1+EXP(-(Q938-'03_Lap_b'!$B$25:$AW$25))))^2)</f>
        <v/>
      </c>
      <c r="T938" s="5">
        <f>MEDIAN(-6,Q938+(C938-R938)/MAX(R938-S938,0.000000001),6)</f>
        <v/>
      </c>
      <c r="U938" s="5">
        <f>SUMPRODUCT(('01_Data'!$B938:$AW938&lt;&gt;"")*(1/(1+EXP(-(T938-'03_Lap_b'!$B$30:$AW$30)))))</f>
        <v/>
      </c>
      <c r="V938" s="5">
        <f>SUMPRODUCT(('01_Data'!$B938:$AW938&lt;&gt;"")*(1/(1+EXP(-(T938-'03_Lap_b'!$B$30:$AW$30))))^2)</f>
        <v/>
      </c>
      <c r="W938" s="5">
        <f>MEDIAN(-6,T938+(C938-U938)/MAX(U938-V938,0.000000001),6)</f>
        <v/>
      </c>
      <c r="X938" s="5">
        <f>SUMPRODUCT(('01_Data'!$B938:$AW938&lt;&gt;"")*(1/(1+EXP(-(W938-'03_Lap_b'!$B$35:$AW$35)))))</f>
        <v/>
      </c>
      <c r="Y938" s="5">
        <f>SUMPRODUCT(('01_Data'!$B938:$AW938&lt;&gt;"")*(1/(1+EXP(-(W938-'03_Lap_b'!$B$35:$AW$35))))^2)</f>
        <v/>
      </c>
      <c r="Z938" s="5">
        <f>MEDIAN(-6,W938+(C938-X938)/MAX(X938-Y938,0.000000001),6)</f>
        <v/>
      </c>
      <c r="AA938" s="5">
        <f>SUMPRODUCT(('01_Data'!$B938:$AW938&lt;&gt;"")*(1/(1+EXP(-(Z938-'03_Lap_b'!$B$40:$AW$40)))))</f>
        <v/>
      </c>
      <c r="AB938" s="5">
        <f>SUMPRODUCT(('01_Data'!$B938:$AW938&lt;&gt;"")*(1/(1+EXP(-(Z938-'03_Lap_b'!$B$40:$AW$40))))^2)</f>
        <v/>
      </c>
      <c r="AC938" s="5">
        <f>MEDIAN(-6,Z938+(C938-AA938)/MAX(AA938-AB938,0.000000001),6)</f>
        <v/>
      </c>
    </row>
    <row r="939">
      <c r="A939" t="n">
        <v>938</v>
      </c>
      <c r="B939">
        <f>'01_Data'!A939</f>
        <v/>
      </c>
      <c r="C939">
        <f>SUM('01_Data'!$B939:$AW939)</f>
        <v/>
      </c>
      <c r="D939">
        <f>COUNT('01_Data'!$B939:$AW939)</f>
        <v/>
      </c>
      <c r="E939" s="5">
        <f>MEDIAN(-6,LN((C939+0.3)/(D939-C939+0.3)),6)</f>
        <v/>
      </c>
      <c r="F939" s="5">
        <f>SUMPRODUCT(('01_Data'!$B939:$AW939&lt;&gt;"")*(1/(1+EXP(-(E939-'03_Lap_b'!$B$5:$AW$5)))))</f>
        <v/>
      </c>
      <c r="G939" s="5">
        <f>SUMPRODUCT(('01_Data'!$B939:$AW939&lt;&gt;"")*(1/(1+EXP(-(E939-'03_Lap_b'!$B$5:$AW$5))))^2)</f>
        <v/>
      </c>
      <c r="H939" s="5">
        <f>MEDIAN(-6,E939+(C939-F939)/MAX(F939-G939,0.000000001),6)</f>
        <v/>
      </c>
      <c r="I939" s="5">
        <f>SUMPRODUCT(('01_Data'!$B939:$AW939&lt;&gt;"")*(1/(1+EXP(-(H939-'03_Lap_b'!$B$10:$AW$10)))))</f>
        <v/>
      </c>
      <c r="J939" s="5">
        <f>SUMPRODUCT(('01_Data'!$B939:$AW939&lt;&gt;"")*(1/(1+EXP(-(H939-'03_Lap_b'!$B$10:$AW$10))))^2)</f>
        <v/>
      </c>
      <c r="K939" s="5">
        <f>MEDIAN(-6,H939+(C939-I939)/MAX(I939-J939,0.000000001),6)</f>
        <v/>
      </c>
      <c r="L939" s="5">
        <f>SUMPRODUCT(('01_Data'!$B939:$AW939&lt;&gt;"")*(1/(1+EXP(-(K939-'03_Lap_b'!$B$15:$AW$15)))))</f>
        <v/>
      </c>
      <c r="M939" s="5">
        <f>SUMPRODUCT(('01_Data'!$B939:$AW939&lt;&gt;"")*(1/(1+EXP(-(K939-'03_Lap_b'!$B$15:$AW$15))))^2)</f>
        <v/>
      </c>
      <c r="N939" s="5">
        <f>MEDIAN(-6,K939+(C939-L939)/MAX(L939-M939,0.000000001),6)</f>
        <v/>
      </c>
      <c r="O939" s="5">
        <f>SUMPRODUCT(('01_Data'!$B939:$AW939&lt;&gt;"")*(1/(1+EXP(-(N939-'03_Lap_b'!$B$20:$AW$20)))))</f>
        <v/>
      </c>
      <c r="P939" s="5">
        <f>SUMPRODUCT(('01_Data'!$B939:$AW939&lt;&gt;"")*(1/(1+EXP(-(N939-'03_Lap_b'!$B$20:$AW$20))))^2)</f>
        <v/>
      </c>
      <c r="Q939" s="5">
        <f>MEDIAN(-6,N939+(C939-O939)/MAX(O939-P939,0.000000001),6)</f>
        <v/>
      </c>
      <c r="R939" s="5">
        <f>SUMPRODUCT(('01_Data'!$B939:$AW939&lt;&gt;"")*(1/(1+EXP(-(Q939-'03_Lap_b'!$B$25:$AW$25)))))</f>
        <v/>
      </c>
      <c r="S939" s="5">
        <f>SUMPRODUCT(('01_Data'!$B939:$AW939&lt;&gt;"")*(1/(1+EXP(-(Q939-'03_Lap_b'!$B$25:$AW$25))))^2)</f>
        <v/>
      </c>
      <c r="T939" s="5">
        <f>MEDIAN(-6,Q939+(C939-R939)/MAX(R939-S939,0.000000001),6)</f>
        <v/>
      </c>
      <c r="U939" s="5">
        <f>SUMPRODUCT(('01_Data'!$B939:$AW939&lt;&gt;"")*(1/(1+EXP(-(T939-'03_Lap_b'!$B$30:$AW$30)))))</f>
        <v/>
      </c>
      <c r="V939" s="5">
        <f>SUMPRODUCT(('01_Data'!$B939:$AW939&lt;&gt;"")*(1/(1+EXP(-(T939-'03_Lap_b'!$B$30:$AW$30))))^2)</f>
        <v/>
      </c>
      <c r="W939" s="5">
        <f>MEDIAN(-6,T939+(C939-U939)/MAX(U939-V939,0.000000001),6)</f>
        <v/>
      </c>
      <c r="X939" s="5">
        <f>SUMPRODUCT(('01_Data'!$B939:$AW939&lt;&gt;"")*(1/(1+EXP(-(W939-'03_Lap_b'!$B$35:$AW$35)))))</f>
        <v/>
      </c>
      <c r="Y939" s="5">
        <f>SUMPRODUCT(('01_Data'!$B939:$AW939&lt;&gt;"")*(1/(1+EXP(-(W939-'03_Lap_b'!$B$35:$AW$35))))^2)</f>
        <v/>
      </c>
      <c r="Z939" s="5">
        <f>MEDIAN(-6,W939+(C939-X939)/MAX(X939-Y939,0.000000001),6)</f>
        <v/>
      </c>
      <c r="AA939" s="5">
        <f>SUMPRODUCT(('01_Data'!$B939:$AW939&lt;&gt;"")*(1/(1+EXP(-(Z939-'03_Lap_b'!$B$40:$AW$40)))))</f>
        <v/>
      </c>
      <c r="AB939" s="5">
        <f>SUMPRODUCT(('01_Data'!$B939:$AW939&lt;&gt;"")*(1/(1+EXP(-(Z939-'03_Lap_b'!$B$40:$AW$40))))^2)</f>
        <v/>
      </c>
      <c r="AC939" s="5">
        <f>MEDIAN(-6,Z939+(C939-AA939)/MAX(AA939-AB939,0.000000001),6)</f>
        <v/>
      </c>
    </row>
    <row r="940">
      <c r="A940" t="n">
        <v>939</v>
      </c>
      <c r="B940">
        <f>'01_Data'!A940</f>
        <v/>
      </c>
      <c r="C940">
        <f>SUM('01_Data'!$B940:$AW940)</f>
        <v/>
      </c>
      <c r="D940">
        <f>COUNT('01_Data'!$B940:$AW940)</f>
        <v/>
      </c>
      <c r="E940" s="5">
        <f>MEDIAN(-6,LN((C940+0.3)/(D940-C940+0.3)),6)</f>
        <v/>
      </c>
      <c r="F940" s="5">
        <f>SUMPRODUCT(('01_Data'!$B940:$AW940&lt;&gt;"")*(1/(1+EXP(-(E940-'03_Lap_b'!$B$5:$AW$5)))))</f>
        <v/>
      </c>
      <c r="G940" s="5">
        <f>SUMPRODUCT(('01_Data'!$B940:$AW940&lt;&gt;"")*(1/(1+EXP(-(E940-'03_Lap_b'!$B$5:$AW$5))))^2)</f>
        <v/>
      </c>
      <c r="H940" s="5">
        <f>MEDIAN(-6,E940+(C940-F940)/MAX(F940-G940,0.000000001),6)</f>
        <v/>
      </c>
      <c r="I940" s="5">
        <f>SUMPRODUCT(('01_Data'!$B940:$AW940&lt;&gt;"")*(1/(1+EXP(-(H940-'03_Lap_b'!$B$10:$AW$10)))))</f>
        <v/>
      </c>
      <c r="J940" s="5">
        <f>SUMPRODUCT(('01_Data'!$B940:$AW940&lt;&gt;"")*(1/(1+EXP(-(H940-'03_Lap_b'!$B$10:$AW$10))))^2)</f>
        <v/>
      </c>
      <c r="K940" s="5">
        <f>MEDIAN(-6,H940+(C940-I940)/MAX(I940-J940,0.000000001),6)</f>
        <v/>
      </c>
      <c r="L940" s="5">
        <f>SUMPRODUCT(('01_Data'!$B940:$AW940&lt;&gt;"")*(1/(1+EXP(-(K940-'03_Lap_b'!$B$15:$AW$15)))))</f>
        <v/>
      </c>
      <c r="M940" s="5">
        <f>SUMPRODUCT(('01_Data'!$B940:$AW940&lt;&gt;"")*(1/(1+EXP(-(K940-'03_Lap_b'!$B$15:$AW$15))))^2)</f>
        <v/>
      </c>
      <c r="N940" s="5">
        <f>MEDIAN(-6,K940+(C940-L940)/MAX(L940-M940,0.000000001),6)</f>
        <v/>
      </c>
      <c r="O940" s="5">
        <f>SUMPRODUCT(('01_Data'!$B940:$AW940&lt;&gt;"")*(1/(1+EXP(-(N940-'03_Lap_b'!$B$20:$AW$20)))))</f>
        <v/>
      </c>
      <c r="P940" s="5">
        <f>SUMPRODUCT(('01_Data'!$B940:$AW940&lt;&gt;"")*(1/(1+EXP(-(N940-'03_Lap_b'!$B$20:$AW$20))))^2)</f>
        <v/>
      </c>
      <c r="Q940" s="5">
        <f>MEDIAN(-6,N940+(C940-O940)/MAX(O940-P940,0.000000001),6)</f>
        <v/>
      </c>
      <c r="R940" s="5">
        <f>SUMPRODUCT(('01_Data'!$B940:$AW940&lt;&gt;"")*(1/(1+EXP(-(Q940-'03_Lap_b'!$B$25:$AW$25)))))</f>
        <v/>
      </c>
      <c r="S940" s="5">
        <f>SUMPRODUCT(('01_Data'!$B940:$AW940&lt;&gt;"")*(1/(1+EXP(-(Q940-'03_Lap_b'!$B$25:$AW$25))))^2)</f>
        <v/>
      </c>
      <c r="T940" s="5">
        <f>MEDIAN(-6,Q940+(C940-R940)/MAX(R940-S940,0.000000001),6)</f>
        <v/>
      </c>
      <c r="U940" s="5">
        <f>SUMPRODUCT(('01_Data'!$B940:$AW940&lt;&gt;"")*(1/(1+EXP(-(T940-'03_Lap_b'!$B$30:$AW$30)))))</f>
        <v/>
      </c>
      <c r="V940" s="5">
        <f>SUMPRODUCT(('01_Data'!$B940:$AW940&lt;&gt;"")*(1/(1+EXP(-(T940-'03_Lap_b'!$B$30:$AW$30))))^2)</f>
        <v/>
      </c>
      <c r="W940" s="5">
        <f>MEDIAN(-6,T940+(C940-U940)/MAX(U940-V940,0.000000001),6)</f>
        <v/>
      </c>
      <c r="X940" s="5">
        <f>SUMPRODUCT(('01_Data'!$B940:$AW940&lt;&gt;"")*(1/(1+EXP(-(W940-'03_Lap_b'!$B$35:$AW$35)))))</f>
        <v/>
      </c>
      <c r="Y940" s="5">
        <f>SUMPRODUCT(('01_Data'!$B940:$AW940&lt;&gt;"")*(1/(1+EXP(-(W940-'03_Lap_b'!$B$35:$AW$35))))^2)</f>
        <v/>
      </c>
      <c r="Z940" s="5">
        <f>MEDIAN(-6,W940+(C940-X940)/MAX(X940-Y940,0.000000001),6)</f>
        <v/>
      </c>
      <c r="AA940" s="5">
        <f>SUMPRODUCT(('01_Data'!$B940:$AW940&lt;&gt;"")*(1/(1+EXP(-(Z940-'03_Lap_b'!$B$40:$AW$40)))))</f>
        <v/>
      </c>
      <c r="AB940" s="5">
        <f>SUMPRODUCT(('01_Data'!$B940:$AW940&lt;&gt;"")*(1/(1+EXP(-(Z940-'03_Lap_b'!$B$40:$AW$40))))^2)</f>
        <v/>
      </c>
      <c r="AC940" s="5">
        <f>MEDIAN(-6,Z940+(C940-AA940)/MAX(AA940-AB940,0.000000001),6)</f>
        <v/>
      </c>
    </row>
    <row r="941">
      <c r="A941" t="n">
        <v>940</v>
      </c>
      <c r="B941">
        <f>'01_Data'!A941</f>
        <v/>
      </c>
      <c r="C941">
        <f>SUM('01_Data'!$B941:$AW941)</f>
        <v/>
      </c>
      <c r="D941">
        <f>COUNT('01_Data'!$B941:$AW941)</f>
        <v/>
      </c>
      <c r="E941" s="5">
        <f>MEDIAN(-6,LN((C941+0.3)/(D941-C941+0.3)),6)</f>
        <v/>
      </c>
      <c r="F941" s="5">
        <f>SUMPRODUCT(('01_Data'!$B941:$AW941&lt;&gt;"")*(1/(1+EXP(-(E941-'03_Lap_b'!$B$5:$AW$5)))))</f>
        <v/>
      </c>
      <c r="G941" s="5">
        <f>SUMPRODUCT(('01_Data'!$B941:$AW941&lt;&gt;"")*(1/(1+EXP(-(E941-'03_Lap_b'!$B$5:$AW$5))))^2)</f>
        <v/>
      </c>
      <c r="H941" s="5">
        <f>MEDIAN(-6,E941+(C941-F941)/MAX(F941-G941,0.000000001),6)</f>
        <v/>
      </c>
      <c r="I941" s="5">
        <f>SUMPRODUCT(('01_Data'!$B941:$AW941&lt;&gt;"")*(1/(1+EXP(-(H941-'03_Lap_b'!$B$10:$AW$10)))))</f>
        <v/>
      </c>
      <c r="J941" s="5">
        <f>SUMPRODUCT(('01_Data'!$B941:$AW941&lt;&gt;"")*(1/(1+EXP(-(H941-'03_Lap_b'!$B$10:$AW$10))))^2)</f>
        <v/>
      </c>
      <c r="K941" s="5">
        <f>MEDIAN(-6,H941+(C941-I941)/MAX(I941-J941,0.000000001),6)</f>
        <v/>
      </c>
      <c r="L941" s="5">
        <f>SUMPRODUCT(('01_Data'!$B941:$AW941&lt;&gt;"")*(1/(1+EXP(-(K941-'03_Lap_b'!$B$15:$AW$15)))))</f>
        <v/>
      </c>
      <c r="M941" s="5">
        <f>SUMPRODUCT(('01_Data'!$B941:$AW941&lt;&gt;"")*(1/(1+EXP(-(K941-'03_Lap_b'!$B$15:$AW$15))))^2)</f>
        <v/>
      </c>
      <c r="N941" s="5">
        <f>MEDIAN(-6,K941+(C941-L941)/MAX(L941-M941,0.000000001),6)</f>
        <v/>
      </c>
      <c r="O941" s="5">
        <f>SUMPRODUCT(('01_Data'!$B941:$AW941&lt;&gt;"")*(1/(1+EXP(-(N941-'03_Lap_b'!$B$20:$AW$20)))))</f>
        <v/>
      </c>
      <c r="P941" s="5">
        <f>SUMPRODUCT(('01_Data'!$B941:$AW941&lt;&gt;"")*(1/(1+EXP(-(N941-'03_Lap_b'!$B$20:$AW$20))))^2)</f>
        <v/>
      </c>
      <c r="Q941" s="5">
        <f>MEDIAN(-6,N941+(C941-O941)/MAX(O941-P941,0.000000001),6)</f>
        <v/>
      </c>
      <c r="R941" s="5">
        <f>SUMPRODUCT(('01_Data'!$B941:$AW941&lt;&gt;"")*(1/(1+EXP(-(Q941-'03_Lap_b'!$B$25:$AW$25)))))</f>
        <v/>
      </c>
      <c r="S941" s="5">
        <f>SUMPRODUCT(('01_Data'!$B941:$AW941&lt;&gt;"")*(1/(1+EXP(-(Q941-'03_Lap_b'!$B$25:$AW$25))))^2)</f>
        <v/>
      </c>
      <c r="T941" s="5">
        <f>MEDIAN(-6,Q941+(C941-R941)/MAX(R941-S941,0.000000001),6)</f>
        <v/>
      </c>
      <c r="U941" s="5">
        <f>SUMPRODUCT(('01_Data'!$B941:$AW941&lt;&gt;"")*(1/(1+EXP(-(T941-'03_Lap_b'!$B$30:$AW$30)))))</f>
        <v/>
      </c>
      <c r="V941" s="5">
        <f>SUMPRODUCT(('01_Data'!$B941:$AW941&lt;&gt;"")*(1/(1+EXP(-(T941-'03_Lap_b'!$B$30:$AW$30))))^2)</f>
        <v/>
      </c>
      <c r="W941" s="5">
        <f>MEDIAN(-6,T941+(C941-U941)/MAX(U941-V941,0.000000001),6)</f>
        <v/>
      </c>
      <c r="X941" s="5">
        <f>SUMPRODUCT(('01_Data'!$B941:$AW941&lt;&gt;"")*(1/(1+EXP(-(W941-'03_Lap_b'!$B$35:$AW$35)))))</f>
        <v/>
      </c>
      <c r="Y941" s="5">
        <f>SUMPRODUCT(('01_Data'!$B941:$AW941&lt;&gt;"")*(1/(1+EXP(-(W941-'03_Lap_b'!$B$35:$AW$35))))^2)</f>
        <v/>
      </c>
      <c r="Z941" s="5">
        <f>MEDIAN(-6,W941+(C941-X941)/MAX(X941-Y941,0.000000001),6)</f>
        <v/>
      </c>
      <c r="AA941" s="5">
        <f>SUMPRODUCT(('01_Data'!$B941:$AW941&lt;&gt;"")*(1/(1+EXP(-(Z941-'03_Lap_b'!$B$40:$AW$40)))))</f>
        <v/>
      </c>
      <c r="AB941" s="5">
        <f>SUMPRODUCT(('01_Data'!$B941:$AW941&lt;&gt;"")*(1/(1+EXP(-(Z941-'03_Lap_b'!$B$40:$AW$40))))^2)</f>
        <v/>
      </c>
      <c r="AC941" s="5">
        <f>MEDIAN(-6,Z941+(C941-AA941)/MAX(AA941-AB941,0.000000001),6)</f>
        <v/>
      </c>
    </row>
    <row r="942">
      <c r="A942" t="n">
        <v>941</v>
      </c>
      <c r="B942">
        <f>'01_Data'!A942</f>
        <v/>
      </c>
      <c r="C942">
        <f>SUM('01_Data'!$B942:$AW942)</f>
        <v/>
      </c>
      <c r="D942">
        <f>COUNT('01_Data'!$B942:$AW942)</f>
        <v/>
      </c>
      <c r="E942" s="5">
        <f>MEDIAN(-6,LN((C942+0.3)/(D942-C942+0.3)),6)</f>
        <v/>
      </c>
      <c r="F942" s="5">
        <f>SUMPRODUCT(('01_Data'!$B942:$AW942&lt;&gt;"")*(1/(1+EXP(-(E942-'03_Lap_b'!$B$5:$AW$5)))))</f>
        <v/>
      </c>
      <c r="G942" s="5">
        <f>SUMPRODUCT(('01_Data'!$B942:$AW942&lt;&gt;"")*(1/(1+EXP(-(E942-'03_Lap_b'!$B$5:$AW$5))))^2)</f>
        <v/>
      </c>
      <c r="H942" s="5">
        <f>MEDIAN(-6,E942+(C942-F942)/MAX(F942-G942,0.000000001),6)</f>
        <v/>
      </c>
      <c r="I942" s="5">
        <f>SUMPRODUCT(('01_Data'!$B942:$AW942&lt;&gt;"")*(1/(1+EXP(-(H942-'03_Lap_b'!$B$10:$AW$10)))))</f>
        <v/>
      </c>
      <c r="J942" s="5">
        <f>SUMPRODUCT(('01_Data'!$B942:$AW942&lt;&gt;"")*(1/(1+EXP(-(H942-'03_Lap_b'!$B$10:$AW$10))))^2)</f>
        <v/>
      </c>
      <c r="K942" s="5">
        <f>MEDIAN(-6,H942+(C942-I942)/MAX(I942-J942,0.000000001),6)</f>
        <v/>
      </c>
      <c r="L942" s="5">
        <f>SUMPRODUCT(('01_Data'!$B942:$AW942&lt;&gt;"")*(1/(1+EXP(-(K942-'03_Lap_b'!$B$15:$AW$15)))))</f>
        <v/>
      </c>
      <c r="M942" s="5">
        <f>SUMPRODUCT(('01_Data'!$B942:$AW942&lt;&gt;"")*(1/(1+EXP(-(K942-'03_Lap_b'!$B$15:$AW$15))))^2)</f>
        <v/>
      </c>
      <c r="N942" s="5">
        <f>MEDIAN(-6,K942+(C942-L942)/MAX(L942-M942,0.000000001),6)</f>
        <v/>
      </c>
      <c r="O942" s="5">
        <f>SUMPRODUCT(('01_Data'!$B942:$AW942&lt;&gt;"")*(1/(1+EXP(-(N942-'03_Lap_b'!$B$20:$AW$20)))))</f>
        <v/>
      </c>
      <c r="P942" s="5">
        <f>SUMPRODUCT(('01_Data'!$B942:$AW942&lt;&gt;"")*(1/(1+EXP(-(N942-'03_Lap_b'!$B$20:$AW$20))))^2)</f>
        <v/>
      </c>
      <c r="Q942" s="5">
        <f>MEDIAN(-6,N942+(C942-O942)/MAX(O942-P942,0.000000001),6)</f>
        <v/>
      </c>
      <c r="R942" s="5">
        <f>SUMPRODUCT(('01_Data'!$B942:$AW942&lt;&gt;"")*(1/(1+EXP(-(Q942-'03_Lap_b'!$B$25:$AW$25)))))</f>
        <v/>
      </c>
      <c r="S942" s="5">
        <f>SUMPRODUCT(('01_Data'!$B942:$AW942&lt;&gt;"")*(1/(1+EXP(-(Q942-'03_Lap_b'!$B$25:$AW$25))))^2)</f>
        <v/>
      </c>
      <c r="T942" s="5">
        <f>MEDIAN(-6,Q942+(C942-R942)/MAX(R942-S942,0.000000001),6)</f>
        <v/>
      </c>
      <c r="U942" s="5">
        <f>SUMPRODUCT(('01_Data'!$B942:$AW942&lt;&gt;"")*(1/(1+EXP(-(T942-'03_Lap_b'!$B$30:$AW$30)))))</f>
        <v/>
      </c>
      <c r="V942" s="5">
        <f>SUMPRODUCT(('01_Data'!$B942:$AW942&lt;&gt;"")*(1/(1+EXP(-(T942-'03_Lap_b'!$B$30:$AW$30))))^2)</f>
        <v/>
      </c>
      <c r="W942" s="5">
        <f>MEDIAN(-6,T942+(C942-U942)/MAX(U942-V942,0.000000001),6)</f>
        <v/>
      </c>
      <c r="X942" s="5">
        <f>SUMPRODUCT(('01_Data'!$B942:$AW942&lt;&gt;"")*(1/(1+EXP(-(W942-'03_Lap_b'!$B$35:$AW$35)))))</f>
        <v/>
      </c>
      <c r="Y942" s="5">
        <f>SUMPRODUCT(('01_Data'!$B942:$AW942&lt;&gt;"")*(1/(1+EXP(-(W942-'03_Lap_b'!$B$35:$AW$35))))^2)</f>
        <v/>
      </c>
      <c r="Z942" s="5">
        <f>MEDIAN(-6,W942+(C942-X942)/MAX(X942-Y942,0.000000001),6)</f>
        <v/>
      </c>
      <c r="AA942" s="5">
        <f>SUMPRODUCT(('01_Data'!$B942:$AW942&lt;&gt;"")*(1/(1+EXP(-(Z942-'03_Lap_b'!$B$40:$AW$40)))))</f>
        <v/>
      </c>
      <c r="AB942" s="5">
        <f>SUMPRODUCT(('01_Data'!$B942:$AW942&lt;&gt;"")*(1/(1+EXP(-(Z942-'03_Lap_b'!$B$40:$AW$40))))^2)</f>
        <v/>
      </c>
      <c r="AC942" s="5">
        <f>MEDIAN(-6,Z942+(C942-AA942)/MAX(AA942-AB942,0.000000001),6)</f>
        <v/>
      </c>
    </row>
    <row r="943">
      <c r="A943" t="n">
        <v>942</v>
      </c>
      <c r="B943">
        <f>'01_Data'!A943</f>
        <v/>
      </c>
      <c r="C943">
        <f>SUM('01_Data'!$B943:$AW943)</f>
        <v/>
      </c>
      <c r="D943">
        <f>COUNT('01_Data'!$B943:$AW943)</f>
        <v/>
      </c>
      <c r="E943" s="5">
        <f>MEDIAN(-6,LN((C943+0.3)/(D943-C943+0.3)),6)</f>
        <v/>
      </c>
      <c r="F943" s="5">
        <f>SUMPRODUCT(('01_Data'!$B943:$AW943&lt;&gt;"")*(1/(1+EXP(-(E943-'03_Lap_b'!$B$5:$AW$5)))))</f>
        <v/>
      </c>
      <c r="G943" s="5">
        <f>SUMPRODUCT(('01_Data'!$B943:$AW943&lt;&gt;"")*(1/(1+EXP(-(E943-'03_Lap_b'!$B$5:$AW$5))))^2)</f>
        <v/>
      </c>
      <c r="H943" s="5">
        <f>MEDIAN(-6,E943+(C943-F943)/MAX(F943-G943,0.000000001),6)</f>
        <v/>
      </c>
      <c r="I943" s="5">
        <f>SUMPRODUCT(('01_Data'!$B943:$AW943&lt;&gt;"")*(1/(1+EXP(-(H943-'03_Lap_b'!$B$10:$AW$10)))))</f>
        <v/>
      </c>
      <c r="J943" s="5">
        <f>SUMPRODUCT(('01_Data'!$B943:$AW943&lt;&gt;"")*(1/(1+EXP(-(H943-'03_Lap_b'!$B$10:$AW$10))))^2)</f>
        <v/>
      </c>
      <c r="K943" s="5">
        <f>MEDIAN(-6,H943+(C943-I943)/MAX(I943-J943,0.000000001),6)</f>
        <v/>
      </c>
      <c r="L943" s="5">
        <f>SUMPRODUCT(('01_Data'!$B943:$AW943&lt;&gt;"")*(1/(1+EXP(-(K943-'03_Lap_b'!$B$15:$AW$15)))))</f>
        <v/>
      </c>
      <c r="M943" s="5">
        <f>SUMPRODUCT(('01_Data'!$B943:$AW943&lt;&gt;"")*(1/(1+EXP(-(K943-'03_Lap_b'!$B$15:$AW$15))))^2)</f>
        <v/>
      </c>
      <c r="N943" s="5">
        <f>MEDIAN(-6,K943+(C943-L943)/MAX(L943-M943,0.000000001),6)</f>
        <v/>
      </c>
      <c r="O943" s="5">
        <f>SUMPRODUCT(('01_Data'!$B943:$AW943&lt;&gt;"")*(1/(1+EXP(-(N943-'03_Lap_b'!$B$20:$AW$20)))))</f>
        <v/>
      </c>
      <c r="P943" s="5">
        <f>SUMPRODUCT(('01_Data'!$B943:$AW943&lt;&gt;"")*(1/(1+EXP(-(N943-'03_Lap_b'!$B$20:$AW$20))))^2)</f>
        <v/>
      </c>
      <c r="Q943" s="5">
        <f>MEDIAN(-6,N943+(C943-O943)/MAX(O943-P943,0.000000001),6)</f>
        <v/>
      </c>
      <c r="R943" s="5">
        <f>SUMPRODUCT(('01_Data'!$B943:$AW943&lt;&gt;"")*(1/(1+EXP(-(Q943-'03_Lap_b'!$B$25:$AW$25)))))</f>
        <v/>
      </c>
      <c r="S943" s="5">
        <f>SUMPRODUCT(('01_Data'!$B943:$AW943&lt;&gt;"")*(1/(1+EXP(-(Q943-'03_Lap_b'!$B$25:$AW$25))))^2)</f>
        <v/>
      </c>
      <c r="T943" s="5">
        <f>MEDIAN(-6,Q943+(C943-R943)/MAX(R943-S943,0.000000001),6)</f>
        <v/>
      </c>
      <c r="U943" s="5">
        <f>SUMPRODUCT(('01_Data'!$B943:$AW943&lt;&gt;"")*(1/(1+EXP(-(T943-'03_Lap_b'!$B$30:$AW$30)))))</f>
        <v/>
      </c>
      <c r="V943" s="5">
        <f>SUMPRODUCT(('01_Data'!$B943:$AW943&lt;&gt;"")*(1/(1+EXP(-(T943-'03_Lap_b'!$B$30:$AW$30))))^2)</f>
        <v/>
      </c>
      <c r="W943" s="5">
        <f>MEDIAN(-6,T943+(C943-U943)/MAX(U943-V943,0.000000001),6)</f>
        <v/>
      </c>
      <c r="X943" s="5">
        <f>SUMPRODUCT(('01_Data'!$B943:$AW943&lt;&gt;"")*(1/(1+EXP(-(W943-'03_Lap_b'!$B$35:$AW$35)))))</f>
        <v/>
      </c>
      <c r="Y943" s="5">
        <f>SUMPRODUCT(('01_Data'!$B943:$AW943&lt;&gt;"")*(1/(1+EXP(-(W943-'03_Lap_b'!$B$35:$AW$35))))^2)</f>
        <v/>
      </c>
      <c r="Z943" s="5">
        <f>MEDIAN(-6,W943+(C943-X943)/MAX(X943-Y943,0.000000001),6)</f>
        <v/>
      </c>
      <c r="AA943" s="5">
        <f>SUMPRODUCT(('01_Data'!$B943:$AW943&lt;&gt;"")*(1/(1+EXP(-(Z943-'03_Lap_b'!$B$40:$AW$40)))))</f>
        <v/>
      </c>
      <c r="AB943" s="5">
        <f>SUMPRODUCT(('01_Data'!$B943:$AW943&lt;&gt;"")*(1/(1+EXP(-(Z943-'03_Lap_b'!$B$40:$AW$40))))^2)</f>
        <v/>
      </c>
      <c r="AC943" s="5">
        <f>MEDIAN(-6,Z943+(C943-AA943)/MAX(AA943-AB943,0.000000001),6)</f>
        <v/>
      </c>
    </row>
    <row r="944">
      <c r="A944" t="n">
        <v>943</v>
      </c>
      <c r="B944">
        <f>'01_Data'!A944</f>
        <v/>
      </c>
      <c r="C944">
        <f>SUM('01_Data'!$B944:$AW944)</f>
        <v/>
      </c>
      <c r="D944">
        <f>COUNT('01_Data'!$B944:$AW944)</f>
        <v/>
      </c>
      <c r="E944" s="5">
        <f>MEDIAN(-6,LN((C944+0.3)/(D944-C944+0.3)),6)</f>
        <v/>
      </c>
      <c r="F944" s="5">
        <f>SUMPRODUCT(('01_Data'!$B944:$AW944&lt;&gt;"")*(1/(1+EXP(-(E944-'03_Lap_b'!$B$5:$AW$5)))))</f>
        <v/>
      </c>
      <c r="G944" s="5">
        <f>SUMPRODUCT(('01_Data'!$B944:$AW944&lt;&gt;"")*(1/(1+EXP(-(E944-'03_Lap_b'!$B$5:$AW$5))))^2)</f>
        <v/>
      </c>
      <c r="H944" s="5">
        <f>MEDIAN(-6,E944+(C944-F944)/MAX(F944-G944,0.000000001),6)</f>
        <v/>
      </c>
      <c r="I944" s="5">
        <f>SUMPRODUCT(('01_Data'!$B944:$AW944&lt;&gt;"")*(1/(1+EXP(-(H944-'03_Lap_b'!$B$10:$AW$10)))))</f>
        <v/>
      </c>
      <c r="J944" s="5">
        <f>SUMPRODUCT(('01_Data'!$B944:$AW944&lt;&gt;"")*(1/(1+EXP(-(H944-'03_Lap_b'!$B$10:$AW$10))))^2)</f>
        <v/>
      </c>
      <c r="K944" s="5">
        <f>MEDIAN(-6,H944+(C944-I944)/MAX(I944-J944,0.000000001),6)</f>
        <v/>
      </c>
      <c r="L944" s="5">
        <f>SUMPRODUCT(('01_Data'!$B944:$AW944&lt;&gt;"")*(1/(1+EXP(-(K944-'03_Lap_b'!$B$15:$AW$15)))))</f>
        <v/>
      </c>
      <c r="M944" s="5">
        <f>SUMPRODUCT(('01_Data'!$B944:$AW944&lt;&gt;"")*(1/(1+EXP(-(K944-'03_Lap_b'!$B$15:$AW$15))))^2)</f>
        <v/>
      </c>
      <c r="N944" s="5">
        <f>MEDIAN(-6,K944+(C944-L944)/MAX(L944-M944,0.000000001),6)</f>
        <v/>
      </c>
      <c r="O944" s="5">
        <f>SUMPRODUCT(('01_Data'!$B944:$AW944&lt;&gt;"")*(1/(1+EXP(-(N944-'03_Lap_b'!$B$20:$AW$20)))))</f>
        <v/>
      </c>
      <c r="P944" s="5">
        <f>SUMPRODUCT(('01_Data'!$B944:$AW944&lt;&gt;"")*(1/(1+EXP(-(N944-'03_Lap_b'!$B$20:$AW$20))))^2)</f>
        <v/>
      </c>
      <c r="Q944" s="5">
        <f>MEDIAN(-6,N944+(C944-O944)/MAX(O944-P944,0.000000001),6)</f>
        <v/>
      </c>
      <c r="R944" s="5">
        <f>SUMPRODUCT(('01_Data'!$B944:$AW944&lt;&gt;"")*(1/(1+EXP(-(Q944-'03_Lap_b'!$B$25:$AW$25)))))</f>
        <v/>
      </c>
      <c r="S944" s="5">
        <f>SUMPRODUCT(('01_Data'!$B944:$AW944&lt;&gt;"")*(1/(1+EXP(-(Q944-'03_Lap_b'!$B$25:$AW$25))))^2)</f>
        <v/>
      </c>
      <c r="T944" s="5">
        <f>MEDIAN(-6,Q944+(C944-R944)/MAX(R944-S944,0.000000001),6)</f>
        <v/>
      </c>
      <c r="U944" s="5">
        <f>SUMPRODUCT(('01_Data'!$B944:$AW944&lt;&gt;"")*(1/(1+EXP(-(T944-'03_Lap_b'!$B$30:$AW$30)))))</f>
        <v/>
      </c>
      <c r="V944" s="5">
        <f>SUMPRODUCT(('01_Data'!$B944:$AW944&lt;&gt;"")*(1/(1+EXP(-(T944-'03_Lap_b'!$B$30:$AW$30))))^2)</f>
        <v/>
      </c>
      <c r="W944" s="5">
        <f>MEDIAN(-6,T944+(C944-U944)/MAX(U944-V944,0.000000001),6)</f>
        <v/>
      </c>
      <c r="X944" s="5">
        <f>SUMPRODUCT(('01_Data'!$B944:$AW944&lt;&gt;"")*(1/(1+EXP(-(W944-'03_Lap_b'!$B$35:$AW$35)))))</f>
        <v/>
      </c>
      <c r="Y944" s="5">
        <f>SUMPRODUCT(('01_Data'!$B944:$AW944&lt;&gt;"")*(1/(1+EXP(-(W944-'03_Lap_b'!$B$35:$AW$35))))^2)</f>
        <v/>
      </c>
      <c r="Z944" s="5">
        <f>MEDIAN(-6,W944+(C944-X944)/MAX(X944-Y944,0.000000001),6)</f>
        <v/>
      </c>
      <c r="AA944" s="5">
        <f>SUMPRODUCT(('01_Data'!$B944:$AW944&lt;&gt;"")*(1/(1+EXP(-(Z944-'03_Lap_b'!$B$40:$AW$40)))))</f>
        <v/>
      </c>
      <c r="AB944" s="5">
        <f>SUMPRODUCT(('01_Data'!$B944:$AW944&lt;&gt;"")*(1/(1+EXP(-(Z944-'03_Lap_b'!$B$40:$AW$40))))^2)</f>
        <v/>
      </c>
      <c r="AC944" s="5">
        <f>MEDIAN(-6,Z944+(C944-AA944)/MAX(AA944-AB944,0.000000001),6)</f>
        <v/>
      </c>
    </row>
    <row r="945">
      <c r="A945" t="n">
        <v>944</v>
      </c>
      <c r="B945">
        <f>'01_Data'!A945</f>
        <v/>
      </c>
      <c r="C945">
        <f>SUM('01_Data'!$B945:$AW945)</f>
        <v/>
      </c>
      <c r="D945">
        <f>COUNT('01_Data'!$B945:$AW945)</f>
        <v/>
      </c>
      <c r="E945" s="5">
        <f>MEDIAN(-6,LN((C945+0.3)/(D945-C945+0.3)),6)</f>
        <v/>
      </c>
      <c r="F945" s="5">
        <f>SUMPRODUCT(('01_Data'!$B945:$AW945&lt;&gt;"")*(1/(1+EXP(-(E945-'03_Lap_b'!$B$5:$AW$5)))))</f>
        <v/>
      </c>
      <c r="G945" s="5">
        <f>SUMPRODUCT(('01_Data'!$B945:$AW945&lt;&gt;"")*(1/(1+EXP(-(E945-'03_Lap_b'!$B$5:$AW$5))))^2)</f>
        <v/>
      </c>
      <c r="H945" s="5">
        <f>MEDIAN(-6,E945+(C945-F945)/MAX(F945-G945,0.000000001),6)</f>
        <v/>
      </c>
      <c r="I945" s="5">
        <f>SUMPRODUCT(('01_Data'!$B945:$AW945&lt;&gt;"")*(1/(1+EXP(-(H945-'03_Lap_b'!$B$10:$AW$10)))))</f>
        <v/>
      </c>
      <c r="J945" s="5">
        <f>SUMPRODUCT(('01_Data'!$B945:$AW945&lt;&gt;"")*(1/(1+EXP(-(H945-'03_Lap_b'!$B$10:$AW$10))))^2)</f>
        <v/>
      </c>
      <c r="K945" s="5">
        <f>MEDIAN(-6,H945+(C945-I945)/MAX(I945-J945,0.000000001),6)</f>
        <v/>
      </c>
      <c r="L945" s="5">
        <f>SUMPRODUCT(('01_Data'!$B945:$AW945&lt;&gt;"")*(1/(1+EXP(-(K945-'03_Lap_b'!$B$15:$AW$15)))))</f>
        <v/>
      </c>
      <c r="M945" s="5">
        <f>SUMPRODUCT(('01_Data'!$B945:$AW945&lt;&gt;"")*(1/(1+EXP(-(K945-'03_Lap_b'!$B$15:$AW$15))))^2)</f>
        <v/>
      </c>
      <c r="N945" s="5">
        <f>MEDIAN(-6,K945+(C945-L945)/MAX(L945-M945,0.000000001),6)</f>
        <v/>
      </c>
      <c r="O945" s="5">
        <f>SUMPRODUCT(('01_Data'!$B945:$AW945&lt;&gt;"")*(1/(1+EXP(-(N945-'03_Lap_b'!$B$20:$AW$20)))))</f>
        <v/>
      </c>
      <c r="P945" s="5">
        <f>SUMPRODUCT(('01_Data'!$B945:$AW945&lt;&gt;"")*(1/(1+EXP(-(N945-'03_Lap_b'!$B$20:$AW$20))))^2)</f>
        <v/>
      </c>
      <c r="Q945" s="5">
        <f>MEDIAN(-6,N945+(C945-O945)/MAX(O945-P945,0.000000001),6)</f>
        <v/>
      </c>
      <c r="R945" s="5">
        <f>SUMPRODUCT(('01_Data'!$B945:$AW945&lt;&gt;"")*(1/(1+EXP(-(Q945-'03_Lap_b'!$B$25:$AW$25)))))</f>
        <v/>
      </c>
      <c r="S945" s="5">
        <f>SUMPRODUCT(('01_Data'!$B945:$AW945&lt;&gt;"")*(1/(1+EXP(-(Q945-'03_Lap_b'!$B$25:$AW$25))))^2)</f>
        <v/>
      </c>
      <c r="T945" s="5">
        <f>MEDIAN(-6,Q945+(C945-R945)/MAX(R945-S945,0.000000001),6)</f>
        <v/>
      </c>
      <c r="U945" s="5">
        <f>SUMPRODUCT(('01_Data'!$B945:$AW945&lt;&gt;"")*(1/(1+EXP(-(T945-'03_Lap_b'!$B$30:$AW$30)))))</f>
        <v/>
      </c>
      <c r="V945" s="5">
        <f>SUMPRODUCT(('01_Data'!$B945:$AW945&lt;&gt;"")*(1/(1+EXP(-(T945-'03_Lap_b'!$B$30:$AW$30))))^2)</f>
        <v/>
      </c>
      <c r="W945" s="5">
        <f>MEDIAN(-6,T945+(C945-U945)/MAX(U945-V945,0.000000001),6)</f>
        <v/>
      </c>
      <c r="X945" s="5">
        <f>SUMPRODUCT(('01_Data'!$B945:$AW945&lt;&gt;"")*(1/(1+EXP(-(W945-'03_Lap_b'!$B$35:$AW$35)))))</f>
        <v/>
      </c>
      <c r="Y945" s="5">
        <f>SUMPRODUCT(('01_Data'!$B945:$AW945&lt;&gt;"")*(1/(1+EXP(-(W945-'03_Lap_b'!$B$35:$AW$35))))^2)</f>
        <v/>
      </c>
      <c r="Z945" s="5">
        <f>MEDIAN(-6,W945+(C945-X945)/MAX(X945-Y945,0.000000001),6)</f>
        <v/>
      </c>
      <c r="AA945" s="5">
        <f>SUMPRODUCT(('01_Data'!$B945:$AW945&lt;&gt;"")*(1/(1+EXP(-(Z945-'03_Lap_b'!$B$40:$AW$40)))))</f>
        <v/>
      </c>
      <c r="AB945" s="5">
        <f>SUMPRODUCT(('01_Data'!$B945:$AW945&lt;&gt;"")*(1/(1+EXP(-(Z945-'03_Lap_b'!$B$40:$AW$40))))^2)</f>
        <v/>
      </c>
      <c r="AC945" s="5">
        <f>MEDIAN(-6,Z945+(C945-AA945)/MAX(AA945-AB945,0.000000001),6)</f>
        <v/>
      </c>
    </row>
    <row r="946">
      <c r="A946" t="n">
        <v>945</v>
      </c>
      <c r="B946">
        <f>'01_Data'!A946</f>
        <v/>
      </c>
      <c r="C946">
        <f>SUM('01_Data'!$B946:$AW946)</f>
        <v/>
      </c>
      <c r="D946">
        <f>COUNT('01_Data'!$B946:$AW946)</f>
        <v/>
      </c>
      <c r="E946" s="5">
        <f>MEDIAN(-6,LN((C946+0.3)/(D946-C946+0.3)),6)</f>
        <v/>
      </c>
      <c r="F946" s="5">
        <f>SUMPRODUCT(('01_Data'!$B946:$AW946&lt;&gt;"")*(1/(1+EXP(-(E946-'03_Lap_b'!$B$5:$AW$5)))))</f>
        <v/>
      </c>
      <c r="G946" s="5">
        <f>SUMPRODUCT(('01_Data'!$B946:$AW946&lt;&gt;"")*(1/(1+EXP(-(E946-'03_Lap_b'!$B$5:$AW$5))))^2)</f>
        <v/>
      </c>
      <c r="H946" s="5">
        <f>MEDIAN(-6,E946+(C946-F946)/MAX(F946-G946,0.000000001),6)</f>
        <v/>
      </c>
      <c r="I946" s="5">
        <f>SUMPRODUCT(('01_Data'!$B946:$AW946&lt;&gt;"")*(1/(1+EXP(-(H946-'03_Lap_b'!$B$10:$AW$10)))))</f>
        <v/>
      </c>
      <c r="J946" s="5">
        <f>SUMPRODUCT(('01_Data'!$B946:$AW946&lt;&gt;"")*(1/(1+EXP(-(H946-'03_Lap_b'!$B$10:$AW$10))))^2)</f>
        <v/>
      </c>
      <c r="K946" s="5">
        <f>MEDIAN(-6,H946+(C946-I946)/MAX(I946-J946,0.000000001),6)</f>
        <v/>
      </c>
      <c r="L946" s="5">
        <f>SUMPRODUCT(('01_Data'!$B946:$AW946&lt;&gt;"")*(1/(1+EXP(-(K946-'03_Lap_b'!$B$15:$AW$15)))))</f>
        <v/>
      </c>
      <c r="M946" s="5">
        <f>SUMPRODUCT(('01_Data'!$B946:$AW946&lt;&gt;"")*(1/(1+EXP(-(K946-'03_Lap_b'!$B$15:$AW$15))))^2)</f>
        <v/>
      </c>
      <c r="N946" s="5">
        <f>MEDIAN(-6,K946+(C946-L946)/MAX(L946-M946,0.000000001),6)</f>
        <v/>
      </c>
      <c r="O946" s="5">
        <f>SUMPRODUCT(('01_Data'!$B946:$AW946&lt;&gt;"")*(1/(1+EXP(-(N946-'03_Lap_b'!$B$20:$AW$20)))))</f>
        <v/>
      </c>
      <c r="P946" s="5">
        <f>SUMPRODUCT(('01_Data'!$B946:$AW946&lt;&gt;"")*(1/(1+EXP(-(N946-'03_Lap_b'!$B$20:$AW$20))))^2)</f>
        <v/>
      </c>
      <c r="Q946" s="5">
        <f>MEDIAN(-6,N946+(C946-O946)/MAX(O946-P946,0.000000001),6)</f>
        <v/>
      </c>
      <c r="R946" s="5">
        <f>SUMPRODUCT(('01_Data'!$B946:$AW946&lt;&gt;"")*(1/(1+EXP(-(Q946-'03_Lap_b'!$B$25:$AW$25)))))</f>
        <v/>
      </c>
      <c r="S946" s="5">
        <f>SUMPRODUCT(('01_Data'!$B946:$AW946&lt;&gt;"")*(1/(1+EXP(-(Q946-'03_Lap_b'!$B$25:$AW$25))))^2)</f>
        <v/>
      </c>
      <c r="T946" s="5">
        <f>MEDIAN(-6,Q946+(C946-R946)/MAX(R946-S946,0.000000001),6)</f>
        <v/>
      </c>
      <c r="U946" s="5">
        <f>SUMPRODUCT(('01_Data'!$B946:$AW946&lt;&gt;"")*(1/(1+EXP(-(T946-'03_Lap_b'!$B$30:$AW$30)))))</f>
        <v/>
      </c>
      <c r="V946" s="5">
        <f>SUMPRODUCT(('01_Data'!$B946:$AW946&lt;&gt;"")*(1/(1+EXP(-(T946-'03_Lap_b'!$B$30:$AW$30))))^2)</f>
        <v/>
      </c>
      <c r="W946" s="5">
        <f>MEDIAN(-6,T946+(C946-U946)/MAX(U946-V946,0.000000001),6)</f>
        <v/>
      </c>
      <c r="X946" s="5">
        <f>SUMPRODUCT(('01_Data'!$B946:$AW946&lt;&gt;"")*(1/(1+EXP(-(W946-'03_Lap_b'!$B$35:$AW$35)))))</f>
        <v/>
      </c>
      <c r="Y946" s="5">
        <f>SUMPRODUCT(('01_Data'!$B946:$AW946&lt;&gt;"")*(1/(1+EXP(-(W946-'03_Lap_b'!$B$35:$AW$35))))^2)</f>
        <v/>
      </c>
      <c r="Z946" s="5">
        <f>MEDIAN(-6,W946+(C946-X946)/MAX(X946-Y946,0.000000001),6)</f>
        <v/>
      </c>
      <c r="AA946" s="5">
        <f>SUMPRODUCT(('01_Data'!$B946:$AW946&lt;&gt;"")*(1/(1+EXP(-(Z946-'03_Lap_b'!$B$40:$AW$40)))))</f>
        <v/>
      </c>
      <c r="AB946" s="5">
        <f>SUMPRODUCT(('01_Data'!$B946:$AW946&lt;&gt;"")*(1/(1+EXP(-(Z946-'03_Lap_b'!$B$40:$AW$40))))^2)</f>
        <v/>
      </c>
      <c r="AC946" s="5">
        <f>MEDIAN(-6,Z946+(C946-AA946)/MAX(AA946-AB946,0.000000001),6)</f>
        <v/>
      </c>
    </row>
    <row r="947">
      <c r="A947" t="n">
        <v>946</v>
      </c>
      <c r="B947">
        <f>'01_Data'!A947</f>
        <v/>
      </c>
      <c r="C947">
        <f>SUM('01_Data'!$B947:$AW947)</f>
        <v/>
      </c>
      <c r="D947">
        <f>COUNT('01_Data'!$B947:$AW947)</f>
        <v/>
      </c>
      <c r="E947" s="5">
        <f>MEDIAN(-6,LN((C947+0.3)/(D947-C947+0.3)),6)</f>
        <v/>
      </c>
      <c r="F947" s="5">
        <f>SUMPRODUCT(('01_Data'!$B947:$AW947&lt;&gt;"")*(1/(1+EXP(-(E947-'03_Lap_b'!$B$5:$AW$5)))))</f>
        <v/>
      </c>
      <c r="G947" s="5">
        <f>SUMPRODUCT(('01_Data'!$B947:$AW947&lt;&gt;"")*(1/(1+EXP(-(E947-'03_Lap_b'!$B$5:$AW$5))))^2)</f>
        <v/>
      </c>
      <c r="H947" s="5">
        <f>MEDIAN(-6,E947+(C947-F947)/MAX(F947-G947,0.000000001),6)</f>
        <v/>
      </c>
      <c r="I947" s="5">
        <f>SUMPRODUCT(('01_Data'!$B947:$AW947&lt;&gt;"")*(1/(1+EXP(-(H947-'03_Lap_b'!$B$10:$AW$10)))))</f>
        <v/>
      </c>
      <c r="J947" s="5">
        <f>SUMPRODUCT(('01_Data'!$B947:$AW947&lt;&gt;"")*(1/(1+EXP(-(H947-'03_Lap_b'!$B$10:$AW$10))))^2)</f>
        <v/>
      </c>
      <c r="K947" s="5">
        <f>MEDIAN(-6,H947+(C947-I947)/MAX(I947-J947,0.000000001),6)</f>
        <v/>
      </c>
      <c r="L947" s="5">
        <f>SUMPRODUCT(('01_Data'!$B947:$AW947&lt;&gt;"")*(1/(1+EXP(-(K947-'03_Lap_b'!$B$15:$AW$15)))))</f>
        <v/>
      </c>
      <c r="M947" s="5">
        <f>SUMPRODUCT(('01_Data'!$B947:$AW947&lt;&gt;"")*(1/(1+EXP(-(K947-'03_Lap_b'!$B$15:$AW$15))))^2)</f>
        <v/>
      </c>
      <c r="N947" s="5">
        <f>MEDIAN(-6,K947+(C947-L947)/MAX(L947-M947,0.000000001),6)</f>
        <v/>
      </c>
      <c r="O947" s="5">
        <f>SUMPRODUCT(('01_Data'!$B947:$AW947&lt;&gt;"")*(1/(1+EXP(-(N947-'03_Lap_b'!$B$20:$AW$20)))))</f>
        <v/>
      </c>
      <c r="P947" s="5">
        <f>SUMPRODUCT(('01_Data'!$B947:$AW947&lt;&gt;"")*(1/(1+EXP(-(N947-'03_Lap_b'!$B$20:$AW$20))))^2)</f>
        <v/>
      </c>
      <c r="Q947" s="5">
        <f>MEDIAN(-6,N947+(C947-O947)/MAX(O947-P947,0.000000001),6)</f>
        <v/>
      </c>
      <c r="R947" s="5">
        <f>SUMPRODUCT(('01_Data'!$B947:$AW947&lt;&gt;"")*(1/(1+EXP(-(Q947-'03_Lap_b'!$B$25:$AW$25)))))</f>
        <v/>
      </c>
      <c r="S947" s="5">
        <f>SUMPRODUCT(('01_Data'!$B947:$AW947&lt;&gt;"")*(1/(1+EXP(-(Q947-'03_Lap_b'!$B$25:$AW$25))))^2)</f>
        <v/>
      </c>
      <c r="T947" s="5">
        <f>MEDIAN(-6,Q947+(C947-R947)/MAX(R947-S947,0.000000001),6)</f>
        <v/>
      </c>
      <c r="U947" s="5">
        <f>SUMPRODUCT(('01_Data'!$B947:$AW947&lt;&gt;"")*(1/(1+EXP(-(T947-'03_Lap_b'!$B$30:$AW$30)))))</f>
        <v/>
      </c>
      <c r="V947" s="5">
        <f>SUMPRODUCT(('01_Data'!$B947:$AW947&lt;&gt;"")*(1/(1+EXP(-(T947-'03_Lap_b'!$B$30:$AW$30))))^2)</f>
        <v/>
      </c>
      <c r="W947" s="5">
        <f>MEDIAN(-6,T947+(C947-U947)/MAX(U947-V947,0.000000001),6)</f>
        <v/>
      </c>
      <c r="X947" s="5">
        <f>SUMPRODUCT(('01_Data'!$B947:$AW947&lt;&gt;"")*(1/(1+EXP(-(W947-'03_Lap_b'!$B$35:$AW$35)))))</f>
        <v/>
      </c>
      <c r="Y947" s="5">
        <f>SUMPRODUCT(('01_Data'!$B947:$AW947&lt;&gt;"")*(1/(1+EXP(-(W947-'03_Lap_b'!$B$35:$AW$35))))^2)</f>
        <v/>
      </c>
      <c r="Z947" s="5">
        <f>MEDIAN(-6,W947+(C947-X947)/MAX(X947-Y947,0.000000001),6)</f>
        <v/>
      </c>
      <c r="AA947" s="5">
        <f>SUMPRODUCT(('01_Data'!$B947:$AW947&lt;&gt;"")*(1/(1+EXP(-(Z947-'03_Lap_b'!$B$40:$AW$40)))))</f>
        <v/>
      </c>
      <c r="AB947" s="5">
        <f>SUMPRODUCT(('01_Data'!$B947:$AW947&lt;&gt;"")*(1/(1+EXP(-(Z947-'03_Lap_b'!$B$40:$AW$40))))^2)</f>
        <v/>
      </c>
      <c r="AC947" s="5">
        <f>MEDIAN(-6,Z947+(C947-AA947)/MAX(AA947-AB947,0.000000001),6)</f>
        <v/>
      </c>
    </row>
    <row r="948">
      <c r="A948" t="n">
        <v>947</v>
      </c>
      <c r="B948">
        <f>'01_Data'!A948</f>
        <v/>
      </c>
      <c r="C948">
        <f>SUM('01_Data'!$B948:$AW948)</f>
        <v/>
      </c>
      <c r="D948">
        <f>COUNT('01_Data'!$B948:$AW948)</f>
        <v/>
      </c>
      <c r="E948" s="5">
        <f>MEDIAN(-6,LN((C948+0.3)/(D948-C948+0.3)),6)</f>
        <v/>
      </c>
      <c r="F948" s="5">
        <f>SUMPRODUCT(('01_Data'!$B948:$AW948&lt;&gt;"")*(1/(1+EXP(-(E948-'03_Lap_b'!$B$5:$AW$5)))))</f>
        <v/>
      </c>
      <c r="G948" s="5">
        <f>SUMPRODUCT(('01_Data'!$B948:$AW948&lt;&gt;"")*(1/(1+EXP(-(E948-'03_Lap_b'!$B$5:$AW$5))))^2)</f>
        <v/>
      </c>
      <c r="H948" s="5">
        <f>MEDIAN(-6,E948+(C948-F948)/MAX(F948-G948,0.000000001),6)</f>
        <v/>
      </c>
      <c r="I948" s="5">
        <f>SUMPRODUCT(('01_Data'!$B948:$AW948&lt;&gt;"")*(1/(1+EXP(-(H948-'03_Lap_b'!$B$10:$AW$10)))))</f>
        <v/>
      </c>
      <c r="J948" s="5">
        <f>SUMPRODUCT(('01_Data'!$B948:$AW948&lt;&gt;"")*(1/(1+EXP(-(H948-'03_Lap_b'!$B$10:$AW$10))))^2)</f>
        <v/>
      </c>
      <c r="K948" s="5">
        <f>MEDIAN(-6,H948+(C948-I948)/MAX(I948-J948,0.000000001),6)</f>
        <v/>
      </c>
      <c r="L948" s="5">
        <f>SUMPRODUCT(('01_Data'!$B948:$AW948&lt;&gt;"")*(1/(1+EXP(-(K948-'03_Lap_b'!$B$15:$AW$15)))))</f>
        <v/>
      </c>
      <c r="M948" s="5">
        <f>SUMPRODUCT(('01_Data'!$B948:$AW948&lt;&gt;"")*(1/(1+EXP(-(K948-'03_Lap_b'!$B$15:$AW$15))))^2)</f>
        <v/>
      </c>
      <c r="N948" s="5">
        <f>MEDIAN(-6,K948+(C948-L948)/MAX(L948-M948,0.000000001),6)</f>
        <v/>
      </c>
      <c r="O948" s="5">
        <f>SUMPRODUCT(('01_Data'!$B948:$AW948&lt;&gt;"")*(1/(1+EXP(-(N948-'03_Lap_b'!$B$20:$AW$20)))))</f>
        <v/>
      </c>
      <c r="P948" s="5">
        <f>SUMPRODUCT(('01_Data'!$B948:$AW948&lt;&gt;"")*(1/(1+EXP(-(N948-'03_Lap_b'!$B$20:$AW$20))))^2)</f>
        <v/>
      </c>
      <c r="Q948" s="5">
        <f>MEDIAN(-6,N948+(C948-O948)/MAX(O948-P948,0.000000001),6)</f>
        <v/>
      </c>
      <c r="R948" s="5">
        <f>SUMPRODUCT(('01_Data'!$B948:$AW948&lt;&gt;"")*(1/(1+EXP(-(Q948-'03_Lap_b'!$B$25:$AW$25)))))</f>
        <v/>
      </c>
      <c r="S948" s="5">
        <f>SUMPRODUCT(('01_Data'!$B948:$AW948&lt;&gt;"")*(1/(1+EXP(-(Q948-'03_Lap_b'!$B$25:$AW$25))))^2)</f>
        <v/>
      </c>
      <c r="T948" s="5">
        <f>MEDIAN(-6,Q948+(C948-R948)/MAX(R948-S948,0.000000001),6)</f>
        <v/>
      </c>
      <c r="U948" s="5">
        <f>SUMPRODUCT(('01_Data'!$B948:$AW948&lt;&gt;"")*(1/(1+EXP(-(T948-'03_Lap_b'!$B$30:$AW$30)))))</f>
        <v/>
      </c>
      <c r="V948" s="5">
        <f>SUMPRODUCT(('01_Data'!$B948:$AW948&lt;&gt;"")*(1/(1+EXP(-(T948-'03_Lap_b'!$B$30:$AW$30))))^2)</f>
        <v/>
      </c>
      <c r="W948" s="5">
        <f>MEDIAN(-6,T948+(C948-U948)/MAX(U948-V948,0.000000001),6)</f>
        <v/>
      </c>
      <c r="X948" s="5">
        <f>SUMPRODUCT(('01_Data'!$B948:$AW948&lt;&gt;"")*(1/(1+EXP(-(W948-'03_Lap_b'!$B$35:$AW$35)))))</f>
        <v/>
      </c>
      <c r="Y948" s="5">
        <f>SUMPRODUCT(('01_Data'!$B948:$AW948&lt;&gt;"")*(1/(1+EXP(-(W948-'03_Lap_b'!$B$35:$AW$35))))^2)</f>
        <v/>
      </c>
      <c r="Z948" s="5">
        <f>MEDIAN(-6,W948+(C948-X948)/MAX(X948-Y948,0.000000001),6)</f>
        <v/>
      </c>
      <c r="AA948" s="5">
        <f>SUMPRODUCT(('01_Data'!$B948:$AW948&lt;&gt;"")*(1/(1+EXP(-(Z948-'03_Lap_b'!$B$40:$AW$40)))))</f>
        <v/>
      </c>
      <c r="AB948" s="5">
        <f>SUMPRODUCT(('01_Data'!$B948:$AW948&lt;&gt;"")*(1/(1+EXP(-(Z948-'03_Lap_b'!$B$40:$AW$40))))^2)</f>
        <v/>
      </c>
      <c r="AC948" s="5">
        <f>MEDIAN(-6,Z948+(C948-AA948)/MAX(AA948-AB948,0.000000001),6)</f>
        <v/>
      </c>
    </row>
    <row r="949">
      <c r="A949" t="n">
        <v>948</v>
      </c>
      <c r="B949">
        <f>'01_Data'!A949</f>
        <v/>
      </c>
      <c r="C949">
        <f>SUM('01_Data'!$B949:$AW949)</f>
        <v/>
      </c>
      <c r="D949">
        <f>COUNT('01_Data'!$B949:$AW949)</f>
        <v/>
      </c>
      <c r="E949" s="5">
        <f>MEDIAN(-6,LN((C949+0.3)/(D949-C949+0.3)),6)</f>
        <v/>
      </c>
      <c r="F949" s="5">
        <f>SUMPRODUCT(('01_Data'!$B949:$AW949&lt;&gt;"")*(1/(1+EXP(-(E949-'03_Lap_b'!$B$5:$AW$5)))))</f>
        <v/>
      </c>
      <c r="G949" s="5">
        <f>SUMPRODUCT(('01_Data'!$B949:$AW949&lt;&gt;"")*(1/(1+EXP(-(E949-'03_Lap_b'!$B$5:$AW$5))))^2)</f>
        <v/>
      </c>
      <c r="H949" s="5">
        <f>MEDIAN(-6,E949+(C949-F949)/MAX(F949-G949,0.000000001),6)</f>
        <v/>
      </c>
      <c r="I949" s="5">
        <f>SUMPRODUCT(('01_Data'!$B949:$AW949&lt;&gt;"")*(1/(1+EXP(-(H949-'03_Lap_b'!$B$10:$AW$10)))))</f>
        <v/>
      </c>
      <c r="J949" s="5">
        <f>SUMPRODUCT(('01_Data'!$B949:$AW949&lt;&gt;"")*(1/(1+EXP(-(H949-'03_Lap_b'!$B$10:$AW$10))))^2)</f>
        <v/>
      </c>
      <c r="K949" s="5">
        <f>MEDIAN(-6,H949+(C949-I949)/MAX(I949-J949,0.000000001),6)</f>
        <v/>
      </c>
      <c r="L949" s="5">
        <f>SUMPRODUCT(('01_Data'!$B949:$AW949&lt;&gt;"")*(1/(1+EXP(-(K949-'03_Lap_b'!$B$15:$AW$15)))))</f>
        <v/>
      </c>
      <c r="M949" s="5">
        <f>SUMPRODUCT(('01_Data'!$B949:$AW949&lt;&gt;"")*(1/(1+EXP(-(K949-'03_Lap_b'!$B$15:$AW$15))))^2)</f>
        <v/>
      </c>
      <c r="N949" s="5">
        <f>MEDIAN(-6,K949+(C949-L949)/MAX(L949-M949,0.000000001),6)</f>
        <v/>
      </c>
      <c r="O949" s="5">
        <f>SUMPRODUCT(('01_Data'!$B949:$AW949&lt;&gt;"")*(1/(1+EXP(-(N949-'03_Lap_b'!$B$20:$AW$20)))))</f>
        <v/>
      </c>
      <c r="P949" s="5">
        <f>SUMPRODUCT(('01_Data'!$B949:$AW949&lt;&gt;"")*(1/(1+EXP(-(N949-'03_Lap_b'!$B$20:$AW$20))))^2)</f>
        <v/>
      </c>
      <c r="Q949" s="5">
        <f>MEDIAN(-6,N949+(C949-O949)/MAX(O949-P949,0.000000001),6)</f>
        <v/>
      </c>
      <c r="R949" s="5">
        <f>SUMPRODUCT(('01_Data'!$B949:$AW949&lt;&gt;"")*(1/(1+EXP(-(Q949-'03_Lap_b'!$B$25:$AW$25)))))</f>
        <v/>
      </c>
      <c r="S949" s="5">
        <f>SUMPRODUCT(('01_Data'!$B949:$AW949&lt;&gt;"")*(1/(1+EXP(-(Q949-'03_Lap_b'!$B$25:$AW$25))))^2)</f>
        <v/>
      </c>
      <c r="T949" s="5">
        <f>MEDIAN(-6,Q949+(C949-R949)/MAX(R949-S949,0.000000001),6)</f>
        <v/>
      </c>
      <c r="U949" s="5">
        <f>SUMPRODUCT(('01_Data'!$B949:$AW949&lt;&gt;"")*(1/(1+EXP(-(T949-'03_Lap_b'!$B$30:$AW$30)))))</f>
        <v/>
      </c>
      <c r="V949" s="5">
        <f>SUMPRODUCT(('01_Data'!$B949:$AW949&lt;&gt;"")*(1/(1+EXP(-(T949-'03_Lap_b'!$B$30:$AW$30))))^2)</f>
        <v/>
      </c>
      <c r="W949" s="5">
        <f>MEDIAN(-6,T949+(C949-U949)/MAX(U949-V949,0.000000001),6)</f>
        <v/>
      </c>
      <c r="X949" s="5">
        <f>SUMPRODUCT(('01_Data'!$B949:$AW949&lt;&gt;"")*(1/(1+EXP(-(W949-'03_Lap_b'!$B$35:$AW$35)))))</f>
        <v/>
      </c>
      <c r="Y949" s="5">
        <f>SUMPRODUCT(('01_Data'!$B949:$AW949&lt;&gt;"")*(1/(1+EXP(-(W949-'03_Lap_b'!$B$35:$AW$35))))^2)</f>
        <v/>
      </c>
      <c r="Z949" s="5">
        <f>MEDIAN(-6,W949+(C949-X949)/MAX(X949-Y949,0.000000001),6)</f>
        <v/>
      </c>
      <c r="AA949" s="5">
        <f>SUMPRODUCT(('01_Data'!$B949:$AW949&lt;&gt;"")*(1/(1+EXP(-(Z949-'03_Lap_b'!$B$40:$AW$40)))))</f>
        <v/>
      </c>
      <c r="AB949" s="5">
        <f>SUMPRODUCT(('01_Data'!$B949:$AW949&lt;&gt;"")*(1/(1+EXP(-(Z949-'03_Lap_b'!$B$40:$AW$40))))^2)</f>
        <v/>
      </c>
      <c r="AC949" s="5">
        <f>MEDIAN(-6,Z949+(C949-AA949)/MAX(AA949-AB949,0.000000001),6)</f>
        <v/>
      </c>
    </row>
    <row r="950">
      <c r="A950" t="n">
        <v>949</v>
      </c>
      <c r="B950">
        <f>'01_Data'!A950</f>
        <v/>
      </c>
      <c r="C950">
        <f>SUM('01_Data'!$B950:$AW950)</f>
        <v/>
      </c>
      <c r="D950">
        <f>COUNT('01_Data'!$B950:$AW950)</f>
        <v/>
      </c>
      <c r="E950" s="5">
        <f>MEDIAN(-6,LN((C950+0.3)/(D950-C950+0.3)),6)</f>
        <v/>
      </c>
      <c r="F950" s="5">
        <f>SUMPRODUCT(('01_Data'!$B950:$AW950&lt;&gt;"")*(1/(1+EXP(-(E950-'03_Lap_b'!$B$5:$AW$5)))))</f>
        <v/>
      </c>
      <c r="G950" s="5">
        <f>SUMPRODUCT(('01_Data'!$B950:$AW950&lt;&gt;"")*(1/(1+EXP(-(E950-'03_Lap_b'!$B$5:$AW$5))))^2)</f>
        <v/>
      </c>
      <c r="H950" s="5">
        <f>MEDIAN(-6,E950+(C950-F950)/MAX(F950-G950,0.000000001),6)</f>
        <v/>
      </c>
      <c r="I950" s="5">
        <f>SUMPRODUCT(('01_Data'!$B950:$AW950&lt;&gt;"")*(1/(1+EXP(-(H950-'03_Lap_b'!$B$10:$AW$10)))))</f>
        <v/>
      </c>
      <c r="J950" s="5">
        <f>SUMPRODUCT(('01_Data'!$B950:$AW950&lt;&gt;"")*(1/(1+EXP(-(H950-'03_Lap_b'!$B$10:$AW$10))))^2)</f>
        <v/>
      </c>
      <c r="K950" s="5">
        <f>MEDIAN(-6,H950+(C950-I950)/MAX(I950-J950,0.000000001),6)</f>
        <v/>
      </c>
      <c r="L950" s="5">
        <f>SUMPRODUCT(('01_Data'!$B950:$AW950&lt;&gt;"")*(1/(1+EXP(-(K950-'03_Lap_b'!$B$15:$AW$15)))))</f>
        <v/>
      </c>
      <c r="M950" s="5">
        <f>SUMPRODUCT(('01_Data'!$B950:$AW950&lt;&gt;"")*(1/(1+EXP(-(K950-'03_Lap_b'!$B$15:$AW$15))))^2)</f>
        <v/>
      </c>
      <c r="N950" s="5">
        <f>MEDIAN(-6,K950+(C950-L950)/MAX(L950-M950,0.000000001),6)</f>
        <v/>
      </c>
      <c r="O950" s="5">
        <f>SUMPRODUCT(('01_Data'!$B950:$AW950&lt;&gt;"")*(1/(1+EXP(-(N950-'03_Lap_b'!$B$20:$AW$20)))))</f>
        <v/>
      </c>
      <c r="P950" s="5">
        <f>SUMPRODUCT(('01_Data'!$B950:$AW950&lt;&gt;"")*(1/(1+EXP(-(N950-'03_Lap_b'!$B$20:$AW$20))))^2)</f>
        <v/>
      </c>
      <c r="Q950" s="5">
        <f>MEDIAN(-6,N950+(C950-O950)/MAX(O950-P950,0.000000001),6)</f>
        <v/>
      </c>
      <c r="R950" s="5">
        <f>SUMPRODUCT(('01_Data'!$B950:$AW950&lt;&gt;"")*(1/(1+EXP(-(Q950-'03_Lap_b'!$B$25:$AW$25)))))</f>
        <v/>
      </c>
      <c r="S950" s="5">
        <f>SUMPRODUCT(('01_Data'!$B950:$AW950&lt;&gt;"")*(1/(1+EXP(-(Q950-'03_Lap_b'!$B$25:$AW$25))))^2)</f>
        <v/>
      </c>
      <c r="T950" s="5">
        <f>MEDIAN(-6,Q950+(C950-R950)/MAX(R950-S950,0.000000001),6)</f>
        <v/>
      </c>
      <c r="U950" s="5">
        <f>SUMPRODUCT(('01_Data'!$B950:$AW950&lt;&gt;"")*(1/(1+EXP(-(T950-'03_Lap_b'!$B$30:$AW$30)))))</f>
        <v/>
      </c>
      <c r="V950" s="5">
        <f>SUMPRODUCT(('01_Data'!$B950:$AW950&lt;&gt;"")*(1/(1+EXP(-(T950-'03_Lap_b'!$B$30:$AW$30))))^2)</f>
        <v/>
      </c>
      <c r="W950" s="5">
        <f>MEDIAN(-6,T950+(C950-U950)/MAX(U950-V950,0.000000001),6)</f>
        <v/>
      </c>
      <c r="X950" s="5">
        <f>SUMPRODUCT(('01_Data'!$B950:$AW950&lt;&gt;"")*(1/(1+EXP(-(W950-'03_Lap_b'!$B$35:$AW$35)))))</f>
        <v/>
      </c>
      <c r="Y950" s="5">
        <f>SUMPRODUCT(('01_Data'!$B950:$AW950&lt;&gt;"")*(1/(1+EXP(-(W950-'03_Lap_b'!$B$35:$AW$35))))^2)</f>
        <v/>
      </c>
      <c r="Z950" s="5">
        <f>MEDIAN(-6,W950+(C950-X950)/MAX(X950-Y950,0.000000001),6)</f>
        <v/>
      </c>
      <c r="AA950" s="5">
        <f>SUMPRODUCT(('01_Data'!$B950:$AW950&lt;&gt;"")*(1/(1+EXP(-(Z950-'03_Lap_b'!$B$40:$AW$40)))))</f>
        <v/>
      </c>
      <c r="AB950" s="5">
        <f>SUMPRODUCT(('01_Data'!$B950:$AW950&lt;&gt;"")*(1/(1+EXP(-(Z950-'03_Lap_b'!$B$40:$AW$40))))^2)</f>
        <v/>
      </c>
      <c r="AC950" s="5">
        <f>MEDIAN(-6,Z950+(C950-AA950)/MAX(AA950-AB950,0.000000001),6)</f>
        <v/>
      </c>
    </row>
    <row r="951">
      <c r="A951" t="n">
        <v>950</v>
      </c>
      <c r="B951">
        <f>'01_Data'!A951</f>
        <v/>
      </c>
      <c r="C951">
        <f>SUM('01_Data'!$B951:$AW951)</f>
        <v/>
      </c>
      <c r="D951">
        <f>COUNT('01_Data'!$B951:$AW951)</f>
        <v/>
      </c>
      <c r="E951" s="5">
        <f>MEDIAN(-6,LN((C951+0.3)/(D951-C951+0.3)),6)</f>
        <v/>
      </c>
      <c r="F951" s="5">
        <f>SUMPRODUCT(('01_Data'!$B951:$AW951&lt;&gt;"")*(1/(1+EXP(-(E951-'03_Lap_b'!$B$5:$AW$5)))))</f>
        <v/>
      </c>
      <c r="G951" s="5">
        <f>SUMPRODUCT(('01_Data'!$B951:$AW951&lt;&gt;"")*(1/(1+EXP(-(E951-'03_Lap_b'!$B$5:$AW$5))))^2)</f>
        <v/>
      </c>
      <c r="H951" s="5">
        <f>MEDIAN(-6,E951+(C951-F951)/MAX(F951-G951,0.000000001),6)</f>
        <v/>
      </c>
      <c r="I951" s="5">
        <f>SUMPRODUCT(('01_Data'!$B951:$AW951&lt;&gt;"")*(1/(1+EXP(-(H951-'03_Lap_b'!$B$10:$AW$10)))))</f>
        <v/>
      </c>
      <c r="J951" s="5">
        <f>SUMPRODUCT(('01_Data'!$B951:$AW951&lt;&gt;"")*(1/(1+EXP(-(H951-'03_Lap_b'!$B$10:$AW$10))))^2)</f>
        <v/>
      </c>
      <c r="K951" s="5">
        <f>MEDIAN(-6,H951+(C951-I951)/MAX(I951-J951,0.000000001),6)</f>
        <v/>
      </c>
      <c r="L951" s="5">
        <f>SUMPRODUCT(('01_Data'!$B951:$AW951&lt;&gt;"")*(1/(1+EXP(-(K951-'03_Lap_b'!$B$15:$AW$15)))))</f>
        <v/>
      </c>
      <c r="M951" s="5">
        <f>SUMPRODUCT(('01_Data'!$B951:$AW951&lt;&gt;"")*(1/(1+EXP(-(K951-'03_Lap_b'!$B$15:$AW$15))))^2)</f>
        <v/>
      </c>
      <c r="N951" s="5">
        <f>MEDIAN(-6,K951+(C951-L951)/MAX(L951-M951,0.000000001),6)</f>
        <v/>
      </c>
      <c r="O951" s="5">
        <f>SUMPRODUCT(('01_Data'!$B951:$AW951&lt;&gt;"")*(1/(1+EXP(-(N951-'03_Lap_b'!$B$20:$AW$20)))))</f>
        <v/>
      </c>
      <c r="P951" s="5">
        <f>SUMPRODUCT(('01_Data'!$B951:$AW951&lt;&gt;"")*(1/(1+EXP(-(N951-'03_Lap_b'!$B$20:$AW$20))))^2)</f>
        <v/>
      </c>
      <c r="Q951" s="5">
        <f>MEDIAN(-6,N951+(C951-O951)/MAX(O951-P951,0.000000001),6)</f>
        <v/>
      </c>
      <c r="R951" s="5">
        <f>SUMPRODUCT(('01_Data'!$B951:$AW951&lt;&gt;"")*(1/(1+EXP(-(Q951-'03_Lap_b'!$B$25:$AW$25)))))</f>
        <v/>
      </c>
      <c r="S951" s="5">
        <f>SUMPRODUCT(('01_Data'!$B951:$AW951&lt;&gt;"")*(1/(1+EXP(-(Q951-'03_Lap_b'!$B$25:$AW$25))))^2)</f>
        <v/>
      </c>
      <c r="T951" s="5">
        <f>MEDIAN(-6,Q951+(C951-R951)/MAX(R951-S951,0.000000001),6)</f>
        <v/>
      </c>
      <c r="U951" s="5">
        <f>SUMPRODUCT(('01_Data'!$B951:$AW951&lt;&gt;"")*(1/(1+EXP(-(T951-'03_Lap_b'!$B$30:$AW$30)))))</f>
        <v/>
      </c>
      <c r="V951" s="5">
        <f>SUMPRODUCT(('01_Data'!$B951:$AW951&lt;&gt;"")*(1/(1+EXP(-(T951-'03_Lap_b'!$B$30:$AW$30))))^2)</f>
        <v/>
      </c>
      <c r="W951" s="5">
        <f>MEDIAN(-6,T951+(C951-U951)/MAX(U951-V951,0.000000001),6)</f>
        <v/>
      </c>
      <c r="X951" s="5">
        <f>SUMPRODUCT(('01_Data'!$B951:$AW951&lt;&gt;"")*(1/(1+EXP(-(W951-'03_Lap_b'!$B$35:$AW$35)))))</f>
        <v/>
      </c>
      <c r="Y951" s="5">
        <f>SUMPRODUCT(('01_Data'!$B951:$AW951&lt;&gt;"")*(1/(1+EXP(-(W951-'03_Lap_b'!$B$35:$AW$35))))^2)</f>
        <v/>
      </c>
      <c r="Z951" s="5">
        <f>MEDIAN(-6,W951+(C951-X951)/MAX(X951-Y951,0.000000001),6)</f>
        <v/>
      </c>
      <c r="AA951" s="5">
        <f>SUMPRODUCT(('01_Data'!$B951:$AW951&lt;&gt;"")*(1/(1+EXP(-(Z951-'03_Lap_b'!$B$40:$AW$40)))))</f>
        <v/>
      </c>
      <c r="AB951" s="5">
        <f>SUMPRODUCT(('01_Data'!$B951:$AW951&lt;&gt;"")*(1/(1+EXP(-(Z951-'03_Lap_b'!$B$40:$AW$40))))^2)</f>
        <v/>
      </c>
      <c r="AC951" s="5">
        <f>MEDIAN(-6,Z951+(C951-AA951)/MAX(AA951-AB951,0.000000001),6)</f>
        <v/>
      </c>
    </row>
    <row r="952">
      <c r="A952" t="n">
        <v>951</v>
      </c>
      <c r="B952">
        <f>'01_Data'!A952</f>
        <v/>
      </c>
      <c r="C952">
        <f>SUM('01_Data'!$B952:$AW952)</f>
        <v/>
      </c>
      <c r="D952">
        <f>COUNT('01_Data'!$B952:$AW952)</f>
        <v/>
      </c>
      <c r="E952" s="5">
        <f>MEDIAN(-6,LN((C952+0.3)/(D952-C952+0.3)),6)</f>
        <v/>
      </c>
      <c r="F952" s="5">
        <f>SUMPRODUCT(('01_Data'!$B952:$AW952&lt;&gt;"")*(1/(1+EXP(-(E952-'03_Lap_b'!$B$5:$AW$5)))))</f>
        <v/>
      </c>
      <c r="G952" s="5">
        <f>SUMPRODUCT(('01_Data'!$B952:$AW952&lt;&gt;"")*(1/(1+EXP(-(E952-'03_Lap_b'!$B$5:$AW$5))))^2)</f>
        <v/>
      </c>
      <c r="H952" s="5">
        <f>MEDIAN(-6,E952+(C952-F952)/MAX(F952-G952,0.000000001),6)</f>
        <v/>
      </c>
      <c r="I952" s="5">
        <f>SUMPRODUCT(('01_Data'!$B952:$AW952&lt;&gt;"")*(1/(1+EXP(-(H952-'03_Lap_b'!$B$10:$AW$10)))))</f>
        <v/>
      </c>
      <c r="J952" s="5">
        <f>SUMPRODUCT(('01_Data'!$B952:$AW952&lt;&gt;"")*(1/(1+EXP(-(H952-'03_Lap_b'!$B$10:$AW$10))))^2)</f>
        <v/>
      </c>
      <c r="K952" s="5">
        <f>MEDIAN(-6,H952+(C952-I952)/MAX(I952-J952,0.000000001),6)</f>
        <v/>
      </c>
      <c r="L952" s="5">
        <f>SUMPRODUCT(('01_Data'!$B952:$AW952&lt;&gt;"")*(1/(1+EXP(-(K952-'03_Lap_b'!$B$15:$AW$15)))))</f>
        <v/>
      </c>
      <c r="M952" s="5">
        <f>SUMPRODUCT(('01_Data'!$B952:$AW952&lt;&gt;"")*(1/(1+EXP(-(K952-'03_Lap_b'!$B$15:$AW$15))))^2)</f>
        <v/>
      </c>
      <c r="N952" s="5">
        <f>MEDIAN(-6,K952+(C952-L952)/MAX(L952-M952,0.000000001),6)</f>
        <v/>
      </c>
      <c r="O952" s="5">
        <f>SUMPRODUCT(('01_Data'!$B952:$AW952&lt;&gt;"")*(1/(1+EXP(-(N952-'03_Lap_b'!$B$20:$AW$20)))))</f>
        <v/>
      </c>
      <c r="P952" s="5">
        <f>SUMPRODUCT(('01_Data'!$B952:$AW952&lt;&gt;"")*(1/(1+EXP(-(N952-'03_Lap_b'!$B$20:$AW$20))))^2)</f>
        <v/>
      </c>
      <c r="Q952" s="5">
        <f>MEDIAN(-6,N952+(C952-O952)/MAX(O952-P952,0.000000001),6)</f>
        <v/>
      </c>
      <c r="R952" s="5">
        <f>SUMPRODUCT(('01_Data'!$B952:$AW952&lt;&gt;"")*(1/(1+EXP(-(Q952-'03_Lap_b'!$B$25:$AW$25)))))</f>
        <v/>
      </c>
      <c r="S952" s="5">
        <f>SUMPRODUCT(('01_Data'!$B952:$AW952&lt;&gt;"")*(1/(1+EXP(-(Q952-'03_Lap_b'!$B$25:$AW$25))))^2)</f>
        <v/>
      </c>
      <c r="T952" s="5">
        <f>MEDIAN(-6,Q952+(C952-R952)/MAX(R952-S952,0.000000001),6)</f>
        <v/>
      </c>
      <c r="U952" s="5">
        <f>SUMPRODUCT(('01_Data'!$B952:$AW952&lt;&gt;"")*(1/(1+EXP(-(T952-'03_Lap_b'!$B$30:$AW$30)))))</f>
        <v/>
      </c>
      <c r="V952" s="5">
        <f>SUMPRODUCT(('01_Data'!$B952:$AW952&lt;&gt;"")*(1/(1+EXP(-(T952-'03_Lap_b'!$B$30:$AW$30))))^2)</f>
        <v/>
      </c>
      <c r="W952" s="5">
        <f>MEDIAN(-6,T952+(C952-U952)/MAX(U952-V952,0.000000001),6)</f>
        <v/>
      </c>
      <c r="X952" s="5">
        <f>SUMPRODUCT(('01_Data'!$B952:$AW952&lt;&gt;"")*(1/(1+EXP(-(W952-'03_Lap_b'!$B$35:$AW$35)))))</f>
        <v/>
      </c>
      <c r="Y952" s="5">
        <f>SUMPRODUCT(('01_Data'!$B952:$AW952&lt;&gt;"")*(1/(1+EXP(-(W952-'03_Lap_b'!$B$35:$AW$35))))^2)</f>
        <v/>
      </c>
      <c r="Z952" s="5">
        <f>MEDIAN(-6,W952+(C952-X952)/MAX(X952-Y952,0.000000001),6)</f>
        <v/>
      </c>
      <c r="AA952" s="5">
        <f>SUMPRODUCT(('01_Data'!$B952:$AW952&lt;&gt;"")*(1/(1+EXP(-(Z952-'03_Lap_b'!$B$40:$AW$40)))))</f>
        <v/>
      </c>
      <c r="AB952" s="5">
        <f>SUMPRODUCT(('01_Data'!$B952:$AW952&lt;&gt;"")*(1/(1+EXP(-(Z952-'03_Lap_b'!$B$40:$AW$40))))^2)</f>
        <v/>
      </c>
      <c r="AC952" s="5">
        <f>MEDIAN(-6,Z952+(C952-AA952)/MAX(AA952-AB952,0.000000001),6)</f>
        <v/>
      </c>
    </row>
    <row r="953">
      <c r="A953" t="n">
        <v>952</v>
      </c>
      <c r="B953">
        <f>'01_Data'!A953</f>
        <v/>
      </c>
      <c r="C953">
        <f>SUM('01_Data'!$B953:$AW953)</f>
        <v/>
      </c>
      <c r="D953">
        <f>COUNT('01_Data'!$B953:$AW953)</f>
        <v/>
      </c>
      <c r="E953" s="5">
        <f>MEDIAN(-6,LN((C953+0.3)/(D953-C953+0.3)),6)</f>
        <v/>
      </c>
      <c r="F953" s="5">
        <f>SUMPRODUCT(('01_Data'!$B953:$AW953&lt;&gt;"")*(1/(1+EXP(-(E953-'03_Lap_b'!$B$5:$AW$5)))))</f>
        <v/>
      </c>
      <c r="G953" s="5">
        <f>SUMPRODUCT(('01_Data'!$B953:$AW953&lt;&gt;"")*(1/(1+EXP(-(E953-'03_Lap_b'!$B$5:$AW$5))))^2)</f>
        <v/>
      </c>
      <c r="H953" s="5">
        <f>MEDIAN(-6,E953+(C953-F953)/MAX(F953-G953,0.000000001),6)</f>
        <v/>
      </c>
      <c r="I953" s="5">
        <f>SUMPRODUCT(('01_Data'!$B953:$AW953&lt;&gt;"")*(1/(1+EXP(-(H953-'03_Lap_b'!$B$10:$AW$10)))))</f>
        <v/>
      </c>
      <c r="J953" s="5">
        <f>SUMPRODUCT(('01_Data'!$B953:$AW953&lt;&gt;"")*(1/(1+EXP(-(H953-'03_Lap_b'!$B$10:$AW$10))))^2)</f>
        <v/>
      </c>
      <c r="K953" s="5">
        <f>MEDIAN(-6,H953+(C953-I953)/MAX(I953-J953,0.000000001),6)</f>
        <v/>
      </c>
      <c r="L953" s="5">
        <f>SUMPRODUCT(('01_Data'!$B953:$AW953&lt;&gt;"")*(1/(1+EXP(-(K953-'03_Lap_b'!$B$15:$AW$15)))))</f>
        <v/>
      </c>
      <c r="M953" s="5">
        <f>SUMPRODUCT(('01_Data'!$B953:$AW953&lt;&gt;"")*(1/(1+EXP(-(K953-'03_Lap_b'!$B$15:$AW$15))))^2)</f>
        <v/>
      </c>
      <c r="N953" s="5">
        <f>MEDIAN(-6,K953+(C953-L953)/MAX(L953-M953,0.000000001),6)</f>
        <v/>
      </c>
      <c r="O953" s="5">
        <f>SUMPRODUCT(('01_Data'!$B953:$AW953&lt;&gt;"")*(1/(1+EXP(-(N953-'03_Lap_b'!$B$20:$AW$20)))))</f>
        <v/>
      </c>
      <c r="P953" s="5">
        <f>SUMPRODUCT(('01_Data'!$B953:$AW953&lt;&gt;"")*(1/(1+EXP(-(N953-'03_Lap_b'!$B$20:$AW$20))))^2)</f>
        <v/>
      </c>
      <c r="Q953" s="5">
        <f>MEDIAN(-6,N953+(C953-O953)/MAX(O953-P953,0.000000001),6)</f>
        <v/>
      </c>
      <c r="R953" s="5">
        <f>SUMPRODUCT(('01_Data'!$B953:$AW953&lt;&gt;"")*(1/(1+EXP(-(Q953-'03_Lap_b'!$B$25:$AW$25)))))</f>
        <v/>
      </c>
      <c r="S953" s="5">
        <f>SUMPRODUCT(('01_Data'!$B953:$AW953&lt;&gt;"")*(1/(1+EXP(-(Q953-'03_Lap_b'!$B$25:$AW$25))))^2)</f>
        <v/>
      </c>
      <c r="T953" s="5">
        <f>MEDIAN(-6,Q953+(C953-R953)/MAX(R953-S953,0.000000001),6)</f>
        <v/>
      </c>
      <c r="U953" s="5">
        <f>SUMPRODUCT(('01_Data'!$B953:$AW953&lt;&gt;"")*(1/(1+EXP(-(T953-'03_Lap_b'!$B$30:$AW$30)))))</f>
        <v/>
      </c>
      <c r="V953" s="5">
        <f>SUMPRODUCT(('01_Data'!$B953:$AW953&lt;&gt;"")*(1/(1+EXP(-(T953-'03_Lap_b'!$B$30:$AW$30))))^2)</f>
        <v/>
      </c>
      <c r="W953" s="5">
        <f>MEDIAN(-6,T953+(C953-U953)/MAX(U953-V953,0.000000001),6)</f>
        <v/>
      </c>
      <c r="X953" s="5">
        <f>SUMPRODUCT(('01_Data'!$B953:$AW953&lt;&gt;"")*(1/(1+EXP(-(W953-'03_Lap_b'!$B$35:$AW$35)))))</f>
        <v/>
      </c>
      <c r="Y953" s="5">
        <f>SUMPRODUCT(('01_Data'!$B953:$AW953&lt;&gt;"")*(1/(1+EXP(-(W953-'03_Lap_b'!$B$35:$AW$35))))^2)</f>
        <v/>
      </c>
      <c r="Z953" s="5">
        <f>MEDIAN(-6,W953+(C953-X953)/MAX(X953-Y953,0.000000001),6)</f>
        <v/>
      </c>
      <c r="AA953" s="5">
        <f>SUMPRODUCT(('01_Data'!$B953:$AW953&lt;&gt;"")*(1/(1+EXP(-(Z953-'03_Lap_b'!$B$40:$AW$40)))))</f>
        <v/>
      </c>
      <c r="AB953" s="5">
        <f>SUMPRODUCT(('01_Data'!$B953:$AW953&lt;&gt;"")*(1/(1+EXP(-(Z953-'03_Lap_b'!$B$40:$AW$40))))^2)</f>
        <v/>
      </c>
      <c r="AC953" s="5">
        <f>MEDIAN(-6,Z953+(C953-AA953)/MAX(AA953-AB953,0.000000001),6)</f>
        <v/>
      </c>
    </row>
    <row r="954">
      <c r="A954" t="n">
        <v>953</v>
      </c>
      <c r="B954">
        <f>'01_Data'!A954</f>
        <v/>
      </c>
      <c r="C954">
        <f>SUM('01_Data'!$B954:$AW954)</f>
        <v/>
      </c>
      <c r="D954">
        <f>COUNT('01_Data'!$B954:$AW954)</f>
        <v/>
      </c>
      <c r="E954" s="5">
        <f>MEDIAN(-6,LN((C954+0.3)/(D954-C954+0.3)),6)</f>
        <v/>
      </c>
      <c r="F954" s="5">
        <f>SUMPRODUCT(('01_Data'!$B954:$AW954&lt;&gt;"")*(1/(1+EXP(-(E954-'03_Lap_b'!$B$5:$AW$5)))))</f>
        <v/>
      </c>
      <c r="G954" s="5">
        <f>SUMPRODUCT(('01_Data'!$B954:$AW954&lt;&gt;"")*(1/(1+EXP(-(E954-'03_Lap_b'!$B$5:$AW$5))))^2)</f>
        <v/>
      </c>
      <c r="H954" s="5">
        <f>MEDIAN(-6,E954+(C954-F954)/MAX(F954-G954,0.000000001),6)</f>
        <v/>
      </c>
      <c r="I954" s="5">
        <f>SUMPRODUCT(('01_Data'!$B954:$AW954&lt;&gt;"")*(1/(1+EXP(-(H954-'03_Lap_b'!$B$10:$AW$10)))))</f>
        <v/>
      </c>
      <c r="J954" s="5">
        <f>SUMPRODUCT(('01_Data'!$B954:$AW954&lt;&gt;"")*(1/(1+EXP(-(H954-'03_Lap_b'!$B$10:$AW$10))))^2)</f>
        <v/>
      </c>
      <c r="K954" s="5">
        <f>MEDIAN(-6,H954+(C954-I954)/MAX(I954-J954,0.000000001),6)</f>
        <v/>
      </c>
      <c r="L954" s="5">
        <f>SUMPRODUCT(('01_Data'!$B954:$AW954&lt;&gt;"")*(1/(1+EXP(-(K954-'03_Lap_b'!$B$15:$AW$15)))))</f>
        <v/>
      </c>
      <c r="M954" s="5">
        <f>SUMPRODUCT(('01_Data'!$B954:$AW954&lt;&gt;"")*(1/(1+EXP(-(K954-'03_Lap_b'!$B$15:$AW$15))))^2)</f>
        <v/>
      </c>
      <c r="N954" s="5">
        <f>MEDIAN(-6,K954+(C954-L954)/MAX(L954-M954,0.000000001),6)</f>
        <v/>
      </c>
      <c r="O954" s="5">
        <f>SUMPRODUCT(('01_Data'!$B954:$AW954&lt;&gt;"")*(1/(1+EXP(-(N954-'03_Lap_b'!$B$20:$AW$20)))))</f>
        <v/>
      </c>
      <c r="P954" s="5">
        <f>SUMPRODUCT(('01_Data'!$B954:$AW954&lt;&gt;"")*(1/(1+EXP(-(N954-'03_Lap_b'!$B$20:$AW$20))))^2)</f>
        <v/>
      </c>
      <c r="Q954" s="5">
        <f>MEDIAN(-6,N954+(C954-O954)/MAX(O954-P954,0.000000001),6)</f>
        <v/>
      </c>
      <c r="R954" s="5">
        <f>SUMPRODUCT(('01_Data'!$B954:$AW954&lt;&gt;"")*(1/(1+EXP(-(Q954-'03_Lap_b'!$B$25:$AW$25)))))</f>
        <v/>
      </c>
      <c r="S954" s="5">
        <f>SUMPRODUCT(('01_Data'!$B954:$AW954&lt;&gt;"")*(1/(1+EXP(-(Q954-'03_Lap_b'!$B$25:$AW$25))))^2)</f>
        <v/>
      </c>
      <c r="T954" s="5">
        <f>MEDIAN(-6,Q954+(C954-R954)/MAX(R954-S954,0.000000001),6)</f>
        <v/>
      </c>
      <c r="U954" s="5">
        <f>SUMPRODUCT(('01_Data'!$B954:$AW954&lt;&gt;"")*(1/(1+EXP(-(T954-'03_Lap_b'!$B$30:$AW$30)))))</f>
        <v/>
      </c>
      <c r="V954" s="5">
        <f>SUMPRODUCT(('01_Data'!$B954:$AW954&lt;&gt;"")*(1/(1+EXP(-(T954-'03_Lap_b'!$B$30:$AW$30))))^2)</f>
        <v/>
      </c>
      <c r="W954" s="5">
        <f>MEDIAN(-6,T954+(C954-U954)/MAX(U954-V954,0.000000001),6)</f>
        <v/>
      </c>
      <c r="X954" s="5">
        <f>SUMPRODUCT(('01_Data'!$B954:$AW954&lt;&gt;"")*(1/(1+EXP(-(W954-'03_Lap_b'!$B$35:$AW$35)))))</f>
        <v/>
      </c>
      <c r="Y954" s="5">
        <f>SUMPRODUCT(('01_Data'!$B954:$AW954&lt;&gt;"")*(1/(1+EXP(-(W954-'03_Lap_b'!$B$35:$AW$35))))^2)</f>
        <v/>
      </c>
      <c r="Z954" s="5">
        <f>MEDIAN(-6,W954+(C954-X954)/MAX(X954-Y954,0.000000001),6)</f>
        <v/>
      </c>
      <c r="AA954" s="5">
        <f>SUMPRODUCT(('01_Data'!$B954:$AW954&lt;&gt;"")*(1/(1+EXP(-(Z954-'03_Lap_b'!$B$40:$AW$40)))))</f>
        <v/>
      </c>
      <c r="AB954" s="5">
        <f>SUMPRODUCT(('01_Data'!$B954:$AW954&lt;&gt;"")*(1/(1+EXP(-(Z954-'03_Lap_b'!$B$40:$AW$40))))^2)</f>
        <v/>
      </c>
      <c r="AC954" s="5">
        <f>MEDIAN(-6,Z954+(C954-AA954)/MAX(AA954-AB954,0.000000001),6)</f>
        <v/>
      </c>
    </row>
    <row r="955">
      <c r="A955" t="n">
        <v>954</v>
      </c>
      <c r="B955">
        <f>'01_Data'!A955</f>
        <v/>
      </c>
      <c r="C955">
        <f>SUM('01_Data'!$B955:$AW955)</f>
        <v/>
      </c>
      <c r="D955">
        <f>COUNT('01_Data'!$B955:$AW955)</f>
        <v/>
      </c>
      <c r="E955" s="5">
        <f>MEDIAN(-6,LN((C955+0.3)/(D955-C955+0.3)),6)</f>
        <v/>
      </c>
      <c r="F955" s="5">
        <f>SUMPRODUCT(('01_Data'!$B955:$AW955&lt;&gt;"")*(1/(1+EXP(-(E955-'03_Lap_b'!$B$5:$AW$5)))))</f>
        <v/>
      </c>
      <c r="G955" s="5">
        <f>SUMPRODUCT(('01_Data'!$B955:$AW955&lt;&gt;"")*(1/(1+EXP(-(E955-'03_Lap_b'!$B$5:$AW$5))))^2)</f>
        <v/>
      </c>
      <c r="H955" s="5">
        <f>MEDIAN(-6,E955+(C955-F955)/MAX(F955-G955,0.000000001),6)</f>
        <v/>
      </c>
      <c r="I955" s="5">
        <f>SUMPRODUCT(('01_Data'!$B955:$AW955&lt;&gt;"")*(1/(1+EXP(-(H955-'03_Lap_b'!$B$10:$AW$10)))))</f>
        <v/>
      </c>
      <c r="J955" s="5">
        <f>SUMPRODUCT(('01_Data'!$B955:$AW955&lt;&gt;"")*(1/(1+EXP(-(H955-'03_Lap_b'!$B$10:$AW$10))))^2)</f>
        <v/>
      </c>
      <c r="K955" s="5">
        <f>MEDIAN(-6,H955+(C955-I955)/MAX(I955-J955,0.000000001),6)</f>
        <v/>
      </c>
      <c r="L955" s="5">
        <f>SUMPRODUCT(('01_Data'!$B955:$AW955&lt;&gt;"")*(1/(1+EXP(-(K955-'03_Lap_b'!$B$15:$AW$15)))))</f>
        <v/>
      </c>
      <c r="M955" s="5">
        <f>SUMPRODUCT(('01_Data'!$B955:$AW955&lt;&gt;"")*(1/(1+EXP(-(K955-'03_Lap_b'!$B$15:$AW$15))))^2)</f>
        <v/>
      </c>
      <c r="N955" s="5">
        <f>MEDIAN(-6,K955+(C955-L955)/MAX(L955-M955,0.000000001),6)</f>
        <v/>
      </c>
      <c r="O955" s="5">
        <f>SUMPRODUCT(('01_Data'!$B955:$AW955&lt;&gt;"")*(1/(1+EXP(-(N955-'03_Lap_b'!$B$20:$AW$20)))))</f>
        <v/>
      </c>
      <c r="P955" s="5">
        <f>SUMPRODUCT(('01_Data'!$B955:$AW955&lt;&gt;"")*(1/(1+EXP(-(N955-'03_Lap_b'!$B$20:$AW$20))))^2)</f>
        <v/>
      </c>
      <c r="Q955" s="5">
        <f>MEDIAN(-6,N955+(C955-O955)/MAX(O955-P955,0.000000001),6)</f>
        <v/>
      </c>
      <c r="R955" s="5">
        <f>SUMPRODUCT(('01_Data'!$B955:$AW955&lt;&gt;"")*(1/(1+EXP(-(Q955-'03_Lap_b'!$B$25:$AW$25)))))</f>
        <v/>
      </c>
      <c r="S955" s="5">
        <f>SUMPRODUCT(('01_Data'!$B955:$AW955&lt;&gt;"")*(1/(1+EXP(-(Q955-'03_Lap_b'!$B$25:$AW$25))))^2)</f>
        <v/>
      </c>
      <c r="T955" s="5">
        <f>MEDIAN(-6,Q955+(C955-R955)/MAX(R955-S955,0.000000001),6)</f>
        <v/>
      </c>
      <c r="U955" s="5">
        <f>SUMPRODUCT(('01_Data'!$B955:$AW955&lt;&gt;"")*(1/(1+EXP(-(T955-'03_Lap_b'!$B$30:$AW$30)))))</f>
        <v/>
      </c>
      <c r="V955" s="5">
        <f>SUMPRODUCT(('01_Data'!$B955:$AW955&lt;&gt;"")*(1/(1+EXP(-(T955-'03_Lap_b'!$B$30:$AW$30))))^2)</f>
        <v/>
      </c>
      <c r="W955" s="5">
        <f>MEDIAN(-6,T955+(C955-U955)/MAX(U955-V955,0.000000001),6)</f>
        <v/>
      </c>
      <c r="X955" s="5">
        <f>SUMPRODUCT(('01_Data'!$B955:$AW955&lt;&gt;"")*(1/(1+EXP(-(W955-'03_Lap_b'!$B$35:$AW$35)))))</f>
        <v/>
      </c>
      <c r="Y955" s="5">
        <f>SUMPRODUCT(('01_Data'!$B955:$AW955&lt;&gt;"")*(1/(1+EXP(-(W955-'03_Lap_b'!$B$35:$AW$35))))^2)</f>
        <v/>
      </c>
      <c r="Z955" s="5">
        <f>MEDIAN(-6,W955+(C955-X955)/MAX(X955-Y955,0.000000001),6)</f>
        <v/>
      </c>
      <c r="AA955" s="5">
        <f>SUMPRODUCT(('01_Data'!$B955:$AW955&lt;&gt;"")*(1/(1+EXP(-(Z955-'03_Lap_b'!$B$40:$AW$40)))))</f>
        <v/>
      </c>
      <c r="AB955" s="5">
        <f>SUMPRODUCT(('01_Data'!$B955:$AW955&lt;&gt;"")*(1/(1+EXP(-(Z955-'03_Lap_b'!$B$40:$AW$40))))^2)</f>
        <v/>
      </c>
      <c r="AC955" s="5">
        <f>MEDIAN(-6,Z955+(C955-AA955)/MAX(AA955-AB955,0.000000001),6)</f>
        <v/>
      </c>
    </row>
    <row r="956">
      <c r="A956" t="n">
        <v>955</v>
      </c>
      <c r="B956">
        <f>'01_Data'!A956</f>
        <v/>
      </c>
      <c r="C956">
        <f>SUM('01_Data'!$B956:$AW956)</f>
        <v/>
      </c>
      <c r="D956">
        <f>COUNT('01_Data'!$B956:$AW956)</f>
        <v/>
      </c>
      <c r="E956" s="5">
        <f>MEDIAN(-6,LN((C956+0.3)/(D956-C956+0.3)),6)</f>
        <v/>
      </c>
      <c r="F956" s="5">
        <f>SUMPRODUCT(('01_Data'!$B956:$AW956&lt;&gt;"")*(1/(1+EXP(-(E956-'03_Lap_b'!$B$5:$AW$5)))))</f>
        <v/>
      </c>
      <c r="G956" s="5">
        <f>SUMPRODUCT(('01_Data'!$B956:$AW956&lt;&gt;"")*(1/(1+EXP(-(E956-'03_Lap_b'!$B$5:$AW$5))))^2)</f>
        <v/>
      </c>
      <c r="H956" s="5">
        <f>MEDIAN(-6,E956+(C956-F956)/MAX(F956-G956,0.000000001),6)</f>
        <v/>
      </c>
      <c r="I956" s="5">
        <f>SUMPRODUCT(('01_Data'!$B956:$AW956&lt;&gt;"")*(1/(1+EXP(-(H956-'03_Lap_b'!$B$10:$AW$10)))))</f>
        <v/>
      </c>
      <c r="J956" s="5">
        <f>SUMPRODUCT(('01_Data'!$B956:$AW956&lt;&gt;"")*(1/(1+EXP(-(H956-'03_Lap_b'!$B$10:$AW$10))))^2)</f>
        <v/>
      </c>
      <c r="K956" s="5">
        <f>MEDIAN(-6,H956+(C956-I956)/MAX(I956-J956,0.000000001),6)</f>
        <v/>
      </c>
      <c r="L956" s="5">
        <f>SUMPRODUCT(('01_Data'!$B956:$AW956&lt;&gt;"")*(1/(1+EXP(-(K956-'03_Lap_b'!$B$15:$AW$15)))))</f>
        <v/>
      </c>
      <c r="M956" s="5">
        <f>SUMPRODUCT(('01_Data'!$B956:$AW956&lt;&gt;"")*(1/(1+EXP(-(K956-'03_Lap_b'!$B$15:$AW$15))))^2)</f>
        <v/>
      </c>
      <c r="N956" s="5">
        <f>MEDIAN(-6,K956+(C956-L956)/MAX(L956-M956,0.000000001),6)</f>
        <v/>
      </c>
      <c r="O956" s="5">
        <f>SUMPRODUCT(('01_Data'!$B956:$AW956&lt;&gt;"")*(1/(1+EXP(-(N956-'03_Lap_b'!$B$20:$AW$20)))))</f>
        <v/>
      </c>
      <c r="P956" s="5">
        <f>SUMPRODUCT(('01_Data'!$B956:$AW956&lt;&gt;"")*(1/(1+EXP(-(N956-'03_Lap_b'!$B$20:$AW$20))))^2)</f>
        <v/>
      </c>
      <c r="Q956" s="5">
        <f>MEDIAN(-6,N956+(C956-O956)/MAX(O956-P956,0.000000001),6)</f>
        <v/>
      </c>
      <c r="R956" s="5">
        <f>SUMPRODUCT(('01_Data'!$B956:$AW956&lt;&gt;"")*(1/(1+EXP(-(Q956-'03_Lap_b'!$B$25:$AW$25)))))</f>
        <v/>
      </c>
      <c r="S956" s="5">
        <f>SUMPRODUCT(('01_Data'!$B956:$AW956&lt;&gt;"")*(1/(1+EXP(-(Q956-'03_Lap_b'!$B$25:$AW$25))))^2)</f>
        <v/>
      </c>
      <c r="T956" s="5">
        <f>MEDIAN(-6,Q956+(C956-R956)/MAX(R956-S956,0.000000001),6)</f>
        <v/>
      </c>
      <c r="U956" s="5">
        <f>SUMPRODUCT(('01_Data'!$B956:$AW956&lt;&gt;"")*(1/(1+EXP(-(T956-'03_Lap_b'!$B$30:$AW$30)))))</f>
        <v/>
      </c>
      <c r="V956" s="5">
        <f>SUMPRODUCT(('01_Data'!$B956:$AW956&lt;&gt;"")*(1/(1+EXP(-(T956-'03_Lap_b'!$B$30:$AW$30))))^2)</f>
        <v/>
      </c>
      <c r="W956" s="5">
        <f>MEDIAN(-6,T956+(C956-U956)/MAX(U956-V956,0.000000001),6)</f>
        <v/>
      </c>
      <c r="X956" s="5">
        <f>SUMPRODUCT(('01_Data'!$B956:$AW956&lt;&gt;"")*(1/(1+EXP(-(W956-'03_Lap_b'!$B$35:$AW$35)))))</f>
        <v/>
      </c>
      <c r="Y956" s="5">
        <f>SUMPRODUCT(('01_Data'!$B956:$AW956&lt;&gt;"")*(1/(1+EXP(-(W956-'03_Lap_b'!$B$35:$AW$35))))^2)</f>
        <v/>
      </c>
      <c r="Z956" s="5">
        <f>MEDIAN(-6,W956+(C956-X956)/MAX(X956-Y956,0.000000001),6)</f>
        <v/>
      </c>
      <c r="AA956" s="5">
        <f>SUMPRODUCT(('01_Data'!$B956:$AW956&lt;&gt;"")*(1/(1+EXP(-(Z956-'03_Lap_b'!$B$40:$AW$40)))))</f>
        <v/>
      </c>
      <c r="AB956" s="5">
        <f>SUMPRODUCT(('01_Data'!$B956:$AW956&lt;&gt;"")*(1/(1+EXP(-(Z956-'03_Lap_b'!$B$40:$AW$40))))^2)</f>
        <v/>
      </c>
      <c r="AC956" s="5">
        <f>MEDIAN(-6,Z956+(C956-AA956)/MAX(AA956-AB956,0.000000001),6)</f>
        <v/>
      </c>
    </row>
    <row r="957">
      <c r="A957" t="n">
        <v>956</v>
      </c>
      <c r="B957">
        <f>'01_Data'!A957</f>
        <v/>
      </c>
      <c r="C957">
        <f>SUM('01_Data'!$B957:$AW957)</f>
        <v/>
      </c>
      <c r="D957">
        <f>COUNT('01_Data'!$B957:$AW957)</f>
        <v/>
      </c>
      <c r="E957" s="5">
        <f>MEDIAN(-6,LN((C957+0.3)/(D957-C957+0.3)),6)</f>
        <v/>
      </c>
      <c r="F957" s="5">
        <f>SUMPRODUCT(('01_Data'!$B957:$AW957&lt;&gt;"")*(1/(1+EXP(-(E957-'03_Lap_b'!$B$5:$AW$5)))))</f>
        <v/>
      </c>
      <c r="G957" s="5">
        <f>SUMPRODUCT(('01_Data'!$B957:$AW957&lt;&gt;"")*(1/(1+EXP(-(E957-'03_Lap_b'!$B$5:$AW$5))))^2)</f>
        <v/>
      </c>
      <c r="H957" s="5">
        <f>MEDIAN(-6,E957+(C957-F957)/MAX(F957-G957,0.000000001),6)</f>
        <v/>
      </c>
      <c r="I957" s="5">
        <f>SUMPRODUCT(('01_Data'!$B957:$AW957&lt;&gt;"")*(1/(1+EXP(-(H957-'03_Lap_b'!$B$10:$AW$10)))))</f>
        <v/>
      </c>
      <c r="J957" s="5">
        <f>SUMPRODUCT(('01_Data'!$B957:$AW957&lt;&gt;"")*(1/(1+EXP(-(H957-'03_Lap_b'!$B$10:$AW$10))))^2)</f>
        <v/>
      </c>
      <c r="K957" s="5">
        <f>MEDIAN(-6,H957+(C957-I957)/MAX(I957-J957,0.000000001),6)</f>
        <v/>
      </c>
      <c r="L957" s="5">
        <f>SUMPRODUCT(('01_Data'!$B957:$AW957&lt;&gt;"")*(1/(1+EXP(-(K957-'03_Lap_b'!$B$15:$AW$15)))))</f>
        <v/>
      </c>
      <c r="M957" s="5">
        <f>SUMPRODUCT(('01_Data'!$B957:$AW957&lt;&gt;"")*(1/(1+EXP(-(K957-'03_Lap_b'!$B$15:$AW$15))))^2)</f>
        <v/>
      </c>
      <c r="N957" s="5">
        <f>MEDIAN(-6,K957+(C957-L957)/MAX(L957-M957,0.000000001),6)</f>
        <v/>
      </c>
      <c r="O957" s="5">
        <f>SUMPRODUCT(('01_Data'!$B957:$AW957&lt;&gt;"")*(1/(1+EXP(-(N957-'03_Lap_b'!$B$20:$AW$20)))))</f>
        <v/>
      </c>
      <c r="P957" s="5">
        <f>SUMPRODUCT(('01_Data'!$B957:$AW957&lt;&gt;"")*(1/(1+EXP(-(N957-'03_Lap_b'!$B$20:$AW$20))))^2)</f>
        <v/>
      </c>
      <c r="Q957" s="5">
        <f>MEDIAN(-6,N957+(C957-O957)/MAX(O957-P957,0.000000001),6)</f>
        <v/>
      </c>
      <c r="R957" s="5">
        <f>SUMPRODUCT(('01_Data'!$B957:$AW957&lt;&gt;"")*(1/(1+EXP(-(Q957-'03_Lap_b'!$B$25:$AW$25)))))</f>
        <v/>
      </c>
      <c r="S957" s="5">
        <f>SUMPRODUCT(('01_Data'!$B957:$AW957&lt;&gt;"")*(1/(1+EXP(-(Q957-'03_Lap_b'!$B$25:$AW$25))))^2)</f>
        <v/>
      </c>
      <c r="T957" s="5">
        <f>MEDIAN(-6,Q957+(C957-R957)/MAX(R957-S957,0.000000001),6)</f>
        <v/>
      </c>
      <c r="U957" s="5">
        <f>SUMPRODUCT(('01_Data'!$B957:$AW957&lt;&gt;"")*(1/(1+EXP(-(T957-'03_Lap_b'!$B$30:$AW$30)))))</f>
        <v/>
      </c>
      <c r="V957" s="5">
        <f>SUMPRODUCT(('01_Data'!$B957:$AW957&lt;&gt;"")*(1/(1+EXP(-(T957-'03_Lap_b'!$B$30:$AW$30))))^2)</f>
        <v/>
      </c>
      <c r="W957" s="5">
        <f>MEDIAN(-6,T957+(C957-U957)/MAX(U957-V957,0.000000001),6)</f>
        <v/>
      </c>
      <c r="X957" s="5">
        <f>SUMPRODUCT(('01_Data'!$B957:$AW957&lt;&gt;"")*(1/(1+EXP(-(W957-'03_Lap_b'!$B$35:$AW$35)))))</f>
        <v/>
      </c>
      <c r="Y957" s="5">
        <f>SUMPRODUCT(('01_Data'!$B957:$AW957&lt;&gt;"")*(1/(1+EXP(-(W957-'03_Lap_b'!$B$35:$AW$35))))^2)</f>
        <v/>
      </c>
      <c r="Z957" s="5">
        <f>MEDIAN(-6,W957+(C957-X957)/MAX(X957-Y957,0.000000001),6)</f>
        <v/>
      </c>
      <c r="AA957" s="5">
        <f>SUMPRODUCT(('01_Data'!$B957:$AW957&lt;&gt;"")*(1/(1+EXP(-(Z957-'03_Lap_b'!$B$40:$AW$40)))))</f>
        <v/>
      </c>
      <c r="AB957" s="5">
        <f>SUMPRODUCT(('01_Data'!$B957:$AW957&lt;&gt;"")*(1/(1+EXP(-(Z957-'03_Lap_b'!$B$40:$AW$40))))^2)</f>
        <v/>
      </c>
      <c r="AC957" s="5">
        <f>MEDIAN(-6,Z957+(C957-AA957)/MAX(AA957-AB957,0.000000001),6)</f>
        <v/>
      </c>
    </row>
    <row r="958">
      <c r="A958" t="n">
        <v>957</v>
      </c>
      <c r="B958">
        <f>'01_Data'!A958</f>
        <v/>
      </c>
      <c r="C958">
        <f>SUM('01_Data'!$B958:$AW958)</f>
        <v/>
      </c>
      <c r="D958">
        <f>COUNT('01_Data'!$B958:$AW958)</f>
        <v/>
      </c>
      <c r="E958" s="5">
        <f>MEDIAN(-6,LN((C958+0.3)/(D958-C958+0.3)),6)</f>
        <v/>
      </c>
      <c r="F958" s="5">
        <f>SUMPRODUCT(('01_Data'!$B958:$AW958&lt;&gt;"")*(1/(1+EXP(-(E958-'03_Lap_b'!$B$5:$AW$5)))))</f>
        <v/>
      </c>
      <c r="G958" s="5">
        <f>SUMPRODUCT(('01_Data'!$B958:$AW958&lt;&gt;"")*(1/(1+EXP(-(E958-'03_Lap_b'!$B$5:$AW$5))))^2)</f>
        <v/>
      </c>
      <c r="H958" s="5">
        <f>MEDIAN(-6,E958+(C958-F958)/MAX(F958-G958,0.000000001),6)</f>
        <v/>
      </c>
      <c r="I958" s="5">
        <f>SUMPRODUCT(('01_Data'!$B958:$AW958&lt;&gt;"")*(1/(1+EXP(-(H958-'03_Lap_b'!$B$10:$AW$10)))))</f>
        <v/>
      </c>
      <c r="J958" s="5">
        <f>SUMPRODUCT(('01_Data'!$B958:$AW958&lt;&gt;"")*(1/(1+EXP(-(H958-'03_Lap_b'!$B$10:$AW$10))))^2)</f>
        <v/>
      </c>
      <c r="K958" s="5">
        <f>MEDIAN(-6,H958+(C958-I958)/MAX(I958-J958,0.000000001),6)</f>
        <v/>
      </c>
      <c r="L958" s="5">
        <f>SUMPRODUCT(('01_Data'!$B958:$AW958&lt;&gt;"")*(1/(1+EXP(-(K958-'03_Lap_b'!$B$15:$AW$15)))))</f>
        <v/>
      </c>
      <c r="M958" s="5">
        <f>SUMPRODUCT(('01_Data'!$B958:$AW958&lt;&gt;"")*(1/(1+EXP(-(K958-'03_Lap_b'!$B$15:$AW$15))))^2)</f>
        <v/>
      </c>
      <c r="N958" s="5">
        <f>MEDIAN(-6,K958+(C958-L958)/MAX(L958-M958,0.000000001),6)</f>
        <v/>
      </c>
      <c r="O958" s="5">
        <f>SUMPRODUCT(('01_Data'!$B958:$AW958&lt;&gt;"")*(1/(1+EXP(-(N958-'03_Lap_b'!$B$20:$AW$20)))))</f>
        <v/>
      </c>
      <c r="P958" s="5">
        <f>SUMPRODUCT(('01_Data'!$B958:$AW958&lt;&gt;"")*(1/(1+EXP(-(N958-'03_Lap_b'!$B$20:$AW$20))))^2)</f>
        <v/>
      </c>
      <c r="Q958" s="5">
        <f>MEDIAN(-6,N958+(C958-O958)/MAX(O958-P958,0.000000001),6)</f>
        <v/>
      </c>
      <c r="R958" s="5">
        <f>SUMPRODUCT(('01_Data'!$B958:$AW958&lt;&gt;"")*(1/(1+EXP(-(Q958-'03_Lap_b'!$B$25:$AW$25)))))</f>
        <v/>
      </c>
      <c r="S958" s="5">
        <f>SUMPRODUCT(('01_Data'!$B958:$AW958&lt;&gt;"")*(1/(1+EXP(-(Q958-'03_Lap_b'!$B$25:$AW$25))))^2)</f>
        <v/>
      </c>
      <c r="T958" s="5">
        <f>MEDIAN(-6,Q958+(C958-R958)/MAX(R958-S958,0.000000001),6)</f>
        <v/>
      </c>
      <c r="U958" s="5">
        <f>SUMPRODUCT(('01_Data'!$B958:$AW958&lt;&gt;"")*(1/(1+EXP(-(T958-'03_Lap_b'!$B$30:$AW$30)))))</f>
        <v/>
      </c>
      <c r="V958" s="5">
        <f>SUMPRODUCT(('01_Data'!$B958:$AW958&lt;&gt;"")*(1/(1+EXP(-(T958-'03_Lap_b'!$B$30:$AW$30))))^2)</f>
        <v/>
      </c>
      <c r="W958" s="5">
        <f>MEDIAN(-6,T958+(C958-U958)/MAX(U958-V958,0.000000001),6)</f>
        <v/>
      </c>
      <c r="X958" s="5">
        <f>SUMPRODUCT(('01_Data'!$B958:$AW958&lt;&gt;"")*(1/(1+EXP(-(W958-'03_Lap_b'!$B$35:$AW$35)))))</f>
        <v/>
      </c>
      <c r="Y958" s="5">
        <f>SUMPRODUCT(('01_Data'!$B958:$AW958&lt;&gt;"")*(1/(1+EXP(-(W958-'03_Lap_b'!$B$35:$AW$35))))^2)</f>
        <v/>
      </c>
      <c r="Z958" s="5">
        <f>MEDIAN(-6,W958+(C958-X958)/MAX(X958-Y958,0.000000001),6)</f>
        <v/>
      </c>
      <c r="AA958" s="5">
        <f>SUMPRODUCT(('01_Data'!$B958:$AW958&lt;&gt;"")*(1/(1+EXP(-(Z958-'03_Lap_b'!$B$40:$AW$40)))))</f>
        <v/>
      </c>
      <c r="AB958" s="5">
        <f>SUMPRODUCT(('01_Data'!$B958:$AW958&lt;&gt;"")*(1/(1+EXP(-(Z958-'03_Lap_b'!$B$40:$AW$40))))^2)</f>
        <v/>
      </c>
      <c r="AC958" s="5">
        <f>MEDIAN(-6,Z958+(C958-AA958)/MAX(AA958-AB958,0.000000001),6)</f>
        <v/>
      </c>
    </row>
    <row r="959">
      <c r="A959" t="n">
        <v>958</v>
      </c>
      <c r="B959">
        <f>'01_Data'!A959</f>
        <v/>
      </c>
      <c r="C959">
        <f>SUM('01_Data'!$B959:$AW959)</f>
        <v/>
      </c>
      <c r="D959">
        <f>COUNT('01_Data'!$B959:$AW959)</f>
        <v/>
      </c>
      <c r="E959" s="5">
        <f>MEDIAN(-6,LN((C959+0.3)/(D959-C959+0.3)),6)</f>
        <v/>
      </c>
      <c r="F959" s="5">
        <f>SUMPRODUCT(('01_Data'!$B959:$AW959&lt;&gt;"")*(1/(1+EXP(-(E959-'03_Lap_b'!$B$5:$AW$5)))))</f>
        <v/>
      </c>
      <c r="G959" s="5">
        <f>SUMPRODUCT(('01_Data'!$B959:$AW959&lt;&gt;"")*(1/(1+EXP(-(E959-'03_Lap_b'!$B$5:$AW$5))))^2)</f>
        <v/>
      </c>
      <c r="H959" s="5">
        <f>MEDIAN(-6,E959+(C959-F959)/MAX(F959-G959,0.000000001),6)</f>
        <v/>
      </c>
      <c r="I959" s="5">
        <f>SUMPRODUCT(('01_Data'!$B959:$AW959&lt;&gt;"")*(1/(1+EXP(-(H959-'03_Lap_b'!$B$10:$AW$10)))))</f>
        <v/>
      </c>
      <c r="J959" s="5">
        <f>SUMPRODUCT(('01_Data'!$B959:$AW959&lt;&gt;"")*(1/(1+EXP(-(H959-'03_Lap_b'!$B$10:$AW$10))))^2)</f>
        <v/>
      </c>
      <c r="K959" s="5">
        <f>MEDIAN(-6,H959+(C959-I959)/MAX(I959-J959,0.000000001),6)</f>
        <v/>
      </c>
      <c r="L959" s="5">
        <f>SUMPRODUCT(('01_Data'!$B959:$AW959&lt;&gt;"")*(1/(1+EXP(-(K959-'03_Lap_b'!$B$15:$AW$15)))))</f>
        <v/>
      </c>
      <c r="M959" s="5">
        <f>SUMPRODUCT(('01_Data'!$B959:$AW959&lt;&gt;"")*(1/(1+EXP(-(K959-'03_Lap_b'!$B$15:$AW$15))))^2)</f>
        <v/>
      </c>
      <c r="N959" s="5">
        <f>MEDIAN(-6,K959+(C959-L959)/MAX(L959-M959,0.000000001),6)</f>
        <v/>
      </c>
      <c r="O959" s="5">
        <f>SUMPRODUCT(('01_Data'!$B959:$AW959&lt;&gt;"")*(1/(1+EXP(-(N959-'03_Lap_b'!$B$20:$AW$20)))))</f>
        <v/>
      </c>
      <c r="P959" s="5">
        <f>SUMPRODUCT(('01_Data'!$B959:$AW959&lt;&gt;"")*(1/(1+EXP(-(N959-'03_Lap_b'!$B$20:$AW$20))))^2)</f>
        <v/>
      </c>
      <c r="Q959" s="5">
        <f>MEDIAN(-6,N959+(C959-O959)/MAX(O959-P959,0.000000001),6)</f>
        <v/>
      </c>
      <c r="R959" s="5">
        <f>SUMPRODUCT(('01_Data'!$B959:$AW959&lt;&gt;"")*(1/(1+EXP(-(Q959-'03_Lap_b'!$B$25:$AW$25)))))</f>
        <v/>
      </c>
      <c r="S959" s="5">
        <f>SUMPRODUCT(('01_Data'!$B959:$AW959&lt;&gt;"")*(1/(1+EXP(-(Q959-'03_Lap_b'!$B$25:$AW$25))))^2)</f>
        <v/>
      </c>
      <c r="T959" s="5">
        <f>MEDIAN(-6,Q959+(C959-R959)/MAX(R959-S959,0.000000001),6)</f>
        <v/>
      </c>
      <c r="U959" s="5">
        <f>SUMPRODUCT(('01_Data'!$B959:$AW959&lt;&gt;"")*(1/(1+EXP(-(T959-'03_Lap_b'!$B$30:$AW$30)))))</f>
        <v/>
      </c>
      <c r="V959" s="5">
        <f>SUMPRODUCT(('01_Data'!$B959:$AW959&lt;&gt;"")*(1/(1+EXP(-(T959-'03_Lap_b'!$B$30:$AW$30))))^2)</f>
        <v/>
      </c>
      <c r="W959" s="5">
        <f>MEDIAN(-6,T959+(C959-U959)/MAX(U959-V959,0.000000001),6)</f>
        <v/>
      </c>
      <c r="X959" s="5">
        <f>SUMPRODUCT(('01_Data'!$B959:$AW959&lt;&gt;"")*(1/(1+EXP(-(W959-'03_Lap_b'!$B$35:$AW$35)))))</f>
        <v/>
      </c>
      <c r="Y959" s="5">
        <f>SUMPRODUCT(('01_Data'!$B959:$AW959&lt;&gt;"")*(1/(1+EXP(-(W959-'03_Lap_b'!$B$35:$AW$35))))^2)</f>
        <v/>
      </c>
      <c r="Z959" s="5">
        <f>MEDIAN(-6,W959+(C959-X959)/MAX(X959-Y959,0.000000001),6)</f>
        <v/>
      </c>
      <c r="AA959" s="5">
        <f>SUMPRODUCT(('01_Data'!$B959:$AW959&lt;&gt;"")*(1/(1+EXP(-(Z959-'03_Lap_b'!$B$40:$AW$40)))))</f>
        <v/>
      </c>
      <c r="AB959" s="5">
        <f>SUMPRODUCT(('01_Data'!$B959:$AW959&lt;&gt;"")*(1/(1+EXP(-(Z959-'03_Lap_b'!$B$40:$AW$40))))^2)</f>
        <v/>
      </c>
      <c r="AC959" s="5">
        <f>MEDIAN(-6,Z959+(C959-AA959)/MAX(AA959-AB959,0.000000001),6)</f>
        <v/>
      </c>
    </row>
    <row r="960">
      <c r="A960" t="n">
        <v>959</v>
      </c>
      <c r="B960">
        <f>'01_Data'!A960</f>
        <v/>
      </c>
      <c r="C960">
        <f>SUM('01_Data'!$B960:$AW960)</f>
        <v/>
      </c>
      <c r="D960">
        <f>COUNT('01_Data'!$B960:$AW960)</f>
        <v/>
      </c>
      <c r="E960" s="5">
        <f>MEDIAN(-6,LN((C960+0.3)/(D960-C960+0.3)),6)</f>
        <v/>
      </c>
      <c r="F960" s="5">
        <f>SUMPRODUCT(('01_Data'!$B960:$AW960&lt;&gt;"")*(1/(1+EXP(-(E960-'03_Lap_b'!$B$5:$AW$5)))))</f>
        <v/>
      </c>
      <c r="G960" s="5">
        <f>SUMPRODUCT(('01_Data'!$B960:$AW960&lt;&gt;"")*(1/(1+EXP(-(E960-'03_Lap_b'!$B$5:$AW$5))))^2)</f>
        <v/>
      </c>
      <c r="H960" s="5">
        <f>MEDIAN(-6,E960+(C960-F960)/MAX(F960-G960,0.000000001),6)</f>
        <v/>
      </c>
      <c r="I960" s="5">
        <f>SUMPRODUCT(('01_Data'!$B960:$AW960&lt;&gt;"")*(1/(1+EXP(-(H960-'03_Lap_b'!$B$10:$AW$10)))))</f>
        <v/>
      </c>
      <c r="J960" s="5">
        <f>SUMPRODUCT(('01_Data'!$B960:$AW960&lt;&gt;"")*(1/(1+EXP(-(H960-'03_Lap_b'!$B$10:$AW$10))))^2)</f>
        <v/>
      </c>
      <c r="K960" s="5">
        <f>MEDIAN(-6,H960+(C960-I960)/MAX(I960-J960,0.000000001),6)</f>
        <v/>
      </c>
      <c r="L960" s="5">
        <f>SUMPRODUCT(('01_Data'!$B960:$AW960&lt;&gt;"")*(1/(1+EXP(-(K960-'03_Lap_b'!$B$15:$AW$15)))))</f>
        <v/>
      </c>
      <c r="M960" s="5">
        <f>SUMPRODUCT(('01_Data'!$B960:$AW960&lt;&gt;"")*(1/(1+EXP(-(K960-'03_Lap_b'!$B$15:$AW$15))))^2)</f>
        <v/>
      </c>
      <c r="N960" s="5">
        <f>MEDIAN(-6,K960+(C960-L960)/MAX(L960-M960,0.000000001),6)</f>
        <v/>
      </c>
      <c r="O960" s="5">
        <f>SUMPRODUCT(('01_Data'!$B960:$AW960&lt;&gt;"")*(1/(1+EXP(-(N960-'03_Lap_b'!$B$20:$AW$20)))))</f>
        <v/>
      </c>
      <c r="P960" s="5">
        <f>SUMPRODUCT(('01_Data'!$B960:$AW960&lt;&gt;"")*(1/(1+EXP(-(N960-'03_Lap_b'!$B$20:$AW$20))))^2)</f>
        <v/>
      </c>
      <c r="Q960" s="5">
        <f>MEDIAN(-6,N960+(C960-O960)/MAX(O960-P960,0.000000001),6)</f>
        <v/>
      </c>
      <c r="R960" s="5">
        <f>SUMPRODUCT(('01_Data'!$B960:$AW960&lt;&gt;"")*(1/(1+EXP(-(Q960-'03_Lap_b'!$B$25:$AW$25)))))</f>
        <v/>
      </c>
      <c r="S960" s="5">
        <f>SUMPRODUCT(('01_Data'!$B960:$AW960&lt;&gt;"")*(1/(1+EXP(-(Q960-'03_Lap_b'!$B$25:$AW$25))))^2)</f>
        <v/>
      </c>
      <c r="T960" s="5">
        <f>MEDIAN(-6,Q960+(C960-R960)/MAX(R960-S960,0.000000001),6)</f>
        <v/>
      </c>
      <c r="U960" s="5">
        <f>SUMPRODUCT(('01_Data'!$B960:$AW960&lt;&gt;"")*(1/(1+EXP(-(T960-'03_Lap_b'!$B$30:$AW$30)))))</f>
        <v/>
      </c>
      <c r="V960" s="5">
        <f>SUMPRODUCT(('01_Data'!$B960:$AW960&lt;&gt;"")*(1/(1+EXP(-(T960-'03_Lap_b'!$B$30:$AW$30))))^2)</f>
        <v/>
      </c>
      <c r="W960" s="5">
        <f>MEDIAN(-6,T960+(C960-U960)/MAX(U960-V960,0.000000001),6)</f>
        <v/>
      </c>
      <c r="X960" s="5">
        <f>SUMPRODUCT(('01_Data'!$B960:$AW960&lt;&gt;"")*(1/(1+EXP(-(W960-'03_Lap_b'!$B$35:$AW$35)))))</f>
        <v/>
      </c>
      <c r="Y960" s="5">
        <f>SUMPRODUCT(('01_Data'!$B960:$AW960&lt;&gt;"")*(1/(1+EXP(-(W960-'03_Lap_b'!$B$35:$AW$35))))^2)</f>
        <v/>
      </c>
      <c r="Z960" s="5">
        <f>MEDIAN(-6,W960+(C960-X960)/MAX(X960-Y960,0.000000001),6)</f>
        <v/>
      </c>
      <c r="AA960" s="5">
        <f>SUMPRODUCT(('01_Data'!$B960:$AW960&lt;&gt;"")*(1/(1+EXP(-(Z960-'03_Lap_b'!$B$40:$AW$40)))))</f>
        <v/>
      </c>
      <c r="AB960" s="5">
        <f>SUMPRODUCT(('01_Data'!$B960:$AW960&lt;&gt;"")*(1/(1+EXP(-(Z960-'03_Lap_b'!$B$40:$AW$40))))^2)</f>
        <v/>
      </c>
      <c r="AC960" s="5">
        <f>MEDIAN(-6,Z960+(C960-AA960)/MAX(AA960-AB960,0.000000001),6)</f>
        <v/>
      </c>
    </row>
    <row r="961">
      <c r="A961" t="n">
        <v>960</v>
      </c>
      <c r="B961">
        <f>'01_Data'!A961</f>
        <v/>
      </c>
      <c r="C961">
        <f>SUM('01_Data'!$B961:$AW961)</f>
        <v/>
      </c>
      <c r="D961">
        <f>COUNT('01_Data'!$B961:$AW961)</f>
        <v/>
      </c>
      <c r="E961" s="5">
        <f>MEDIAN(-6,LN((C961+0.3)/(D961-C961+0.3)),6)</f>
        <v/>
      </c>
      <c r="F961" s="5">
        <f>SUMPRODUCT(('01_Data'!$B961:$AW961&lt;&gt;"")*(1/(1+EXP(-(E961-'03_Lap_b'!$B$5:$AW$5)))))</f>
        <v/>
      </c>
      <c r="G961" s="5">
        <f>SUMPRODUCT(('01_Data'!$B961:$AW961&lt;&gt;"")*(1/(1+EXP(-(E961-'03_Lap_b'!$B$5:$AW$5))))^2)</f>
        <v/>
      </c>
      <c r="H961" s="5">
        <f>MEDIAN(-6,E961+(C961-F961)/MAX(F961-G961,0.000000001),6)</f>
        <v/>
      </c>
      <c r="I961" s="5">
        <f>SUMPRODUCT(('01_Data'!$B961:$AW961&lt;&gt;"")*(1/(1+EXP(-(H961-'03_Lap_b'!$B$10:$AW$10)))))</f>
        <v/>
      </c>
      <c r="J961" s="5">
        <f>SUMPRODUCT(('01_Data'!$B961:$AW961&lt;&gt;"")*(1/(1+EXP(-(H961-'03_Lap_b'!$B$10:$AW$10))))^2)</f>
        <v/>
      </c>
      <c r="K961" s="5">
        <f>MEDIAN(-6,H961+(C961-I961)/MAX(I961-J961,0.000000001),6)</f>
        <v/>
      </c>
      <c r="L961" s="5">
        <f>SUMPRODUCT(('01_Data'!$B961:$AW961&lt;&gt;"")*(1/(1+EXP(-(K961-'03_Lap_b'!$B$15:$AW$15)))))</f>
        <v/>
      </c>
      <c r="M961" s="5">
        <f>SUMPRODUCT(('01_Data'!$B961:$AW961&lt;&gt;"")*(1/(1+EXP(-(K961-'03_Lap_b'!$B$15:$AW$15))))^2)</f>
        <v/>
      </c>
      <c r="N961" s="5">
        <f>MEDIAN(-6,K961+(C961-L961)/MAX(L961-M961,0.000000001),6)</f>
        <v/>
      </c>
      <c r="O961" s="5">
        <f>SUMPRODUCT(('01_Data'!$B961:$AW961&lt;&gt;"")*(1/(1+EXP(-(N961-'03_Lap_b'!$B$20:$AW$20)))))</f>
        <v/>
      </c>
      <c r="P961" s="5">
        <f>SUMPRODUCT(('01_Data'!$B961:$AW961&lt;&gt;"")*(1/(1+EXP(-(N961-'03_Lap_b'!$B$20:$AW$20))))^2)</f>
        <v/>
      </c>
      <c r="Q961" s="5">
        <f>MEDIAN(-6,N961+(C961-O961)/MAX(O961-P961,0.000000001),6)</f>
        <v/>
      </c>
      <c r="R961" s="5">
        <f>SUMPRODUCT(('01_Data'!$B961:$AW961&lt;&gt;"")*(1/(1+EXP(-(Q961-'03_Lap_b'!$B$25:$AW$25)))))</f>
        <v/>
      </c>
      <c r="S961" s="5">
        <f>SUMPRODUCT(('01_Data'!$B961:$AW961&lt;&gt;"")*(1/(1+EXP(-(Q961-'03_Lap_b'!$B$25:$AW$25))))^2)</f>
        <v/>
      </c>
      <c r="T961" s="5">
        <f>MEDIAN(-6,Q961+(C961-R961)/MAX(R961-S961,0.000000001),6)</f>
        <v/>
      </c>
      <c r="U961" s="5">
        <f>SUMPRODUCT(('01_Data'!$B961:$AW961&lt;&gt;"")*(1/(1+EXP(-(T961-'03_Lap_b'!$B$30:$AW$30)))))</f>
        <v/>
      </c>
      <c r="V961" s="5">
        <f>SUMPRODUCT(('01_Data'!$B961:$AW961&lt;&gt;"")*(1/(1+EXP(-(T961-'03_Lap_b'!$B$30:$AW$30))))^2)</f>
        <v/>
      </c>
      <c r="W961" s="5">
        <f>MEDIAN(-6,T961+(C961-U961)/MAX(U961-V961,0.000000001),6)</f>
        <v/>
      </c>
      <c r="X961" s="5">
        <f>SUMPRODUCT(('01_Data'!$B961:$AW961&lt;&gt;"")*(1/(1+EXP(-(W961-'03_Lap_b'!$B$35:$AW$35)))))</f>
        <v/>
      </c>
      <c r="Y961" s="5">
        <f>SUMPRODUCT(('01_Data'!$B961:$AW961&lt;&gt;"")*(1/(1+EXP(-(W961-'03_Lap_b'!$B$35:$AW$35))))^2)</f>
        <v/>
      </c>
      <c r="Z961" s="5">
        <f>MEDIAN(-6,W961+(C961-X961)/MAX(X961-Y961,0.000000001),6)</f>
        <v/>
      </c>
      <c r="AA961" s="5">
        <f>SUMPRODUCT(('01_Data'!$B961:$AW961&lt;&gt;"")*(1/(1+EXP(-(Z961-'03_Lap_b'!$B$40:$AW$40)))))</f>
        <v/>
      </c>
      <c r="AB961" s="5">
        <f>SUMPRODUCT(('01_Data'!$B961:$AW961&lt;&gt;"")*(1/(1+EXP(-(Z961-'03_Lap_b'!$B$40:$AW$40))))^2)</f>
        <v/>
      </c>
      <c r="AC961" s="5">
        <f>MEDIAN(-6,Z961+(C961-AA961)/MAX(AA961-AB961,0.000000001),6)</f>
        <v/>
      </c>
    </row>
    <row r="962">
      <c r="A962" t="n">
        <v>961</v>
      </c>
      <c r="B962">
        <f>'01_Data'!A962</f>
        <v/>
      </c>
      <c r="C962">
        <f>SUM('01_Data'!$B962:$AW962)</f>
        <v/>
      </c>
      <c r="D962">
        <f>COUNT('01_Data'!$B962:$AW962)</f>
        <v/>
      </c>
      <c r="E962" s="5">
        <f>MEDIAN(-6,LN((C962+0.3)/(D962-C962+0.3)),6)</f>
        <v/>
      </c>
      <c r="F962" s="5">
        <f>SUMPRODUCT(('01_Data'!$B962:$AW962&lt;&gt;"")*(1/(1+EXP(-(E962-'03_Lap_b'!$B$5:$AW$5)))))</f>
        <v/>
      </c>
      <c r="G962" s="5">
        <f>SUMPRODUCT(('01_Data'!$B962:$AW962&lt;&gt;"")*(1/(1+EXP(-(E962-'03_Lap_b'!$B$5:$AW$5))))^2)</f>
        <v/>
      </c>
      <c r="H962" s="5">
        <f>MEDIAN(-6,E962+(C962-F962)/MAX(F962-G962,0.000000001),6)</f>
        <v/>
      </c>
      <c r="I962" s="5">
        <f>SUMPRODUCT(('01_Data'!$B962:$AW962&lt;&gt;"")*(1/(1+EXP(-(H962-'03_Lap_b'!$B$10:$AW$10)))))</f>
        <v/>
      </c>
      <c r="J962" s="5">
        <f>SUMPRODUCT(('01_Data'!$B962:$AW962&lt;&gt;"")*(1/(1+EXP(-(H962-'03_Lap_b'!$B$10:$AW$10))))^2)</f>
        <v/>
      </c>
      <c r="K962" s="5">
        <f>MEDIAN(-6,H962+(C962-I962)/MAX(I962-J962,0.000000001),6)</f>
        <v/>
      </c>
      <c r="L962" s="5">
        <f>SUMPRODUCT(('01_Data'!$B962:$AW962&lt;&gt;"")*(1/(1+EXP(-(K962-'03_Lap_b'!$B$15:$AW$15)))))</f>
        <v/>
      </c>
      <c r="M962" s="5">
        <f>SUMPRODUCT(('01_Data'!$B962:$AW962&lt;&gt;"")*(1/(1+EXP(-(K962-'03_Lap_b'!$B$15:$AW$15))))^2)</f>
        <v/>
      </c>
      <c r="N962" s="5">
        <f>MEDIAN(-6,K962+(C962-L962)/MAX(L962-M962,0.000000001),6)</f>
        <v/>
      </c>
      <c r="O962" s="5">
        <f>SUMPRODUCT(('01_Data'!$B962:$AW962&lt;&gt;"")*(1/(1+EXP(-(N962-'03_Lap_b'!$B$20:$AW$20)))))</f>
        <v/>
      </c>
      <c r="P962" s="5">
        <f>SUMPRODUCT(('01_Data'!$B962:$AW962&lt;&gt;"")*(1/(1+EXP(-(N962-'03_Lap_b'!$B$20:$AW$20))))^2)</f>
        <v/>
      </c>
      <c r="Q962" s="5">
        <f>MEDIAN(-6,N962+(C962-O962)/MAX(O962-P962,0.000000001),6)</f>
        <v/>
      </c>
      <c r="R962" s="5">
        <f>SUMPRODUCT(('01_Data'!$B962:$AW962&lt;&gt;"")*(1/(1+EXP(-(Q962-'03_Lap_b'!$B$25:$AW$25)))))</f>
        <v/>
      </c>
      <c r="S962" s="5">
        <f>SUMPRODUCT(('01_Data'!$B962:$AW962&lt;&gt;"")*(1/(1+EXP(-(Q962-'03_Lap_b'!$B$25:$AW$25))))^2)</f>
        <v/>
      </c>
      <c r="T962" s="5">
        <f>MEDIAN(-6,Q962+(C962-R962)/MAX(R962-S962,0.000000001),6)</f>
        <v/>
      </c>
      <c r="U962" s="5">
        <f>SUMPRODUCT(('01_Data'!$B962:$AW962&lt;&gt;"")*(1/(1+EXP(-(T962-'03_Lap_b'!$B$30:$AW$30)))))</f>
        <v/>
      </c>
      <c r="V962" s="5">
        <f>SUMPRODUCT(('01_Data'!$B962:$AW962&lt;&gt;"")*(1/(1+EXP(-(T962-'03_Lap_b'!$B$30:$AW$30))))^2)</f>
        <v/>
      </c>
      <c r="W962" s="5">
        <f>MEDIAN(-6,T962+(C962-U962)/MAX(U962-V962,0.000000001),6)</f>
        <v/>
      </c>
      <c r="X962" s="5">
        <f>SUMPRODUCT(('01_Data'!$B962:$AW962&lt;&gt;"")*(1/(1+EXP(-(W962-'03_Lap_b'!$B$35:$AW$35)))))</f>
        <v/>
      </c>
      <c r="Y962" s="5">
        <f>SUMPRODUCT(('01_Data'!$B962:$AW962&lt;&gt;"")*(1/(1+EXP(-(W962-'03_Lap_b'!$B$35:$AW$35))))^2)</f>
        <v/>
      </c>
      <c r="Z962" s="5">
        <f>MEDIAN(-6,W962+(C962-X962)/MAX(X962-Y962,0.000000001),6)</f>
        <v/>
      </c>
      <c r="AA962" s="5">
        <f>SUMPRODUCT(('01_Data'!$B962:$AW962&lt;&gt;"")*(1/(1+EXP(-(Z962-'03_Lap_b'!$B$40:$AW$40)))))</f>
        <v/>
      </c>
      <c r="AB962" s="5">
        <f>SUMPRODUCT(('01_Data'!$B962:$AW962&lt;&gt;"")*(1/(1+EXP(-(Z962-'03_Lap_b'!$B$40:$AW$40))))^2)</f>
        <v/>
      </c>
      <c r="AC962" s="5">
        <f>MEDIAN(-6,Z962+(C962-AA962)/MAX(AA962-AB962,0.000000001),6)</f>
        <v/>
      </c>
    </row>
    <row r="963">
      <c r="A963" t="n">
        <v>962</v>
      </c>
      <c r="B963">
        <f>'01_Data'!A963</f>
        <v/>
      </c>
      <c r="C963">
        <f>SUM('01_Data'!$B963:$AW963)</f>
        <v/>
      </c>
      <c r="D963">
        <f>COUNT('01_Data'!$B963:$AW963)</f>
        <v/>
      </c>
      <c r="E963" s="5">
        <f>MEDIAN(-6,LN((C963+0.3)/(D963-C963+0.3)),6)</f>
        <v/>
      </c>
      <c r="F963" s="5">
        <f>SUMPRODUCT(('01_Data'!$B963:$AW963&lt;&gt;"")*(1/(1+EXP(-(E963-'03_Lap_b'!$B$5:$AW$5)))))</f>
        <v/>
      </c>
      <c r="G963" s="5">
        <f>SUMPRODUCT(('01_Data'!$B963:$AW963&lt;&gt;"")*(1/(1+EXP(-(E963-'03_Lap_b'!$B$5:$AW$5))))^2)</f>
        <v/>
      </c>
      <c r="H963" s="5">
        <f>MEDIAN(-6,E963+(C963-F963)/MAX(F963-G963,0.000000001),6)</f>
        <v/>
      </c>
      <c r="I963" s="5">
        <f>SUMPRODUCT(('01_Data'!$B963:$AW963&lt;&gt;"")*(1/(1+EXP(-(H963-'03_Lap_b'!$B$10:$AW$10)))))</f>
        <v/>
      </c>
      <c r="J963" s="5">
        <f>SUMPRODUCT(('01_Data'!$B963:$AW963&lt;&gt;"")*(1/(1+EXP(-(H963-'03_Lap_b'!$B$10:$AW$10))))^2)</f>
        <v/>
      </c>
      <c r="K963" s="5">
        <f>MEDIAN(-6,H963+(C963-I963)/MAX(I963-J963,0.000000001),6)</f>
        <v/>
      </c>
      <c r="L963" s="5">
        <f>SUMPRODUCT(('01_Data'!$B963:$AW963&lt;&gt;"")*(1/(1+EXP(-(K963-'03_Lap_b'!$B$15:$AW$15)))))</f>
        <v/>
      </c>
      <c r="M963" s="5">
        <f>SUMPRODUCT(('01_Data'!$B963:$AW963&lt;&gt;"")*(1/(1+EXP(-(K963-'03_Lap_b'!$B$15:$AW$15))))^2)</f>
        <v/>
      </c>
      <c r="N963" s="5">
        <f>MEDIAN(-6,K963+(C963-L963)/MAX(L963-M963,0.000000001),6)</f>
        <v/>
      </c>
      <c r="O963" s="5">
        <f>SUMPRODUCT(('01_Data'!$B963:$AW963&lt;&gt;"")*(1/(1+EXP(-(N963-'03_Lap_b'!$B$20:$AW$20)))))</f>
        <v/>
      </c>
      <c r="P963" s="5">
        <f>SUMPRODUCT(('01_Data'!$B963:$AW963&lt;&gt;"")*(1/(1+EXP(-(N963-'03_Lap_b'!$B$20:$AW$20))))^2)</f>
        <v/>
      </c>
      <c r="Q963" s="5">
        <f>MEDIAN(-6,N963+(C963-O963)/MAX(O963-P963,0.000000001),6)</f>
        <v/>
      </c>
      <c r="R963" s="5">
        <f>SUMPRODUCT(('01_Data'!$B963:$AW963&lt;&gt;"")*(1/(1+EXP(-(Q963-'03_Lap_b'!$B$25:$AW$25)))))</f>
        <v/>
      </c>
      <c r="S963" s="5">
        <f>SUMPRODUCT(('01_Data'!$B963:$AW963&lt;&gt;"")*(1/(1+EXP(-(Q963-'03_Lap_b'!$B$25:$AW$25))))^2)</f>
        <v/>
      </c>
      <c r="T963" s="5">
        <f>MEDIAN(-6,Q963+(C963-R963)/MAX(R963-S963,0.000000001),6)</f>
        <v/>
      </c>
      <c r="U963" s="5">
        <f>SUMPRODUCT(('01_Data'!$B963:$AW963&lt;&gt;"")*(1/(1+EXP(-(T963-'03_Lap_b'!$B$30:$AW$30)))))</f>
        <v/>
      </c>
      <c r="V963" s="5">
        <f>SUMPRODUCT(('01_Data'!$B963:$AW963&lt;&gt;"")*(1/(1+EXP(-(T963-'03_Lap_b'!$B$30:$AW$30))))^2)</f>
        <v/>
      </c>
      <c r="W963" s="5">
        <f>MEDIAN(-6,T963+(C963-U963)/MAX(U963-V963,0.000000001),6)</f>
        <v/>
      </c>
      <c r="X963" s="5">
        <f>SUMPRODUCT(('01_Data'!$B963:$AW963&lt;&gt;"")*(1/(1+EXP(-(W963-'03_Lap_b'!$B$35:$AW$35)))))</f>
        <v/>
      </c>
      <c r="Y963" s="5">
        <f>SUMPRODUCT(('01_Data'!$B963:$AW963&lt;&gt;"")*(1/(1+EXP(-(W963-'03_Lap_b'!$B$35:$AW$35))))^2)</f>
        <v/>
      </c>
      <c r="Z963" s="5">
        <f>MEDIAN(-6,W963+(C963-X963)/MAX(X963-Y963,0.000000001),6)</f>
        <v/>
      </c>
      <c r="AA963" s="5">
        <f>SUMPRODUCT(('01_Data'!$B963:$AW963&lt;&gt;"")*(1/(1+EXP(-(Z963-'03_Lap_b'!$B$40:$AW$40)))))</f>
        <v/>
      </c>
      <c r="AB963" s="5">
        <f>SUMPRODUCT(('01_Data'!$B963:$AW963&lt;&gt;"")*(1/(1+EXP(-(Z963-'03_Lap_b'!$B$40:$AW$40))))^2)</f>
        <v/>
      </c>
      <c r="AC963" s="5">
        <f>MEDIAN(-6,Z963+(C963-AA963)/MAX(AA963-AB963,0.000000001),6)</f>
        <v/>
      </c>
    </row>
    <row r="964">
      <c r="A964" t="n">
        <v>963</v>
      </c>
      <c r="B964">
        <f>'01_Data'!A964</f>
        <v/>
      </c>
      <c r="C964">
        <f>SUM('01_Data'!$B964:$AW964)</f>
        <v/>
      </c>
      <c r="D964">
        <f>COUNT('01_Data'!$B964:$AW964)</f>
        <v/>
      </c>
      <c r="E964" s="5">
        <f>MEDIAN(-6,LN((C964+0.3)/(D964-C964+0.3)),6)</f>
        <v/>
      </c>
      <c r="F964" s="5">
        <f>SUMPRODUCT(('01_Data'!$B964:$AW964&lt;&gt;"")*(1/(1+EXP(-(E964-'03_Lap_b'!$B$5:$AW$5)))))</f>
        <v/>
      </c>
      <c r="G964" s="5">
        <f>SUMPRODUCT(('01_Data'!$B964:$AW964&lt;&gt;"")*(1/(1+EXP(-(E964-'03_Lap_b'!$B$5:$AW$5))))^2)</f>
        <v/>
      </c>
      <c r="H964" s="5">
        <f>MEDIAN(-6,E964+(C964-F964)/MAX(F964-G964,0.000000001),6)</f>
        <v/>
      </c>
      <c r="I964" s="5">
        <f>SUMPRODUCT(('01_Data'!$B964:$AW964&lt;&gt;"")*(1/(1+EXP(-(H964-'03_Lap_b'!$B$10:$AW$10)))))</f>
        <v/>
      </c>
      <c r="J964" s="5">
        <f>SUMPRODUCT(('01_Data'!$B964:$AW964&lt;&gt;"")*(1/(1+EXP(-(H964-'03_Lap_b'!$B$10:$AW$10))))^2)</f>
        <v/>
      </c>
      <c r="K964" s="5">
        <f>MEDIAN(-6,H964+(C964-I964)/MAX(I964-J964,0.000000001),6)</f>
        <v/>
      </c>
      <c r="L964" s="5">
        <f>SUMPRODUCT(('01_Data'!$B964:$AW964&lt;&gt;"")*(1/(1+EXP(-(K964-'03_Lap_b'!$B$15:$AW$15)))))</f>
        <v/>
      </c>
      <c r="M964" s="5">
        <f>SUMPRODUCT(('01_Data'!$B964:$AW964&lt;&gt;"")*(1/(1+EXP(-(K964-'03_Lap_b'!$B$15:$AW$15))))^2)</f>
        <v/>
      </c>
      <c r="N964" s="5">
        <f>MEDIAN(-6,K964+(C964-L964)/MAX(L964-M964,0.000000001),6)</f>
        <v/>
      </c>
      <c r="O964" s="5">
        <f>SUMPRODUCT(('01_Data'!$B964:$AW964&lt;&gt;"")*(1/(1+EXP(-(N964-'03_Lap_b'!$B$20:$AW$20)))))</f>
        <v/>
      </c>
      <c r="P964" s="5">
        <f>SUMPRODUCT(('01_Data'!$B964:$AW964&lt;&gt;"")*(1/(1+EXP(-(N964-'03_Lap_b'!$B$20:$AW$20))))^2)</f>
        <v/>
      </c>
      <c r="Q964" s="5">
        <f>MEDIAN(-6,N964+(C964-O964)/MAX(O964-P964,0.000000001),6)</f>
        <v/>
      </c>
      <c r="R964" s="5">
        <f>SUMPRODUCT(('01_Data'!$B964:$AW964&lt;&gt;"")*(1/(1+EXP(-(Q964-'03_Lap_b'!$B$25:$AW$25)))))</f>
        <v/>
      </c>
      <c r="S964" s="5">
        <f>SUMPRODUCT(('01_Data'!$B964:$AW964&lt;&gt;"")*(1/(1+EXP(-(Q964-'03_Lap_b'!$B$25:$AW$25))))^2)</f>
        <v/>
      </c>
      <c r="T964" s="5">
        <f>MEDIAN(-6,Q964+(C964-R964)/MAX(R964-S964,0.000000001),6)</f>
        <v/>
      </c>
      <c r="U964" s="5">
        <f>SUMPRODUCT(('01_Data'!$B964:$AW964&lt;&gt;"")*(1/(1+EXP(-(T964-'03_Lap_b'!$B$30:$AW$30)))))</f>
        <v/>
      </c>
      <c r="V964" s="5">
        <f>SUMPRODUCT(('01_Data'!$B964:$AW964&lt;&gt;"")*(1/(1+EXP(-(T964-'03_Lap_b'!$B$30:$AW$30))))^2)</f>
        <v/>
      </c>
      <c r="W964" s="5">
        <f>MEDIAN(-6,T964+(C964-U964)/MAX(U964-V964,0.000000001),6)</f>
        <v/>
      </c>
      <c r="X964" s="5">
        <f>SUMPRODUCT(('01_Data'!$B964:$AW964&lt;&gt;"")*(1/(1+EXP(-(W964-'03_Lap_b'!$B$35:$AW$35)))))</f>
        <v/>
      </c>
      <c r="Y964" s="5">
        <f>SUMPRODUCT(('01_Data'!$B964:$AW964&lt;&gt;"")*(1/(1+EXP(-(W964-'03_Lap_b'!$B$35:$AW$35))))^2)</f>
        <v/>
      </c>
      <c r="Z964" s="5">
        <f>MEDIAN(-6,W964+(C964-X964)/MAX(X964-Y964,0.000000001),6)</f>
        <v/>
      </c>
      <c r="AA964" s="5">
        <f>SUMPRODUCT(('01_Data'!$B964:$AW964&lt;&gt;"")*(1/(1+EXP(-(Z964-'03_Lap_b'!$B$40:$AW$40)))))</f>
        <v/>
      </c>
      <c r="AB964" s="5">
        <f>SUMPRODUCT(('01_Data'!$B964:$AW964&lt;&gt;"")*(1/(1+EXP(-(Z964-'03_Lap_b'!$B$40:$AW$40))))^2)</f>
        <v/>
      </c>
      <c r="AC964" s="5">
        <f>MEDIAN(-6,Z964+(C964-AA964)/MAX(AA964-AB964,0.000000001),6)</f>
        <v/>
      </c>
    </row>
    <row r="965">
      <c r="A965" t="n">
        <v>964</v>
      </c>
      <c r="B965">
        <f>'01_Data'!A965</f>
        <v/>
      </c>
      <c r="C965">
        <f>SUM('01_Data'!$B965:$AW965)</f>
        <v/>
      </c>
      <c r="D965">
        <f>COUNT('01_Data'!$B965:$AW965)</f>
        <v/>
      </c>
      <c r="E965" s="5">
        <f>MEDIAN(-6,LN((C965+0.3)/(D965-C965+0.3)),6)</f>
        <v/>
      </c>
      <c r="F965" s="5">
        <f>SUMPRODUCT(('01_Data'!$B965:$AW965&lt;&gt;"")*(1/(1+EXP(-(E965-'03_Lap_b'!$B$5:$AW$5)))))</f>
        <v/>
      </c>
      <c r="G965" s="5">
        <f>SUMPRODUCT(('01_Data'!$B965:$AW965&lt;&gt;"")*(1/(1+EXP(-(E965-'03_Lap_b'!$B$5:$AW$5))))^2)</f>
        <v/>
      </c>
      <c r="H965" s="5">
        <f>MEDIAN(-6,E965+(C965-F965)/MAX(F965-G965,0.000000001),6)</f>
        <v/>
      </c>
      <c r="I965" s="5">
        <f>SUMPRODUCT(('01_Data'!$B965:$AW965&lt;&gt;"")*(1/(1+EXP(-(H965-'03_Lap_b'!$B$10:$AW$10)))))</f>
        <v/>
      </c>
      <c r="J965" s="5">
        <f>SUMPRODUCT(('01_Data'!$B965:$AW965&lt;&gt;"")*(1/(1+EXP(-(H965-'03_Lap_b'!$B$10:$AW$10))))^2)</f>
        <v/>
      </c>
      <c r="K965" s="5">
        <f>MEDIAN(-6,H965+(C965-I965)/MAX(I965-J965,0.000000001),6)</f>
        <v/>
      </c>
      <c r="L965" s="5">
        <f>SUMPRODUCT(('01_Data'!$B965:$AW965&lt;&gt;"")*(1/(1+EXP(-(K965-'03_Lap_b'!$B$15:$AW$15)))))</f>
        <v/>
      </c>
      <c r="M965" s="5">
        <f>SUMPRODUCT(('01_Data'!$B965:$AW965&lt;&gt;"")*(1/(1+EXP(-(K965-'03_Lap_b'!$B$15:$AW$15))))^2)</f>
        <v/>
      </c>
      <c r="N965" s="5">
        <f>MEDIAN(-6,K965+(C965-L965)/MAX(L965-M965,0.000000001),6)</f>
        <v/>
      </c>
      <c r="O965" s="5">
        <f>SUMPRODUCT(('01_Data'!$B965:$AW965&lt;&gt;"")*(1/(1+EXP(-(N965-'03_Lap_b'!$B$20:$AW$20)))))</f>
        <v/>
      </c>
      <c r="P965" s="5">
        <f>SUMPRODUCT(('01_Data'!$B965:$AW965&lt;&gt;"")*(1/(1+EXP(-(N965-'03_Lap_b'!$B$20:$AW$20))))^2)</f>
        <v/>
      </c>
      <c r="Q965" s="5">
        <f>MEDIAN(-6,N965+(C965-O965)/MAX(O965-P965,0.000000001),6)</f>
        <v/>
      </c>
      <c r="R965" s="5">
        <f>SUMPRODUCT(('01_Data'!$B965:$AW965&lt;&gt;"")*(1/(1+EXP(-(Q965-'03_Lap_b'!$B$25:$AW$25)))))</f>
        <v/>
      </c>
      <c r="S965" s="5">
        <f>SUMPRODUCT(('01_Data'!$B965:$AW965&lt;&gt;"")*(1/(1+EXP(-(Q965-'03_Lap_b'!$B$25:$AW$25))))^2)</f>
        <v/>
      </c>
      <c r="T965" s="5">
        <f>MEDIAN(-6,Q965+(C965-R965)/MAX(R965-S965,0.000000001),6)</f>
        <v/>
      </c>
      <c r="U965" s="5">
        <f>SUMPRODUCT(('01_Data'!$B965:$AW965&lt;&gt;"")*(1/(1+EXP(-(T965-'03_Lap_b'!$B$30:$AW$30)))))</f>
        <v/>
      </c>
      <c r="V965" s="5">
        <f>SUMPRODUCT(('01_Data'!$B965:$AW965&lt;&gt;"")*(1/(1+EXP(-(T965-'03_Lap_b'!$B$30:$AW$30))))^2)</f>
        <v/>
      </c>
      <c r="W965" s="5">
        <f>MEDIAN(-6,T965+(C965-U965)/MAX(U965-V965,0.000000001),6)</f>
        <v/>
      </c>
      <c r="X965" s="5">
        <f>SUMPRODUCT(('01_Data'!$B965:$AW965&lt;&gt;"")*(1/(1+EXP(-(W965-'03_Lap_b'!$B$35:$AW$35)))))</f>
        <v/>
      </c>
      <c r="Y965" s="5">
        <f>SUMPRODUCT(('01_Data'!$B965:$AW965&lt;&gt;"")*(1/(1+EXP(-(W965-'03_Lap_b'!$B$35:$AW$35))))^2)</f>
        <v/>
      </c>
      <c r="Z965" s="5">
        <f>MEDIAN(-6,W965+(C965-X965)/MAX(X965-Y965,0.000000001),6)</f>
        <v/>
      </c>
      <c r="AA965" s="5">
        <f>SUMPRODUCT(('01_Data'!$B965:$AW965&lt;&gt;"")*(1/(1+EXP(-(Z965-'03_Lap_b'!$B$40:$AW$40)))))</f>
        <v/>
      </c>
      <c r="AB965" s="5">
        <f>SUMPRODUCT(('01_Data'!$B965:$AW965&lt;&gt;"")*(1/(1+EXP(-(Z965-'03_Lap_b'!$B$40:$AW$40))))^2)</f>
        <v/>
      </c>
      <c r="AC965" s="5">
        <f>MEDIAN(-6,Z965+(C965-AA965)/MAX(AA965-AB965,0.000000001),6)</f>
        <v/>
      </c>
    </row>
    <row r="966">
      <c r="A966" t="n">
        <v>965</v>
      </c>
      <c r="B966">
        <f>'01_Data'!A966</f>
        <v/>
      </c>
      <c r="C966">
        <f>SUM('01_Data'!$B966:$AW966)</f>
        <v/>
      </c>
      <c r="D966">
        <f>COUNT('01_Data'!$B966:$AW966)</f>
        <v/>
      </c>
      <c r="E966" s="5">
        <f>MEDIAN(-6,LN((C966+0.3)/(D966-C966+0.3)),6)</f>
        <v/>
      </c>
      <c r="F966" s="5">
        <f>SUMPRODUCT(('01_Data'!$B966:$AW966&lt;&gt;"")*(1/(1+EXP(-(E966-'03_Lap_b'!$B$5:$AW$5)))))</f>
        <v/>
      </c>
      <c r="G966" s="5">
        <f>SUMPRODUCT(('01_Data'!$B966:$AW966&lt;&gt;"")*(1/(1+EXP(-(E966-'03_Lap_b'!$B$5:$AW$5))))^2)</f>
        <v/>
      </c>
      <c r="H966" s="5">
        <f>MEDIAN(-6,E966+(C966-F966)/MAX(F966-G966,0.000000001),6)</f>
        <v/>
      </c>
      <c r="I966" s="5">
        <f>SUMPRODUCT(('01_Data'!$B966:$AW966&lt;&gt;"")*(1/(1+EXP(-(H966-'03_Lap_b'!$B$10:$AW$10)))))</f>
        <v/>
      </c>
      <c r="J966" s="5">
        <f>SUMPRODUCT(('01_Data'!$B966:$AW966&lt;&gt;"")*(1/(1+EXP(-(H966-'03_Lap_b'!$B$10:$AW$10))))^2)</f>
        <v/>
      </c>
      <c r="K966" s="5">
        <f>MEDIAN(-6,H966+(C966-I966)/MAX(I966-J966,0.000000001),6)</f>
        <v/>
      </c>
      <c r="L966" s="5">
        <f>SUMPRODUCT(('01_Data'!$B966:$AW966&lt;&gt;"")*(1/(1+EXP(-(K966-'03_Lap_b'!$B$15:$AW$15)))))</f>
        <v/>
      </c>
      <c r="M966" s="5">
        <f>SUMPRODUCT(('01_Data'!$B966:$AW966&lt;&gt;"")*(1/(1+EXP(-(K966-'03_Lap_b'!$B$15:$AW$15))))^2)</f>
        <v/>
      </c>
      <c r="N966" s="5">
        <f>MEDIAN(-6,K966+(C966-L966)/MAX(L966-M966,0.000000001),6)</f>
        <v/>
      </c>
      <c r="O966" s="5">
        <f>SUMPRODUCT(('01_Data'!$B966:$AW966&lt;&gt;"")*(1/(1+EXP(-(N966-'03_Lap_b'!$B$20:$AW$20)))))</f>
        <v/>
      </c>
      <c r="P966" s="5">
        <f>SUMPRODUCT(('01_Data'!$B966:$AW966&lt;&gt;"")*(1/(1+EXP(-(N966-'03_Lap_b'!$B$20:$AW$20))))^2)</f>
        <v/>
      </c>
      <c r="Q966" s="5">
        <f>MEDIAN(-6,N966+(C966-O966)/MAX(O966-P966,0.000000001),6)</f>
        <v/>
      </c>
      <c r="R966" s="5">
        <f>SUMPRODUCT(('01_Data'!$B966:$AW966&lt;&gt;"")*(1/(1+EXP(-(Q966-'03_Lap_b'!$B$25:$AW$25)))))</f>
        <v/>
      </c>
      <c r="S966" s="5">
        <f>SUMPRODUCT(('01_Data'!$B966:$AW966&lt;&gt;"")*(1/(1+EXP(-(Q966-'03_Lap_b'!$B$25:$AW$25))))^2)</f>
        <v/>
      </c>
      <c r="T966" s="5">
        <f>MEDIAN(-6,Q966+(C966-R966)/MAX(R966-S966,0.000000001),6)</f>
        <v/>
      </c>
      <c r="U966" s="5">
        <f>SUMPRODUCT(('01_Data'!$B966:$AW966&lt;&gt;"")*(1/(1+EXP(-(T966-'03_Lap_b'!$B$30:$AW$30)))))</f>
        <v/>
      </c>
      <c r="V966" s="5">
        <f>SUMPRODUCT(('01_Data'!$B966:$AW966&lt;&gt;"")*(1/(1+EXP(-(T966-'03_Lap_b'!$B$30:$AW$30))))^2)</f>
        <v/>
      </c>
      <c r="W966" s="5">
        <f>MEDIAN(-6,T966+(C966-U966)/MAX(U966-V966,0.000000001),6)</f>
        <v/>
      </c>
      <c r="X966" s="5">
        <f>SUMPRODUCT(('01_Data'!$B966:$AW966&lt;&gt;"")*(1/(1+EXP(-(W966-'03_Lap_b'!$B$35:$AW$35)))))</f>
        <v/>
      </c>
      <c r="Y966" s="5">
        <f>SUMPRODUCT(('01_Data'!$B966:$AW966&lt;&gt;"")*(1/(1+EXP(-(W966-'03_Lap_b'!$B$35:$AW$35))))^2)</f>
        <v/>
      </c>
      <c r="Z966" s="5">
        <f>MEDIAN(-6,W966+(C966-X966)/MAX(X966-Y966,0.000000001),6)</f>
        <v/>
      </c>
      <c r="AA966" s="5">
        <f>SUMPRODUCT(('01_Data'!$B966:$AW966&lt;&gt;"")*(1/(1+EXP(-(Z966-'03_Lap_b'!$B$40:$AW$40)))))</f>
        <v/>
      </c>
      <c r="AB966" s="5">
        <f>SUMPRODUCT(('01_Data'!$B966:$AW966&lt;&gt;"")*(1/(1+EXP(-(Z966-'03_Lap_b'!$B$40:$AW$40))))^2)</f>
        <v/>
      </c>
      <c r="AC966" s="5">
        <f>MEDIAN(-6,Z966+(C966-AA966)/MAX(AA966-AB966,0.000000001),6)</f>
        <v/>
      </c>
    </row>
    <row r="967">
      <c r="A967" t="n">
        <v>966</v>
      </c>
      <c r="B967">
        <f>'01_Data'!A967</f>
        <v/>
      </c>
      <c r="C967">
        <f>SUM('01_Data'!$B967:$AW967)</f>
        <v/>
      </c>
      <c r="D967">
        <f>COUNT('01_Data'!$B967:$AW967)</f>
        <v/>
      </c>
      <c r="E967" s="5">
        <f>MEDIAN(-6,LN((C967+0.3)/(D967-C967+0.3)),6)</f>
        <v/>
      </c>
      <c r="F967" s="5">
        <f>SUMPRODUCT(('01_Data'!$B967:$AW967&lt;&gt;"")*(1/(1+EXP(-(E967-'03_Lap_b'!$B$5:$AW$5)))))</f>
        <v/>
      </c>
      <c r="G967" s="5">
        <f>SUMPRODUCT(('01_Data'!$B967:$AW967&lt;&gt;"")*(1/(1+EXP(-(E967-'03_Lap_b'!$B$5:$AW$5))))^2)</f>
        <v/>
      </c>
      <c r="H967" s="5">
        <f>MEDIAN(-6,E967+(C967-F967)/MAX(F967-G967,0.000000001),6)</f>
        <v/>
      </c>
      <c r="I967" s="5">
        <f>SUMPRODUCT(('01_Data'!$B967:$AW967&lt;&gt;"")*(1/(1+EXP(-(H967-'03_Lap_b'!$B$10:$AW$10)))))</f>
        <v/>
      </c>
      <c r="J967" s="5">
        <f>SUMPRODUCT(('01_Data'!$B967:$AW967&lt;&gt;"")*(1/(1+EXP(-(H967-'03_Lap_b'!$B$10:$AW$10))))^2)</f>
        <v/>
      </c>
      <c r="K967" s="5">
        <f>MEDIAN(-6,H967+(C967-I967)/MAX(I967-J967,0.000000001),6)</f>
        <v/>
      </c>
      <c r="L967" s="5">
        <f>SUMPRODUCT(('01_Data'!$B967:$AW967&lt;&gt;"")*(1/(1+EXP(-(K967-'03_Lap_b'!$B$15:$AW$15)))))</f>
        <v/>
      </c>
      <c r="M967" s="5">
        <f>SUMPRODUCT(('01_Data'!$B967:$AW967&lt;&gt;"")*(1/(1+EXP(-(K967-'03_Lap_b'!$B$15:$AW$15))))^2)</f>
        <v/>
      </c>
      <c r="N967" s="5">
        <f>MEDIAN(-6,K967+(C967-L967)/MAX(L967-M967,0.000000001),6)</f>
        <v/>
      </c>
      <c r="O967" s="5">
        <f>SUMPRODUCT(('01_Data'!$B967:$AW967&lt;&gt;"")*(1/(1+EXP(-(N967-'03_Lap_b'!$B$20:$AW$20)))))</f>
        <v/>
      </c>
      <c r="P967" s="5">
        <f>SUMPRODUCT(('01_Data'!$B967:$AW967&lt;&gt;"")*(1/(1+EXP(-(N967-'03_Lap_b'!$B$20:$AW$20))))^2)</f>
        <v/>
      </c>
      <c r="Q967" s="5">
        <f>MEDIAN(-6,N967+(C967-O967)/MAX(O967-P967,0.000000001),6)</f>
        <v/>
      </c>
      <c r="R967" s="5">
        <f>SUMPRODUCT(('01_Data'!$B967:$AW967&lt;&gt;"")*(1/(1+EXP(-(Q967-'03_Lap_b'!$B$25:$AW$25)))))</f>
        <v/>
      </c>
      <c r="S967" s="5">
        <f>SUMPRODUCT(('01_Data'!$B967:$AW967&lt;&gt;"")*(1/(1+EXP(-(Q967-'03_Lap_b'!$B$25:$AW$25))))^2)</f>
        <v/>
      </c>
      <c r="T967" s="5">
        <f>MEDIAN(-6,Q967+(C967-R967)/MAX(R967-S967,0.000000001),6)</f>
        <v/>
      </c>
      <c r="U967" s="5">
        <f>SUMPRODUCT(('01_Data'!$B967:$AW967&lt;&gt;"")*(1/(1+EXP(-(T967-'03_Lap_b'!$B$30:$AW$30)))))</f>
        <v/>
      </c>
      <c r="V967" s="5">
        <f>SUMPRODUCT(('01_Data'!$B967:$AW967&lt;&gt;"")*(1/(1+EXP(-(T967-'03_Lap_b'!$B$30:$AW$30))))^2)</f>
        <v/>
      </c>
      <c r="W967" s="5">
        <f>MEDIAN(-6,T967+(C967-U967)/MAX(U967-V967,0.000000001),6)</f>
        <v/>
      </c>
      <c r="X967" s="5">
        <f>SUMPRODUCT(('01_Data'!$B967:$AW967&lt;&gt;"")*(1/(1+EXP(-(W967-'03_Lap_b'!$B$35:$AW$35)))))</f>
        <v/>
      </c>
      <c r="Y967" s="5">
        <f>SUMPRODUCT(('01_Data'!$B967:$AW967&lt;&gt;"")*(1/(1+EXP(-(W967-'03_Lap_b'!$B$35:$AW$35))))^2)</f>
        <v/>
      </c>
      <c r="Z967" s="5">
        <f>MEDIAN(-6,W967+(C967-X967)/MAX(X967-Y967,0.000000001),6)</f>
        <v/>
      </c>
      <c r="AA967" s="5">
        <f>SUMPRODUCT(('01_Data'!$B967:$AW967&lt;&gt;"")*(1/(1+EXP(-(Z967-'03_Lap_b'!$B$40:$AW$40)))))</f>
        <v/>
      </c>
      <c r="AB967" s="5">
        <f>SUMPRODUCT(('01_Data'!$B967:$AW967&lt;&gt;"")*(1/(1+EXP(-(Z967-'03_Lap_b'!$B$40:$AW$40))))^2)</f>
        <v/>
      </c>
      <c r="AC967" s="5">
        <f>MEDIAN(-6,Z967+(C967-AA967)/MAX(AA967-AB967,0.000000001),6)</f>
        <v/>
      </c>
    </row>
    <row r="968">
      <c r="A968" t="n">
        <v>967</v>
      </c>
      <c r="B968">
        <f>'01_Data'!A968</f>
        <v/>
      </c>
      <c r="C968">
        <f>SUM('01_Data'!$B968:$AW968)</f>
        <v/>
      </c>
      <c r="D968">
        <f>COUNT('01_Data'!$B968:$AW968)</f>
        <v/>
      </c>
      <c r="E968" s="5">
        <f>MEDIAN(-6,LN((C968+0.3)/(D968-C968+0.3)),6)</f>
        <v/>
      </c>
      <c r="F968" s="5">
        <f>SUMPRODUCT(('01_Data'!$B968:$AW968&lt;&gt;"")*(1/(1+EXP(-(E968-'03_Lap_b'!$B$5:$AW$5)))))</f>
        <v/>
      </c>
      <c r="G968" s="5">
        <f>SUMPRODUCT(('01_Data'!$B968:$AW968&lt;&gt;"")*(1/(1+EXP(-(E968-'03_Lap_b'!$B$5:$AW$5))))^2)</f>
        <v/>
      </c>
      <c r="H968" s="5">
        <f>MEDIAN(-6,E968+(C968-F968)/MAX(F968-G968,0.000000001),6)</f>
        <v/>
      </c>
      <c r="I968" s="5">
        <f>SUMPRODUCT(('01_Data'!$B968:$AW968&lt;&gt;"")*(1/(1+EXP(-(H968-'03_Lap_b'!$B$10:$AW$10)))))</f>
        <v/>
      </c>
      <c r="J968" s="5">
        <f>SUMPRODUCT(('01_Data'!$B968:$AW968&lt;&gt;"")*(1/(1+EXP(-(H968-'03_Lap_b'!$B$10:$AW$10))))^2)</f>
        <v/>
      </c>
      <c r="K968" s="5">
        <f>MEDIAN(-6,H968+(C968-I968)/MAX(I968-J968,0.000000001),6)</f>
        <v/>
      </c>
      <c r="L968" s="5">
        <f>SUMPRODUCT(('01_Data'!$B968:$AW968&lt;&gt;"")*(1/(1+EXP(-(K968-'03_Lap_b'!$B$15:$AW$15)))))</f>
        <v/>
      </c>
      <c r="M968" s="5">
        <f>SUMPRODUCT(('01_Data'!$B968:$AW968&lt;&gt;"")*(1/(1+EXP(-(K968-'03_Lap_b'!$B$15:$AW$15))))^2)</f>
        <v/>
      </c>
      <c r="N968" s="5">
        <f>MEDIAN(-6,K968+(C968-L968)/MAX(L968-M968,0.000000001),6)</f>
        <v/>
      </c>
      <c r="O968" s="5">
        <f>SUMPRODUCT(('01_Data'!$B968:$AW968&lt;&gt;"")*(1/(1+EXP(-(N968-'03_Lap_b'!$B$20:$AW$20)))))</f>
        <v/>
      </c>
      <c r="P968" s="5">
        <f>SUMPRODUCT(('01_Data'!$B968:$AW968&lt;&gt;"")*(1/(1+EXP(-(N968-'03_Lap_b'!$B$20:$AW$20))))^2)</f>
        <v/>
      </c>
      <c r="Q968" s="5">
        <f>MEDIAN(-6,N968+(C968-O968)/MAX(O968-P968,0.000000001),6)</f>
        <v/>
      </c>
      <c r="R968" s="5">
        <f>SUMPRODUCT(('01_Data'!$B968:$AW968&lt;&gt;"")*(1/(1+EXP(-(Q968-'03_Lap_b'!$B$25:$AW$25)))))</f>
        <v/>
      </c>
      <c r="S968" s="5">
        <f>SUMPRODUCT(('01_Data'!$B968:$AW968&lt;&gt;"")*(1/(1+EXP(-(Q968-'03_Lap_b'!$B$25:$AW$25))))^2)</f>
        <v/>
      </c>
      <c r="T968" s="5">
        <f>MEDIAN(-6,Q968+(C968-R968)/MAX(R968-S968,0.000000001),6)</f>
        <v/>
      </c>
      <c r="U968" s="5">
        <f>SUMPRODUCT(('01_Data'!$B968:$AW968&lt;&gt;"")*(1/(1+EXP(-(T968-'03_Lap_b'!$B$30:$AW$30)))))</f>
        <v/>
      </c>
      <c r="V968" s="5">
        <f>SUMPRODUCT(('01_Data'!$B968:$AW968&lt;&gt;"")*(1/(1+EXP(-(T968-'03_Lap_b'!$B$30:$AW$30))))^2)</f>
        <v/>
      </c>
      <c r="W968" s="5">
        <f>MEDIAN(-6,T968+(C968-U968)/MAX(U968-V968,0.000000001),6)</f>
        <v/>
      </c>
      <c r="X968" s="5">
        <f>SUMPRODUCT(('01_Data'!$B968:$AW968&lt;&gt;"")*(1/(1+EXP(-(W968-'03_Lap_b'!$B$35:$AW$35)))))</f>
        <v/>
      </c>
      <c r="Y968" s="5">
        <f>SUMPRODUCT(('01_Data'!$B968:$AW968&lt;&gt;"")*(1/(1+EXP(-(W968-'03_Lap_b'!$B$35:$AW$35))))^2)</f>
        <v/>
      </c>
      <c r="Z968" s="5">
        <f>MEDIAN(-6,W968+(C968-X968)/MAX(X968-Y968,0.000000001),6)</f>
        <v/>
      </c>
      <c r="AA968" s="5">
        <f>SUMPRODUCT(('01_Data'!$B968:$AW968&lt;&gt;"")*(1/(1+EXP(-(Z968-'03_Lap_b'!$B$40:$AW$40)))))</f>
        <v/>
      </c>
      <c r="AB968" s="5">
        <f>SUMPRODUCT(('01_Data'!$B968:$AW968&lt;&gt;"")*(1/(1+EXP(-(Z968-'03_Lap_b'!$B$40:$AW$40))))^2)</f>
        <v/>
      </c>
      <c r="AC968" s="5">
        <f>MEDIAN(-6,Z968+(C968-AA968)/MAX(AA968-AB968,0.000000001),6)</f>
        <v/>
      </c>
    </row>
    <row r="969">
      <c r="A969" t="n">
        <v>968</v>
      </c>
      <c r="B969">
        <f>'01_Data'!A969</f>
        <v/>
      </c>
      <c r="C969">
        <f>SUM('01_Data'!$B969:$AW969)</f>
        <v/>
      </c>
      <c r="D969">
        <f>COUNT('01_Data'!$B969:$AW969)</f>
        <v/>
      </c>
      <c r="E969" s="5">
        <f>MEDIAN(-6,LN((C969+0.3)/(D969-C969+0.3)),6)</f>
        <v/>
      </c>
      <c r="F969" s="5">
        <f>SUMPRODUCT(('01_Data'!$B969:$AW969&lt;&gt;"")*(1/(1+EXP(-(E969-'03_Lap_b'!$B$5:$AW$5)))))</f>
        <v/>
      </c>
      <c r="G969" s="5">
        <f>SUMPRODUCT(('01_Data'!$B969:$AW969&lt;&gt;"")*(1/(1+EXP(-(E969-'03_Lap_b'!$B$5:$AW$5))))^2)</f>
        <v/>
      </c>
      <c r="H969" s="5">
        <f>MEDIAN(-6,E969+(C969-F969)/MAX(F969-G969,0.000000001),6)</f>
        <v/>
      </c>
      <c r="I969" s="5">
        <f>SUMPRODUCT(('01_Data'!$B969:$AW969&lt;&gt;"")*(1/(1+EXP(-(H969-'03_Lap_b'!$B$10:$AW$10)))))</f>
        <v/>
      </c>
      <c r="J969" s="5">
        <f>SUMPRODUCT(('01_Data'!$B969:$AW969&lt;&gt;"")*(1/(1+EXP(-(H969-'03_Lap_b'!$B$10:$AW$10))))^2)</f>
        <v/>
      </c>
      <c r="K969" s="5">
        <f>MEDIAN(-6,H969+(C969-I969)/MAX(I969-J969,0.000000001),6)</f>
        <v/>
      </c>
      <c r="L969" s="5">
        <f>SUMPRODUCT(('01_Data'!$B969:$AW969&lt;&gt;"")*(1/(1+EXP(-(K969-'03_Lap_b'!$B$15:$AW$15)))))</f>
        <v/>
      </c>
      <c r="M969" s="5">
        <f>SUMPRODUCT(('01_Data'!$B969:$AW969&lt;&gt;"")*(1/(1+EXP(-(K969-'03_Lap_b'!$B$15:$AW$15))))^2)</f>
        <v/>
      </c>
      <c r="N969" s="5">
        <f>MEDIAN(-6,K969+(C969-L969)/MAX(L969-M969,0.000000001),6)</f>
        <v/>
      </c>
      <c r="O969" s="5">
        <f>SUMPRODUCT(('01_Data'!$B969:$AW969&lt;&gt;"")*(1/(1+EXP(-(N969-'03_Lap_b'!$B$20:$AW$20)))))</f>
        <v/>
      </c>
      <c r="P969" s="5">
        <f>SUMPRODUCT(('01_Data'!$B969:$AW969&lt;&gt;"")*(1/(1+EXP(-(N969-'03_Lap_b'!$B$20:$AW$20))))^2)</f>
        <v/>
      </c>
      <c r="Q969" s="5">
        <f>MEDIAN(-6,N969+(C969-O969)/MAX(O969-P969,0.000000001),6)</f>
        <v/>
      </c>
      <c r="R969" s="5">
        <f>SUMPRODUCT(('01_Data'!$B969:$AW969&lt;&gt;"")*(1/(1+EXP(-(Q969-'03_Lap_b'!$B$25:$AW$25)))))</f>
        <v/>
      </c>
      <c r="S969" s="5">
        <f>SUMPRODUCT(('01_Data'!$B969:$AW969&lt;&gt;"")*(1/(1+EXP(-(Q969-'03_Lap_b'!$B$25:$AW$25))))^2)</f>
        <v/>
      </c>
      <c r="T969" s="5">
        <f>MEDIAN(-6,Q969+(C969-R969)/MAX(R969-S969,0.000000001),6)</f>
        <v/>
      </c>
      <c r="U969" s="5">
        <f>SUMPRODUCT(('01_Data'!$B969:$AW969&lt;&gt;"")*(1/(1+EXP(-(T969-'03_Lap_b'!$B$30:$AW$30)))))</f>
        <v/>
      </c>
      <c r="V969" s="5">
        <f>SUMPRODUCT(('01_Data'!$B969:$AW969&lt;&gt;"")*(1/(1+EXP(-(T969-'03_Lap_b'!$B$30:$AW$30))))^2)</f>
        <v/>
      </c>
      <c r="W969" s="5">
        <f>MEDIAN(-6,T969+(C969-U969)/MAX(U969-V969,0.000000001),6)</f>
        <v/>
      </c>
      <c r="X969" s="5">
        <f>SUMPRODUCT(('01_Data'!$B969:$AW969&lt;&gt;"")*(1/(1+EXP(-(W969-'03_Lap_b'!$B$35:$AW$35)))))</f>
        <v/>
      </c>
      <c r="Y969" s="5">
        <f>SUMPRODUCT(('01_Data'!$B969:$AW969&lt;&gt;"")*(1/(1+EXP(-(W969-'03_Lap_b'!$B$35:$AW$35))))^2)</f>
        <v/>
      </c>
      <c r="Z969" s="5">
        <f>MEDIAN(-6,W969+(C969-X969)/MAX(X969-Y969,0.000000001),6)</f>
        <v/>
      </c>
      <c r="AA969" s="5">
        <f>SUMPRODUCT(('01_Data'!$B969:$AW969&lt;&gt;"")*(1/(1+EXP(-(Z969-'03_Lap_b'!$B$40:$AW$40)))))</f>
        <v/>
      </c>
      <c r="AB969" s="5">
        <f>SUMPRODUCT(('01_Data'!$B969:$AW969&lt;&gt;"")*(1/(1+EXP(-(Z969-'03_Lap_b'!$B$40:$AW$40))))^2)</f>
        <v/>
      </c>
      <c r="AC969" s="5">
        <f>MEDIAN(-6,Z969+(C969-AA969)/MAX(AA969-AB969,0.000000001),6)</f>
        <v/>
      </c>
    </row>
    <row r="970">
      <c r="A970" t="n">
        <v>969</v>
      </c>
      <c r="B970">
        <f>'01_Data'!A970</f>
        <v/>
      </c>
      <c r="C970">
        <f>SUM('01_Data'!$B970:$AW970)</f>
        <v/>
      </c>
      <c r="D970">
        <f>COUNT('01_Data'!$B970:$AW970)</f>
        <v/>
      </c>
      <c r="E970" s="5">
        <f>MEDIAN(-6,LN((C970+0.3)/(D970-C970+0.3)),6)</f>
        <v/>
      </c>
      <c r="F970" s="5">
        <f>SUMPRODUCT(('01_Data'!$B970:$AW970&lt;&gt;"")*(1/(1+EXP(-(E970-'03_Lap_b'!$B$5:$AW$5)))))</f>
        <v/>
      </c>
      <c r="G970" s="5">
        <f>SUMPRODUCT(('01_Data'!$B970:$AW970&lt;&gt;"")*(1/(1+EXP(-(E970-'03_Lap_b'!$B$5:$AW$5))))^2)</f>
        <v/>
      </c>
      <c r="H970" s="5">
        <f>MEDIAN(-6,E970+(C970-F970)/MAX(F970-G970,0.000000001),6)</f>
        <v/>
      </c>
      <c r="I970" s="5">
        <f>SUMPRODUCT(('01_Data'!$B970:$AW970&lt;&gt;"")*(1/(1+EXP(-(H970-'03_Lap_b'!$B$10:$AW$10)))))</f>
        <v/>
      </c>
      <c r="J970" s="5">
        <f>SUMPRODUCT(('01_Data'!$B970:$AW970&lt;&gt;"")*(1/(1+EXP(-(H970-'03_Lap_b'!$B$10:$AW$10))))^2)</f>
        <v/>
      </c>
      <c r="K970" s="5">
        <f>MEDIAN(-6,H970+(C970-I970)/MAX(I970-J970,0.000000001),6)</f>
        <v/>
      </c>
      <c r="L970" s="5">
        <f>SUMPRODUCT(('01_Data'!$B970:$AW970&lt;&gt;"")*(1/(1+EXP(-(K970-'03_Lap_b'!$B$15:$AW$15)))))</f>
        <v/>
      </c>
      <c r="M970" s="5">
        <f>SUMPRODUCT(('01_Data'!$B970:$AW970&lt;&gt;"")*(1/(1+EXP(-(K970-'03_Lap_b'!$B$15:$AW$15))))^2)</f>
        <v/>
      </c>
      <c r="N970" s="5">
        <f>MEDIAN(-6,K970+(C970-L970)/MAX(L970-M970,0.000000001),6)</f>
        <v/>
      </c>
      <c r="O970" s="5">
        <f>SUMPRODUCT(('01_Data'!$B970:$AW970&lt;&gt;"")*(1/(1+EXP(-(N970-'03_Lap_b'!$B$20:$AW$20)))))</f>
        <v/>
      </c>
      <c r="P970" s="5">
        <f>SUMPRODUCT(('01_Data'!$B970:$AW970&lt;&gt;"")*(1/(1+EXP(-(N970-'03_Lap_b'!$B$20:$AW$20))))^2)</f>
        <v/>
      </c>
      <c r="Q970" s="5">
        <f>MEDIAN(-6,N970+(C970-O970)/MAX(O970-P970,0.000000001),6)</f>
        <v/>
      </c>
      <c r="R970" s="5">
        <f>SUMPRODUCT(('01_Data'!$B970:$AW970&lt;&gt;"")*(1/(1+EXP(-(Q970-'03_Lap_b'!$B$25:$AW$25)))))</f>
        <v/>
      </c>
      <c r="S970" s="5">
        <f>SUMPRODUCT(('01_Data'!$B970:$AW970&lt;&gt;"")*(1/(1+EXP(-(Q970-'03_Lap_b'!$B$25:$AW$25))))^2)</f>
        <v/>
      </c>
      <c r="T970" s="5">
        <f>MEDIAN(-6,Q970+(C970-R970)/MAX(R970-S970,0.000000001),6)</f>
        <v/>
      </c>
      <c r="U970" s="5">
        <f>SUMPRODUCT(('01_Data'!$B970:$AW970&lt;&gt;"")*(1/(1+EXP(-(T970-'03_Lap_b'!$B$30:$AW$30)))))</f>
        <v/>
      </c>
      <c r="V970" s="5">
        <f>SUMPRODUCT(('01_Data'!$B970:$AW970&lt;&gt;"")*(1/(1+EXP(-(T970-'03_Lap_b'!$B$30:$AW$30))))^2)</f>
        <v/>
      </c>
      <c r="W970" s="5">
        <f>MEDIAN(-6,T970+(C970-U970)/MAX(U970-V970,0.000000001),6)</f>
        <v/>
      </c>
      <c r="X970" s="5">
        <f>SUMPRODUCT(('01_Data'!$B970:$AW970&lt;&gt;"")*(1/(1+EXP(-(W970-'03_Lap_b'!$B$35:$AW$35)))))</f>
        <v/>
      </c>
      <c r="Y970" s="5">
        <f>SUMPRODUCT(('01_Data'!$B970:$AW970&lt;&gt;"")*(1/(1+EXP(-(W970-'03_Lap_b'!$B$35:$AW$35))))^2)</f>
        <v/>
      </c>
      <c r="Z970" s="5">
        <f>MEDIAN(-6,W970+(C970-X970)/MAX(X970-Y970,0.000000001),6)</f>
        <v/>
      </c>
      <c r="AA970" s="5">
        <f>SUMPRODUCT(('01_Data'!$B970:$AW970&lt;&gt;"")*(1/(1+EXP(-(Z970-'03_Lap_b'!$B$40:$AW$40)))))</f>
        <v/>
      </c>
      <c r="AB970" s="5">
        <f>SUMPRODUCT(('01_Data'!$B970:$AW970&lt;&gt;"")*(1/(1+EXP(-(Z970-'03_Lap_b'!$B$40:$AW$40))))^2)</f>
        <v/>
      </c>
      <c r="AC970" s="5">
        <f>MEDIAN(-6,Z970+(C970-AA970)/MAX(AA970-AB970,0.000000001),6)</f>
        <v/>
      </c>
    </row>
    <row r="971">
      <c r="A971" t="n">
        <v>970</v>
      </c>
      <c r="B971">
        <f>'01_Data'!A971</f>
        <v/>
      </c>
      <c r="C971">
        <f>SUM('01_Data'!$B971:$AW971)</f>
        <v/>
      </c>
      <c r="D971">
        <f>COUNT('01_Data'!$B971:$AW971)</f>
        <v/>
      </c>
      <c r="E971" s="5">
        <f>MEDIAN(-6,LN((C971+0.3)/(D971-C971+0.3)),6)</f>
        <v/>
      </c>
      <c r="F971" s="5">
        <f>SUMPRODUCT(('01_Data'!$B971:$AW971&lt;&gt;"")*(1/(1+EXP(-(E971-'03_Lap_b'!$B$5:$AW$5)))))</f>
        <v/>
      </c>
      <c r="G971" s="5">
        <f>SUMPRODUCT(('01_Data'!$B971:$AW971&lt;&gt;"")*(1/(1+EXP(-(E971-'03_Lap_b'!$B$5:$AW$5))))^2)</f>
        <v/>
      </c>
      <c r="H971" s="5">
        <f>MEDIAN(-6,E971+(C971-F971)/MAX(F971-G971,0.000000001),6)</f>
        <v/>
      </c>
      <c r="I971" s="5">
        <f>SUMPRODUCT(('01_Data'!$B971:$AW971&lt;&gt;"")*(1/(1+EXP(-(H971-'03_Lap_b'!$B$10:$AW$10)))))</f>
        <v/>
      </c>
      <c r="J971" s="5">
        <f>SUMPRODUCT(('01_Data'!$B971:$AW971&lt;&gt;"")*(1/(1+EXP(-(H971-'03_Lap_b'!$B$10:$AW$10))))^2)</f>
        <v/>
      </c>
      <c r="K971" s="5">
        <f>MEDIAN(-6,H971+(C971-I971)/MAX(I971-J971,0.000000001),6)</f>
        <v/>
      </c>
      <c r="L971" s="5">
        <f>SUMPRODUCT(('01_Data'!$B971:$AW971&lt;&gt;"")*(1/(1+EXP(-(K971-'03_Lap_b'!$B$15:$AW$15)))))</f>
        <v/>
      </c>
      <c r="M971" s="5">
        <f>SUMPRODUCT(('01_Data'!$B971:$AW971&lt;&gt;"")*(1/(1+EXP(-(K971-'03_Lap_b'!$B$15:$AW$15))))^2)</f>
        <v/>
      </c>
      <c r="N971" s="5">
        <f>MEDIAN(-6,K971+(C971-L971)/MAX(L971-M971,0.000000001),6)</f>
        <v/>
      </c>
      <c r="O971" s="5">
        <f>SUMPRODUCT(('01_Data'!$B971:$AW971&lt;&gt;"")*(1/(1+EXP(-(N971-'03_Lap_b'!$B$20:$AW$20)))))</f>
        <v/>
      </c>
      <c r="P971" s="5">
        <f>SUMPRODUCT(('01_Data'!$B971:$AW971&lt;&gt;"")*(1/(1+EXP(-(N971-'03_Lap_b'!$B$20:$AW$20))))^2)</f>
        <v/>
      </c>
      <c r="Q971" s="5">
        <f>MEDIAN(-6,N971+(C971-O971)/MAX(O971-P971,0.000000001),6)</f>
        <v/>
      </c>
      <c r="R971" s="5">
        <f>SUMPRODUCT(('01_Data'!$B971:$AW971&lt;&gt;"")*(1/(1+EXP(-(Q971-'03_Lap_b'!$B$25:$AW$25)))))</f>
        <v/>
      </c>
      <c r="S971" s="5">
        <f>SUMPRODUCT(('01_Data'!$B971:$AW971&lt;&gt;"")*(1/(1+EXP(-(Q971-'03_Lap_b'!$B$25:$AW$25))))^2)</f>
        <v/>
      </c>
      <c r="T971" s="5">
        <f>MEDIAN(-6,Q971+(C971-R971)/MAX(R971-S971,0.000000001),6)</f>
        <v/>
      </c>
      <c r="U971" s="5">
        <f>SUMPRODUCT(('01_Data'!$B971:$AW971&lt;&gt;"")*(1/(1+EXP(-(T971-'03_Lap_b'!$B$30:$AW$30)))))</f>
        <v/>
      </c>
      <c r="V971" s="5">
        <f>SUMPRODUCT(('01_Data'!$B971:$AW971&lt;&gt;"")*(1/(1+EXP(-(T971-'03_Lap_b'!$B$30:$AW$30))))^2)</f>
        <v/>
      </c>
      <c r="W971" s="5">
        <f>MEDIAN(-6,T971+(C971-U971)/MAX(U971-V971,0.000000001),6)</f>
        <v/>
      </c>
      <c r="X971" s="5">
        <f>SUMPRODUCT(('01_Data'!$B971:$AW971&lt;&gt;"")*(1/(1+EXP(-(W971-'03_Lap_b'!$B$35:$AW$35)))))</f>
        <v/>
      </c>
      <c r="Y971" s="5">
        <f>SUMPRODUCT(('01_Data'!$B971:$AW971&lt;&gt;"")*(1/(1+EXP(-(W971-'03_Lap_b'!$B$35:$AW$35))))^2)</f>
        <v/>
      </c>
      <c r="Z971" s="5">
        <f>MEDIAN(-6,W971+(C971-X971)/MAX(X971-Y971,0.000000001),6)</f>
        <v/>
      </c>
      <c r="AA971" s="5">
        <f>SUMPRODUCT(('01_Data'!$B971:$AW971&lt;&gt;"")*(1/(1+EXP(-(Z971-'03_Lap_b'!$B$40:$AW$40)))))</f>
        <v/>
      </c>
      <c r="AB971" s="5">
        <f>SUMPRODUCT(('01_Data'!$B971:$AW971&lt;&gt;"")*(1/(1+EXP(-(Z971-'03_Lap_b'!$B$40:$AW$40))))^2)</f>
        <v/>
      </c>
      <c r="AC971" s="5">
        <f>MEDIAN(-6,Z971+(C971-AA971)/MAX(AA971-AB971,0.000000001),6)</f>
        <v/>
      </c>
    </row>
    <row r="972">
      <c r="A972" t="n">
        <v>971</v>
      </c>
      <c r="B972">
        <f>'01_Data'!A972</f>
        <v/>
      </c>
      <c r="C972">
        <f>SUM('01_Data'!$B972:$AW972)</f>
        <v/>
      </c>
      <c r="D972">
        <f>COUNT('01_Data'!$B972:$AW972)</f>
        <v/>
      </c>
      <c r="E972" s="5">
        <f>MEDIAN(-6,LN((C972+0.3)/(D972-C972+0.3)),6)</f>
        <v/>
      </c>
      <c r="F972" s="5">
        <f>SUMPRODUCT(('01_Data'!$B972:$AW972&lt;&gt;"")*(1/(1+EXP(-(E972-'03_Lap_b'!$B$5:$AW$5)))))</f>
        <v/>
      </c>
      <c r="G972" s="5">
        <f>SUMPRODUCT(('01_Data'!$B972:$AW972&lt;&gt;"")*(1/(1+EXP(-(E972-'03_Lap_b'!$B$5:$AW$5))))^2)</f>
        <v/>
      </c>
      <c r="H972" s="5">
        <f>MEDIAN(-6,E972+(C972-F972)/MAX(F972-G972,0.000000001),6)</f>
        <v/>
      </c>
      <c r="I972" s="5">
        <f>SUMPRODUCT(('01_Data'!$B972:$AW972&lt;&gt;"")*(1/(1+EXP(-(H972-'03_Lap_b'!$B$10:$AW$10)))))</f>
        <v/>
      </c>
      <c r="J972" s="5">
        <f>SUMPRODUCT(('01_Data'!$B972:$AW972&lt;&gt;"")*(1/(1+EXP(-(H972-'03_Lap_b'!$B$10:$AW$10))))^2)</f>
        <v/>
      </c>
      <c r="K972" s="5">
        <f>MEDIAN(-6,H972+(C972-I972)/MAX(I972-J972,0.000000001),6)</f>
        <v/>
      </c>
      <c r="L972" s="5">
        <f>SUMPRODUCT(('01_Data'!$B972:$AW972&lt;&gt;"")*(1/(1+EXP(-(K972-'03_Lap_b'!$B$15:$AW$15)))))</f>
        <v/>
      </c>
      <c r="M972" s="5">
        <f>SUMPRODUCT(('01_Data'!$B972:$AW972&lt;&gt;"")*(1/(1+EXP(-(K972-'03_Lap_b'!$B$15:$AW$15))))^2)</f>
        <v/>
      </c>
      <c r="N972" s="5">
        <f>MEDIAN(-6,K972+(C972-L972)/MAX(L972-M972,0.000000001),6)</f>
        <v/>
      </c>
      <c r="O972" s="5">
        <f>SUMPRODUCT(('01_Data'!$B972:$AW972&lt;&gt;"")*(1/(1+EXP(-(N972-'03_Lap_b'!$B$20:$AW$20)))))</f>
        <v/>
      </c>
      <c r="P972" s="5">
        <f>SUMPRODUCT(('01_Data'!$B972:$AW972&lt;&gt;"")*(1/(1+EXP(-(N972-'03_Lap_b'!$B$20:$AW$20))))^2)</f>
        <v/>
      </c>
      <c r="Q972" s="5">
        <f>MEDIAN(-6,N972+(C972-O972)/MAX(O972-P972,0.000000001),6)</f>
        <v/>
      </c>
      <c r="R972" s="5">
        <f>SUMPRODUCT(('01_Data'!$B972:$AW972&lt;&gt;"")*(1/(1+EXP(-(Q972-'03_Lap_b'!$B$25:$AW$25)))))</f>
        <v/>
      </c>
      <c r="S972" s="5">
        <f>SUMPRODUCT(('01_Data'!$B972:$AW972&lt;&gt;"")*(1/(1+EXP(-(Q972-'03_Lap_b'!$B$25:$AW$25))))^2)</f>
        <v/>
      </c>
      <c r="T972" s="5">
        <f>MEDIAN(-6,Q972+(C972-R972)/MAX(R972-S972,0.000000001),6)</f>
        <v/>
      </c>
      <c r="U972" s="5">
        <f>SUMPRODUCT(('01_Data'!$B972:$AW972&lt;&gt;"")*(1/(1+EXP(-(T972-'03_Lap_b'!$B$30:$AW$30)))))</f>
        <v/>
      </c>
      <c r="V972" s="5">
        <f>SUMPRODUCT(('01_Data'!$B972:$AW972&lt;&gt;"")*(1/(1+EXP(-(T972-'03_Lap_b'!$B$30:$AW$30))))^2)</f>
        <v/>
      </c>
      <c r="W972" s="5">
        <f>MEDIAN(-6,T972+(C972-U972)/MAX(U972-V972,0.000000001),6)</f>
        <v/>
      </c>
      <c r="X972" s="5">
        <f>SUMPRODUCT(('01_Data'!$B972:$AW972&lt;&gt;"")*(1/(1+EXP(-(W972-'03_Lap_b'!$B$35:$AW$35)))))</f>
        <v/>
      </c>
      <c r="Y972" s="5">
        <f>SUMPRODUCT(('01_Data'!$B972:$AW972&lt;&gt;"")*(1/(1+EXP(-(W972-'03_Lap_b'!$B$35:$AW$35))))^2)</f>
        <v/>
      </c>
      <c r="Z972" s="5">
        <f>MEDIAN(-6,W972+(C972-X972)/MAX(X972-Y972,0.000000001),6)</f>
        <v/>
      </c>
      <c r="AA972" s="5">
        <f>SUMPRODUCT(('01_Data'!$B972:$AW972&lt;&gt;"")*(1/(1+EXP(-(Z972-'03_Lap_b'!$B$40:$AW$40)))))</f>
        <v/>
      </c>
      <c r="AB972" s="5">
        <f>SUMPRODUCT(('01_Data'!$B972:$AW972&lt;&gt;"")*(1/(1+EXP(-(Z972-'03_Lap_b'!$B$40:$AW$40))))^2)</f>
        <v/>
      </c>
      <c r="AC972" s="5">
        <f>MEDIAN(-6,Z972+(C972-AA972)/MAX(AA972-AB972,0.000000001),6)</f>
        <v/>
      </c>
    </row>
    <row r="973">
      <c r="A973" t="n">
        <v>972</v>
      </c>
      <c r="B973">
        <f>'01_Data'!A973</f>
        <v/>
      </c>
      <c r="C973">
        <f>SUM('01_Data'!$B973:$AW973)</f>
        <v/>
      </c>
      <c r="D973">
        <f>COUNT('01_Data'!$B973:$AW973)</f>
        <v/>
      </c>
      <c r="E973" s="5">
        <f>MEDIAN(-6,LN((C973+0.3)/(D973-C973+0.3)),6)</f>
        <v/>
      </c>
      <c r="F973" s="5">
        <f>SUMPRODUCT(('01_Data'!$B973:$AW973&lt;&gt;"")*(1/(1+EXP(-(E973-'03_Lap_b'!$B$5:$AW$5)))))</f>
        <v/>
      </c>
      <c r="G973" s="5">
        <f>SUMPRODUCT(('01_Data'!$B973:$AW973&lt;&gt;"")*(1/(1+EXP(-(E973-'03_Lap_b'!$B$5:$AW$5))))^2)</f>
        <v/>
      </c>
      <c r="H973" s="5">
        <f>MEDIAN(-6,E973+(C973-F973)/MAX(F973-G973,0.000000001),6)</f>
        <v/>
      </c>
      <c r="I973" s="5">
        <f>SUMPRODUCT(('01_Data'!$B973:$AW973&lt;&gt;"")*(1/(1+EXP(-(H973-'03_Lap_b'!$B$10:$AW$10)))))</f>
        <v/>
      </c>
      <c r="J973" s="5">
        <f>SUMPRODUCT(('01_Data'!$B973:$AW973&lt;&gt;"")*(1/(1+EXP(-(H973-'03_Lap_b'!$B$10:$AW$10))))^2)</f>
        <v/>
      </c>
      <c r="K973" s="5">
        <f>MEDIAN(-6,H973+(C973-I973)/MAX(I973-J973,0.000000001),6)</f>
        <v/>
      </c>
      <c r="L973" s="5">
        <f>SUMPRODUCT(('01_Data'!$B973:$AW973&lt;&gt;"")*(1/(1+EXP(-(K973-'03_Lap_b'!$B$15:$AW$15)))))</f>
        <v/>
      </c>
      <c r="M973" s="5">
        <f>SUMPRODUCT(('01_Data'!$B973:$AW973&lt;&gt;"")*(1/(1+EXP(-(K973-'03_Lap_b'!$B$15:$AW$15))))^2)</f>
        <v/>
      </c>
      <c r="N973" s="5">
        <f>MEDIAN(-6,K973+(C973-L973)/MAX(L973-M973,0.000000001),6)</f>
        <v/>
      </c>
      <c r="O973" s="5">
        <f>SUMPRODUCT(('01_Data'!$B973:$AW973&lt;&gt;"")*(1/(1+EXP(-(N973-'03_Lap_b'!$B$20:$AW$20)))))</f>
        <v/>
      </c>
      <c r="P973" s="5">
        <f>SUMPRODUCT(('01_Data'!$B973:$AW973&lt;&gt;"")*(1/(1+EXP(-(N973-'03_Lap_b'!$B$20:$AW$20))))^2)</f>
        <v/>
      </c>
      <c r="Q973" s="5">
        <f>MEDIAN(-6,N973+(C973-O973)/MAX(O973-P973,0.000000001),6)</f>
        <v/>
      </c>
      <c r="R973" s="5">
        <f>SUMPRODUCT(('01_Data'!$B973:$AW973&lt;&gt;"")*(1/(1+EXP(-(Q973-'03_Lap_b'!$B$25:$AW$25)))))</f>
        <v/>
      </c>
      <c r="S973" s="5">
        <f>SUMPRODUCT(('01_Data'!$B973:$AW973&lt;&gt;"")*(1/(1+EXP(-(Q973-'03_Lap_b'!$B$25:$AW$25))))^2)</f>
        <v/>
      </c>
      <c r="T973" s="5">
        <f>MEDIAN(-6,Q973+(C973-R973)/MAX(R973-S973,0.000000001),6)</f>
        <v/>
      </c>
      <c r="U973" s="5">
        <f>SUMPRODUCT(('01_Data'!$B973:$AW973&lt;&gt;"")*(1/(1+EXP(-(T973-'03_Lap_b'!$B$30:$AW$30)))))</f>
        <v/>
      </c>
      <c r="V973" s="5">
        <f>SUMPRODUCT(('01_Data'!$B973:$AW973&lt;&gt;"")*(1/(1+EXP(-(T973-'03_Lap_b'!$B$30:$AW$30))))^2)</f>
        <v/>
      </c>
      <c r="W973" s="5">
        <f>MEDIAN(-6,T973+(C973-U973)/MAX(U973-V973,0.000000001),6)</f>
        <v/>
      </c>
      <c r="X973" s="5">
        <f>SUMPRODUCT(('01_Data'!$B973:$AW973&lt;&gt;"")*(1/(1+EXP(-(W973-'03_Lap_b'!$B$35:$AW$35)))))</f>
        <v/>
      </c>
      <c r="Y973" s="5">
        <f>SUMPRODUCT(('01_Data'!$B973:$AW973&lt;&gt;"")*(1/(1+EXP(-(W973-'03_Lap_b'!$B$35:$AW$35))))^2)</f>
        <v/>
      </c>
      <c r="Z973" s="5">
        <f>MEDIAN(-6,W973+(C973-X973)/MAX(X973-Y973,0.000000001),6)</f>
        <v/>
      </c>
      <c r="AA973" s="5">
        <f>SUMPRODUCT(('01_Data'!$B973:$AW973&lt;&gt;"")*(1/(1+EXP(-(Z973-'03_Lap_b'!$B$40:$AW$40)))))</f>
        <v/>
      </c>
      <c r="AB973" s="5">
        <f>SUMPRODUCT(('01_Data'!$B973:$AW973&lt;&gt;"")*(1/(1+EXP(-(Z973-'03_Lap_b'!$B$40:$AW$40))))^2)</f>
        <v/>
      </c>
      <c r="AC973" s="5">
        <f>MEDIAN(-6,Z973+(C973-AA973)/MAX(AA973-AB973,0.000000001),6)</f>
        <v/>
      </c>
    </row>
    <row r="974">
      <c r="A974" t="n">
        <v>973</v>
      </c>
      <c r="B974">
        <f>'01_Data'!A974</f>
        <v/>
      </c>
      <c r="C974">
        <f>SUM('01_Data'!$B974:$AW974)</f>
        <v/>
      </c>
      <c r="D974">
        <f>COUNT('01_Data'!$B974:$AW974)</f>
        <v/>
      </c>
      <c r="E974" s="5">
        <f>MEDIAN(-6,LN((C974+0.3)/(D974-C974+0.3)),6)</f>
        <v/>
      </c>
      <c r="F974" s="5">
        <f>SUMPRODUCT(('01_Data'!$B974:$AW974&lt;&gt;"")*(1/(1+EXP(-(E974-'03_Lap_b'!$B$5:$AW$5)))))</f>
        <v/>
      </c>
      <c r="G974" s="5">
        <f>SUMPRODUCT(('01_Data'!$B974:$AW974&lt;&gt;"")*(1/(1+EXP(-(E974-'03_Lap_b'!$B$5:$AW$5))))^2)</f>
        <v/>
      </c>
      <c r="H974" s="5">
        <f>MEDIAN(-6,E974+(C974-F974)/MAX(F974-G974,0.000000001),6)</f>
        <v/>
      </c>
      <c r="I974" s="5">
        <f>SUMPRODUCT(('01_Data'!$B974:$AW974&lt;&gt;"")*(1/(1+EXP(-(H974-'03_Lap_b'!$B$10:$AW$10)))))</f>
        <v/>
      </c>
      <c r="J974" s="5">
        <f>SUMPRODUCT(('01_Data'!$B974:$AW974&lt;&gt;"")*(1/(1+EXP(-(H974-'03_Lap_b'!$B$10:$AW$10))))^2)</f>
        <v/>
      </c>
      <c r="K974" s="5">
        <f>MEDIAN(-6,H974+(C974-I974)/MAX(I974-J974,0.000000001),6)</f>
        <v/>
      </c>
      <c r="L974" s="5">
        <f>SUMPRODUCT(('01_Data'!$B974:$AW974&lt;&gt;"")*(1/(1+EXP(-(K974-'03_Lap_b'!$B$15:$AW$15)))))</f>
        <v/>
      </c>
      <c r="M974" s="5">
        <f>SUMPRODUCT(('01_Data'!$B974:$AW974&lt;&gt;"")*(1/(1+EXP(-(K974-'03_Lap_b'!$B$15:$AW$15))))^2)</f>
        <v/>
      </c>
      <c r="N974" s="5">
        <f>MEDIAN(-6,K974+(C974-L974)/MAX(L974-M974,0.000000001),6)</f>
        <v/>
      </c>
      <c r="O974" s="5">
        <f>SUMPRODUCT(('01_Data'!$B974:$AW974&lt;&gt;"")*(1/(1+EXP(-(N974-'03_Lap_b'!$B$20:$AW$20)))))</f>
        <v/>
      </c>
      <c r="P974" s="5">
        <f>SUMPRODUCT(('01_Data'!$B974:$AW974&lt;&gt;"")*(1/(1+EXP(-(N974-'03_Lap_b'!$B$20:$AW$20))))^2)</f>
        <v/>
      </c>
      <c r="Q974" s="5">
        <f>MEDIAN(-6,N974+(C974-O974)/MAX(O974-P974,0.000000001),6)</f>
        <v/>
      </c>
      <c r="R974" s="5">
        <f>SUMPRODUCT(('01_Data'!$B974:$AW974&lt;&gt;"")*(1/(1+EXP(-(Q974-'03_Lap_b'!$B$25:$AW$25)))))</f>
        <v/>
      </c>
      <c r="S974" s="5">
        <f>SUMPRODUCT(('01_Data'!$B974:$AW974&lt;&gt;"")*(1/(1+EXP(-(Q974-'03_Lap_b'!$B$25:$AW$25))))^2)</f>
        <v/>
      </c>
      <c r="T974" s="5">
        <f>MEDIAN(-6,Q974+(C974-R974)/MAX(R974-S974,0.000000001),6)</f>
        <v/>
      </c>
      <c r="U974" s="5">
        <f>SUMPRODUCT(('01_Data'!$B974:$AW974&lt;&gt;"")*(1/(1+EXP(-(T974-'03_Lap_b'!$B$30:$AW$30)))))</f>
        <v/>
      </c>
      <c r="V974" s="5">
        <f>SUMPRODUCT(('01_Data'!$B974:$AW974&lt;&gt;"")*(1/(1+EXP(-(T974-'03_Lap_b'!$B$30:$AW$30))))^2)</f>
        <v/>
      </c>
      <c r="W974" s="5">
        <f>MEDIAN(-6,T974+(C974-U974)/MAX(U974-V974,0.000000001),6)</f>
        <v/>
      </c>
      <c r="X974" s="5">
        <f>SUMPRODUCT(('01_Data'!$B974:$AW974&lt;&gt;"")*(1/(1+EXP(-(W974-'03_Lap_b'!$B$35:$AW$35)))))</f>
        <v/>
      </c>
      <c r="Y974" s="5">
        <f>SUMPRODUCT(('01_Data'!$B974:$AW974&lt;&gt;"")*(1/(1+EXP(-(W974-'03_Lap_b'!$B$35:$AW$35))))^2)</f>
        <v/>
      </c>
      <c r="Z974" s="5">
        <f>MEDIAN(-6,W974+(C974-X974)/MAX(X974-Y974,0.000000001),6)</f>
        <v/>
      </c>
      <c r="AA974" s="5">
        <f>SUMPRODUCT(('01_Data'!$B974:$AW974&lt;&gt;"")*(1/(1+EXP(-(Z974-'03_Lap_b'!$B$40:$AW$40)))))</f>
        <v/>
      </c>
      <c r="AB974" s="5">
        <f>SUMPRODUCT(('01_Data'!$B974:$AW974&lt;&gt;"")*(1/(1+EXP(-(Z974-'03_Lap_b'!$B$40:$AW$40))))^2)</f>
        <v/>
      </c>
      <c r="AC974" s="5">
        <f>MEDIAN(-6,Z974+(C974-AA974)/MAX(AA974-AB974,0.000000001),6)</f>
        <v/>
      </c>
    </row>
    <row r="975">
      <c r="A975" t="n">
        <v>974</v>
      </c>
      <c r="B975">
        <f>'01_Data'!A975</f>
        <v/>
      </c>
      <c r="C975">
        <f>SUM('01_Data'!$B975:$AW975)</f>
        <v/>
      </c>
      <c r="D975">
        <f>COUNT('01_Data'!$B975:$AW975)</f>
        <v/>
      </c>
      <c r="E975" s="5">
        <f>MEDIAN(-6,LN((C975+0.3)/(D975-C975+0.3)),6)</f>
        <v/>
      </c>
      <c r="F975" s="5">
        <f>SUMPRODUCT(('01_Data'!$B975:$AW975&lt;&gt;"")*(1/(1+EXP(-(E975-'03_Lap_b'!$B$5:$AW$5)))))</f>
        <v/>
      </c>
      <c r="G975" s="5">
        <f>SUMPRODUCT(('01_Data'!$B975:$AW975&lt;&gt;"")*(1/(1+EXP(-(E975-'03_Lap_b'!$B$5:$AW$5))))^2)</f>
        <v/>
      </c>
      <c r="H975" s="5">
        <f>MEDIAN(-6,E975+(C975-F975)/MAX(F975-G975,0.000000001),6)</f>
        <v/>
      </c>
      <c r="I975" s="5">
        <f>SUMPRODUCT(('01_Data'!$B975:$AW975&lt;&gt;"")*(1/(1+EXP(-(H975-'03_Lap_b'!$B$10:$AW$10)))))</f>
        <v/>
      </c>
      <c r="J975" s="5">
        <f>SUMPRODUCT(('01_Data'!$B975:$AW975&lt;&gt;"")*(1/(1+EXP(-(H975-'03_Lap_b'!$B$10:$AW$10))))^2)</f>
        <v/>
      </c>
      <c r="K975" s="5">
        <f>MEDIAN(-6,H975+(C975-I975)/MAX(I975-J975,0.000000001),6)</f>
        <v/>
      </c>
      <c r="L975" s="5">
        <f>SUMPRODUCT(('01_Data'!$B975:$AW975&lt;&gt;"")*(1/(1+EXP(-(K975-'03_Lap_b'!$B$15:$AW$15)))))</f>
        <v/>
      </c>
      <c r="M975" s="5">
        <f>SUMPRODUCT(('01_Data'!$B975:$AW975&lt;&gt;"")*(1/(1+EXP(-(K975-'03_Lap_b'!$B$15:$AW$15))))^2)</f>
        <v/>
      </c>
      <c r="N975" s="5">
        <f>MEDIAN(-6,K975+(C975-L975)/MAX(L975-M975,0.000000001),6)</f>
        <v/>
      </c>
      <c r="O975" s="5">
        <f>SUMPRODUCT(('01_Data'!$B975:$AW975&lt;&gt;"")*(1/(1+EXP(-(N975-'03_Lap_b'!$B$20:$AW$20)))))</f>
        <v/>
      </c>
      <c r="P975" s="5">
        <f>SUMPRODUCT(('01_Data'!$B975:$AW975&lt;&gt;"")*(1/(1+EXP(-(N975-'03_Lap_b'!$B$20:$AW$20))))^2)</f>
        <v/>
      </c>
      <c r="Q975" s="5">
        <f>MEDIAN(-6,N975+(C975-O975)/MAX(O975-P975,0.000000001),6)</f>
        <v/>
      </c>
      <c r="R975" s="5">
        <f>SUMPRODUCT(('01_Data'!$B975:$AW975&lt;&gt;"")*(1/(1+EXP(-(Q975-'03_Lap_b'!$B$25:$AW$25)))))</f>
        <v/>
      </c>
      <c r="S975" s="5">
        <f>SUMPRODUCT(('01_Data'!$B975:$AW975&lt;&gt;"")*(1/(1+EXP(-(Q975-'03_Lap_b'!$B$25:$AW$25))))^2)</f>
        <v/>
      </c>
      <c r="T975" s="5">
        <f>MEDIAN(-6,Q975+(C975-R975)/MAX(R975-S975,0.000000001),6)</f>
        <v/>
      </c>
      <c r="U975" s="5">
        <f>SUMPRODUCT(('01_Data'!$B975:$AW975&lt;&gt;"")*(1/(1+EXP(-(T975-'03_Lap_b'!$B$30:$AW$30)))))</f>
        <v/>
      </c>
      <c r="V975" s="5">
        <f>SUMPRODUCT(('01_Data'!$B975:$AW975&lt;&gt;"")*(1/(1+EXP(-(T975-'03_Lap_b'!$B$30:$AW$30))))^2)</f>
        <v/>
      </c>
      <c r="W975" s="5">
        <f>MEDIAN(-6,T975+(C975-U975)/MAX(U975-V975,0.000000001),6)</f>
        <v/>
      </c>
      <c r="X975" s="5">
        <f>SUMPRODUCT(('01_Data'!$B975:$AW975&lt;&gt;"")*(1/(1+EXP(-(W975-'03_Lap_b'!$B$35:$AW$35)))))</f>
        <v/>
      </c>
      <c r="Y975" s="5">
        <f>SUMPRODUCT(('01_Data'!$B975:$AW975&lt;&gt;"")*(1/(1+EXP(-(W975-'03_Lap_b'!$B$35:$AW$35))))^2)</f>
        <v/>
      </c>
      <c r="Z975" s="5">
        <f>MEDIAN(-6,W975+(C975-X975)/MAX(X975-Y975,0.000000001),6)</f>
        <v/>
      </c>
      <c r="AA975" s="5">
        <f>SUMPRODUCT(('01_Data'!$B975:$AW975&lt;&gt;"")*(1/(1+EXP(-(Z975-'03_Lap_b'!$B$40:$AW$40)))))</f>
        <v/>
      </c>
      <c r="AB975" s="5">
        <f>SUMPRODUCT(('01_Data'!$B975:$AW975&lt;&gt;"")*(1/(1+EXP(-(Z975-'03_Lap_b'!$B$40:$AW$40))))^2)</f>
        <v/>
      </c>
      <c r="AC975" s="5">
        <f>MEDIAN(-6,Z975+(C975-AA975)/MAX(AA975-AB975,0.000000001),6)</f>
        <v/>
      </c>
    </row>
    <row r="976">
      <c r="A976" t="n">
        <v>975</v>
      </c>
      <c r="B976">
        <f>'01_Data'!A976</f>
        <v/>
      </c>
      <c r="C976">
        <f>SUM('01_Data'!$B976:$AW976)</f>
        <v/>
      </c>
      <c r="D976">
        <f>COUNT('01_Data'!$B976:$AW976)</f>
        <v/>
      </c>
      <c r="E976" s="5">
        <f>MEDIAN(-6,LN((C976+0.3)/(D976-C976+0.3)),6)</f>
        <v/>
      </c>
      <c r="F976" s="5">
        <f>SUMPRODUCT(('01_Data'!$B976:$AW976&lt;&gt;"")*(1/(1+EXP(-(E976-'03_Lap_b'!$B$5:$AW$5)))))</f>
        <v/>
      </c>
      <c r="G976" s="5">
        <f>SUMPRODUCT(('01_Data'!$B976:$AW976&lt;&gt;"")*(1/(1+EXP(-(E976-'03_Lap_b'!$B$5:$AW$5))))^2)</f>
        <v/>
      </c>
      <c r="H976" s="5">
        <f>MEDIAN(-6,E976+(C976-F976)/MAX(F976-G976,0.000000001),6)</f>
        <v/>
      </c>
      <c r="I976" s="5">
        <f>SUMPRODUCT(('01_Data'!$B976:$AW976&lt;&gt;"")*(1/(1+EXP(-(H976-'03_Lap_b'!$B$10:$AW$10)))))</f>
        <v/>
      </c>
      <c r="J976" s="5">
        <f>SUMPRODUCT(('01_Data'!$B976:$AW976&lt;&gt;"")*(1/(1+EXP(-(H976-'03_Lap_b'!$B$10:$AW$10))))^2)</f>
        <v/>
      </c>
      <c r="K976" s="5">
        <f>MEDIAN(-6,H976+(C976-I976)/MAX(I976-J976,0.000000001),6)</f>
        <v/>
      </c>
      <c r="L976" s="5">
        <f>SUMPRODUCT(('01_Data'!$B976:$AW976&lt;&gt;"")*(1/(1+EXP(-(K976-'03_Lap_b'!$B$15:$AW$15)))))</f>
        <v/>
      </c>
      <c r="M976" s="5">
        <f>SUMPRODUCT(('01_Data'!$B976:$AW976&lt;&gt;"")*(1/(1+EXP(-(K976-'03_Lap_b'!$B$15:$AW$15))))^2)</f>
        <v/>
      </c>
      <c r="N976" s="5">
        <f>MEDIAN(-6,K976+(C976-L976)/MAX(L976-M976,0.000000001),6)</f>
        <v/>
      </c>
      <c r="O976" s="5">
        <f>SUMPRODUCT(('01_Data'!$B976:$AW976&lt;&gt;"")*(1/(1+EXP(-(N976-'03_Lap_b'!$B$20:$AW$20)))))</f>
        <v/>
      </c>
      <c r="P976" s="5">
        <f>SUMPRODUCT(('01_Data'!$B976:$AW976&lt;&gt;"")*(1/(1+EXP(-(N976-'03_Lap_b'!$B$20:$AW$20))))^2)</f>
        <v/>
      </c>
      <c r="Q976" s="5">
        <f>MEDIAN(-6,N976+(C976-O976)/MAX(O976-P976,0.000000001),6)</f>
        <v/>
      </c>
      <c r="R976" s="5">
        <f>SUMPRODUCT(('01_Data'!$B976:$AW976&lt;&gt;"")*(1/(1+EXP(-(Q976-'03_Lap_b'!$B$25:$AW$25)))))</f>
        <v/>
      </c>
      <c r="S976" s="5">
        <f>SUMPRODUCT(('01_Data'!$B976:$AW976&lt;&gt;"")*(1/(1+EXP(-(Q976-'03_Lap_b'!$B$25:$AW$25))))^2)</f>
        <v/>
      </c>
      <c r="T976" s="5">
        <f>MEDIAN(-6,Q976+(C976-R976)/MAX(R976-S976,0.000000001),6)</f>
        <v/>
      </c>
      <c r="U976" s="5">
        <f>SUMPRODUCT(('01_Data'!$B976:$AW976&lt;&gt;"")*(1/(1+EXP(-(T976-'03_Lap_b'!$B$30:$AW$30)))))</f>
        <v/>
      </c>
      <c r="V976" s="5">
        <f>SUMPRODUCT(('01_Data'!$B976:$AW976&lt;&gt;"")*(1/(1+EXP(-(T976-'03_Lap_b'!$B$30:$AW$30))))^2)</f>
        <v/>
      </c>
      <c r="W976" s="5">
        <f>MEDIAN(-6,T976+(C976-U976)/MAX(U976-V976,0.000000001),6)</f>
        <v/>
      </c>
      <c r="X976" s="5">
        <f>SUMPRODUCT(('01_Data'!$B976:$AW976&lt;&gt;"")*(1/(1+EXP(-(W976-'03_Lap_b'!$B$35:$AW$35)))))</f>
        <v/>
      </c>
      <c r="Y976" s="5">
        <f>SUMPRODUCT(('01_Data'!$B976:$AW976&lt;&gt;"")*(1/(1+EXP(-(W976-'03_Lap_b'!$B$35:$AW$35))))^2)</f>
        <v/>
      </c>
      <c r="Z976" s="5">
        <f>MEDIAN(-6,W976+(C976-X976)/MAX(X976-Y976,0.000000001),6)</f>
        <v/>
      </c>
      <c r="AA976" s="5">
        <f>SUMPRODUCT(('01_Data'!$B976:$AW976&lt;&gt;"")*(1/(1+EXP(-(Z976-'03_Lap_b'!$B$40:$AW$40)))))</f>
        <v/>
      </c>
      <c r="AB976" s="5">
        <f>SUMPRODUCT(('01_Data'!$B976:$AW976&lt;&gt;"")*(1/(1+EXP(-(Z976-'03_Lap_b'!$B$40:$AW$40))))^2)</f>
        <v/>
      </c>
      <c r="AC976" s="5">
        <f>MEDIAN(-6,Z976+(C976-AA976)/MAX(AA976-AB976,0.000000001),6)</f>
        <v/>
      </c>
    </row>
    <row r="977">
      <c r="A977" t="n">
        <v>976</v>
      </c>
      <c r="B977">
        <f>'01_Data'!A977</f>
        <v/>
      </c>
      <c r="C977">
        <f>SUM('01_Data'!$B977:$AW977)</f>
        <v/>
      </c>
      <c r="D977">
        <f>COUNT('01_Data'!$B977:$AW977)</f>
        <v/>
      </c>
      <c r="E977" s="5">
        <f>MEDIAN(-6,LN((C977+0.3)/(D977-C977+0.3)),6)</f>
        <v/>
      </c>
      <c r="F977" s="5">
        <f>SUMPRODUCT(('01_Data'!$B977:$AW977&lt;&gt;"")*(1/(1+EXP(-(E977-'03_Lap_b'!$B$5:$AW$5)))))</f>
        <v/>
      </c>
      <c r="G977" s="5">
        <f>SUMPRODUCT(('01_Data'!$B977:$AW977&lt;&gt;"")*(1/(1+EXP(-(E977-'03_Lap_b'!$B$5:$AW$5))))^2)</f>
        <v/>
      </c>
      <c r="H977" s="5">
        <f>MEDIAN(-6,E977+(C977-F977)/MAX(F977-G977,0.000000001),6)</f>
        <v/>
      </c>
      <c r="I977" s="5">
        <f>SUMPRODUCT(('01_Data'!$B977:$AW977&lt;&gt;"")*(1/(1+EXP(-(H977-'03_Lap_b'!$B$10:$AW$10)))))</f>
        <v/>
      </c>
      <c r="J977" s="5">
        <f>SUMPRODUCT(('01_Data'!$B977:$AW977&lt;&gt;"")*(1/(1+EXP(-(H977-'03_Lap_b'!$B$10:$AW$10))))^2)</f>
        <v/>
      </c>
      <c r="K977" s="5">
        <f>MEDIAN(-6,H977+(C977-I977)/MAX(I977-J977,0.000000001),6)</f>
        <v/>
      </c>
      <c r="L977" s="5">
        <f>SUMPRODUCT(('01_Data'!$B977:$AW977&lt;&gt;"")*(1/(1+EXP(-(K977-'03_Lap_b'!$B$15:$AW$15)))))</f>
        <v/>
      </c>
      <c r="M977" s="5">
        <f>SUMPRODUCT(('01_Data'!$B977:$AW977&lt;&gt;"")*(1/(1+EXP(-(K977-'03_Lap_b'!$B$15:$AW$15))))^2)</f>
        <v/>
      </c>
      <c r="N977" s="5">
        <f>MEDIAN(-6,K977+(C977-L977)/MAX(L977-M977,0.000000001),6)</f>
        <v/>
      </c>
      <c r="O977" s="5">
        <f>SUMPRODUCT(('01_Data'!$B977:$AW977&lt;&gt;"")*(1/(1+EXP(-(N977-'03_Lap_b'!$B$20:$AW$20)))))</f>
        <v/>
      </c>
      <c r="P977" s="5">
        <f>SUMPRODUCT(('01_Data'!$B977:$AW977&lt;&gt;"")*(1/(1+EXP(-(N977-'03_Lap_b'!$B$20:$AW$20))))^2)</f>
        <v/>
      </c>
      <c r="Q977" s="5">
        <f>MEDIAN(-6,N977+(C977-O977)/MAX(O977-P977,0.000000001),6)</f>
        <v/>
      </c>
      <c r="R977" s="5">
        <f>SUMPRODUCT(('01_Data'!$B977:$AW977&lt;&gt;"")*(1/(1+EXP(-(Q977-'03_Lap_b'!$B$25:$AW$25)))))</f>
        <v/>
      </c>
      <c r="S977" s="5">
        <f>SUMPRODUCT(('01_Data'!$B977:$AW977&lt;&gt;"")*(1/(1+EXP(-(Q977-'03_Lap_b'!$B$25:$AW$25))))^2)</f>
        <v/>
      </c>
      <c r="T977" s="5">
        <f>MEDIAN(-6,Q977+(C977-R977)/MAX(R977-S977,0.000000001),6)</f>
        <v/>
      </c>
      <c r="U977" s="5">
        <f>SUMPRODUCT(('01_Data'!$B977:$AW977&lt;&gt;"")*(1/(1+EXP(-(T977-'03_Lap_b'!$B$30:$AW$30)))))</f>
        <v/>
      </c>
      <c r="V977" s="5">
        <f>SUMPRODUCT(('01_Data'!$B977:$AW977&lt;&gt;"")*(1/(1+EXP(-(T977-'03_Lap_b'!$B$30:$AW$30))))^2)</f>
        <v/>
      </c>
      <c r="W977" s="5">
        <f>MEDIAN(-6,T977+(C977-U977)/MAX(U977-V977,0.000000001),6)</f>
        <v/>
      </c>
      <c r="X977" s="5">
        <f>SUMPRODUCT(('01_Data'!$B977:$AW977&lt;&gt;"")*(1/(1+EXP(-(W977-'03_Lap_b'!$B$35:$AW$35)))))</f>
        <v/>
      </c>
      <c r="Y977" s="5">
        <f>SUMPRODUCT(('01_Data'!$B977:$AW977&lt;&gt;"")*(1/(1+EXP(-(W977-'03_Lap_b'!$B$35:$AW$35))))^2)</f>
        <v/>
      </c>
      <c r="Z977" s="5">
        <f>MEDIAN(-6,W977+(C977-X977)/MAX(X977-Y977,0.000000001),6)</f>
        <v/>
      </c>
      <c r="AA977" s="5">
        <f>SUMPRODUCT(('01_Data'!$B977:$AW977&lt;&gt;"")*(1/(1+EXP(-(Z977-'03_Lap_b'!$B$40:$AW$40)))))</f>
        <v/>
      </c>
      <c r="AB977" s="5">
        <f>SUMPRODUCT(('01_Data'!$B977:$AW977&lt;&gt;"")*(1/(1+EXP(-(Z977-'03_Lap_b'!$B$40:$AW$40))))^2)</f>
        <v/>
      </c>
      <c r="AC977" s="5">
        <f>MEDIAN(-6,Z977+(C977-AA977)/MAX(AA977-AB977,0.000000001),6)</f>
        <v/>
      </c>
    </row>
    <row r="978">
      <c r="A978" t="n">
        <v>977</v>
      </c>
      <c r="B978">
        <f>'01_Data'!A978</f>
        <v/>
      </c>
      <c r="C978">
        <f>SUM('01_Data'!$B978:$AW978)</f>
        <v/>
      </c>
      <c r="D978">
        <f>COUNT('01_Data'!$B978:$AW978)</f>
        <v/>
      </c>
      <c r="E978" s="5">
        <f>MEDIAN(-6,LN((C978+0.3)/(D978-C978+0.3)),6)</f>
        <v/>
      </c>
      <c r="F978" s="5">
        <f>SUMPRODUCT(('01_Data'!$B978:$AW978&lt;&gt;"")*(1/(1+EXP(-(E978-'03_Lap_b'!$B$5:$AW$5)))))</f>
        <v/>
      </c>
      <c r="G978" s="5">
        <f>SUMPRODUCT(('01_Data'!$B978:$AW978&lt;&gt;"")*(1/(1+EXP(-(E978-'03_Lap_b'!$B$5:$AW$5))))^2)</f>
        <v/>
      </c>
      <c r="H978" s="5">
        <f>MEDIAN(-6,E978+(C978-F978)/MAX(F978-G978,0.000000001),6)</f>
        <v/>
      </c>
      <c r="I978" s="5">
        <f>SUMPRODUCT(('01_Data'!$B978:$AW978&lt;&gt;"")*(1/(1+EXP(-(H978-'03_Lap_b'!$B$10:$AW$10)))))</f>
        <v/>
      </c>
      <c r="J978" s="5">
        <f>SUMPRODUCT(('01_Data'!$B978:$AW978&lt;&gt;"")*(1/(1+EXP(-(H978-'03_Lap_b'!$B$10:$AW$10))))^2)</f>
        <v/>
      </c>
      <c r="K978" s="5">
        <f>MEDIAN(-6,H978+(C978-I978)/MAX(I978-J978,0.000000001),6)</f>
        <v/>
      </c>
      <c r="L978" s="5">
        <f>SUMPRODUCT(('01_Data'!$B978:$AW978&lt;&gt;"")*(1/(1+EXP(-(K978-'03_Lap_b'!$B$15:$AW$15)))))</f>
        <v/>
      </c>
      <c r="M978" s="5">
        <f>SUMPRODUCT(('01_Data'!$B978:$AW978&lt;&gt;"")*(1/(1+EXP(-(K978-'03_Lap_b'!$B$15:$AW$15))))^2)</f>
        <v/>
      </c>
      <c r="N978" s="5">
        <f>MEDIAN(-6,K978+(C978-L978)/MAX(L978-M978,0.000000001),6)</f>
        <v/>
      </c>
      <c r="O978" s="5">
        <f>SUMPRODUCT(('01_Data'!$B978:$AW978&lt;&gt;"")*(1/(1+EXP(-(N978-'03_Lap_b'!$B$20:$AW$20)))))</f>
        <v/>
      </c>
      <c r="P978" s="5">
        <f>SUMPRODUCT(('01_Data'!$B978:$AW978&lt;&gt;"")*(1/(1+EXP(-(N978-'03_Lap_b'!$B$20:$AW$20))))^2)</f>
        <v/>
      </c>
      <c r="Q978" s="5">
        <f>MEDIAN(-6,N978+(C978-O978)/MAX(O978-P978,0.000000001),6)</f>
        <v/>
      </c>
      <c r="R978" s="5">
        <f>SUMPRODUCT(('01_Data'!$B978:$AW978&lt;&gt;"")*(1/(1+EXP(-(Q978-'03_Lap_b'!$B$25:$AW$25)))))</f>
        <v/>
      </c>
      <c r="S978" s="5">
        <f>SUMPRODUCT(('01_Data'!$B978:$AW978&lt;&gt;"")*(1/(1+EXP(-(Q978-'03_Lap_b'!$B$25:$AW$25))))^2)</f>
        <v/>
      </c>
      <c r="T978" s="5">
        <f>MEDIAN(-6,Q978+(C978-R978)/MAX(R978-S978,0.000000001),6)</f>
        <v/>
      </c>
      <c r="U978" s="5">
        <f>SUMPRODUCT(('01_Data'!$B978:$AW978&lt;&gt;"")*(1/(1+EXP(-(T978-'03_Lap_b'!$B$30:$AW$30)))))</f>
        <v/>
      </c>
      <c r="V978" s="5">
        <f>SUMPRODUCT(('01_Data'!$B978:$AW978&lt;&gt;"")*(1/(1+EXP(-(T978-'03_Lap_b'!$B$30:$AW$30))))^2)</f>
        <v/>
      </c>
      <c r="W978" s="5">
        <f>MEDIAN(-6,T978+(C978-U978)/MAX(U978-V978,0.000000001),6)</f>
        <v/>
      </c>
      <c r="X978" s="5">
        <f>SUMPRODUCT(('01_Data'!$B978:$AW978&lt;&gt;"")*(1/(1+EXP(-(W978-'03_Lap_b'!$B$35:$AW$35)))))</f>
        <v/>
      </c>
      <c r="Y978" s="5">
        <f>SUMPRODUCT(('01_Data'!$B978:$AW978&lt;&gt;"")*(1/(1+EXP(-(W978-'03_Lap_b'!$B$35:$AW$35))))^2)</f>
        <v/>
      </c>
      <c r="Z978" s="5">
        <f>MEDIAN(-6,W978+(C978-X978)/MAX(X978-Y978,0.000000001),6)</f>
        <v/>
      </c>
      <c r="AA978" s="5">
        <f>SUMPRODUCT(('01_Data'!$B978:$AW978&lt;&gt;"")*(1/(1+EXP(-(Z978-'03_Lap_b'!$B$40:$AW$40)))))</f>
        <v/>
      </c>
      <c r="AB978" s="5">
        <f>SUMPRODUCT(('01_Data'!$B978:$AW978&lt;&gt;"")*(1/(1+EXP(-(Z978-'03_Lap_b'!$B$40:$AW$40))))^2)</f>
        <v/>
      </c>
      <c r="AC978" s="5">
        <f>MEDIAN(-6,Z978+(C978-AA978)/MAX(AA978-AB978,0.000000001),6)</f>
        <v/>
      </c>
    </row>
    <row r="979">
      <c r="A979" t="n">
        <v>978</v>
      </c>
      <c r="B979">
        <f>'01_Data'!A979</f>
        <v/>
      </c>
      <c r="C979">
        <f>SUM('01_Data'!$B979:$AW979)</f>
        <v/>
      </c>
      <c r="D979">
        <f>COUNT('01_Data'!$B979:$AW979)</f>
        <v/>
      </c>
      <c r="E979" s="5">
        <f>MEDIAN(-6,LN((C979+0.3)/(D979-C979+0.3)),6)</f>
        <v/>
      </c>
      <c r="F979" s="5">
        <f>SUMPRODUCT(('01_Data'!$B979:$AW979&lt;&gt;"")*(1/(1+EXP(-(E979-'03_Lap_b'!$B$5:$AW$5)))))</f>
        <v/>
      </c>
      <c r="G979" s="5">
        <f>SUMPRODUCT(('01_Data'!$B979:$AW979&lt;&gt;"")*(1/(1+EXP(-(E979-'03_Lap_b'!$B$5:$AW$5))))^2)</f>
        <v/>
      </c>
      <c r="H979" s="5">
        <f>MEDIAN(-6,E979+(C979-F979)/MAX(F979-G979,0.000000001),6)</f>
        <v/>
      </c>
      <c r="I979" s="5">
        <f>SUMPRODUCT(('01_Data'!$B979:$AW979&lt;&gt;"")*(1/(1+EXP(-(H979-'03_Lap_b'!$B$10:$AW$10)))))</f>
        <v/>
      </c>
      <c r="J979" s="5">
        <f>SUMPRODUCT(('01_Data'!$B979:$AW979&lt;&gt;"")*(1/(1+EXP(-(H979-'03_Lap_b'!$B$10:$AW$10))))^2)</f>
        <v/>
      </c>
      <c r="K979" s="5">
        <f>MEDIAN(-6,H979+(C979-I979)/MAX(I979-J979,0.000000001),6)</f>
        <v/>
      </c>
      <c r="L979" s="5">
        <f>SUMPRODUCT(('01_Data'!$B979:$AW979&lt;&gt;"")*(1/(1+EXP(-(K979-'03_Lap_b'!$B$15:$AW$15)))))</f>
        <v/>
      </c>
      <c r="M979" s="5">
        <f>SUMPRODUCT(('01_Data'!$B979:$AW979&lt;&gt;"")*(1/(1+EXP(-(K979-'03_Lap_b'!$B$15:$AW$15))))^2)</f>
        <v/>
      </c>
      <c r="N979" s="5">
        <f>MEDIAN(-6,K979+(C979-L979)/MAX(L979-M979,0.000000001),6)</f>
        <v/>
      </c>
      <c r="O979" s="5">
        <f>SUMPRODUCT(('01_Data'!$B979:$AW979&lt;&gt;"")*(1/(1+EXP(-(N979-'03_Lap_b'!$B$20:$AW$20)))))</f>
        <v/>
      </c>
      <c r="P979" s="5">
        <f>SUMPRODUCT(('01_Data'!$B979:$AW979&lt;&gt;"")*(1/(1+EXP(-(N979-'03_Lap_b'!$B$20:$AW$20))))^2)</f>
        <v/>
      </c>
      <c r="Q979" s="5">
        <f>MEDIAN(-6,N979+(C979-O979)/MAX(O979-P979,0.000000001),6)</f>
        <v/>
      </c>
      <c r="R979" s="5">
        <f>SUMPRODUCT(('01_Data'!$B979:$AW979&lt;&gt;"")*(1/(1+EXP(-(Q979-'03_Lap_b'!$B$25:$AW$25)))))</f>
        <v/>
      </c>
      <c r="S979" s="5">
        <f>SUMPRODUCT(('01_Data'!$B979:$AW979&lt;&gt;"")*(1/(1+EXP(-(Q979-'03_Lap_b'!$B$25:$AW$25))))^2)</f>
        <v/>
      </c>
      <c r="T979" s="5">
        <f>MEDIAN(-6,Q979+(C979-R979)/MAX(R979-S979,0.000000001),6)</f>
        <v/>
      </c>
      <c r="U979" s="5">
        <f>SUMPRODUCT(('01_Data'!$B979:$AW979&lt;&gt;"")*(1/(1+EXP(-(T979-'03_Lap_b'!$B$30:$AW$30)))))</f>
        <v/>
      </c>
      <c r="V979" s="5">
        <f>SUMPRODUCT(('01_Data'!$B979:$AW979&lt;&gt;"")*(1/(1+EXP(-(T979-'03_Lap_b'!$B$30:$AW$30))))^2)</f>
        <v/>
      </c>
      <c r="W979" s="5">
        <f>MEDIAN(-6,T979+(C979-U979)/MAX(U979-V979,0.000000001),6)</f>
        <v/>
      </c>
      <c r="X979" s="5">
        <f>SUMPRODUCT(('01_Data'!$B979:$AW979&lt;&gt;"")*(1/(1+EXP(-(W979-'03_Lap_b'!$B$35:$AW$35)))))</f>
        <v/>
      </c>
      <c r="Y979" s="5">
        <f>SUMPRODUCT(('01_Data'!$B979:$AW979&lt;&gt;"")*(1/(1+EXP(-(W979-'03_Lap_b'!$B$35:$AW$35))))^2)</f>
        <v/>
      </c>
      <c r="Z979" s="5">
        <f>MEDIAN(-6,W979+(C979-X979)/MAX(X979-Y979,0.000000001),6)</f>
        <v/>
      </c>
      <c r="AA979" s="5">
        <f>SUMPRODUCT(('01_Data'!$B979:$AW979&lt;&gt;"")*(1/(1+EXP(-(Z979-'03_Lap_b'!$B$40:$AW$40)))))</f>
        <v/>
      </c>
      <c r="AB979" s="5">
        <f>SUMPRODUCT(('01_Data'!$B979:$AW979&lt;&gt;"")*(1/(1+EXP(-(Z979-'03_Lap_b'!$B$40:$AW$40))))^2)</f>
        <v/>
      </c>
      <c r="AC979" s="5">
        <f>MEDIAN(-6,Z979+(C979-AA979)/MAX(AA979-AB979,0.000000001),6)</f>
        <v/>
      </c>
    </row>
    <row r="980">
      <c r="A980" t="n">
        <v>979</v>
      </c>
      <c r="B980">
        <f>'01_Data'!A980</f>
        <v/>
      </c>
      <c r="C980">
        <f>SUM('01_Data'!$B980:$AW980)</f>
        <v/>
      </c>
      <c r="D980">
        <f>COUNT('01_Data'!$B980:$AW980)</f>
        <v/>
      </c>
      <c r="E980" s="5">
        <f>MEDIAN(-6,LN((C980+0.3)/(D980-C980+0.3)),6)</f>
        <v/>
      </c>
      <c r="F980" s="5">
        <f>SUMPRODUCT(('01_Data'!$B980:$AW980&lt;&gt;"")*(1/(1+EXP(-(E980-'03_Lap_b'!$B$5:$AW$5)))))</f>
        <v/>
      </c>
      <c r="G980" s="5">
        <f>SUMPRODUCT(('01_Data'!$B980:$AW980&lt;&gt;"")*(1/(1+EXP(-(E980-'03_Lap_b'!$B$5:$AW$5))))^2)</f>
        <v/>
      </c>
      <c r="H980" s="5">
        <f>MEDIAN(-6,E980+(C980-F980)/MAX(F980-G980,0.000000001),6)</f>
        <v/>
      </c>
      <c r="I980" s="5">
        <f>SUMPRODUCT(('01_Data'!$B980:$AW980&lt;&gt;"")*(1/(1+EXP(-(H980-'03_Lap_b'!$B$10:$AW$10)))))</f>
        <v/>
      </c>
      <c r="J980" s="5">
        <f>SUMPRODUCT(('01_Data'!$B980:$AW980&lt;&gt;"")*(1/(1+EXP(-(H980-'03_Lap_b'!$B$10:$AW$10))))^2)</f>
        <v/>
      </c>
      <c r="K980" s="5">
        <f>MEDIAN(-6,H980+(C980-I980)/MAX(I980-J980,0.000000001),6)</f>
        <v/>
      </c>
      <c r="L980" s="5">
        <f>SUMPRODUCT(('01_Data'!$B980:$AW980&lt;&gt;"")*(1/(1+EXP(-(K980-'03_Lap_b'!$B$15:$AW$15)))))</f>
        <v/>
      </c>
      <c r="M980" s="5">
        <f>SUMPRODUCT(('01_Data'!$B980:$AW980&lt;&gt;"")*(1/(1+EXP(-(K980-'03_Lap_b'!$B$15:$AW$15))))^2)</f>
        <v/>
      </c>
      <c r="N980" s="5">
        <f>MEDIAN(-6,K980+(C980-L980)/MAX(L980-M980,0.000000001),6)</f>
        <v/>
      </c>
      <c r="O980" s="5">
        <f>SUMPRODUCT(('01_Data'!$B980:$AW980&lt;&gt;"")*(1/(1+EXP(-(N980-'03_Lap_b'!$B$20:$AW$20)))))</f>
        <v/>
      </c>
      <c r="P980" s="5">
        <f>SUMPRODUCT(('01_Data'!$B980:$AW980&lt;&gt;"")*(1/(1+EXP(-(N980-'03_Lap_b'!$B$20:$AW$20))))^2)</f>
        <v/>
      </c>
      <c r="Q980" s="5">
        <f>MEDIAN(-6,N980+(C980-O980)/MAX(O980-P980,0.000000001),6)</f>
        <v/>
      </c>
      <c r="R980" s="5">
        <f>SUMPRODUCT(('01_Data'!$B980:$AW980&lt;&gt;"")*(1/(1+EXP(-(Q980-'03_Lap_b'!$B$25:$AW$25)))))</f>
        <v/>
      </c>
      <c r="S980" s="5">
        <f>SUMPRODUCT(('01_Data'!$B980:$AW980&lt;&gt;"")*(1/(1+EXP(-(Q980-'03_Lap_b'!$B$25:$AW$25))))^2)</f>
        <v/>
      </c>
      <c r="T980" s="5">
        <f>MEDIAN(-6,Q980+(C980-R980)/MAX(R980-S980,0.000000001),6)</f>
        <v/>
      </c>
      <c r="U980" s="5">
        <f>SUMPRODUCT(('01_Data'!$B980:$AW980&lt;&gt;"")*(1/(1+EXP(-(T980-'03_Lap_b'!$B$30:$AW$30)))))</f>
        <v/>
      </c>
      <c r="V980" s="5">
        <f>SUMPRODUCT(('01_Data'!$B980:$AW980&lt;&gt;"")*(1/(1+EXP(-(T980-'03_Lap_b'!$B$30:$AW$30))))^2)</f>
        <v/>
      </c>
      <c r="W980" s="5">
        <f>MEDIAN(-6,T980+(C980-U980)/MAX(U980-V980,0.000000001),6)</f>
        <v/>
      </c>
      <c r="X980" s="5">
        <f>SUMPRODUCT(('01_Data'!$B980:$AW980&lt;&gt;"")*(1/(1+EXP(-(W980-'03_Lap_b'!$B$35:$AW$35)))))</f>
        <v/>
      </c>
      <c r="Y980" s="5">
        <f>SUMPRODUCT(('01_Data'!$B980:$AW980&lt;&gt;"")*(1/(1+EXP(-(W980-'03_Lap_b'!$B$35:$AW$35))))^2)</f>
        <v/>
      </c>
      <c r="Z980" s="5">
        <f>MEDIAN(-6,W980+(C980-X980)/MAX(X980-Y980,0.000000001),6)</f>
        <v/>
      </c>
      <c r="AA980" s="5">
        <f>SUMPRODUCT(('01_Data'!$B980:$AW980&lt;&gt;"")*(1/(1+EXP(-(Z980-'03_Lap_b'!$B$40:$AW$40)))))</f>
        <v/>
      </c>
      <c r="AB980" s="5">
        <f>SUMPRODUCT(('01_Data'!$B980:$AW980&lt;&gt;"")*(1/(1+EXP(-(Z980-'03_Lap_b'!$B$40:$AW$40))))^2)</f>
        <v/>
      </c>
      <c r="AC980" s="5">
        <f>MEDIAN(-6,Z980+(C980-AA980)/MAX(AA980-AB980,0.000000001),6)</f>
        <v/>
      </c>
    </row>
    <row r="981">
      <c r="A981" t="n">
        <v>980</v>
      </c>
      <c r="B981">
        <f>'01_Data'!A981</f>
        <v/>
      </c>
      <c r="C981">
        <f>SUM('01_Data'!$B981:$AW981)</f>
        <v/>
      </c>
      <c r="D981">
        <f>COUNT('01_Data'!$B981:$AW981)</f>
        <v/>
      </c>
      <c r="E981" s="5">
        <f>MEDIAN(-6,LN((C981+0.3)/(D981-C981+0.3)),6)</f>
        <v/>
      </c>
      <c r="F981" s="5">
        <f>SUMPRODUCT(('01_Data'!$B981:$AW981&lt;&gt;"")*(1/(1+EXP(-(E981-'03_Lap_b'!$B$5:$AW$5)))))</f>
        <v/>
      </c>
      <c r="G981" s="5">
        <f>SUMPRODUCT(('01_Data'!$B981:$AW981&lt;&gt;"")*(1/(1+EXP(-(E981-'03_Lap_b'!$B$5:$AW$5))))^2)</f>
        <v/>
      </c>
      <c r="H981" s="5">
        <f>MEDIAN(-6,E981+(C981-F981)/MAX(F981-G981,0.000000001),6)</f>
        <v/>
      </c>
      <c r="I981" s="5">
        <f>SUMPRODUCT(('01_Data'!$B981:$AW981&lt;&gt;"")*(1/(1+EXP(-(H981-'03_Lap_b'!$B$10:$AW$10)))))</f>
        <v/>
      </c>
      <c r="J981" s="5">
        <f>SUMPRODUCT(('01_Data'!$B981:$AW981&lt;&gt;"")*(1/(1+EXP(-(H981-'03_Lap_b'!$B$10:$AW$10))))^2)</f>
        <v/>
      </c>
      <c r="K981" s="5">
        <f>MEDIAN(-6,H981+(C981-I981)/MAX(I981-J981,0.000000001),6)</f>
        <v/>
      </c>
      <c r="L981" s="5">
        <f>SUMPRODUCT(('01_Data'!$B981:$AW981&lt;&gt;"")*(1/(1+EXP(-(K981-'03_Lap_b'!$B$15:$AW$15)))))</f>
        <v/>
      </c>
      <c r="M981" s="5">
        <f>SUMPRODUCT(('01_Data'!$B981:$AW981&lt;&gt;"")*(1/(1+EXP(-(K981-'03_Lap_b'!$B$15:$AW$15))))^2)</f>
        <v/>
      </c>
      <c r="N981" s="5">
        <f>MEDIAN(-6,K981+(C981-L981)/MAX(L981-M981,0.000000001),6)</f>
        <v/>
      </c>
      <c r="O981" s="5">
        <f>SUMPRODUCT(('01_Data'!$B981:$AW981&lt;&gt;"")*(1/(1+EXP(-(N981-'03_Lap_b'!$B$20:$AW$20)))))</f>
        <v/>
      </c>
      <c r="P981" s="5">
        <f>SUMPRODUCT(('01_Data'!$B981:$AW981&lt;&gt;"")*(1/(1+EXP(-(N981-'03_Lap_b'!$B$20:$AW$20))))^2)</f>
        <v/>
      </c>
      <c r="Q981" s="5">
        <f>MEDIAN(-6,N981+(C981-O981)/MAX(O981-P981,0.000000001),6)</f>
        <v/>
      </c>
      <c r="R981" s="5">
        <f>SUMPRODUCT(('01_Data'!$B981:$AW981&lt;&gt;"")*(1/(1+EXP(-(Q981-'03_Lap_b'!$B$25:$AW$25)))))</f>
        <v/>
      </c>
      <c r="S981" s="5">
        <f>SUMPRODUCT(('01_Data'!$B981:$AW981&lt;&gt;"")*(1/(1+EXP(-(Q981-'03_Lap_b'!$B$25:$AW$25))))^2)</f>
        <v/>
      </c>
      <c r="T981" s="5">
        <f>MEDIAN(-6,Q981+(C981-R981)/MAX(R981-S981,0.000000001),6)</f>
        <v/>
      </c>
      <c r="U981" s="5">
        <f>SUMPRODUCT(('01_Data'!$B981:$AW981&lt;&gt;"")*(1/(1+EXP(-(T981-'03_Lap_b'!$B$30:$AW$30)))))</f>
        <v/>
      </c>
      <c r="V981" s="5">
        <f>SUMPRODUCT(('01_Data'!$B981:$AW981&lt;&gt;"")*(1/(1+EXP(-(T981-'03_Lap_b'!$B$30:$AW$30))))^2)</f>
        <v/>
      </c>
      <c r="W981" s="5">
        <f>MEDIAN(-6,T981+(C981-U981)/MAX(U981-V981,0.000000001),6)</f>
        <v/>
      </c>
      <c r="X981" s="5">
        <f>SUMPRODUCT(('01_Data'!$B981:$AW981&lt;&gt;"")*(1/(1+EXP(-(W981-'03_Lap_b'!$B$35:$AW$35)))))</f>
        <v/>
      </c>
      <c r="Y981" s="5">
        <f>SUMPRODUCT(('01_Data'!$B981:$AW981&lt;&gt;"")*(1/(1+EXP(-(W981-'03_Lap_b'!$B$35:$AW$35))))^2)</f>
        <v/>
      </c>
      <c r="Z981" s="5">
        <f>MEDIAN(-6,W981+(C981-X981)/MAX(X981-Y981,0.000000001),6)</f>
        <v/>
      </c>
      <c r="AA981" s="5">
        <f>SUMPRODUCT(('01_Data'!$B981:$AW981&lt;&gt;"")*(1/(1+EXP(-(Z981-'03_Lap_b'!$B$40:$AW$40)))))</f>
        <v/>
      </c>
      <c r="AB981" s="5">
        <f>SUMPRODUCT(('01_Data'!$B981:$AW981&lt;&gt;"")*(1/(1+EXP(-(Z981-'03_Lap_b'!$B$40:$AW$40))))^2)</f>
        <v/>
      </c>
      <c r="AC981" s="5">
        <f>MEDIAN(-6,Z981+(C981-AA981)/MAX(AA981-AB981,0.000000001),6)</f>
        <v/>
      </c>
    </row>
    <row r="982">
      <c r="A982" t="n">
        <v>981</v>
      </c>
      <c r="B982">
        <f>'01_Data'!A982</f>
        <v/>
      </c>
      <c r="C982">
        <f>SUM('01_Data'!$B982:$AW982)</f>
        <v/>
      </c>
      <c r="D982">
        <f>COUNT('01_Data'!$B982:$AW982)</f>
        <v/>
      </c>
      <c r="E982" s="5">
        <f>MEDIAN(-6,LN((C982+0.3)/(D982-C982+0.3)),6)</f>
        <v/>
      </c>
      <c r="F982" s="5">
        <f>SUMPRODUCT(('01_Data'!$B982:$AW982&lt;&gt;"")*(1/(1+EXP(-(E982-'03_Lap_b'!$B$5:$AW$5)))))</f>
        <v/>
      </c>
      <c r="G982" s="5">
        <f>SUMPRODUCT(('01_Data'!$B982:$AW982&lt;&gt;"")*(1/(1+EXP(-(E982-'03_Lap_b'!$B$5:$AW$5))))^2)</f>
        <v/>
      </c>
      <c r="H982" s="5">
        <f>MEDIAN(-6,E982+(C982-F982)/MAX(F982-G982,0.000000001),6)</f>
        <v/>
      </c>
      <c r="I982" s="5">
        <f>SUMPRODUCT(('01_Data'!$B982:$AW982&lt;&gt;"")*(1/(1+EXP(-(H982-'03_Lap_b'!$B$10:$AW$10)))))</f>
        <v/>
      </c>
      <c r="J982" s="5">
        <f>SUMPRODUCT(('01_Data'!$B982:$AW982&lt;&gt;"")*(1/(1+EXP(-(H982-'03_Lap_b'!$B$10:$AW$10))))^2)</f>
        <v/>
      </c>
      <c r="K982" s="5">
        <f>MEDIAN(-6,H982+(C982-I982)/MAX(I982-J982,0.000000001),6)</f>
        <v/>
      </c>
      <c r="L982" s="5">
        <f>SUMPRODUCT(('01_Data'!$B982:$AW982&lt;&gt;"")*(1/(1+EXP(-(K982-'03_Lap_b'!$B$15:$AW$15)))))</f>
        <v/>
      </c>
      <c r="M982" s="5">
        <f>SUMPRODUCT(('01_Data'!$B982:$AW982&lt;&gt;"")*(1/(1+EXP(-(K982-'03_Lap_b'!$B$15:$AW$15))))^2)</f>
        <v/>
      </c>
      <c r="N982" s="5">
        <f>MEDIAN(-6,K982+(C982-L982)/MAX(L982-M982,0.000000001),6)</f>
        <v/>
      </c>
      <c r="O982" s="5">
        <f>SUMPRODUCT(('01_Data'!$B982:$AW982&lt;&gt;"")*(1/(1+EXP(-(N982-'03_Lap_b'!$B$20:$AW$20)))))</f>
        <v/>
      </c>
      <c r="P982" s="5">
        <f>SUMPRODUCT(('01_Data'!$B982:$AW982&lt;&gt;"")*(1/(1+EXP(-(N982-'03_Lap_b'!$B$20:$AW$20))))^2)</f>
        <v/>
      </c>
      <c r="Q982" s="5">
        <f>MEDIAN(-6,N982+(C982-O982)/MAX(O982-P982,0.000000001),6)</f>
        <v/>
      </c>
      <c r="R982" s="5">
        <f>SUMPRODUCT(('01_Data'!$B982:$AW982&lt;&gt;"")*(1/(1+EXP(-(Q982-'03_Lap_b'!$B$25:$AW$25)))))</f>
        <v/>
      </c>
      <c r="S982" s="5">
        <f>SUMPRODUCT(('01_Data'!$B982:$AW982&lt;&gt;"")*(1/(1+EXP(-(Q982-'03_Lap_b'!$B$25:$AW$25))))^2)</f>
        <v/>
      </c>
      <c r="T982" s="5">
        <f>MEDIAN(-6,Q982+(C982-R982)/MAX(R982-S982,0.000000001),6)</f>
        <v/>
      </c>
      <c r="U982" s="5">
        <f>SUMPRODUCT(('01_Data'!$B982:$AW982&lt;&gt;"")*(1/(1+EXP(-(T982-'03_Lap_b'!$B$30:$AW$30)))))</f>
        <v/>
      </c>
      <c r="V982" s="5">
        <f>SUMPRODUCT(('01_Data'!$B982:$AW982&lt;&gt;"")*(1/(1+EXP(-(T982-'03_Lap_b'!$B$30:$AW$30))))^2)</f>
        <v/>
      </c>
      <c r="W982" s="5">
        <f>MEDIAN(-6,T982+(C982-U982)/MAX(U982-V982,0.000000001),6)</f>
        <v/>
      </c>
      <c r="X982" s="5">
        <f>SUMPRODUCT(('01_Data'!$B982:$AW982&lt;&gt;"")*(1/(1+EXP(-(W982-'03_Lap_b'!$B$35:$AW$35)))))</f>
        <v/>
      </c>
      <c r="Y982" s="5">
        <f>SUMPRODUCT(('01_Data'!$B982:$AW982&lt;&gt;"")*(1/(1+EXP(-(W982-'03_Lap_b'!$B$35:$AW$35))))^2)</f>
        <v/>
      </c>
      <c r="Z982" s="5">
        <f>MEDIAN(-6,W982+(C982-X982)/MAX(X982-Y982,0.000000001),6)</f>
        <v/>
      </c>
      <c r="AA982" s="5">
        <f>SUMPRODUCT(('01_Data'!$B982:$AW982&lt;&gt;"")*(1/(1+EXP(-(Z982-'03_Lap_b'!$B$40:$AW$40)))))</f>
        <v/>
      </c>
      <c r="AB982" s="5">
        <f>SUMPRODUCT(('01_Data'!$B982:$AW982&lt;&gt;"")*(1/(1+EXP(-(Z982-'03_Lap_b'!$B$40:$AW$40))))^2)</f>
        <v/>
      </c>
      <c r="AC982" s="5">
        <f>MEDIAN(-6,Z982+(C982-AA982)/MAX(AA982-AB982,0.000000001),6)</f>
        <v/>
      </c>
    </row>
    <row r="983">
      <c r="A983" t="n">
        <v>982</v>
      </c>
      <c r="B983">
        <f>'01_Data'!A983</f>
        <v/>
      </c>
      <c r="C983">
        <f>SUM('01_Data'!$B983:$AW983)</f>
        <v/>
      </c>
      <c r="D983">
        <f>COUNT('01_Data'!$B983:$AW983)</f>
        <v/>
      </c>
      <c r="E983" s="5">
        <f>MEDIAN(-6,LN((C983+0.3)/(D983-C983+0.3)),6)</f>
        <v/>
      </c>
      <c r="F983" s="5">
        <f>SUMPRODUCT(('01_Data'!$B983:$AW983&lt;&gt;"")*(1/(1+EXP(-(E983-'03_Lap_b'!$B$5:$AW$5)))))</f>
        <v/>
      </c>
      <c r="G983" s="5">
        <f>SUMPRODUCT(('01_Data'!$B983:$AW983&lt;&gt;"")*(1/(1+EXP(-(E983-'03_Lap_b'!$B$5:$AW$5))))^2)</f>
        <v/>
      </c>
      <c r="H983" s="5">
        <f>MEDIAN(-6,E983+(C983-F983)/MAX(F983-G983,0.000000001),6)</f>
        <v/>
      </c>
      <c r="I983" s="5">
        <f>SUMPRODUCT(('01_Data'!$B983:$AW983&lt;&gt;"")*(1/(1+EXP(-(H983-'03_Lap_b'!$B$10:$AW$10)))))</f>
        <v/>
      </c>
      <c r="J983" s="5">
        <f>SUMPRODUCT(('01_Data'!$B983:$AW983&lt;&gt;"")*(1/(1+EXP(-(H983-'03_Lap_b'!$B$10:$AW$10))))^2)</f>
        <v/>
      </c>
      <c r="K983" s="5">
        <f>MEDIAN(-6,H983+(C983-I983)/MAX(I983-J983,0.000000001),6)</f>
        <v/>
      </c>
      <c r="L983" s="5">
        <f>SUMPRODUCT(('01_Data'!$B983:$AW983&lt;&gt;"")*(1/(1+EXP(-(K983-'03_Lap_b'!$B$15:$AW$15)))))</f>
        <v/>
      </c>
      <c r="M983" s="5">
        <f>SUMPRODUCT(('01_Data'!$B983:$AW983&lt;&gt;"")*(1/(1+EXP(-(K983-'03_Lap_b'!$B$15:$AW$15))))^2)</f>
        <v/>
      </c>
      <c r="N983" s="5">
        <f>MEDIAN(-6,K983+(C983-L983)/MAX(L983-M983,0.000000001),6)</f>
        <v/>
      </c>
      <c r="O983" s="5">
        <f>SUMPRODUCT(('01_Data'!$B983:$AW983&lt;&gt;"")*(1/(1+EXP(-(N983-'03_Lap_b'!$B$20:$AW$20)))))</f>
        <v/>
      </c>
      <c r="P983" s="5">
        <f>SUMPRODUCT(('01_Data'!$B983:$AW983&lt;&gt;"")*(1/(1+EXP(-(N983-'03_Lap_b'!$B$20:$AW$20))))^2)</f>
        <v/>
      </c>
      <c r="Q983" s="5">
        <f>MEDIAN(-6,N983+(C983-O983)/MAX(O983-P983,0.000000001),6)</f>
        <v/>
      </c>
      <c r="R983" s="5">
        <f>SUMPRODUCT(('01_Data'!$B983:$AW983&lt;&gt;"")*(1/(1+EXP(-(Q983-'03_Lap_b'!$B$25:$AW$25)))))</f>
        <v/>
      </c>
      <c r="S983" s="5">
        <f>SUMPRODUCT(('01_Data'!$B983:$AW983&lt;&gt;"")*(1/(1+EXP(-(Q983-'03_Lap_b'!$B$25:$AW$25))))^2)</f>
        <v/>
      </c>
      <c r="T983" s="5">
        <f>MEDIAN(-6,Q983+(C983-R983)/MAX(R983-S983,0.000000001),6)</f>
        <v/>
      </c>
      <c r="U983" s="5">
        <f>SUMPRODUCT(('01_Data'!$B983:$AW983&lt;&gt;"")*(1/(1+EXP(-(T983-'03_Lap_b'!$B$30:$AW$30)))))</f>
        <v/>
      </c>
      <c r="V983" s="5">
        <f>SUMPRODUCT(('01_Data'!$B983:$AW983&lt;&gt;"")*(1/(1+EXP(-(T983-'03_Lap_b'!$B$30:$AW$30))))^2)</f>
        <v/>
      </c>
      <c r="W983" s="5">
        <f>MEDIAN(-6,T983+(C983-U983)/MAX(U983-V983,0.000000001),6)</f>
        <v/>
      </c>
      <c r="X983" s="5">
        <f>SUMPRODUCT(('01_Data'!$B983:$AW983&lt;&gt;"")*(1/(1+EXP(-(W983-'03_Lap_b'!$B$35:$AW$35)))))</f>
        <v/>
      </c>
      <c r="Y983" s="5">
        <f>SUMPRODUCT(('01_Data'!$B983:$AW983&lt;&gt;"")*(1/(1+EXP(-(W983-'03_Lap_b'!$B$35:$AW$35))))^2)</f>
        <v/>
      </c>
      <c r="Z983" s="5">
        <f>MEDIAN(-6,W983+(C983-X983)/MAX(X983-Y983,0.000000001),6)</f>
        <v/>
      </c>
      <c r="AA983" s="5">
        <f>SUMPRODUCT(('01_Data'!$B983:$AW983&lt;&gt;"")*(1/(1+EXP(-(Z983-'03_Lap_b'!$B$40:$AW$40)))))</f>
        <v/>
      </c>
      <c r="AB983" s="5">
        <f>SUMPRODUCT(('01_Data'!$B983:$AW983&lt;&gt;"")*(1/(1+EXP(-(Z983-'03_Lap_b'!$B$40:$AW$40))))^2)</f>
        <v/>
      </c>
      <c r="AC983" s="5">
        <f>MEDIAN(-6,Z983+(C983-AA983)/MAX(AA983-AB983,0.000000001),6)</f>
        <v/>
      </c>
    </row>
    <row r="984">
      <c r="A984" t="n">
        <v>983</v>
      </c>
      <c r="B984">
        <f>'01_Data'!A984</f>
        <v/>
      </c>
      <c r="C984">
        <f>SUM('01_Data'!$B984:$AW984)</f>
        <v/>
      </c>
      <c r="D984">
        <f>COUNT('01_Data'!$B984:$AW984)</f>
        <v/>
      </c>
      <c r="E984" s="5">
        <f>MEDIAN(-6,LN((C984+0.3)/(D984-C984+0.3)),6)</f>
        <v/>
      </c>
      <c r="F984" s="5">
        <f>SUMPRODUCT(('01_Data'!$B984:$AW984&lt;&gt;"")*(1/(1+EXP(-(E984-'03_Lap_b'!$B$5:$AW$5)))))</f>
        <v/>
      </c>
      <c r="G984" s="5">
        <f>SUMPRODUCT(('01_Data'!$B984:$AW984&lt;&gt;"")*(1/(1+EXP(-(E984-'03_Lap_b'!$B$5:$AW$5))))^2)</f>
        <v/>
      </c>
      <c r="H984" s="5">
        <f>MEDIAN(-6,E984+(C984-F984)/MAX(F984-G984,0.000000001),6)</f>
        <v/>
      </c>
      <c r="I984" s="5">
        <f>SUMPRODUCT(('01_Data'!$B984:$AW984&lt;&gt;"")*(1/(1+EXP(-(H984-'03_Lap_b'!$B$10:$AW$10)))))</f>
        <v/>
      </c>
      <c r="J984" s="5">
        <f>SUMPRODUCT(('01_Data'!$B984:$AW984&lt;&gt;"")*(1/(1+EXP(-(H984-'03_Lap_b'!$B$10:$AW$10))))^2)</f>
        <v/>
      </c>
      <c r="K984" s="5">
        <f>MEDIAN(-6,H984+(C984-I984)/MAX(I984-J984,0.000000001),6)</f>
        <v/>
      </c>
      <c r="L984" s="5">
        <f>SUMPRODUCT(('01_Data'!$B984:$AW984&lt;&gt;"")*(1/(1+EXP(-(K984-'03_Lap_b'!$B$15:$AW$15)))))</f>
        <v/>
      </c>
      <c r="M984" s="5">
        <f>SUMPRODUCT(('01_Data'!$B984:$AW984&lt;&gt;"")*(1/(1+EXP(-(K984-'03_Lap_b'!$B$15:$AW$15))))^2)</f>
        <v/>
      </c>
      <c r="N984" s="5">
        <f>MEDIAN(-6,K984+(C984-L984)/MAX(L984-M984,0.000000001),6)</f>
        <v/>
      </c>
      <c r="O984" s="5">
        <f>SUMPRODUCT(('01_Data'!$B984:$AW984&lt;&gt;"")*(1/(1+EXP(-(N984-'03_Lap_b'!$B$20:$AW$20)))))</f>
        <v/>
      </c>
      <c r="P984" s="5">
        <f>SUMPRODUCT(('01_Data'!$B984:$AW984&lt;&gt;"")*(1/(1+EXP(-(N984-'03_Lap_b'!$B$20:$AW$20))))^2)</f>
        <v/>
      </c>
      <c r="Q984" s="5">
        <f>MEDIAN(-6,N984+(C984-O984)/MAX(O984-P984,0.000000001),6)</f>
        <v/>
      </c>
      <c r="R984" s="5">
        <f>SUMPRODUCT(('01_Data'!$B984:$AW984&lt;&gt;"")*(1/(1+EXP(-(Q984-'03_Lap_b'!$B$25:$AW$25)))))</f>
        <v/>
      </c>
      <c r="S984" s="5">
        <f>SUMPRODUCT(('01_Data'!$B984:$AW984&lt;&gt;"")*(1/(1+EXP(-(Q984-'03_Lap_b'!$B$25:$AW$25))))^2)</f>
        <v/>
      </c>
      <c r="T984" s="5">
        <f>MEDIAN(-6,Q984+(C984-R984)/MAX(R984-S984,0.000000001),6)</f>
        <v/>
      </c>
      <c r="U984" s="5">
        <f>SUMPRODUCT(('01_Data'!$B984:$AW984&lt;&gt;"")*(1/(1+EXP(-(T984-'03_Lap_b'!$B$30:$AW$30)))))</f>
        <v/>
      </c>
      <c r="V984" s="5">
        <f>SUMPRODUCT(('01_Data'!$B984:$AW984&lt;&gt;"")*(1/(1+EXP(-(T984-'03_Lap_b'!$B$30:$AW$30))))^2)</f>
        <v/>
      </c>
      <c r="W984" s="5">
        <f>MEDIAN(-6,T984+(C984-U984)/MAX(U984-V984,0.000000001),6)</f>
        <v/>
      </c>
      <c r="X984" s="5">
        <f>SUMPRODUCT(('01_Data'!$B984:$AW984&lt;&gt;"")*(1/(1+EXP(-(W984-'03_Lap_b'!$B$35:$AW$35)))))</f>
        <v/>
      </c>
      <c r="Y984" s="5">
        <f>SUMPRODUCT(('01_Data'!$B984:$AW984&lt;&gt;"")*(1/(1+EXP(-(W984-'03_Lap_b'!$B$35:$AW$35))))^2)</f>
        <v/>
      </c>
      <c r="Z984" s="5">
        <f>MEDIAN(-6,W984+(C984-X984)/MAX(X984-Y984,0.000000001),6)</f>
        <v/>
      </c>
      <c r="AA984" s="5">
        <f>SUMPRODUCT(('01_Data'!$B984:$AW984&lt;&gt;"")*(1/(1+EXP(-(Z984-'03_Lap_b'!$B$40:$AW$40)))))</f>
        <v/>
      </c>
      <c r="AB984" s="5">
        <f>SUMPRODUCT(('01_Data'!$B984:$AW984&lt;&gt;"")*(1/(1+EXP(-(Z984-'03_Lap_b'!$B$40:$AW$40))))^2)</f>
        <v/>
      </c>
      <c r="AC984" s="5">
        <f>MEDIAN(-6,Z984+(C984-AA984)/MAX(AA984-AB984,0.000000001),6)</f>
        <v/>
      </c>
    </row>
    <row r="985">
      <c r="A985" t="n">
        <v>984</v>
      </c>
      <c r="B985">
        <f>'01_Data'!A985</f>
        <v/>
      </c>
      <c r="C985">
        <f>SUM('01_Data'!$B985:$AW985)</f>
        <v/>
      </c>
      <c r="D985">
        <f>COUNT('01_Data'!$B985:$AW985)</f>
        <v/>
      </c>
      <c r="E985" s="5">
        <f>MEDIAN(-6,LN((C985+0.3)/(D985-C985+0.3)),6)</f>
        <v/>
      </c>
      <c r="F985" s="5">
        <f>SUMPRODUCT(('01_Data'!$B985:$AW985&lt;&gt;"")*(1/(1+EXP(-(E985-'03_Lap_b'!$B$5:$AW$5)))))</f>
        <v/>
      </c>
      <c r="G985" s="5">
        <f>SUMPRODUCT(('01_Data'!$B985:$AW985&lt;&gt;"")*(1/(1+EXP(-(E985-'03_Lap_b'!$B$5:$AW$5))))^2)</f>
        <v/>
      </c>
      <c r="H985" s="5">
        <f>MEDIAN(-6,E985+(C985-F985)/MAX(F985-G985,0.000000001),6)</f>
        <v/>
      </c>
      <c r="I985" s="5">
        <f>SUMPRODUCT(('01_Data'!$B985:$AW985&lt;&gt;"")*(1/(1+EXP(-(H985-'03_Lap_b'!$B$10:$AW$10)))))</f>
        <v/>
      </c>
      <c r="J985" s="5">
        <f>SUMPRODUCT(('01_Data'!$B985:$AW985&lt;&gt;"")*(1/(1+EXP(-(H985-'03_Lap_b'!$B$10:$AW$10))))^2)</f>
        <v/>
      </c>
      <c r="K985" s="5">
        <f>MEDIAN(-6,H985+(C985-I985)/MAX(I985-J985,0.000000001),6)</f>
        <v/>
      </c>
      <c r="L985" s="5">
        <f>SUMPRODUCT(('01_Data'!$B985:$AW985&lt;&gt;"")*(1/(1+EXP(-(K985-'03_Lap_b'!$B$15:$AW$15)))))</f>
        <v/>
      </c>
      <c r="M985" s="5">
        <f>SUMPRODUCT(('01_Data'!$B985:$AW985&lt;&gt;"")*(1/(1+EXP(-(K985-'03_Lap_b'!$B$15:$AW$15))))^2)</f>
        <v/>
      </c>
      <c r="N985" s="5">
        <f>MEDIAN(-6,K985+(C985-L985)/MAX(L985-M985,0.000000001),6)</f>
        <v/>
      </c>
      <c r="O985" s="5">
        <f>SUMPRODUCT(('01_Data'!$B985:$AW985&lt;&gt;"")*(1/(1+EXP(-(N985-'03_Lap_b'!$B$20:$AW$20)))))</f>
        <v/>
      </c>
      <c r="P985" s="5">
        <f>SUMPRODUCT(('01_Data'!$B985:$AW985&lt;&gt;"")*(1/(1+EXP(-(N985-'03_Lap_b'!$B$20:$AW$20))))^2)</f>
        <v/>
      </c>
      <c r="Q985" s="5">
        <f>MEDIAN(-6,N985+(C985-O985)/MAX(O985-P985,0.000000001),6)</f>
        <v/>
      </c>
      <c r="R985" s="5">
        <f>SUMPRODUCT(('01_Data'!$B985:$AW985&lt;&gt;"")*(1/(1+EXP(-(Q985-'03_Lap_b'!$B$25:$AW$25)))))</f>
        <v/>
      </c>
      <c r="S985" s="5">
        <f>SUMPRODUCT(('01_Data'!$B985:$AW985&lt;&gt;"")*(1/(1+EXP(-(Q985-'03_Lap_b'!$B$25:$AW$25))))^2)</f>
        <v/>
      </c>
      <c r="T985" s="5">
        <f>MEDIAN(-6,Q985+(C985-R985)/MAX(R985-S985,0.000000001),6)</f>
        <v/>
      </c>
      <c r="U985" s="5">
        <f>SUMPRODUCT(('01_Data'!$B985:$AW985&lt;&gt;"")*(1/(1+EXP(-(T985-'03_Lap_b'!$B$30:$AW$30)))))</f>
        <v/>
      </c>
      <c r="V985" s="5">
        <f>SUMPRODUCT(('01_Data'!$B985:$AW985&lt;&gt;"")*(1/(1+EXP(-(T985-'03_Lap_b'!$B$30:$AW$30))))^2)</f>
        <v/>
      </c>
      <c r="W985" s="5">
        <f>MEDIAN(-6,T985+(C985-U985)/MAX(U985-V985,0.000000001),6)</f>
        <v/>
      </c>
      <c r="X985" s="5">
        <f>SUMPRODUCT(('01_Data'!$B985:$AW985&lt;&gt;"")*(1/(1+EXP(-(W985-'03_Lap_b'!$B$35:$AW$35)))))</f>
        <v/>
      </c>
      <c r="Y985" s="5">
        <f>SUMPRODUCT(('01_Data'!$B985:$AW985&lt;&gt;"")*(1/(1+EXP(-(W985-'03_Lap_b'!$B$35:$AW$35))))^2)</f>
        <v/>
      </c>
      <c r="Z985" s="5">
        <f>MEDIAN(-6,W985+(C985-X985)/MAX(X985-Y985,0.000000001),6)</f>
        <v/>
      </c>
      <c r="AA985" s="5">
        <f>SUMPRODUCT(('01_Data'!$B985:$AW985&lt;&gt;"")*(1/(1+EXP(-(Z985-'03_Lap_b'!$B$40:$AW$40)))))</f>
        <v/>
      </c>
      <c r="AB985" s="5">
        <f>SUMPRODUCT(('01_Data'!$B985:$AW985&lt;&gt;"")*(1/(1+EXP(-(Z985-'03_Lap_b'!$B$40:$AW$40))))^2)</f>
        <v/>
      </c>
      <c r="AC985" s="5">
        <f>MEDIAN(-6,Z985+(C985-AA985)/MAX(AA985-AB985,0.000000001),6)</f>
        <v/>
      </c>
    </row>
    <row r="986">
      <c r="A986" t="n">
        <v>985</v>
      </c>
      <c r="B986">
        <f>'01_Data'!A986</f>
        <v/>
      </c>
      <c r="C986">
        <f>SUM('01_Data'!$B986:$AW986)</f>
        <v/>
      </c>
      <c r="D986">
        <f>COUNT('01_Data'!$B986:$AW986)</f>
        <v/>
      </c>
      <c r="E986" s="5">
        <f>MEDIAN(-6,LN((C986+0.3)/(D986-C986+0.3)),6)</f>
        <v/>
      </c>
      <c r="F986" s="5">
        <f>SUMPRODUCT(('01_Data'!$B986:$AW986&lt;&gt;"")*(1/(1+EXP(-(E986-'03_Lap_b'!$B$5:$AW$5)))))</f>
        <v/>
      </c>
      <c r="G986" s="5">
        <f>SUMPRODUCT(('01_Data'!$B986:$AW986&lt;&gt;"")*(1/(1+EXP(-(E986-'03_Lap_b'!$B$5:$AW$5))))^2)</f>
        <v/>
      </c>
      <c r="H986" s="5">
        <f>MEDIAN(-6,E986+(C986-F986)/MAX(F986-G986,0.000000001),6)</f>
        <v/>
      </c>
      <c r="I986" s="5">
        <f>SUMPRODUCT(('01_Data'!$B986:$AW986&lt;&gt;"")*(1/(1+EXP(-(H986-'03_Lap_b'!$B$10:$AW$10)))))</f>
        <v/>
      </c>
      <c r="J986" s="5">
        <f>SUMPRODUCT(('01_Data'!$B986:$AW986&lt;&gt;"")*(1/(1+EXP(-(H986-'03_Lap_b'!$B$10:$AW$10))))^2)</f>
        <v/>
      </c>
      <c r="K986" s="5">
        <f>MEDIAN(-6,H986+(C986-I986)/MAX(I986-J986,0.000000001),6)</f>
        <v/>
      </c>
      <c r="L986" s="5">
        <f>SUMPRODUCT(('01_Data'!$B986:$AW986&lt;&gt;"")*(1/(1+EXP(-(K986-'03_Lap_b'!$B$15:$AW$15)))))</f>
        <v/>
      </c>
      <c r="M986" s="5">
        <f>SUMPRODUCT(('01_Data'!$B986:$AW986&lt;&gt;"")*(1/(1+EXP(-(K986-'03_Lap_b'!$B$15:$AW$15))))^2)</f>
        <v/>
      </c>
      <c r="N986" s="5">
        <f>MEDIAN(-6,K986+(C986-L986)/MAX(L986-M986,0.000000001),6)</f>
        <v/>
      </c>
      <c r="O986" s="5">
        <f>SUMPRODUCT(('01_Data'!$B986:$AW986&lt;&gt;"")*(1/(1+EXP(-(N986-'03_Lap_b'!$B$20:$AW$20)))))</f>
        <v/>
      </c>
      <c r="P986" s="5">
        <f>SUMPRODUCT(('01_Data'!$B986:$AW986&lt;&gt;"")*(1/(1+EXP(-(N986-'03_Lap_b'!$B$20:$AW$20))))^2)</f>
        <v/>
      </c>
      <c r="Q986" s="5">
        <f>MEDIAN(-6,N986+(C986-O986)/MAX(O986-P986,0.000000001),6)</f>
        <v/>
      </c>
      <c r="R986" s="5">
        <f>SUMPRODUCT(('01_Data'!$B986:$AW986&lt;&gt;"")*(1/(1+EXP(-(Q986-'03_Lap_b'!$B$25:$AW$25)))))</f>
        <v/>
      </c>
      <c r="S986" s="5">
        <f>SUMPRODUCT(('01_Data'!$B986:$AW986&lt;&gt;"")*(1/(1+EXP(-(Q986-'03_Lap_b'!$B$25:$AW$25))))^2)</f>
        <v/>
      </c>
      <c r="T986" s="5">
        <f>MEDIAN(-6,Q986+(C986-R986)/MAX(R986-S986,0.000000001),6)</f>
        <v/>
      </c>
      <c r="U986" s="5">
        <f>SUMPRODUCT(('01_Data'!$B986:$AW986&lt;&gt;"")*(1/(1+EXP(-(T986-'03_Lap_b'!$B$30:$AW$30)))))</f>
        <v/>
      </c>
      <c r="V986" s="5">
        <f>SUMPRODUCT(('01_Data'!$B986:$AW986&lt;&gt;"")*(1/(1+EXP(-(T986-'03_Lap_b'!$B$30:$AW$30))))^2)</f>
        <v/>
      </c>
      <c r="W986" s="5">
        <f>MEDIAN(-6,T986+(C986-U986)/MAX(U986-V986,0.000000001),6)</f>
        <v/>
      </c>
      <c r="X986" s="5">
        <f>SUMPRODUCT(('01_Data'!$B986:$AW986&lt;&gt;"")*(1/(1+EXP(-(W986-'03_Lap_b'!$B$35:$AW$35)))))</f>
        <v/>
      </c>
      <c r="Y986" s="5">
        <f>SUMPRODUCT(('01_Data'!$B986:$AW986&lt;&gt;"")*(1/(1+EXP(-(W986-'03_Lap_b'!$B$35:$AW$35))))^2)</f>
        <v/>
      </c>
      <c r="Z986" s="5">
        <f>MEDIAN(-6,W986+(C986-X986)/MAX(X986-Y986,0.000000001),6)</f>
        <v/>
      </c>
      <c r="AA986" s="5">
        <f>SUMPRODUCT(('01_Data'!$B986:$AW986&lt;&gt;"")*(1/(1+EXP(-(Z986-'03_Lap_b'!$B$40:$AW$40)))))</f>
        <v/>
      </c>
      <c r="AB986" s="5">
        <f>SUMPRODUCT(('01_Data'!$B986:$AW986&lt;&gt;"")*(1/(1+EXP(-(Z986-'03_Lap_b'!$B$40:$AW$40))))^2)</f>
        <v/>
      </c>
      <c r="AC986" s="5">
        <f>MEDIAN(-6,Z986+(C986-AA986)/MAX(AA986-AB986,0.000000001),6)</f>
        <v/>
      </c>
    </row>
    <row r="987">
      <c r="A987" t="n">
        <v>986</v>
      </c>
      <c r="B987">
        <f>'01_Data'!A987</f>
        <v/>
      </c>
      <c r="C987">
        <f>SUM('01_Data'!$B987:$AW987)</f>
        <v/>
      </c>
      <c r="D987">
        <f>COUNT('01_Data'!$B987:$AW987)</f>
        <v/>
      </c>
      <c r="E987" s="5">
        <f>MEDIAN(-6,LN((C987+0.3)/(D987-C987+0.3)),6)</f>
        <v/>
      </c>
      <c r="F987" s="5">
        <f>SUMPRODUCT(('01_Data'!$B987:$AW987&lt;&gt;"")*(1/(1+EXP(-(E987-'03_Lap_b'!$B$5:$AW$5)))))</f>
        <v/>
      </c>
      <c r="G987" s="5">
        <f>SUMPRODUCT(('01_Data'!$B987:$AW987&lt;&gt;"")*(1/(1+EXP(-(E987-'03_Lap_b'!$B$5:$AW$5))))^2)</f>
        <v/>
      </c>
      <c r="H987" s="5">
        <f>MEDIAN(-6,E987+(C987-F987)/MAX(F987-G987,0.000000001),6)</f>
        <v/>
      </c>
      <c r="I987" s="5">
        <f>SUMPRODUCT(('01_Data'!$B987:$AW987&lt;&gt;"")*(1/(1+EXP(-(H987-'03_Lap_b'!$B$10:$AW$10)))))</f>
        <v/>
      </c>
      <c r="J987" s="5">
        <f>SUMPRODUCT(('01_Data'!$B987:$AW987&lt;&gt;"")*(1/(1+EXP(-(H987-'03_Lap_b'!$B$10:$AW$10))))^2)</f>
        <v/>
      </c>
      <c r="K987" s="5">
        <f>MEDIAN(-6,H987+(C987-I987)/MAX(I987-J987,0.000000001),6)</f>
        <v/>
      </c>
      <c r="L987" s="5">
        <f>SUMPRODUCT(('01_Data'!$B987:$AW987&lt;&gt;"")*(1/(1+EXP(-(K987-'03_Lap_b'!$B$15:$AW$15)))))</f>
        <v/>
      </c>
      <c r="M987" s="5">
        <f>SUMPRODUCT(('01_Data'!$B987:$AW987&lt;&gt;"")*(1/(1+EXP(-(K987-'03_Lap_b'!$B$15:$AW$15))))^2)</f>
        <v/>
      </c>
      <c r="N987" s="5">
        <f>MEDIAN(-6,K987+(C987-L987)/MAX(L987-M987,0.000000001),6)</f>
        <v/>
      </c>
      <c r="O987" s="5">
        <f>SUMPRODUCT(('01_Data'!$B987:$AW987&lt;&gt;"")*(1/(1+EXP(-(N987-'03_Lap_b'!$B$20:$AW$20)))))</f>
        <v/>
      </c>
      <c r="P987" s="5">
        <f>SUMPRODUCT(('01_Data'!$B987:$AW987&lt;&gt;"")*(1/(1+EXP(-(N987-'03_Lap_b'!$B$20:$AW$20))))^2)</f>
        <v/>
      </c>
      <c r="Q987" s="5">
        <f>MEDIAN(-6,N987+(C987-O987)/MAX(O987-P987,0.000000001),6)</f>
        <v/>
      </c>
      <c r="R987" s="5">
        <f>SUMPRODUCT(('01_Data'!$B987:$AW987&lt;&gt;"")*(1/(1+EXP(-(Q987-'03_Lap_b'!$B$25:$AW$25)))))</f>
        <v/>
      </c>
      <c r="S987" s="5">
        <f>SUMPRODUCT(('01_Data'!$B987:$AW987&lt;&gt;"")*(1/(1+EXP(-(Q987-'03_Lap_b'!$B$25:$AW$25))))^2)</f>
        <v/>
      </c>
      <c r="T987" s="5">
        <f>MEDIAN(-6,Q987+(C987-R987)/MAX(R987-S987,0.000000001),6)</f>
        <v/>
      </c>
      <c r="U987" s="5">
        <f>SUMPRODUCT(('01_Data'!$B987:$AW987&lt;&gt;"")*(1/(1+EXP(-(T987-'03_Lap_b'!$B$30:$AW$30)))))</f>
        <v/>
      </c>
      <c r="V987" s="5">
        <f>SUMPRODUCT(('01_Data'!$B987:$AW987&lt;&gt;"")*(1/(1+EXP(-(T987-'03_Lap_b'!$B$30:$AW$30))))^2)</f>
        <v/>
      </c>
      <c r="W987" s="5">
        <f>MEDIAN(-6,T987+(C987-U987)/MAX(U987-V987,0.000000001),6)</f>
        <v/>
      </c>
      <c r="X987" s="5">
        <f>SUMPRODUCT(('01_Data'!$B987:$AW987&lt;&gt;"")*(1/(1+EXP(-(W987-'03_Lap_b'!$B$35:$AW$35)))))</f>
        <v/>
      </c>
      <c r="Y987" s="5">
        <f>SUMPRODUCT(('01_Data'!$B987:$AW987&lt;&gt;"")*(1/(1+EXP(-(W987-'03_Lap_b'!$B$35:$AW$35))))^2)</f>
        <v/>
      </c>
      <c r="Z987" s="5">
        <f>MEDIAN(-6,W987+(C987-X987)/MAX(X987-Y987,0.000000001),6)</f>
        <v/>
      </c>
      <c r="AA987" s="5">
        <f>SUMPRODUCT(('01_Data'!$B987:$AW987&lt;&gt;"")*(1/(1+EXP(-(Z987-'03_Lap_b'!$B$40:$AW$40)))))</f>
        <v/>
      </c>
      <c r="AB987" s="5">
        <f>SUMPRODUCT(('01_Data'!$B987:$AW987&lt;&gt;"")*(1/(1+EXP(-(Z987-'03_Lap_b'!$B$40:$AW$40))))^2)</f>
        <v/>
      </c>
      <c r="AC987" s="5">
        <f>MEDIAN(-6,Z987+(C987-AA987)/MAX(AA987-AB987,0.000000001),6)</f>
        <v/>
      </c>
    </row>
    <row r="988">
      <c r="A988" t="n">
        <v>987</v>
      </c>
      <c r="B988">
        <f>'01_Data'!A988</f>
        <v/>
      </c>
      <c r="C988">
        <f>SUM('01_Data'!$B988:$AW988)</f>
        <v/>
      </c>
      <c r="D988">
        <f>COUNT('01_Data'!$B988:$AW988)</f>
        <v/>
      </c>
      <c r="E988" s="5">
        <f>MEDIAN(-6,LN((C988+0.3)/(D988-C988+0.3)),6)</f>
        <v/>
      </c>
      <c r="F988" s="5">
        <f>SUMPRODUCT(('01_Data'!$B988:$AW988&lt;&gt;"")*(1/(1+EXP(-(E988-'03_Lap_b'!$B$5:$AW$5)))))</f>
        <v/>
      </c>
      <c r="G988" s="5">
        <f>SUMPRODUCT(('01_Data'!$B988:$AW988&lt;&gt;"")*(1/(1+EXP(-(E988-'03_Lap_b'!$B$5:$AW$5))))^2)</f>
        <v/>
      </c>
      <c r="H988" s="5">
        <f>MEDIAN(-6,E988+(C988-F988)/MAX(F988-G988,0.000000001),6)</f>
        <v/>
      </c>
      <c r="I988" s="5">
        <f>SUMPRODUCT(('01_Data'!$B988:$AW988&lt;&gt;"")*(1/(1+EXP(-(H988-'03_Lap_b'!$B$10:$AW$10)))))</f>
        <v/>
      </c>
      <c r="J988" s="5">
        <f>SUMPRODUCT(('01_Data'!$B988:$AW988&lt;&gt;"")*(1/(1+EXP(-(H988-'03_Lap_b'!$B$10:$AW$10))))^2)</f>
        <v/>
      </c>
      <c r="K988" s="5">
        <f>MEDIAN(-6,H988+(C988-I988)/MAX(I988-J988,0.000000001),6)</f>
        <v/>
      </c>
      <c r="L988" s="5">
        <f>SUMPRODUCT(('01_Data'!$B988:$AW988&lt;&gt;"")*(1/(1+EXP(-(K988-'03_Lap_b'!$B$15:$AW$15)))))</f>
        <v/>
      </c>
      <c r="M988" s="5">
        <f>SUMPRODUCT(('01_Data'!$B988:$AW988&lt;&gt;"")*(1/(1+EXP(-(K988-'03_Lap_b'!$B$15:$AW$15))))^2)</f>
        <v/>
      </c>
      <c r="N988" s="5">
        <f>MEDIAN(-6,K988+(C988-L988)/MAX(L988-M988,0.000000001),6)</f>
        <v/>
      </c>
      <c r="O988" s="5">
        <f>SUMPRODUCT(('01_Data'!$B988:$AW988&lt;&gt;"")*(1/(1+EXP(-(N988-'03_Lap_b'!$B$20:$AW$20)))))</f>
        <v/>
      </c>
      <c r="P988" s="5">
        <f>SUMPRODUCT(('01_Data'!$B988:$AW988&lt;&gt;"")*(1/(1+EXP(-(N988-'03_Lap_b'!$B$20:$AW$20))))^2)</f>
        <v/>
      </c>
      <c r="Q988" s="5">
        <f>MEDIAN(-6,N988+(C988-O988)/MAX(O988-P988,0.000000001),6)</f>
        <v/>
      </c>
      <c r="R988" s="5">
        <f>SUMPRODUCT(('01_Data'!$B988:$AW988&lt;&gt;"")*(1/(1+EXP(-(Q988-'03_Lap_b'!$B$25:$AW$25)))))</f>
        <v/>
      </c>
      <c r="S988" s="5">
        <f>SUMPRODUCT(('01_Data'!$B988:$AW988&lt;&gt;"")*(1/(1+EXP(-(Q988-'03_Lap_b'!$B$25:$AW$25))))^2)</f>
        <v/>
      </c>
      <c r="T988" s="5">
        <f>MEDIAN(-6,Q988+(C988-R988)/MAX(R988-S988,0.000000001),6)</f>
        <v/>
      </c>
      <c r="U988" s="5">
        <f>SUMPRODUCT(('01_Data'!$B988:$AW988&lt;&gt;"")*(1/(1+EXP(-(T988-'03_Lap_b'!$B$30:$AW$30)))))</f>
        <v/>
      </c>
      <c r="V988" s="5">
        <f>SUMPRODUCT(('01_Data'!$B988:$AW988&lt;&gt;"")*(1/(1+EXP(-(T988-'03_Lap_b'!$B$30:$AW$30))))^2)</f>
        <v/>
      </c>
      <c r="W988" s="5">
        <f>MEDIAN(-6,T988+(C988-U988)/MAX(U988-V988,0.000000001),6)</f>
        <v/>
      </c>
      <c r="X988" s="5">
        <f>SUMPRODUCT(('01_Data'!$B988:$AW988&lt;&gt;"")*(1/(1+EXP(-(W988-'03_Lap_b'!$B$35:$AW$35)))))</f>
        <v/>
      </c>
      <c r="Y988" s="5">
        <f>SUMPRODUCT(('01_Data'!$B988:$AW988&lt;&gt;"")*(1/(1+EXP(-(W988-'03_Lap_b'!$B$35:$AW$35))))^2)</f>
        <v/>
      </c>
      <c r="Z988" s="5">
        <f>MEDIAN(-6,W988+(C988-X988)/MAX(X988-Y988,0.000000001),6)</f>
        <v/>
      </c>
      <c r="AA988" s="5">
        <f>SUMPRODUCT(('01_Data'!$B988:$AW988&lt;&gt;"")*(1/(1+EXP(-(Z988-'03_Lap_b'!$B$40:$AW$40)))))</f>
        <v/>
      </c>
      <c r="AB988" s="5">
        <f>SUMPRODUCT(('01_Data'!$B988:$AW988&lt;&gt;"")*(1/(1+EXP(-(Z988-'03_Lap_b'!$B$40:$AW$40))))^2)</f>
        <v/>
      </c>
      <c r="AC988" s="5">
        <f>MEDIAN(-6,Z988+(C988-AA988)/MAX(AA988-AB988,0.000000001),6)</f>
        <v/>
      </c>
    </row>
    <row r="989">
      <c r="A989" t="n">
        <v>988</v>
      </c>
      <c r="B989">
        <f>'01_Data'!A989</f>
        <v/>
      </c>
      <c r="C989">
        <f>SUM('01_Data'!$B989:$AW989)</f>
        <v/>
      </c>
      <c r="D989">
        <f>COUNT('01_Data'!$B989:$AW989)</f>
        <v/>
      </c>
      <c r="E989" s="5">
        <f>MEDIAN(-6,LN((C989+0.3)/(D989-C989+0.3)),6)</f>
        <v/>
      </c>
      <c r="F989" s="5">
        <f>SUMPRODUCT(('01_Data'!$B989:$AW989&lt;&gt;"")*(1/(1+EXP(-(E989-'03_Lap_b'!$B$5:$AW$5)))))</f>
        <v/>
      </c>
      <c r="G989" s="5">
        <f>SUMPRODUCT(('01_Data'!$B989:$AW989&lt;&gt;"")*(1/(1+EXP(-(E989-'03_Lap_b'!$B$5:$AW$5))))^2)</f>
        <v/>
      </c>
      <c r="H989" s="5">
        <f>MEDIAN(-6,E989+(C989-F989)/MAX(F989-G989,0.000000001),6)</f>
        <v/>
      </c>
      <c r="I989" s="5">
        <f>SUMPRODUCT(('01_Data'!$B989:$AW989&lt;&gt;"")*(1/(1+EXP(-(H989-'03_Lap_b'!$B$10:$AW$10)))))</f>
        <v/>
      </c>
      <c r="J989" s="5">
        <f>SUMPRODUCT(('01_Data'!$B989:$AW989&lt;&gt;"")*(1/(1+EXP(-(H989-'03_Lap_b'!$B$10:$AW$10))))^2)</f>
        <v/>
      </c>
      <c r="K989" s="5">
        <f>MEDIAN(-6,H989+(C989-I989)/MAX(I989-J989,0.000000001),6)</f>
        <v/>
      </c>
      <c r="L989" s="5">
        <f>SUMPRODUCT(('01_Data'!$B989:$AW989&lt;&gt;"")*(1/(1+EXP(-(K989-'03_Lap_b'!$B$15:$AW$15)))))</f>
        <v/>
      </c>
      <c r="M989" s="5">
        <f>SUMPRODUCT(('01_Data'!$B989:$AW989&lt;&gt;"")*(1/(1+EXP(-(K989-'03_Lap_b'!$B$15:$AW$15))))^2)</f>
        <v/>
      </c>
      <c r="N989" s="5">
        <f>MEDIAN(-6,K989+(C989-L989)/MAX(L989-M989,0.000000001),6)</f>
        <v/>
      </c>
      <c r="O989" s="5">
        <f>SUMPRODUCT(('01_Data'!$B989:$AW989&lt;&gt;"")*(1/(1+EXP(-(N989-'03_Lap_b'!$B$20:$AW$20)))))</f>
        <v/>
      </c>
      <c r="P989" s="5">
        <f>SUMPRODUCT(('01_Data'!$B989:$AW989&lt;&gt;"")*(1/(1+EXP(-(N989-'03_Lap_b'!$B$20:$AW$20))))^2)</f>
        <v/>
      </c>
      <c r="Q989" s="5">
        <f>MEDIAN(-6,N989+(C989-O989)/MAX(O989-P989,0.000000001),6)</f>
        <v/>
      </c>
      <c r="R989" s="5">
        <f>SUMPRODUCT(('01_Data'!$B989:$AW989&lt;&gt;"")*(1/(1+EXP(-(Q989-'03_Lap_b'!$B$25:$AW$25)))))</f>
        <v/>
      </c>
      <c r="S989" s="5">
        <f>SUMPRODUCT(('01_Data'!$B989:$AW989&lt;&gt;"")*(1/(1+EXP(-(Q989-'03_Lap_b'!$B$25:$AW$25))))^2)</f>
        <v/>
      </c>
      <c r="T989" s="5">
        <f>MEDIAN(-6,Q989+(C989-R989)/MAX(R989-S989,0.000000001),6)</f>
        <v/>
      </c>
      <c r="U989" s="5">
        <f>SUMPRODUCT(('01_Data'!$B989:$AW989&lt;&gt;"")*(1/(1+EXP(-(T989-'03_Lap_b'!$B$30:$AW$30)))))</f>
        <v/>
      </c>
      <c r="V989" s="5">
        <f>SUMPRODUCT(('01_Data'!$B989:$AW989&lt;&gt;"")*(1/(1+EXP(-(T989-'03_Lap_b'!$B$30:$AW$30))))^2)</f>
        <v/>
      </c>
      <c r="W989" s="5">
        <f>MEDIAN(-6,T989+(C989-U989)/MAX(U989-V989,0.000000001),6)</f>
        <v/>
      </c>
      <c r="X989" s="5">
        <f>SUMPRODUCT(('01_Data'!$B989:$AW989&lt;&gt;"")*(1/(1+EXP(-(W989-'03_Lap_b'!$B$35:$AW$35)))))</f>
        <v/>
      </c>
      <c r="Y989" s="5">
        <f>SUMPRODUCT(('01_Data'!$B989:$AW989&lt;&gt;"")*(1/(1+EXP(-(W989-'03_Lap_b'!$B$35:$AW$35))))^2)</f>
        <v/>
      </c>
      <c r="Z989" s="5">
        <f>MEDIAN(-6,W989+(C989-X989)/MAX(X989-Y989,0.000000001),6)</f>
        <v/>
      </c>
      <c r="AA989" s="5">
        <f>SUMPRODUCT(('01_Data'!$B989:$AW989&lt;&gt;"")*(1/(1+EXP(-(Z989-'03_Lap_b'!$B$40:$AW$40)))))</f>
        <v/>
      </c>
      <c r="AB989" s="5">
        <f>SUMPRODUCT(('01_Data'!$B989:$AW989&lt;&gt;"")*(1/(1+EXP(-(Z989-'03_Lap_b'!$B$40:$AW$40))))^2)</f>
        <v/>
      </c>
      <c r="AC989" s="5">
        <f>MEDIAN(-6,Z989+(C989-AA989)/MAX(AA989-AB989,0.000000001),6)</f>
        <v/>
      </c>
    </row>
    <row r="990">
      <c r="A990" t="n">
        <v>989</v>
      </c>
      <c r="B990">
        <f>'01_Data'!A990</f>
        <v/>
      </c>
      <c r="C990">
        <f>SUM('01_Data'!$B990:$AW990)</f>
        <v/>
      </c>
      <c r="D990">
        <f>COUNT('01_Data'!$B990:$AW990)</f>
        <v/>
      </c>
      <c r="E990" s="5">
        <f>MEDIAN(-6,LN((C990+0.3)/(D990-C990+0.3)),6)</f>
        <v/>
      </c>
      <c r="F990" s="5">
        <f>SUMPRODUCT(('01_Data'!$B990:$AW990&lt;&gt;"")*(1/(1+EXP(-(E990-'03_Lap_b'!$B$5:$AW$5)))))</f>
        <v/>
      </c>
      <c r="G990" s="5">
        <f>SUMPRODUCT(('01_Data'!$B990:$AW990&lt;&gt;"")*(1/(1+EXP(-(E990-'03_Lap_b'!$B$5:$AW$5))))^2)</f>
        <v/>
      </c>
      <c r="H990" s="5">
        <f>MEDIAN(-6,E990+(C990-F990)/MAX(F990-G990,0.000000001),6)</f>
        <v/>
      </c>
      <c r="I990" s="5">
        <f>SUMPRODUCT(('01_Data'!$B990:$AW990&lt;&gt;"")*(1/(1+EXP(-(H990-'03_Lap_b'!$B$10:$AW$10)))))</f>
        <v/>
      </c>
      <c r="J990" s="5">
        <f>SUMPRODUCT(('01_Data'!$B990:$AW990&lt;&gt;"")*(1/(1+EXP(-(H990-'03_Lap_b'!$B$10:$AW$10))))^2)</f>
        <v/>
      </c>
      <c r="K990" s="5">
        <f>MEDIAN(-6,H990+(C990-I990)/MAX(I990-J990,0.000000001),6)</f>
        <v/>
      </c>
      <c r="L990" s="5">
        <f>SUMPRODUCT(('01_Data'!$B990:$AW990&lt;&gt;"")*(1/(1+EXP(-(K990-'03_Lap_b'!$B$15:$AW$15)))))</f>
        <v/>
      </c>
      <c r="M990" s="5">
        <f>SUMPRODUCT(('01_Data'!$B990:$AW990&lt;&gt;"")*(1/(1+EXP(-(K990-'03_Lap_b'!$B$15:$AW$15))))^2)</f>
        <v/>
      </c>
      <c r="N990" s="5">
        <f>MEDIAN(-6,K990+(C990-L990)/MAX(L990-M990,0.000000001),6)</f>
        <v/>
      </c>
      <c r="O990" s="5">
        <f>SUMPRODUCT(('01_Data'!$B990:$AW990&lt;&gt;"")*(1/(1+EXP(-(N990-'03_Lap_b'!$B$20:$AW$20)))))</f>
        <v/>
      </c>
      <c r="P990" s="5">
        <f>SUMPRODUCT(('01_Data'!$B990:$AW990&lt;&gt;"")*(1/(1+EXP(-(N990-'03_Lap_b'!$B$20:$AW$20))))^2)</f>
        <v/>
      </c>
      <c r="Q990" s="5">
        <f>MEDIAN(-6,N990+(C990-O990)/MAX(O990-P990,0.000000001),6)</f>
        <v/>
      </c>
      <c r="R990" s="5">
        <f>SUMPRODUCT(('01_Data'!$B990:$AW990&lt;&gt;"")*(1/(1+EXP(-(Q990-'03_Lap_b'!$B$25:$AW$25)))))</f>
        <v/>
      </c>
      <c r="S990" s="5">
        <f>SUMPRODUCT(('01_Data'!$B990:$AW990&lt;&gt;"")*(1/(1+EXP(-(Q990-'03_Lap_b'!$B$25:$AW$25))))^2)</f>
        <v/>
      </c>
      <c r="T990" s="5">
        <f>MEDIAN(-6,Q990+(C990-R990)/MAX(R990-S990,0.000000001),6)</f>
        <v/>
      </c>
      <c r="U990" s="5">
        <f>SUMPRODUCT(('01_Data'!$B990:$AW990&lt;&gt;"")*(1/(1+EXP(-(T990-'03_Lap_b'!$B$30:$AW$30)))))</f>
        <v/>
      </c>
      <c r="V990" s="5">
        <f>SUMPRODUCT(('01_Data'!$B990:$AW990&lt;&gt;"")*(1/(1+EXP(-(T990-'03_Lap_b'!$B$30:$AW$30))))^2)</f>
        <v/>
      </c>
      <c r="W990" s="5">
        <f>MEDIAN(-6,T990+(C990-U990)/MAX(U990-V990,0.000000001),6)</f>
        <v/>
      </c>
      <c r="X990" s="5">
        <f>SUMPRODUCT(('01_Data'!$B990:$AW990&lt;&gt;"")*(1/(1+EXP(-(W990-'03_Lap_b'!$B$35:$AW$35)))))</f>
        <v/>
      </c>
      <c r="Y990" s="5">
        <f>SUMPRODUCT(('01_Data'!$B990:$AW990&lt;&gt;"")*(1/(1+EXP(-(W990-'03_Lap_b'!$B$35:$AW$35))))^2)</f>
        <v/>
      </c>
      <c r="Z990" s="5">
        <f>MEDIAN(-6,W990+(C990-X990)/MAX(X990-Y990,0.000000001),6)</f>
        <v/>
      </c>
      <c r="AA990" s="5">
        <f>SUMPRODUCT(('01_Data'!$B990:$AW990&lt;&gt;"")*(1/(1+EXP(-(Z990-'03_Lap_b'!$B$40:$AW$40)))))</f>
        <v/>
      </c>
      <c r="AB990" s="5">
        <f>SUMPRODUCT(('01_Data'!$B990:$AW990&lt;&gt;"")*(1/(1+EXP(-(Z990-'03_Lap_b'!$B$40:$AW$40))))^2)</f>
        <v/>
      </c>
      <c r="AC990" s="5">
        <f>MEDIAN(-6,Z990+(C990-AA990)/MAX(AA990-AB990,0.000000001),6)</f>
        <v/>
      </c>
    </row>
    <row r="991">
      <c r="A991" t="n">
        <v>990</v>
      </c>
      <c r="B991">
        <f>'01_Data'!A991</f>
        <v/>
      </c>
      <c r="C991">
        <f>SUM('01_Data'!$B991:$AW991)</f>
        <v/>
      </c>
      <c r="D991">
        <f>COUNT('01_Data'!$B991:$AW991)</f>
        <v/>
      </c>
      <c r="E991" s="5">
        <f>MEDIAN(-6,LN((C991+0.3)/(D991-C991+0.3)),6)</f>
        <v/>
      </c>
      <c r="F991" s="5">
        <f>SUMPRODUCT(('01_Data'!$B991:$AW991&lt;&gt;"")*(1/(1+EXP(-(E991-'03_Lap_b'!$B$5:$AW$5)))))</f>
        <v/>
      </c>
      <c r="G991" s="5">
        <f>SUMPRODUCT(('01_Data'!$B991:$AW991&lt;&gt;"")*(1/(1+EXP(-(E991-'03_Lap_b'!$B$5:$AW$5))))^2)</f>
        <v/>
      </c>
      <c r="H991" s="5">
        <f>MEDIAN(-6,E991+(C991-F991)/MAX(F991-G991,0.000000001),6)</f>
        <v/>
      </c>
      <c r="I991" s="5">
        <f>SUMPRODUCT(('01_Data'!$B991:$AW991&lt;&gt;"")*(1/(1+EXP(-(H991-'03_Lap_b'!$B$10:$AW$10)))))</f>
        <v/>
      </c>
      <c r="J991" s="5">
        <f>SUMPRODUCT(('01_Data'!$B991:$AW991&lt;&gt;"")*(1/(1+EXP(-(H991-'03_Lap_b'!$B$10:$AW$10))))^2)</f>
        <v/>
      </c>
      <c r="K991" s="5">
        <f>MEDIAN(-6,H991+(C991-I991)/MAX(I991-J991,0.000000001),6)</f>
        <v/>
      </c>
      <c r="L991" s="5">
        <f>SUMPRODUCT(('01_Data'!$B991:$AW991&lt;&gt;"")*(1/(1+EXP(-(K991-'03_Lap_b'!$B$15:$AW$15)))))</f>
        <v/>
      </c>
      <c r="M991" s="5">
        <f>SUMPRODUCT(('01_Data'!$B991:$AW991&lt;&gt;"")*(1/(1+EXP(-(K991-'03_Lap_b'!$B$15:$AW$15))))^2)</f>
        <v/>
      </c>
      <c r="N991" s="5">
        <f>MEDIAN(-6,K991+(C991-L991)/MAX(L991-M991,0.000000001),6)</f>
        <v/>
      </c>
      <c r="O991" s="5">
        <f>SUMPRODUCT(('01_Data'!$B991:$AW991&lt;&gt;"")*(1/(1+EXP(-(N991-'03_Lap_b'!$B$20:$AW$20)))))</f>
        <v/>
      </c>
      <c r="P991" s="5">
        <f>SUMPRODUCT(('01_Data'!$B991:$AW991&lt;&gt;"")*(1/(1+EXP(-(N991-'03_Lap_b'!$B$20:$AW$20))))^2)</f>
        <v/>
      </c>
      <c r="Q991" s="5">
        <f>MEDIAN(-6,N991+(C991-O991)/MAX(O991-P991,0.000000001),6)</f>
        <v/>
      </c>
      <c r="R991" s="5">
        <f>SUMPRODUCT(('01_Data'!$B991:$AW991&lt;&gt;"")*(1/(1+EXP(-(Q991-'03_Lap_b'!$B$25:$AW$25)))))</f>
        <v/>
      </c>
      <c r="S991" s="5">
        <f>SUMPRODUCT(('01_Data'!$B991:$AW991&lt;&gt;"")*(1/(1+EXP(-(Q991-'03_Lap_b'!$B$25:$AW$25))))^2)</f>
        <v/>
      </c>
      <c r="T991" s="5">
        <f>MEDIAN(-6,Q991+(C991-R991)/MAX(R991-S991,0.000000001),6)</f>
        <v/>
      </c>
      <c r="U991" s="5">
        <f>SUMPRODUCT(('01_Data'!$B991:$AW991&lt;&gt;"")*(1/(1+EXP(-(T991-'03_Lap_b'!$B$30:$AW$30)))))</f>
        <v/>
      </c>
      <c r="V991" s="5">
        <f>SUMPRODUCT(('01_Data'!$B991:$AW991&lt;&gt;"")*(1/(1+EXP(-(T991-'03_Lap_b'!$B$30:$AW$30))))^2)</f>
        <v/>
      </c>
      <c r="W991" s="5">
        <f>MEDIAN(-6,T991+(C991-U991)/MAX(U991-V991,0.000000001),6)</f>
        <v/>
      </c>
      <c r="X991" s="5">
        <f>SUMPRODUCT(('01_Data'!$B991:$AW991&lt;&gt;"")*(1/(1+EXP(-(W991-'03_Lap_b'!$B$35:$AW$35)))))</f>
        <v/>
      </c>
      <c r="Y991" s="5">
        <f>SUMPRODUCT(('01_Data'!$B991:$AW991&lt;&gt;"")*(1/(1+EXP(-(W991-'03_Lap_b'!$B$35:$AW$35))))^2)</f>
        <v/>
      </c>
      <c r="Z991" s="5">
        <f>MEDIAN(-6,W991+(C991-X991)/MAX(X991-Y991,0.000000001),6)</f>
        <v/>
      </c>
      <c r="AA991" s="5">
        <f>SUMPRODUCT(('01_Data'!$B991:$AW991&lt;&gt;"")*(1/(1+EXP(-(Z991-'03_Lap_b'!$B$40:$AW$40)))))</f>
        <v/>
      </c>
      <c r="AB991" s="5">
        <f>SUMPRODUCT(('01_Data'!$B991:$AW991&lt;&gt;"")*(1/(1+EXP(-(Z991-'03_Lap_b'!$B$40:$AW$40))))^2)</f>
        <v/>
      </c>
      <c r="AC991" s="5">
        <f>MEDIAN(-6,Z991+(C991-AA991)/MAX(AA991-AB991,0.000000001),6)</f>
        <v/>
      </c>
    </row>
    <row r="992">
      <c r="A992" t="n">
        <v>991</v>
      </c>
      <c r="B992">
        <f>'01_Data'!A992</f>
        <v/>
      </c>
      <c r="C992">
        <f>SUM('01_Data'!$B992:$AW992)</f>
        <v/>
      </c>
      <c r="D992">
        <f>COUNT('01_Data'!$B992:$AW992)</f>
        <v/>
      </c>
      <c r="E992" s="5">
        <f>MEDIAN(-6,LN((C992+0.3)/(D992-C992+0.3)),6)</f>
        <v/>
      </c>
      <c r="F992" s="5">
        <f>SUMPRODUCT(('01_Data'!$B992:$AW992&lt;&gt;"")*(1/(1+EXP(-(E992-'03_Lap_b'!$B$5:$AW$5)))))</f>
        <v/>
      </c>
      <c r="G992" s="5">
        <f>SUMPRODUCT(('01_Data'!$B992:$AW992&lt;&gt;"")*(1/(1+EXP(-(E992-'03_Lap_b'!$B$5:$AW$5))))^2)</f>
        <v/>
      </c>
      <c r="H992" s="5">
        <f>MEDIAN(-6,E992+(C992-F992)/MAX(F992-G992,0.000000001),6)</f>
        <v/>
      </c>
      <c r="I992" s="5">
        <f>SUMPRODUCT(('01_Data'!$B992:$AW992&lt;&gt;"")*(1/(1+EXP(-(H992-'03_Lap_b'!$B$10:$AW$10)))))</f>
        <v/>
      </c>
      <c r="J992" s="5">
        <f>SUMPRODUCT(('01_Data'!$B992:$AW992&lt;&gt;"")*(1/(1+EXP(-(H992-'03_Lap_b'!$B$10:$AW$10))))^2)</f>
        <v/>
      </c>
      <c r="K992" s="5">
        <f>MEDIAN(-6,H992+(C992-I992)/MAX(I992-J992,0.000000001),6)</f>
        <v/>
      </c>
      <c r="L992" s="5">
        <f>SUMPRODUCT(('01_Data'!$B992:$AW992&lt;&gt;"")*(1/(1+EXP(-(K992-'03_Lap_b'!$B$15:$AW$15)))))</f>
        <v/>
      </c>
      <c r="M992" s="5">
        <f>SUMPRODUCT(('01_Data'!$B992:$AW992&lt;&gt;"")*(1/(1+EXP(-(K992-'03_Lap_b'!$B$15:$AW$15))))^2)</f>
        <v/>
      </c>
      <c r="N992" s="5">
        <f>MEDIAN(-6,K992+(C992-L992)/MAX(L992-M992,0.000000001),6)</f>
        <v/>
      </c>
      <c r="O992" s="5">
        <f>SUMPRODUCT(('01_Data'!$B992:$AW992&lt;&gt;"")*(1/(1+EXP(-(N992-'03_Lap_b'!$B$20:$AW$20)))))</f>
        <v/>
      </c>
      <c r="P992" s="5">
        <f>SUMPRODUCT(('01_Data'!$B992:$AW992&lt;&gt;"")*(1/(1+EXP(-(N992-'03_Lap_b'!$B$20:$AW$20))))^2)</f>
        <v/>
      </c>
      <c r="Q992" s="5">
        <f>MEDIAN(-6,N992+(C992-O992)/MAX(O992-P992,0.000000001),6)</f>
        <v/>
      </c>
      <c r="R992" s="5">
        <f>SUMPRODUCT(('01_Data'!$B992:$AW992&lt;&gt;"")*(1/(1+EXP(-(Q992-'03_Lap_b'!$B$25:$AW$25)))))</f>
        <v/>
      </c>
      <c r="S992" s="5">
        <f>SUMPRODUCT(('01_Data'!$B992:$AW992&lt;&gt;"")*(1/(1+EXP(-(Q992-'03_Lap_b'!$B$25:$AW$25))))^2)</f>
        <v/>
      </c>
      <c r="T992" s="5">
        <f>MEDIAN(-6,Q992+(C992-R992)/MAX(R992-S992,0.000000001),6)</f>
        <v/>
      </c>
      <c r="U992" s="5">
        <f>SUMPRODUCT(('01_Data'!$B992:$AW992&lt;&gt;"")*(1/(1+EXP(-(T992-'03_Lap_b'!$B$30:$AW$30)))))</f>
        <v/>
      </c>
      <c r="V992" s="5">
        <f>SUMPRODUCT(('01_Data'!$B992:$AW992&lt;&gt;"")*(1/(1+EXP(-(T992-'03_Lap_b'!$B$30:$AW$30))))^2)</f>
        <v/>
      </c>
      <c r="W992" s="5">
        <f>MEDIAN(-6,T992+(C992-U992)/MAX(U992-V992,0.000000001),6)</f>
        <v/>
      </c>
      <c r="X992" s="5">
        <f>SUMPRODUCT(('01_Data'!$B992:$AW992&lt;&gt;"")*(1/(1+EXP(-(W992-'03_Lap_b'!$B$35:$AW$35)))))</f>
        <v/>
      </c>
      <c r="Y992" s="5">
        <f>SUMPRODUCT(('01_Data'!$B992:$AW992&lt;&gt;"")*(1/(1+EXP(-(W992-'03_Lap_b'!$B$35:$AW$35))))^2)</f>
        <v/>
      </c>
      <c r="Z992" s="5">
        <f>MEDIAN(-6,W992+(C992-X992)/MAX(X992-Y992,0.000000001),6)</f>
        <v/>
      </c>
      <c r="AA992" s="5">
        <f>SUMPRODUCT(('01_Data'!$B992:$AW992&lt;&gt;"")*(1/(1+EXP(-(Z992-'03_Lap_b'!$B$40:$AW$40)))))</f>
        <v/>
      </c>
      <c r="AB992" s="5">
        <f>SUMPRODUCT(('01_Data'!$B992:$AW992&lt;&gt;"")*(1/(1+EXP(-(Z992-'03_Lap_b'!$B$40:$AW$40))))^2)</f>
        <v/>
      </c>
      <c r="AC992" s="5">
        <f>MEDIAN(-6,Z992+(C992-AA992)/MAX(AA992-AB992,0.000000001),6)</f>
        <v/>
      </c>
    </row>
    <row r="993">
      <c r="A993" t="n">
        <v>992</v>
      </c>
      <c r="B993">
        <f>'01_Data'!A993</f>
        <v/>
      </c>
      <c r="C993">
        <f>SUM('01_Data'!$B993:$AW993)</f>
        <v/>
      </c>
      <c r="D993">
        <f>COUNT('01_Data'!$B993:$AW993)</f>
        <v/>
      </c>
      <c r="E993" s="5">
        <f>MEDIAN(-6,LN((C993+0.3)/(D993-C993+0.3)),6)</f>
        <v/>
      </c>
      <c r="F993" s="5">
        <f>SUMPRODUCT(('01_Data'!$B993:$AW993&lt;&gt;"")*(1/(1+EXP(-(E993-'03_Lap_b'!$B$5:$AW$5)))))</f>
        <v/>
      </c>
      <c r="G993" s="5">
        <f>SUMPRODUCT(('01_Data'!$B993:$AW993&lt;&gt;"")*(1/(1+EXP(-(E993-'03_Lap_b'!$B$5:$AW$5))))^2)</f>
        <v/>
      </c>
      <c r="H993" s="5">
        <f>MEDIAN(-6,E993+(C993-F993)/MAX(F993-G993,0.000000001),6)</f>
        <v/>
      </c>
      <c r="I993" s="5">
        <f>SUMPRODUCT(('01_Data'!$B993:$AW993&lt;&gt;"")*(1/(1+EXP(-(H993-'03_Lap_b'!$B$10:$AW$10)))))</f>
        <v/>
      </c>
      <c r="J993" s="5">
        <f>SUMPRODUCT(('01_Data'!$B993:$AW993&lt;&gt;"")*(1/(1+EXP(-(H993-'03_Lap_b'!$B$10:$AW$10))))^2)</f>
        <v/>
      </c>
      <c r="K993" s="5">
        <f>MEDIAN(-6,H993+(C993-I993)/MAX(I993-J993,0.000000001),6)</f>
        <v/>
      </c>
      <c r="L993" s="5">
        <f>SUMPRODUCT(('01_Data'!$B993:$AW993&lt;&gt;"")*(1/(1+EXP(-(K993-'03_Lap_b'!$B$15:$AW$15)))))</f>
        <v/>
      </c>
      <c r="M993" s="5">
        <f>SUMPRODUCT(('01_Data'!$B993:$AW993&lt;&gt;"")*(1/(1+EXP(-(K993-'03_Lap_b'!$B$15:$AW$15))))^2)</f>
        <v/>
      </c>
      <c r="N993" s="5">
        <f>MEDIAN(-6,K993+(C993-L993)/MAX(L993-M993,0.000000001),6)</f>
        <v/>
      </c>
      <c r="O993" s="5">
        <f>SUMPRODUCT(('01_Data'!$B993:$AW993&lt;&gt;"")*(1/(1+EXP(-(N993-'03_Lap_b'!$B$20:$AW$20)))))</f>
        <v/>
      </c>
      <c r="P993" s="5">
        <f>SUMPRODUCT(('01_Data'!$B993:$AW993&lt;&gt;"")*(1/(1+EXP(-(N993-'03_Lap_b'!$B$20:$AW$20))))^2)</f>
        <v/>
      </c>
      <c r="Q993" s="5">
        <f>MEDIAN(-6,N993+(C993-O993)/MAX(O993-P993,0.000000001),6)</f>
        <v/>
      </c>
      <c r="R993" s="5">
        <f>SUMPRODUCT(('01_Data'!$B993:$AW993&lt;&gt;"")*(1/(1+EXP(-(Q993-'03_Lap_b'!$B$25:$AW$25)))))</f>
        <v/>
      </c>
      <c r="S993" s="5">
        <f>SUMPRODUCT(('01_Data'!$B993:$AW993&lt;&gt;"")*(1/(1+EXP(-(Q993-'03_Lap_b'!$B$25:$AW$25))))^2)</f>
        <v/>
      </c>
      <c r="T993" s="5">
        <f>MEDIAN(-6,Q993+(C993-R993)/MAX(R993-S993,0.000000001),6)</f>
        <v/>
      </c>
      <c r="U993" s="5">
        <f>SUMPRODUCT(('01_Data'!$B993:$AW993&lt;&gt;"")*(1/(1+EXP(-(T993-'03_Lap_b'!$B$30:$AW$30)))))</f>
        <v/>
      </c>
      <c r="V993" s="5">
        <f>SUMPRODUCT(('01_Data'!$B993:$AW993&lt;&gt;"")*(1/(1+EXP(-(T993-'03_Lap_b'!$B$30:$AW$30))))^2)</f>
        <v/>
      </c>
      <c r="W993" s="5">
        <f>MEDIAN(-6,T993+(C993-U993)/MAX(U993-V993,0.000000001),6)</f>
        <v/>
      </c>
      <c r="X993" s="5">
        <f>SUMPRODUCT(('01_Data'!$B993:$AW993&lt;&gt;"")*(1/(1+EXP(-(W993-'03_Lap_b'!$B$35:$AW$35)))))</f>
        <v/>
      </c>
      <c r="Y993" s="5">
        <f>SUMPRODUCT(('01_Data'!$B993:$AW993&lt;&gt;"")*(1/(1+EXP(-(W993-'03_Lap_b'!$B$35:$AW$35))))^2)</f>
        <v/>
      </c>
      <c r="Z993" s="5">
        <f>MEDIAN(-6,W993+(C993-X993)/MAX(X993-Y993,0.000000001),6)</f>
        <v/>
      </c>
      <c r="AA993" s="5">
        <f>SUMPRODUCT(('01_Data'!$B993:$AW993&lt;&gt;"")*(1/(1+EXP(-(Z993-'03_Lap_b'!$B$40:$AW$40)))))</f>
        <v/>
      </c>
      <c r="AB993" s="5">
        <f>SUMPRODUCT(('01_Data'!$B993:$AW993&lt;&gt;"")*(1/(1+EXP(-(Z993-'03_Lap_b'!$B$40:$AW$40))))^2)</f>
        <v/>
      </c>
      <c r="AC993" s="5">
        <f>MEDIAN(-6,Z993+(C993-AA993)/MAX(AA993-AB993,0.000000001),6)</f>
        <v/>
      </c>
    </row>
    <row r="994">
      <c r="A994" t="n">
        <v>993</v>
      </c>
      <c r="B994">
        <f>'01_Data'!A994</f>
        <v/>
      </c>
      <c r="C994">
        <f>SUM('01_Data'!$B994:$AW994)</f>
        <v/>
      </c>
      <c r="D994">
        <f>COUNT('01_Data'!$B994:$AW994)</f>
        <v/>
      </c>
      <c r="E994" s="5">
        <f>MEDIAN(-6,LN((C994+0.3)/(D994-C994+0.3)),6)</f>
        <v/>
      </c>
      <c r="F994" s="5">
        <f>SUMPRODUCT(('01_Data'!$B994:$AW994&lt;&gt;"")*(1/(1+EXP(-(E994-'03_Lap_b'!$B$5:$AW$5)))))</f>
        <v/>
      </c>
      <c r="G994" s="5">
        <f>SUMPRODUCT(('01_Data'!$B994:$AW994&lt;&gt;"")*(1/(1+EXP(-(E994-'03_Lap_b'!$B$5:$AW$5))))^2)</f>
        <v/>
      </c>
      <c r="H994" s="5">
        <f>MEDIAN(-6,E994+(C994-F994)/MAX(F994-G994,0.000000001),6)</f>
        <v/>
      </c>
      <c r="I994" s="5">
        <f>SUMPRODUCT(('01_Data'!$B994:$AW994&lt;&gt;"")*(1/(1+EXP(-(H994-'03_Lap_b'!$B$10:$AW$10)))))</f>
        <v/>
      </c>
      <c r="J994" s="5">
        <f>SUMPRODUCT(('01_Data'!$B994:$AW994&lt;&gt;"")*(1/(1+EXP(-(H994-'03_Lap_b'!$B$10:$AW$10))))^2)</f>
        <v/>
      </c>
      <c r="K994" s="5">
        <f>MEDIAN(-6,H994+(C994-I994)/MAX(I994-J994,0.000000001),6)</f>
        <v/>
      </c>
      <c r="L994" s="5">
        <f>SUMPRODUCT(('01_Data'!$B994:$AW994&lt;&gt;"")*(1/(1+EXP(-(K994-'03_Lap_b'!$B$15:$AW$15)))))</f>
        <v/>
      </c>
      <c r="M994" s="5">
        <f>SUMPRODUCT(('01_Data'!$B994:$AW994&lt;&gt;"")*(1/(1+EXP(-(K994-'03_Lap_b'!$B$15:$AW$15))))^2)</f>
        <v/>
      </c>
      <c r="N994" s="5">
        <f>MEDIAN(-6,K994+(C994-L994)/MAX(L994-M994,0.000000001),6)</f>
        <v/>
      </c>
      <c r="O994" s="5">
        <f>SUMPRODUCT(('01_Data'!$B994:$AW994&lt;&gt;"")*(1/(1+EXP(-(N994-'03_Lap_b'!$B$20:$AW$20)))))</f>
        <v/>
      </c>
      <c r="P994" s="5">
        <f>SUMPRODUCT(('01_Data'!$B994:$AW994&lt;&gt;"")*(1/(1+EXP(-(N994-'03_Lap_b'!$B$20:$AW$20))))^2)</f>
        <v/>
      </c>
      <c r="Q994" s="5">
        <f>MEDIAN(-6,N994+(C994-O994)/MAX(O994-P994,0.000000001),6)</f>
        <v/>
      </c>
      <c r="R994" s="5">
        <f>SUMPRODUCT(('01_Data'!$B994:$AW994&lt;&gt;"")*(1/(1+EXP(-(Q994-'03_Lap_b'!$B$25:$AW$25)))))</f>
        <v/>
      </c>
      <c r="S994" s="5">
        <f>SUMPRODUCT(('01_Data'!$B994:$AW994&lt;&gt;"")*(1/(1+EXP(-(Q994-'03_Lap_b'!$B$25:$AW$25))))^2)</f>
        <v/>
      </c>
      <c r="T994" s="5">
        <f>MEDIAN(-6,Q994+(C994-R994)/MAX(R994-S994,0.000000001),6)</f>
        <v/>
      </c>
      <c r="U994" s="5">
        <f>SUMPRODUCT(('01_Data'!$B994:$AW994&lt;&gt;"")*(1/(1+EXP(-(T994-'03_Lap_b'!$B$30:$AW$30)))))</f>
        <v/>
      </c>
      <c r="V994" s="5">
        <f>SUMPRODUCT(('01_Data'!$B994:$AW994&lt;&gt;"")*(1/(1+EXP(-(T994-'03_Lap_b'!$B$30:$AW$30))))^2)</f>
        <v/>
      </c>
      <c r="W994" s="5">
        <f>MEDIAN(-6,T994+(C994-U994)/MAX(U994-V994,0.000000001),6)</f>
        <v/>
      </c>
      <c r="X994" s="5">
        <f>SUMPRODUCT(('01_Data'!$B994:$AW994&lt;&gt;"")*(1/(1+EXP(-(W994-'03_Lap_b'!$B$35:$AW$35)))))</f>
        <v/>
      </c>
      <c r="Y994" s="5">
        <f>SUMPRODUCT(('01_Data'!$B994:$AW994&lt;&gt;"")*(1/(1+EXP(-(W994-'03_Lap_b'!$B$35:$AW$35))))^2)</f>
        <v/>
      </c>
      <c r="Z994" s="5">
        <f>MEDIAN(-6,W994+(C994-X994)/MAX(X994-Y994,0.000000001),6)</f>
        <v/>
      </c>
      <c r="AA994" s="5">
        <f>SUMPRODUCT(('01_Data'!$B994:$AW994&lt;&gt;"")*(1/(1+EXP(-(Z994-'03_Lap_b'!$B$40:$AW$40)))))</f>
        <v/>
      </c>
      <c r="AB994" s="5">
        <f>SUMPRODUCT(('01_Data'!$B994:$AW994&lt;&gt;"")*(1/(1+EXP(-(Z994-'03_Lap_b'!$B$40:$AW$40))))^2)</f>
        <v/>
      </c>
      <c r="AC994" s="5">
        <f>MEDIAN(-6,Z994+(C994-AA994)/MAX(AA994-AB994,0.000000001),6)</f>
        <v/>
      </c>
    </row>
    <row r="995">
      <c r="A995" t="n">
        <v>994</v>
      </c>
      <c r="B995">
        <f>'01_Data'!A995</f>
        <v/>
      </c>
      <c r="C995">
        <f>SUM('01_Data'!$B995:$AW995)</f>
        <v/>
      </c>
      <c r="D995">
        <f>COUNT('01_Data'!$B995:$AW995)</f>
        <v/>
      </c>
      <c r="E995" s="5">
        <f>MEDIAN(-6,LN((C995+0.3)/(D995-C995+0.3)),6)</f>
        <v/>
      </c>
      <c r="F995" s="5">
        <f>SUMPRODUCT(('01_Data'!$B995:$AW995&lt;&gt;"")*(1/(1+EXP(-(E995-'03_Lap_b'!$B$5:$AW$5)))))</f>
        <v/>
      </c>
      <c r="G995" s="5">
        <f>SUMPRODUCT(('01_Data'!$B995:$AW995&lt;&gt;"")*(1/(1+EXP(-(E995-'03_Lap_b'!$B$5:$AW$5))))^2)</f>
        <v/>
      </c>
      <c r="H995" s="5">
        <f>MEDIAN(-6,E995+(C995-F995)/MAX(F995-G995,0.000000001),6)</f>
        <v/>
      </c>
      <c r="I995" s="5">
        <f>SUMPRODUCT(('01_Data'!$B995:$AW995&lt;&gt;"")*(1/(1+EXP(-(H995-'03_Lap_b'!$B$10:$AW$10)))))</f>
        <v/>
      </c>
      <c r="J995" s="5">
        <f>SUMPRODUCT(('01_Data'!$B995:$AW995&lt;&gt;"")*(1/(1+EXP(-(H995-'03_Lap_b'!$B$10:$AW$10))))^2)</f>
        <v/>
      </c>
      <c r="K995" s="5">
        <f>MEDIAN(-6,H995+(C995-I995)/MAX(I995-J995,0.000000001),6)</f>
        <v/>
      </c>
      <c r="L995" s="5">
        <f>SUMPRODUCT(('01_Data'!$B995:$AW995&lt;&gt;"")*(1/(1+EXP(-(K995-'03_Lap_b'!$B$15:$AW$15)))))</f>
        <v/>
      </c>
      <c r="M995" s="5">
        <f>SUMPRODUCT(('01_Data'!$B995:$AW995&lt;&gt;"")*(1/(1+EXP(-(K995-'03_Lap_b'!$B$15:$AW$15))))^2)</f>
        <v/>
      </c>
      <c r="N995" s="5">
        <f>MEDIAN(-6,K995+(C995-L995)/MAX(L995-M995,0.000000001),6)</f>
        <v/>
      </c>
      <c r="O995" s="5">
        <f>SUMPRODUCT(('01_Data'!$B995:$AW995&lt;&gt;"")*(1/(1+EXP(-(N995-'03_Lap_b'!$B$20:$AW$20)))))</f>
        <v/>
      </c>
      <c r="P995" s="5">
        <f>SUMPRODUCT(('01_Data'!$B995:$AW995&lt;&gt;"")*(1/(1+EXP(-(N995-'03_Lap_b'!$B$20:$AW$20))))^2)</f>
        <v/>
      </c>
      <c r="Q995" s="5">
        <f>MEDIAN(-6,N995+(C995-O995)/MAX(O995-P995,0.000000001),6)</f>
        <v/>
      </c>
      <c r="R995" s="5">
        <f>SUMPRODUCT(('01_Data'!$B995:$AW995&lt;&gt;"")*(1/(1+EXP(-(Q995-'03_Lap_b'!$B$25:$AW$25)))))</f>
        <v/>
      </c>
      <c r="S995" s="5">
        <f>SUMPRODUCT(('01_Data'!$B995:$AW995&lt;&gt;"")*(1/(1+EXP(-(Q995-'03_Lap_b'!$B$25:$AW$25))))^2)</f>
        <v/>
      </c>
      <c r="T995" s="5">
        <f>MEDIAN(-6,Q995+(C995-R995)/MAX(R995-S995,0.000000001),6)</f>
        <v/>
      </c>
      <c r="U995" s="5">
        <f>SUMPRODUCT(('01_Data'!$B995:$AW995&lt;&gt;"")*(1/(1+EXP(-(T995-'03_Lap_b'!$B$30:$AW$30)))))</f>
        <v/>
      </c>
      <c r="V995" s="5">
        <f>SUMPRODUCT(('01_Data'!$B995:$AW995&lt;&gt;"")*(1/(1+EXP(-(T995-'03_Lap_b'!$B$30:$AW$30))))^2)</f>
        <v/>
      </c>
      <c r="W995" s="5">
        <f>MEDIAN(-6,T995+(C995-U995)/MAX(U995-V995,0.000000001),6)</f>
        <v/>
      </c>
      <c r="X995" s="5">
        <f>SUMPRODUCT(('01_Data'!$B995:$AW995&lt;&gt;"")*(1/(1+EXP(-(W995-'03_Lap_b'!$B$35:$AW$35)))))</f>
        <v/>
      </c>
      <c r="Y995" s="5">
        <f>SUMPRODUCT(('01_Data'!$B995:$AW995&lt;&gt;"")*(1/(1+EXP(-(W995-'03_Lap_b'!$B$35:$AW$35))))^2)</f>
        <v/>
      </c>
      <c r="Z995" s="5">
        <f>MEDIAN(-6,W995+(C995-X995)/MAX(X995-Y995,0.000000001),6)</f>
        <v/>
      </c>
      <c r="AA995" s="5">
        <f>SUMPRODUCT(('01_Data'!$B995:$AW995&lt;&gt;"")*(1/(1+EXP(-(Z995-'03_Lap_b'!$B$40:$AW$40)))))</f>
        <v/>
      </c>
      <c r="AB995" s="5">
        <f>SUMPRODUCT(('01_Data'!$B995:$AW995&lt;&gt;"")*(1/(1+EXP(-(Z995-'03_Lap_b'!$B$40:$AW$40))))^2)</f>
        <v/>
      </c>
      <c r="AC995" s="5">
        <f>MEDIAN(-6,Z995+(C995-AA995)/MAX(AA995-AB995,0.000000001),6)</f>
        <v/>
      </c>
    </row>
    <row r="996">
      <c r="A996" t="n">
        <v>995</v>
      </c>
      <c r="B996">
        <f>'01_Data'!A996</f>
        <v/>
      </c>
      <c r="C996">
        <f>SUM('01_Data'!$B996:$AW996)</f>
        <v/>
      </c>
      <c r="D996">
        <f>COUNT('01_Data'!$B996:$AW996)</f>
        <v/>
      </c>
      <c r="E996" s="5">
        <f>MEDIAN(-6,LN((C996+0.3)/(D996-C996+0.3)),6)</f>
        <v/>
      </c>
      <c r="F996" s="5">
        <f>SUMPRODUCT(('01_Data'!$B996:$AW996&lt;&gt;"")*(1/(1+EXP(-(E996-'03_Lap_b'!$B$5:$AW$5)))))</f>
        <v/>
      </c>
      <c r="G996" s="5">
        <f>SUMPRODUCT(('01_Data'!$B996:$AW996&lt;&gt;"")*(1/(1+EXP(-(E996-'03_Lap_b'!$B$5:$AW$5))))^2)</f>
        <v/>
      </c>
      <c r="H996" s="5">
        <f>MEDIAN(-6,E996+(C996-F996)/MAX(F996-G996,0.000000001),6)</f>
        <v/>
      </c>
      <c r="I996" s="5">
        <f>SUMPRODUCT(('01_Data'!$B996:$AW996&lt;&gt;"")*(1/(1+EXP(-(H996-'03_Lap_b'!$B$10:$AW$10)))))</f>
        <v/>
      </c>
      <c r="J996" s="5">
        <f>SUMPRODUCT(('01_Data'!$B996:$AW996&lt;&gt;"")*(1/(1+EXP(-(H996-'03_Lap_b'!$B$10:$AW$10))))^2)</f>
        <v/>
      </c>
      <c r="K996" s="5">
        <f>MEDIAN(-6,H996+(C996-I996)/MAX(I996-J996,0.000000001),6)</f>
        <v/>
      </c>
      <c r="L996" s="5">
        <f>SUMPRODUCT(('01_Data'!$B996:$AW996&lt;&gt;"")*(1/(1+EXP(-(K996-'03_Lap_b'!$B$15:$AW$15)))))</f>
        <v/>
      </c>
      <c r="M996" s="5">
        <f>SUMPRODUCT(('01_Data'!$B996:$AW996&lt;&gt;"")*(1/(1+EXP(-(K996-'03_Lap_b'!$B$15:$AW$15))))^2)</f>
        <v/>
      </c>
      <c r="N996" s="5">
        <f>MEDIAN(-6,K996+(C996-L996)/MAX(L996-M996,0.000000001),6)</f>
        <v/>
      </c>
      <c r="O996" s="5">
        <f>SUMPRODUCT(('01_Data'!$B996:$AW996&lt;&gt;"")*(1/(1+EXP(-(N996-'03_Lap_b'!$B$20:$AW$20)))))</f>
        <v/>
      </c>
      <c r="P996" s="5">
        <f>SUMPRODUCT(('01_Data'!$B996:$AW996&lt;&gt;"")*(1/(1+EXP(-(N996-'03_Lap_b'!$B$20:$AW$20))))^2)</f>
        <v/>
      </c>
      <c r="Q996" s="5">
        <f>MEDIAN(-6,N996+(C996-O996)/MAX(O996-P996,0.000000001),6)</f>
        <v/>
      </c>
      <c r="R996" s="5">
        <f>SUMPRODUCT(('01_Data'!$B996:$AW996&lt;&gt;"")*(1/(1+EXP(-(Q996-'03_Lap_b'!$B$25:$AW$25)))))</f>
        <v/>
      </c>
      <c r="S996" s="5">
        <f>SUMPRODUCT(('01_Data'!$B996:$AW996&lt;&gt;"")*(1/(1+EXP(-(Q996-'03_Lap_b'!$B$25:$AW$25))))^2)</f>
        <v/>
      </c>
      <c r="T996" s="5">
        <f>MEDIAN(-6,Q996+(C996-R996)/MAX(R996-S996,0.000000001),6)</f>
        <v/>
      </c>
      <c r="U996" s="5">
        <f>SUMPRODUCT(('01_Data'!$B996:$AW996&lt;&gt;"")*(1/(1+EXP(-(T996-'03_Lap_b'!$B$30:$AW$30)))))</f>
        <v/>
      </c>
      <c r="V996" s="5">
        <f>SUMPRODUCT(('01_Data'!$B996:$AW996&lt;&gt;"")*(1/(1+EXP(-(T996-'03_Lap_b'!$B$30:$AW$30))))^2)</f>
        <v/>
      </c>
      <c r="W996" s="5">
        <f>MEDIAN(-6,T996+(C996-U996)/MAX(U996-V996,0.000000001),6)</f>
        <v/>
      </c>
      <c r="X996" s="5">
        <f>SUMPRODUCT(('01_Data'!$B996:$AW996&lt;&gt;"")*(1/(1+EXP(-(W996-'03_Lap_b'!$B$35:$AW$35)))))</f>
        <v/>
      </c>
      <c r="Y996" s="5">
        <f>SUMPRODUCT(('01_Data'!$B996:$AW996&lt;&gt;"")*(1/(1+EXP(-(W996-'03_Lap_b'!$B$35:$AW$35))))^2)</f>
        <v/>
      </c>
      <c r="Z996" s="5">
        <f>MEDIAN(-6,W996+(C996-X996)/MAX(X996-Y996,0.000000001),6)</f>
        <v/>
      </c>
      <c r="AA996" s="5">
        <f>SUMPRODUCT(('01_Data'!$B996:$AW996&lt;&gt;"")*(1/(1+EXP(-(Z996-'03_Lap_b'!$B$40:$AW$40)))))</f>
        <v/>
      </c>
      <c r="AB996" s="5">
        <f>SUMPRODUCT(('01_Data'!$B996:$AW996&lt;&gt;"")*(1/(1+EXP(-(Z996-'03_Lap_b'!$B$40:$AW$40))))^2)</f>
        <v/>
      </c>
      <c r="AC996" s="5">
        <f>MEDIAN(-6,Z996+(C996-AA996)/MAX(AA996-AB996,0.000000001),6)</f>
        <v/>
      </c>
    </row>
    <row r="997">
      <c r="A997" t="n">
        <v>996</v>
      </c>
      <c r="B997">
        <f>'01_Data'!A997</f>
        <v/>
      </c>
      <c r="C997">
        <f>SUM('01_Data'!$B997:$AW997)</f>
        <v/>
      </c>
      <c r="D997">
        <f>COUNT('01_Data'!$B997:$AW997)</f>
        <v/>
      </c>
      <c r="E997" s="5">
        <f>MEDIAN(-6,LN((C997+0.3)/(D997-C997+0.3)),6)</f>
        <v/>
      </c>
      <c r="F997" s="5">
        <f>SUMPRODUCT(('01_Data'!$B997:$AW997&lt;&gt;"")*(1/(1+EXP(-(E997-'03_Lap_b'!$B$5:$AW$5)))))</f>
        <v/>
      </c>
      <c r="G997" s="5">
        <f>SUMPRODUCT(('01_Data'!$B997:$AW997&lt;&gt;"")*(1/(1+EXP(-(E997-'03_Lap_b'!$B$5:$AW$5))))^2)</f>
        <v/>
      </c>
      <c r="H997" s="5">
        <f>MEDIAN(-6,E997+(C997-F997)/MAX(F997-G997,0.000000001),6)</f>
        <v/>
      </c>
      <c r="I997" s="5">
        <f>SUMPRODUCT(('01_Data'!$B997:$AW997&lt;&gt;"")*(1/(1+EXP(-(H997-'03_Lap_b'!$B$10:$AW$10)))))</f>
        <v/>
      </c>
      <c r="J997" s="5">
        <f>SUMPRODUCT(('01_Data'!$B997:$AW997&lt;&gt;"")*(1/(1+EXP(-(H997-'03_Lap_b'!$B$10:$AW$10))))^2)</f>
        <v/>
      </c>
      <c r="K997" s="5">
        <f>MEDIAN(-6,H997+(C997-I997)/MAX(I997-J997,0.000000001),6)</f>
        <v/>
      </c>
      <c r="L997" s="5">
        <f>SUMPRODUCT(('01_Data'!$B997:$AW997&lt;&gt;"")*(1/(1+EXP(-(K997-'03_Lap_b'!$B$15:$AW$15)))))</f>
        <v/>
      </c>
      <c r="M997" s="5">
        <f>SUMPRODUCT(('01_Data'!$B997:$AW997&lt;&gt;"")*(1/(1+EXP(-(K997-'03_Lap_b'!$B$15:$AW$15))))^2)</f>
        <v/>
      </c>
      <c r="N997" s="5">
        <f>MEDIAN(-6,K997+(C997-L997)/MAX(L997-M997,0.000000001),6)</f>
        <v/>
      </c>
      <c r="O997" s="5">
        <f>SUMPRODUCT(('01_Data'!$B997:$AW997&lt;&gt;"")*(1/(1+EXP(-(N997-'03_Lap_b'!$B$20:$AW$20)))))</f>
        <v/>
      </c>
      <c r="P997" s="5">
        <f>SUMPRODUCT(('01_Data'!$B997:$AW997&lt;&gt;"")*(1/(1+EXP(-(N997-'03_Lap_b'!$B$20:$AW$20))))^2)</f>
        <v/>
      </c>
      <c r="Q997" s="5">
        <f>MEDIAN(-6,N997+(C997-O997)/MAX(O997-P997,0.000000001),6)</f>
        <v/>
      </c>
      <c r="R997" s="5">
        <f>SUMPRODUCT(('01_Data'!$B997:$AW997&lt;&gt;"")*(1/(1+EXP(-(Q997-'03_Lap_b'!$B$25:$AW$25)))))</f>
        <v/>
      </c>
      <c r="S997" s="5">
        <f>SUMPRODUCT(('01_Data'!$B997:$AW997&lt;&gt;"")*(1/(1+EXP(-(Q997-'03_Lap_b'!$B$25:$AW$25))))^2)</f>
        <v/>
      </c>
      <c r="T997" s="5">
        <f>MEDIAN(-6,Q997+(C997-R997)/MAX(R997-S997,0.000000001),6)</f>
        <v/>
      </c>
      <c r="U997" s="5">
        <f>SUMPRODUCT(('01_Data'!$B997:$AW997&lt;&gt;"")*(1/(1+EXP(-(T997-'03_Lap_b'!$B$30:$AW$30)))))</f>
        <v/>
      </c>
      <c r="V997" s="5">
        <f>SUMPRODUCT(('01_Data'!$B997:$AW997&lt;&gt;"")*(1/(1+EXP(-(T997-'03_Lap_b'!$B$30:$AW$30))))^2)</f>
        <v/>
      </c>
      <c r="W997" s="5">
        <f>MEDIAN(-6,T997+(C997-U997)/MAX(U997-V997,0.000000001),6)</f>
        <v/>
      </c>
      <c r="X997" s="5">
        <f>SUMPRODUCT(('01_Data'!$B997:$AW997&lt;&gt;"")*(1/(1+EXP(-(W997-'03_Lap_b'!$B$35:$AW$35)))))</f>
        <v/>
      </c>
      <c r="Y997" s="5">
        <f>SUMPRODUCT(('01_Data'!$B997:$AW997&lt;&gt;"")*(1/(1+EXP(-(W997-'03_Lap_b'!$B$35:$AW$35))))^2)</f>
        <v/>
      </c>
      <c r="Z997" s="5">
        <f>MEDIAN(-6,W997+(C997-X997)/MAX(X997-Y997,0.000000001),6)</f>
        <v/>
      </c>
      <c r="AA997" s="5">
        <f>SUMPRODUCT(('01_Data'!$B997:$AW997&lt;&gt;"")*(1/(1+EXP(-(Z997-'03_Lap_b'!$B$40:$AW$40)))))</f>
        <v/>
      </c>
      <c r="AB997" s="5">
        <f>SUMPRODUCT(('01_Data'!$B997:$AW997&lt;&gt;"")*(1/(1+EXP(-(Z997-'03_Lap_b'!$B$40:$AW$40))))^2)</f>
        <v/>
      </c>
      <c r="AC997" s="5">
        <f>MEDIAN(-6,Z997+(C997-AA997)/MAX(AA997-AB997,0.000000001),6)</f>
        <v/>
      </c>
    </row>
    <row r="998">
      <c r="A998" t="n">
        <v>997</v>
      </c>
      <c r="B998">
        <f>'01_Data'!A998</f>
        <v/>
      </c>
      <c r="C998">
        <f>SUM('01_Data'!$B998:$AW998)</f>
        <v/>
      </c>
      <c r="D998">
        <f>COUNT('01_Data'!$B998:$AW998)</f>
        <v/>
      </c>
      <c r="E998" s="5">
        <f>MEDIAN(-6,LN((C998+0.3)/(D998-C998+0.3)),6)</f>
        <v/>
      </c>
      <c r="F998" s="5">
        <f>SUMPRODUCT(('01_Data'!$B998:$AW998&lt;&gt;"")*(1/(1+EXP(-(E998-'03_Lap_b'!$B$5:$AW$5)))))</f>
        <v/>
      </c>
      <c r="G998" s="5">
        <f>SUMPRODUCT(('01_Data'!$B998:$AW998&lt;&gt;"")*(1/(1+EXP(-(E998-'03_Lap_b'!$B$5:$AW$5))))^2)</f>
        <v/>
      </c>
      <c r="H998" s="5">
        <f>MEDIAN(-6,E998+(C998-F998)/MAX(F998-G998,0.000000001),6)</f>
        <v/>
      </c>
      <c r="I998" s="5">
        <f>SUMPRODUCT(('01_Data'!$B998:$AW998&lt;&gt;"")*(1/(1+EXP(-(H998-'03_Lap_b'!$B$10:$AW$10)))))</f>
        <v/>
      </c>
      <c r="J998" s="5">
        <f>SUMPRODUCT(('01_Data'!$B998:$AW998&lt;&gt;"")*(1/(1+EXP(-(H998-'03_Lap_b'!$B$10:$AW$10))))^2)</f>
        <v/>
      </c>
      <c r="K998" s="5">
        <f>MEDIAN(-6,H998+(C998-I998)/MAX(I998-J998,0.000000001),6)</f>
        <v/>
      </c>
      <c r="L998" s="5">
        <f>SUMPRODUCT(('01_Data'!$B998:$AW998&lt;&gt;"")*(1/(1+EXP(-(K998-'03_Lap_b'!$B$15:$AW$15)))))</f>
        <v/>
      </c>
      <c r="M998" s="5">
        <f>SUMPRODUCT(('01_Data'!$B998:$AW998&lt;&gt;"")*(1/(1+EXP(-(K998-'03_Lap_b'!$B$15:$AW$15))))^2)</f>
        <v/>
      </c>
      <c r="N998" s="5">
        <f>MEDIAN(-6,K998+(C998-L998)/MAX(L998-M998,0.000000001),6)</f>
        <v/>
      </c>
      <c r="O998" s="5">
        <f>SUMPRODUCT(('01_Data'!$B998:$AW998&lt;&gt;"")*(1/(1+EXP(-(N998-'03_Lap_b'!$B$20:$AW$20)))))</f>
        <v/>
      </c>
      <c r="P998" s="5">
        <f>SUMPRODUCT(('01_Data'!$B998:$AW998&lt;&gt;"")*(1/(1+EXP(-(N998-'03_Lap_b'!$B$20:$AW$20))))^2)</f>
        <v/>
      </c>
      <c r="Q998" s="5">
        <f>MEDIAN(-6,N998+(C998-O998)/MAX(O998-P998,0.000000001),6)</f>
        <v/>
      </c>
      <c r="R998" s="5">
        <f>SUMPRODUCT(('01_Data'!$B998:$AW998&lt;&gt;"")*(1/(1+EXP(-(Q998-'03_Lap_b'!$B$25:$AW$25)))))</f>
        <v/>
      </c>
      <c r="S998" s="5">
        <f>SUMPRODUCT(('01_Data'!$B998:$AW998&lt;&gt;"")*(1/(1+EXP(-(Q998-'03_Lap_b'!$B$25:$AW$25))))^2)</f>
        <v/>
      </c>
      <c r="T998" s="5">
        <f>MEDIAN(-6,Q998+(C998-R998)/MAX(R998-S998,0.000000001),6)</f>
        <v/>
      </c>
      <c r="U998" s="5">
        <f>SUMPRODUCT(('01_Data'!$B998:$AW998&lt;&gt;"")*(1/(1+EXP(-(T998-'03_Lap_b'!$B$30:$AW$30)))))</f>
        <v/>
      </c>
      <c r="V998" s="5">
        <f>SUMPRODUCT(('01_Data'!$B998:$AW998&lt;&gt;"")*(1/(1+EXP(-(T998-'03_Lap_b'!$B$30:$AW$30))))^2)</f>
        <v/>
      </c>
      <c r="W998" s="5">
        <f>MEDIAN(-6,T998+(C998-U998)/MAX(U998-V998,0.000000001),6)</f>
        <v/>
      </c>
      <c r="X998" s="5">
        <f>SUMPRODUCT(('01_Data'!$B998:$AW998&lt;&gt;"")*(1/(1+EXP(-(W998-'03_Lap_b'!$B$35:$AW$35)))))</f>
        <v/>
      </c>
      <c r="Y998" s="5">
        <f>SUMPRODUCT(('01_Data'!$B998:$AW998&lt;&gt;"")*(1/(1+EXP(-(W998-'03_Lap_b'!$B$35:$AW$35))))^2)</f>
        <v/>
      </c>
      <c r="Z998" s="5">
        <f>MEDIAN(-6,W998+(C998-X998)/MAX(X998-Y998,0.000000001),6)</f>
        <v/>
      </c>
      <c r="AA998" s="5">
        <f>SUMPRODUCT(('01_Data'!$B998:$AW998&lt;&gt;"")*(1/(1+EXP(-(Z998-'03_Lap_b'!$B$40:$AW$40)))))</f>
        <v/>
      </c>
      <c r="AB998" s="5">
        <f>SUMPRODUCT(('01_Data'!$B998:$AW998&lt;&gt;"")*(1/(1+EXP(-(Z998-'03_Lap_b'!$B$40:$AW$40))))^2)</f>
        <v/>
      </c>
      <c r="AC998" s="5">
        <f>MEDIAN(-6,Z998+(C998-AA998)/MAX(AA998-AB998,0.000000001),6)</f>
        <v/>
      </c>
    </row>
    <row r="999">
      <c r="A999" t="n">
        <v>998</v>
      </c>
      <c r="B999">
        <f>'01_Data'!A999</f>
        <v/>
      </c>
      <c r="C999">
        <f>SUM('01_Data'!$B999:$AW999)</f>
        <v/>
      </c>
      <c r="D999">
        <f>COUNT('01_Data'!$B999:$AW999)</f>
        <v/>
      </c>
      <c r="E999" s="5">
        <f>MEDIAN(-6,LN((C999+0.3)/(D999-C999+0.3)),6)</f>
        <v/>
      </c>
      <c r="F999" s="5">
        <f>SUMPRODUCT(('01_Data'!$B999:$AW999&lt;&gt;"")*(1/(1+EXP(-(E999-'03_Lap_b'!$B$5:$AW$5)))))</f>
        <v/>
      </c>
      <c r="G999" s="5">
        <f>SUMPRODUCT(('01_Data'!$B999:$AW999&lt;&gt;"")*(1/(1+EXP(-(E999-'03_Lap_b'!$B$5:$AW$5))))^2)</f>
        <v/>
      </c>
      <c r="H999" s="5">
        <f>MEDIAN(-6,E999+(C999-F999)/MAX(F999-G999,0.000000001),6)</f>
        <v/>
      </c>
      <c r="I999" s="5">
        <f>SUMPRODUCT(('01_Data'!$B999:$AW999&lt;&gt;"")*(1/(1+EXP(-(H999-'03_Lap_b'!$B$10:$AW$10)))))</f>
        <v/>
      </c>
      <c r="J999" s="5">
        <f>SUMPRODUCT(('01_Data'!$B999:$AW999&lt;&gt;"")*(1/(1+EXP(-(H999-'03_Lap_b'!$B$10:$AW$10))))^2)</f>
        <v/>
      </c>
      <c r="K999" s="5">
        <f>MEDIAN(-6,H999+(C999-I999)/MAX(I999-J999,0.000000001),6)</f>
        <v/>
      </c>
      <c r="L999" s="5">
        <f>SUMPRODUCT(('01_Data'!$B999:$AW999&lt;&gt;"")*(1/(1+EXP(-(K999-'03_Lap_b'!$B$15:$AW$15)))))</f>
        <v/>
      </c>
      <c r="M999" s="5">
        <f>SUMPRODUCT(('01_Data'!$B999:$AW999&lt;&gt;"")*(1/(1+EXP(-(K999-'03_Lap_b'!$B$15:$AW$15))))^2)</f>
        <v/>
      </c>
      <c r="N999" s="5">
        <f>MEDIAN(-6,K999+(C999-L999)/MAX(L999-M999,0.000000001),6)</f>
        <v/>
      </c>
      <c r="O999" s="5">
        <f>SUMPRODUCT(('01_Data'!$B999:$AW999&lt;&gt;"")*(1/(1+EXP(-(N999-'03_Lap_b'!$B$20:$AW$20)))))</f>
        <v/>
      </c>
      <c r="P999" s="5">
        <f>SUMPRODUCT(('01_Data'!$B999:$AW999&lt;&gt;"")*(1/(1+EXP(-(N999-'03_Lap_b'!$B$20:$AW$20))))^2)</f>
        <v/>
      </c>
      <c r="Q999" s="5">
        <f>MEDIAN(-6,N999+(C999-O999)/MAX(O999-P999,0.000000001),6)</f>
        <v/>
      </c>
      <c r="R999" s="5">
        <f>SUMPRODUCT(('01_Data'!$B999:$AW999&lt;&gt;"")*(1/(1+EXP(-(Q999-'03_Lap_b'!$B$25:$AW$25)))))</f>
        <v/>
      </c>
      <c r="S999" s="5">
        <f>SUMPRODUCT(('01_Data'!$B999:$AW999&lt;&gt;"")*(1/(1+EXP(-(Q999-'03_Lap_b'!$B$25:$AW$25))))^2)</f>
        <v/>
      </c>
      <c r="T999" s="5">
        <f>MEDIAN(-6,Q999+(C999-R999)/MAX(R999-S999,0.000000001),6)</f>
        <v/>
      </c>
      <c r="U999" s="5">
        <f>SUMPRODUCT(('01_Data'!$B999:$AW999&lt;&gt;"")*(1/(1+EXP(-(T999-'03_Lap_b'!$B$30:$AW$30)))))</f>
        <v/>
      </c>
      <c r="V999" s="5">
        <f>SUMPRODUCT(('01_Data'!$B999:$AW999&lt;&gt;"")*(1/(1+EXP(-(T999-'03_Lap_b'!$B$30:$AW$30))))^2)</f>
        <v/>
      </c>
      <c r="W999" s="5">
        <f>MEDIAN(-6,T999+(C999-U999)/MAX(U999-V999,0.000000001),6)</f>
        <v/>
      </c>
      <c r="X999" s="5">
        <f>SUMPRODUCT(('01_Data'!$B999:$AW999&lt;&gt;"")*(1/(1+EXP(-(W999-'03_Lap_b'!$B$35:$AW$35)))))</f>
        <v/>
      </c>
      <c r="Y999" s="5">
        <f>SUMPRODUCT(('01_Data'!$B999:$AW999&lt;&gt;"")*(1/(1+EXP(-(W999-'03_Lap_b'!$B$35:$AW$35))))^2)</f>
        <v/>
      </c>
      <c r="Z999" s="5">
        <f>MEDIAN(-6,W999+(C999-X999)/MAX(X999-Y999,0.000000001),6)</f>
        <v/>
      </c>
      <c r="AA999" s="5">
        <f>SUMPRODUCT(('01_Data'!$B999:$AW999&lt;&gt;"")*(1/(1+EXP(-(Z999-'03_Lap_b'!$B$40:$AW$40)))))</f>
        <v/>
      </c>
      <c r="AB999" s="5">
        <f>SUMPRODUCT(('01_Data'!$B999:$AW999&lt;&gt;"")*(1/(1+EXP(-(Z999-'03_Lap_b'!$B$40:$AW$40))))^2)</f>
        <v/>
      </c>
      <c r="AC999" s="5">
        <f>MEDIAN(-6,Z999+(C999-AA999)/MAX(AA999-AB999,0.000000001),6)</f>
        <v/>
      </c>
    </row>
    <row r="1000">
      <c r="A1000" t="n">
        <v>999</v>
      </c>
      <c r="B1000">
        <f>'01_Data'!A1000</f>
        <v/>
      </c>
      <c r="C1000">
        <f>SUM('01_Data'!$B1000:$AW1000)</f>
        <v/>
      </c>
      <c r="D1000">
        <f>COUNT('01_Data'!$B1000:$AW1000)</f>
        <v/>
      </c>
      <c r="E1000" s="5">
        <f>MEDIAN(-6,LN((C1000+0.3)/(D1000-C1000+0.3)),6)</f>
        <v/>
      </c>
      <c r="F1000" s="5">
        <f>SUMPRODUCT(('01_Data'!$B1000:$AW1000&lt;&gt;"")*(1/(1+EXP(-(E1000-'03_Lap_b'!$B$5:$AW$5)))))</f>
        <v/>
      </c>
      <c r="G1000" s="5">
        <f>SUMPRODUCT(('01_Data'!$B1000:$AW1000&lt;&gt;"")*(1/(1+EXP(-(E1000-'03_Lap_b'!$B$5:$AW$5))))^2)</f>
        <v/>
      </c>
      <c r="H1000" s="5">
        <f>MEDIAN(-6,E1000+(C1000-F1000)/MAX(F1000-G1000,0.000000001),6)</f>
        <v/>
      </c>
      <c r="I1000" s="5">
        <f>SUMPRODUCT(('01_Data'!$B1000:$AW1000&lt;&gt;"")*(1/(1+EXP(-(H1000-'03_Lap_b'!$B$10:$AW$10)))))</f>
        <v/>
      </c>
      <c r="J1000" s="5">
        <f>SUMPRODUCT(('01_Data'!$B1000:$AW1000&lt;&gt;"")*(1/(1+EXP(-(H1000-'03_Lap_b'!$B$10:$AW$10))))^2)</f>
        <v/>
      </c>
      <c r="K1000" s="5">
        <f>MEDIAN(-6,H1000+(C1000-I1000)/MAX(I1000-J1000,0.000000001),6)</f>
        <v/>
      </c>
      <c r="L1000" s="5">
        <f>SUMPRODUCT(('01_Data'!$B1000:$AW1000&lt;&gt;"")*(1/(1+EXP(-(K1000-'03_Lap_b'!$B$15:$AW$15)))))</f>
        <v/>
      </c>
      <c r="M1000" s="5">
        <f>SUMPRODUCT(('01_Data'!$B1000:$AW1000&lt;&gt;"")*(1/(1+EXP(-(K1000-'03_Lap_b'!$B$15:$AW$15))))^2)</f>
        <v/>
      </c>
      <c r="N1000" s="5">
        <f>MEDIAN(-6,K1000+(C1000-L1000)/MAX(L1000-M1000,0.000000001),6)</f>
        <v/>
      </c>
      <c r="O1000" s="5">
        <f>SUMPRODUCT(('01_Data'!$B1000:$AW1000&lt;&gt;"")*(1/(1+EXP(-(N1000-'03_Lap_b'!$B$20:$AW$20)))))</f>
        <v/>
      </c>
      <c r="P1000" s="5">
        <f>SUMPRODUCT(('01_Data'!$B1000:$AW1000&lt;&gt;"")*(1/(1+EXP(-(N1000-'03_Lap_b'!$B$20:$AW$20))))^2)</f>
        <v/>
      </c>
      <c r="Q1000" s="5">
        <f>MEDIAN(-6,N1000+(C1000-O1000)/MAX(O1000-P1000,0.000000001),6)</f>
        <v/>
      </c>
      <c r="R1000" s="5">
        <f>SUMPRODUCT(('01_Data'!$B1000:$AW1000&lt;&gt;"")*(1/(1+EXP(-(Q1000-'03_Lap_b'!$B$25:$AW$25)))))</f>
        <v/>
      </c>
      <c r="S1000" s="5">
        <f>SUMPRODUCT(('01_Data'!$B1000:$AW1000&lt;&gt;"")*(1/(1+EXP(-(Q1000-'03_Lap_b'!$B$25:$AW$25))))^2)</f>
        <v/>
      </c>
      <c r="T1000" s="5">
        <f>MEDIAN(-6,Q1000+(C1000-R1000)/MAX(R1000-S1000,0.000000001),6)</f>
        <v/>
      </c>
      <c r="U1000" s="5">
        <f>SUMPRODUCT(('01_Data'!$B1000:$AW1000&lt;&gt;"")*(1/(1+EXP(-(T1000-'03_Lap_b'!$B$30:$AW$30)))))</f>
        <v/>
      </c>
      <c r="V1000" s="5">
        <f>SUMPRODUCT(('01_Data'!$B1000:$AW1000&lt;&gt;"")*(1/(1+EXP(-(T1000-'03_Lap_b'!$B$30:$AW$30))))^2)</f>
        <v/>
      </c>
      <c r="W1000" s="5">
        <f>MEDIAN(-6,T1000+(C1000-U1000)/MAX(U1000-V1000,0.000000001),6)</f>
        <v/>
      </c>
      <c r="X1000" s="5">
        <f>SUMPRODUCT(('01_Data'!$B1000:$AW1000&lt;&gt;"")*(1/(1+EXP(-(W1000-'03_Lap_b'!$B$35:$AW$35)))))</f>
        <v/>
      </c>
      <c r="Y1000" s="5">
        <f>SUMPRODUCT(('01_Data'!$B1000:$AW1000&lt;&gt;"")*(1/(1+EXP(-(W1000-'03_Lap_b'!$B$35:$AW$35))))^2)</f>
        <v/>
      </c>
      <c r="Z1000" s="5">
        <f>MEDIAN(-6,W1000+(C1000-X1000)/MAX(X1000-Y1000,0.000000001),6)</f>
        <v/>
      </c>
      <c r="AA1000" s="5">
        <f>SUMPRODUCT(('01_Data'!$B1000:$AW1000&lt;&gt;"")*(1/(1+EXP(-(Z1000-'03_Lap_b'!$B$40:$AW$40)))))</f>
        <v/>
      </c>
      <c r="AB1000" s="5">
        <f>SUMPRODUCT(('01_Data'!$B1000:$AW1000&lt;&gt;"")*(1/(1+EXP(-(Z1000-'03_Lap_b'!$B$40:$AW$40))))^2)</f>
        <v/>
      </c>
      <c r="AC1000" s="5">
        <f>MEDIAN(-6,Z1000+(C1000-AA1000)/MAX(AA1000-AB1000,0.000000001),6)</f>
        <v/>
      </c>
    </row>
    <row r="1001">
      <c r="A1001" t="n">
        <v>1000</v>
      </c>
      <c r="B1001">
        <f>'01_Data'!A1001</f>
        <v/>
      </c>
      <c r="C1001">
        <f>SUM('01_Data'!$B1001:$AW1001)</f>
        <v/>
      </c>
      <c r="D1001">
        <f>COUNT('01_Data'!$B1001:$AW1001)</f>
        <v/>
      </c>
      <c r="E1001" s="5">
        <f>MEDIAN(-6,LN((C1001+0.3)/(D1001-C1001+0.3)),6)</f>
        <v/>
      </c>
      <c r="F1001" s="5">
        <f>SUMPRODUCT(('01_Data'!$B1001:$AW1001&lt;&gt;"")*(1/(1+EXP(-(E1001-'03_Lap_b'!$B$5:$AW$5)))))</f>
        <v/>
      </c>
      <c r="G1001" s="5">
        <f>SUMPRODUCT(('01_Data'!$B1001:$AW1001&lt;&gt;"")*(1/(1+EXP(-(E1001-'03_Lap_b'!$B$5:$AW$5))))^2)</f>
        <v/>
      </c>
      <c r="H1001" s="5">
        <f>MEDIAN(-6,E1001+(C1001-F1001)/MAX(F1001-G1001,0.000000001),6)</f>
        <v/>
      </c>
      <c r="I1001" s="5">
        <f>SUMPRODUCT(('01_Data'!$B1001:$AW1001&lt;&gt;"")*(1/(1+EXP(-(H1001-'03_Lap_b'!$B$10:$AW$10)))))</f>
        <v/>
      </c>
      <c r="J1001" s="5">
        <f>SUMPRODUCT(('01_Data'!$B1001:$AW1001&lt;&gt;"")*(1/(1+EXP(-(H1001-'03_Lap_b'!$B$10:$AW$10))))^2)</f>
        <v/>
      </c>
      <c r="K1001" s="5">
        <f>MEDIAN(-6,H1001+(C1001-I1001)/MAX(I1001-J1001,0.000000001),6)</f>
        <v/>
      </c>
      <c r="L1001" s="5">
        <f>SUMPRODUCT(('01_Data'!$B1001:$AW1001&lt;&gt;"")*(1/(1+EXP(-(K1001-'03_Lap_b'!$B$15:$AW$15)))))</f>
        <v/>
      </c>
      <c r="M1001" s="5">
        <f>SUMPRODUCT(('01_Data'!$B1001:$AW1001&lt;&gt;"")*(1/(1+EXP(-(K1001-'03_Lap_b'!$B$15:$AW$15))))^2)</f>
        <v/>
      </c>
      <c r="N1001" s="5">
        <f>MEDIAN(-6,K1001+(C1001-L1001)/MAX(L1001-M1001,0.000000001),6)</f>
        <v/>
      </c>
      <c r="O1001" s="5">
        <f>SUMPRODUCT(('01_Data'!$B1001:$AW1001&lt;&gt;"")*(1/(1+EXP(-(N1001-'03_Lap_b'!$B$20:$AW$20)))))</f>
        <v/>
      </c>
      <c r="P1001" s="5">
        <f>SUMPRODUCT(('01_Data'!$B1001:$AW1001&lt;&gt;"")*(1/(1+EXP(-(N1001-'03_Lap_b'!$B$20:$AW$20))))^2)</f>
        <v/>
      </c>
      <c r="Q1001" s="5">
        <f>MEDIAN(-6,N1001+(C1001-O1001)/MAX(O1001-P1001,0.000000001),6)</f>
        <v/>
      </c>
      <c r="R1001" s="5">
        <f>SUMPRODUCT(('01_Data'!$B1001:$AW1001&lt;&gt;"")*(1/(1+EXP(-(Q1001-'03_Lap_b'!$B$25:$AW$25)))))</f>
        <v/>
      </c>
      <c r="S1001" s="5">
        <f>SUMPRODUCT(('01_Data'!$B1001:$AW1001&lt;&gt;"")*(1/(1+EXP(-(Q1001-'03_Lap_b'!$B$25:$AW$25))))^2)</f>
        <v/>
      </c>
      <c r="T1001" s="5">
        <f>MEDIAN(-6,Q1001+(C1001-R1001)/MAX(R1001-S1001,0.000000001),6)</f>
        <v/>
      </c>
      <c r="U1001" s="5">
        <f>SUMPRODUCT(('01_Data'!$B1001:$AW1001&lt;&gt;"")*(1/(1+EXP(-(T1001-'03_Lap_b'!$B$30:$AW$30)))))</f>
        <v/>
      </c>
      <c r="V1001" s="5">
        <f>SUMPRODUCT(('01_Data'!$B1001:$AW1001&lt;&gt;"")*(1/(1+EXP(-(T1001-'03_Lap_b'!$B$30:$AW$30))))^2)</f>
        <v/>
      </c>
      <c r="W1001" s="5">
        <f>MEDIAN(-6,T1001+(C1001-U1001)/MAX(U1001-V1001,0.000000001),6)</f>
        <v/>
      </c>
      <c r="X1001" s="5">
        <f>SUMPRODUCT(('01_Data'!$B1001:$AW1001&lt;&gt;"")*(1/(1+EXP(-(W1001-'03_Lap_b'!$B$35:$AW$35)))))</f>
        <v/>
      </c>
      <c r="Y1001" s="5">
        <f>SUMPRODUCT(('01_Data'!$B1001:$AW1001&lt;&gt;"")*(1/(1+EXP(-(W1001-'03_Lap_b'!$B$35:$AW$35))))^2)</f>
        <v/>
      </c>
      <c r="Z1001" s="5">
        <f>MEDIAN(-6,W1001+(C1001-X1001)/MAX(X1001-Y1001,0.000000001),6)</f>
        <v/>
      </c>
      <c r="AA1001" s="5">
        <f>SUMPRODUCT(('01_Data'!$B1001:$AW1001&lt;&gt;"")*(1/(1+EXP(-(Z1001-'03_Lap_b'!$B$40:$AW$40)))))</f>
        <v/>
      </c>
      <c r="AB1001" s="5">
        <f>SUMPRODUCT(('01_Data'!$B1001:$AW1001&lt;&gt;"")*(1/(1+EXP(-(Z1001-'03_Lap_b'!$B$40:$AW$40))))^2)</f>
        <v/>
      </c>
      <c r="AC1001" s="5">
        <f>MEDIAN(-6,Z1001+(C1001-AA1001)/MAX(AA1001-AB1001,0.000000001),6)</f>
        <v/>
      </c>
    </row>
    <row r="1002">
      <c r="A1002" t="n">
        <v>1001</v>
      </c>
      <c r="B1002">
        <f>'01_Data'!A1002</f>
        <v/>
      </c>
      <c r="C1002">
        <f>SUM('01_Data'!$B1002:$AW1002)</f>
        <v/>
      </c>
      <c r="D1002">
        <f>COUNT('01_Data'!$B1002:$AW1002)</f>
        <v/>
      </c>
      <c r="E1002" s="5">
        <f>MEDIAN(-6,LN((C1002+0.3)/(D1002-C1002+0.3)),6)</f>
        <v/>
      </c>
      <c r="F1002" s="5">
        <f>SUMPRODUCT(('01_Data'!$B1002:$AW1002&lt;&gt;"")*(1/(1+EXP(-(E1002-'03_Lap_b'!$B$5:$AW$5)))))</f>
        <v/>
      </c>
      <c r="G1002" s="5">
        <f>SUMPRODUCT(('01_Data'!$B1002:$AW1002&lt;&gt;"")*(1/(1+EXP(-(E1002-'03_Lap_b'!$B$5:$AW$5))))^2)</f>
        <v/>
      </c>
      <c r="H1002" s="5">
        <f>MEDIAN(-6,E1002+(C1002-F1002)/MAX(F1002-G1002,0.000000001),6)</f>
        <v/>
      </c>
      <c r="I1002" s="5">
        <f>SUMPRODUCT(('01_Data'!$B1002:$AW1002&lt;&gt;"")*(1/(1+EXP(-(H1002-'03_Lap_b'!$B$10:$AW$10)))))</f>
        <v/>
      </c>
      <c r="J1002" s="5">
        <f>SUMPRODUCT(('01_Data'!$B1002:$AW1002&lt;&gt;"")*(1/(1+EXP(-(H1002-'03_Lap_b'!$B$10:$AW$10))))^2)</f>
        <v/>
      </c>
      <c r="K1002" s="5">
        <f>MEDIAN(-6,H1002+(C1002-I1002)/MAX(I1002-J1002,0.000000001),6)</f>
        <v/>
      </c>
      <c r="L1002" s="5">
        <f>SUMPRODUCT(('01_Data'!$B1002:$AW1002&lt;&gt;"")*(1/(1+EXP(-(K1002-'03_Lap_b'!$B$15:$AW$15)))))</f>
        <v/>
      </c>
      <c r="M1002" s="5">
        <f>SUMPRODUCT(('01_Data'!$B1002:$AW1002&lt;&gt;"")*(1/(1+EXP(-(K1002-'03_Lap_b'!$B$15:$AW$15))))^2)</f>
        <v/>
      </c>
      <c r="N1002" s="5">
        <f>MEDIAN(-6,K1002+(C1002-L1002)/MAX(L1002-M1002,0.000000001),6)</f>
        <v/>
      </c>
      <c r="O1002" s="5">
        <f>SUMPRODUCT(('01_Data'!$B1002:$AW1002&lt;&gt;"")*(1/(1+EXP(-(N1002-'03_Lap_b'!$B$20:$AW$20)))))</f>
        <v/>
      </c>
      <c r="P1002" s="5">
        <f>SUMPRODUCT(('01_Data'!$B1002:$AW1002&lt;&gt;"")*(1/(1+EXP(-(N1002-'03_Lap_b'!$B$20:$AW$20))))^2)</f>
        <v/>
      </c>
      <c r="Q1002" s="5">
        <f>MEDIAN(-6,N1002+(C1002-O1002)/MAX(O1002-P1002,0.000000001),6)</f>
        <v/>
      </c>
      <c r="R1002" s="5">
        <f>SUMPRODUCT(('01_Data'!$B1002:$AW1002&lt;&gt;"")*(1/(1+EXP(-(Q1002-'03_Lap_b'!$B$25:$AW$25)))))</f>
        <v/>
      </c>
      <c r="S1002" s="5">
        <f>SUMPRODUCT(('01_Data'!$B1002:$AW1002&lt;&gt;"")*(1/(1+EXP(-(Q1002-'03_Lap_b'!$B$25:$AW$25))))^2)</f>
        <v/>
      </c>
      <c r="T1002" s="5">
        <f>MEDIAN(-6,Q1002+(C1002-R1002)/MAX(R1002-S1002,0.000000001),6)</f>
        <v/>
      </c>
      <c r="U1002" s="5">
        <f>SUMPRODUCT(('01_Data'!$B1002:$AW1002&lt;&gt;"")*(1/(1+EXP(-(T1002-'03_Lap_b'!$B$30:$AW$30)))))</f>
        <v/>
      </c>
      <c r="V1002" s="5">
        <f>SUMPRODUCT(('01_Data'!$B1002:$AW1002&lt;&gt;"")*(1/(1+EXP(-(T1002-'03_Lap_b'!$B$30:$AW$30))))^2)</f>
        <v/>
      </c>
      <c r="W1002" s="5">
        <f>MEDIAN(-6,T1002+(C1002-U1002)/MAX(U1002-V1002,0.000000001),6)</f>
        <v/>
      </c>
      <c r="X1002" s="5">
        <f>SUMPRODUCT(('01_Data'!$B1002:$AW1002&lt;&gt;"")*(1/(1+EXP(-(W1002-'03_Lap_b'!$B$35:$AW$35)))))</f>
        <v/>
      </c>
      <c r="Y1002" s="5">
        <f>SUMPRODUCT(('01_Data'!$B1002:$AW1002&lt;&gt;"")*(1/(1+EXP(-(W1002-'03_Lap_b'!$B$35:$AW$35))))^2)</f>
        <v/>
      </c>
      <c r="Z1002" s="5">
        <f>MEDIAN(-6,W1002+(C1002-X1002)/MAX(X1002-Y1002,0.000000001),6)</f>
        <v/>
      </c>
      <c r="AA1002" s="5">
        <f>SUMPRODUCT(('01_Data'!$B1002:$AW1002&lt;&gt;"")*(1/(1+EXP(-(Z1002-'03_Lap_b'!$B$40:$AW$40)))))</f>
        <v/>
      </c>
      <c r="AB1002" s="5">
        <f>SUMPRODUCT(('01_Data'!$B1002:$AW1002&lt;&gt;"")*(1/(1+EXP(-(Z1002-'03_Lap_b'!$B$40:$AW$40))))^2)</f>
        <v/>
      </c>
      <c r="AC1002" s="5">
        <f>MEDIAN(-6,Z1002+(C1002-AA1002)/MAX(AA1002-AB1002,0.000000001),6)</f>
        <v/>
      </c>
    </row>
    <row r="1003">
      <c r="A1003" t="n">
        <v>1002</v>
      </c>
      <c r="B1003">
        <f>'01_Data'!A1003</f>
        <v/>
      </c>
      <c r="C1003">
        <f>SUM('01_Data'!$B1003:$AW1003)</f>
        <v/>
      </c>
      <c r="D1003">
        <f>COUNT('01_Data'!$B1003:$AW1003)</f>
        <v/>
      </c>
      <c r="E1003" s="5">
        <f>MEDIAN(-6,LN((C1003+0.3)/(D1003-C1003+0.3)),6)</f>
        <v/>
      </c>
      <c r="F1003" s="5">
        <f>SUMPRODUCT(('01_Data'!$B1003:$AW1003&lt;&gt;"")*(1/(1+EXP(-(E1003-'03_Lap_b'!$B$5:$AW$5)))))</f>
        <v/>
      </c>
      <c r="G1003" s="5">
        <f>SUMPRODUCT(('01_Data'!$B1003:$AW1003&lt;&gt;"")*(1/(1+EXP(-(E1003-'03_Lap_b'!$B$5:$AW$5))))^2)</f>
        <v/>
      </c>
      <c r="H1003" s="5">
        <f>MEDIAN(-6,E1003+(C1003-F1003)/MAX(F1003-G1003,0.000000001),6)</f>
        <v/>
      </c>
      <c r="I1003" s="5">
        <f>SUMPRODUCT(('01_Data'!$B1003:$AW1003&lt;&gt;"")*(1/(1+EXP(-(H1003-'03_Lap_b'!$B$10:$AW$10)))))</f>
        <v/>
      </c>
      <c r="J1003" s="5">
        <f>SUMPRODUCT(('01_Data'!$B1003:$AW1003&lt;&gt;"")*(1/(1+EXP(-(H1003-'03_Lap_b'!$B$10:$AW$10))))^2)</f>
        <v/>
      </c>
      <c r="K1003" s="5">
        <f>MEDIAN(-6,H1003+(C1003-I1003)/MAX(I1003-J1003,0.000000001),6)</f>
        <v/>
      </c>
      <c r="L1003" s="5">
        <f>SUMPRODUCT(('01_Data'!$B1003:$AW1003&lt;&gt;"")*(1/(1+EXP(-(K1003-'03_Lap_b'!$B$15:$AW$15)))))</f>
        <v/>
      </c>
      <c r="M1003" s="5">
        <f>SUMPRODUCT(('01_Data'!$B1003:$AW1003&lt;&gt;"")*(1/(1+EXP(-(K1003-'03_Lap_b'!$B$15:$AW$15))))^2)</f>
        <v/>
      </c>
      <c r="N1003" s="5">
        <f>MEDIAN(-6,K1003+(C1003-L1003)/MAX(L1003-M1003,0.000000001),6)</f>
        <v/>
      </c>
      <c r="O1003" s="5">
        <f>SUMPRODUCT(('01_Data'!$B1003:$AW1003&lt;&gt;"")*(1/(1+EXP(-(N1003-'03_Lap_b'!$B$20:$AW$20)))))</f>
        <v/>
      </c>
      <c r="P1003" s="5">
        <f>SUMPRODUCT(('01_Data'!$B1003:$AW1003&lt;&gt;"")*(1/(1+EXP(-(N1003-'03_Lap_b'!$B$20:$AW$20))))^2)</f>
        <v/>
      </c>
      <c r="Q1003" s="5">
        <f>MEDIAN(-6,N1003+(C1003-O1003)/MAX(O1003-P1003,0.000000001),6)</f>
        <v/>
      </c>
      <c r="R1003" s="5">
        <f>SUMPRODUCT(('01_Data'!$B1003:$AW1003&lt;&gt;"")*(1/(1+EXP(-(Q1003-'03_Lap_b'!$B$25:$AW$25)))))</f>
        <v/>
      </c>
      <c r="S1003" s="5">
        <f>SUMPRODUCT(('01_Data'!$B1003:$AW1003&lt;&gt;"")*(1/(1+EXP(-(Q1003-'03_Lap_b'!$B$25:$AW$25))))^2)</f>
        <v/>
      </c>
      <c r="T1003" s="5">
        <f>MEDIAN(-6,Q1003+(C1003-R1003)/MAX(R1003-S1003,0.000000001),6)</f>
        <v/>
      </c>
      <c r="U1003" s="5">
        <f>SUMPRODUCT(('01_Data'!$B1003:$AW1003&lt;&gt;"")*(1/(1+EXP(-(T1003-'03_Lap_b'!$B$30:$AW$30)))))</f>
        <v/>
      </c>
      <c r="V1003" s="5">
        <f>SUMPRODUCT(('01_Data'!$B1003:$AW1003&lt;&gt;"")*(1/(1+EXP(-(T1003-'03_Lap_b'!$B$30:$AW$30))))^2)</f>
        <v/>
      </c>
      <c r="W1003" s="5">
        <f>MEDIAN(-6,T1003+(C1003-U1003)/MAX(U1003-V1003,0.000000001),6)</f>
        <v/>
      </c>
      <c r="X1003" s="5">
        <f>SUMPRODUCT(('01_Data'!$B1003:$AW1003&lt;&gt;"")*(1/(1+EXP(-(W1003-'03_Lap_b'!$B$35:$AW$35)))))</f>
        <v/>
      </c>
      <c r="Y1003" s="5">
        <f>SUMPRODUCT(('01_Data'!$B1003:$AW1003&lt;&gt;"")*(1/(1+EXP(-(W1003-'03_Lap_b'!$B$35:$AW$35))))^2)</f>
        <v/>
      </c>
      <c r="Z1003" s="5">
        <f>MEDIAN(-6,W1003+(C1003-X1003)/MAX(X1003-Y1003,0.000000001),6)</f>
        <v/>
      </c>
      <c r="AA1003" s="5">
        <f>SUMPRODUCT(('01_Data'!$B1003:$AW1003&lt;&gt;"")*(1/(1+EXP(-(Z1003-'03_Lap_b'!$B$40:$AW$40)))))</f>
        <v/>
      </c>
      <c r="AB1003" s="5">
        <f>SUMPRODUCT(('01_Data'!$B1003:$AW1003&lt;&gt;"")*(1/(1+EXP(-(Z1003-'03_Lap_b'!$B$40:$AW$40))))^2)</f>
        <v/>
      </c>
      <c r="AC1003" s="5">
        <f>MEDIAN(-6,Z1003+(C1003-AA1003)/MAX(AA1003-AB1003,0.000000001),6)</f>
        <v/>
      </c>
    </row>
    <row r="1004">
      <c r="A1004" t="n">
        <v>1003</v>
      </c>
      <c r="B1004">
        <f>'01_Data'!A1004</f>
        <v/>
      </c>
      <c r="C1004">
        <f>SUM('01_Data'!$B1004:$AW1004)</f>
        <v/>
      </c>
      <c r="D1004">
        <f>COUNT('01_Data'!$B1004:$AW1004)</f>
        <v/>
      </c>
      <c r="E1004" s="5">
        <f>MEDIAN(-6,LN((C1004+0.3)/(D1004-C1004+0.3)),6)</f>
        <v/>
      </c>
      <c r="F1004" s="5">
        <f>SUMPRODUCT(('01_Data'!$B1004:$AW1004&lt;&gt;"")*(1/(1+EXP(-(E1004-'03_Lap_b'!$B$5:$AW$5)))))</f>
        <v/>
      </c>
      <c r="G1004" s="5">
        <f>SUMPRODUCT(('01_Data'!$B1004:$AW1004&lt;&gt;"")*(1/(1+EXP(-(E1004-'03_Lap_b'!$B$5:$AW$5))))^2)</f>
        <v/>
      </c>
      <c r="H1004" s="5">
        <f>MEDIAN(-6,E1004+(C1004-F1004)/MAX(F1004-G1004,0.000000001),6)</f>
        <v/>
      </c>
      <c r="I1004" s="5">
        <f>SUMPRODUCT(('01_Data'!$B1004:$AW1004&lt;&gt;"")*(1/(1+EXP(-(H1004-'03_Lap_b'!$B$10:$AW$10)))))</f>
        <v/>
      </c>
      <c r="J1004" s="5">
        <f>SUMPRODUCT(('01_Data'!$B1004:$AW1004&lt;&gt;"")*(1/(1+EXP(-(H1004-'03_Lap_b'!$B$10:$AW$10))))^2)</f>
        <v/>
      </c>
      <c r="K1004" s="5">
        <f>MEDIAN(-6,H1004+(C1004-I1004)/MAX(I1004-J1004,0.000000001),6)</f>
        <v/>
      </c>
      <c r="L1004" s="5">
        <f>SUMPRODUCT(('01_Data'!$B1004:$AW1004&lt;&gt;"")*(1/(1+EXP(-(K1004-'03_Lap_b'!$B$15:$AW$15)))))</f>
        <v/>
      </c>
      <c r="M1004" s="5">
        <f>SUMPRODUCT(('01_Data'!$B1004:$AW1004&lt;&gt;"")*(1/(1+EXP(-(K1004-'03_Lap_b'!$B$15:$AW$15))))^2)</f>
        <v/>
      </c>
      <c r="N1004" s="5">
        <f>MEDIAN(-6,K1004+(C1004-L1004)/MAX(L1004-M1004,0.000000001),6)</f>
        <v/>
      </c>
      <c r="O1004" s="5">
        <f>SUMPRODUCT(('01_Data'!$B1004:$AW1004&lt;&gt;"")*(1/(1+EXP(-(N1004-'03_Lap_b'!$B$20:$AW$20)))))</f>
        <v/>
      </c>
      <c r="P1004" s="5">
        <f>SUMPRODUCT(('01_Data'!$B1004:$AW1004&lt;&gt;"")*(1/(1+EXP(-(N1004-'03_Lap_b'!$B$20:$AW$20))))^2)</f>
        <v/>
      </c>
      <c r="Q1004" s="5">
        <f>MEDIAN(-6,N1004+(C1004-O1004)/MAX(O1004-P1004,0.000000001),6)</f>
        <v/>
      </c>
      <c r="R1004" s="5">
        <f>SUMPRODUCT(('01_Data'!$B1004:$AW1004&lt;&gt;"")*(1/(1+EXP(-(Q1004-'03_Lap_b'!$B$25:$AW$25)))))</f>
        <v/>
      </c>
      <c r="S1004" s="5">
        <f>SUMPRODUCT(('01_Data'!$B1004:$AW1004&lt;&gt;"")*(1/(1+EXP(-(Q1004-'03_Lap_b'!$B$25:$AW$25))))^2)</f>
        <v/>
      </c>
      <c r="T1004" s="5">
        <f>MEDIAN(-6,Q1004+(C1004-R1004)/MAX(R1004-S1004,0.000000001),6)</f>
        <v/>
      </c>
      <c r="U1004" s="5">
        <f>SUMPRODUCT(('01_Data'!$B1004:$AW1004&lt;&gt;"")*(1/(1+EXP(-(T1004-'03_Lap_b'!$B$30:$AW$30)))))</f>
        <v/>
      </c>
      <c r="V1004" s="5">
        <f>SUMPRODUCT(('01_Data'!$B1004:$AW1004&lt;&gt;"")*(1/(1+EXP(-(T1004-'03_Lap_b'!$B$30:$AW$30))))^2)</f>
        <v/>
      </c>
      <c r="W1004" s="5">
        <f>MEDIAN(-6,T1004+(C1004-U1004)/MAX(U1004-V1004,0.000000001),6)</f>
        <v/>
      </c>
      <c r="X1004" s="5">
        <f>SUMPRODUCT(('01_Data'!$B1004:$AW1004&lt;&gt;"")*(1/(1+EXP(-(W1004-'03_Lap_b'!$B$35:$AW$35)))))</f>
        <v/>
      </c>
      <c r="Y1004" s="5">
        <f>SUMPRODUCT(('01_Data'!$B1004:$AW1004&lt;&gt;"")*(1/(1+EXP(-(W1004-'03_Lap_b'!$B$35:$AW$35))))^2)</f>
        <v/>
      </c>
      <c r="Z1004" s="5">
        <f>MEDIAN(-6,W1004+(C1004-X1004)/MAX(X1004-Y1004,0.000000001),6)</f>
        <v/>
      </c>
      <c r="AA1004" s="5">
        <f>SUMPRODUCT(('01_Data'!$B1004:$AW1004&lt;&gt;"")*(1/(1+EXP(-(Z1004-'03_Lap_b'!$B$40:$AW$40)))))</f>
        <v/>
      </c>
      <c r="AB1004" s="5">
        <f>SUMPRODUCT(('01_Data'!$B1004:$AW1004&lt;&gt;"")*(1/(1+EXP(-(Z1004-'03_Lap_b'!$B$40:$AW$40))))^2)</f>
        <v/>
      </c>
      <c r="AC1004" s="5">
        <f>MEDIAN(-6,Z1004+(C1004-AA1004)/MAX(AA1004-AB1004,0.000000001),6)</f>
        <v/>
      </c>
    </row>
    <row r="1005">
      <c r="A1005" t="n">
        <v>1004</v>
      </c>
      <c r="B1005">
        <f>'01_Data'!A1005</f>
        <v/>
      </c>
      <c r="C1005">
        <f>SUM('01_Data'!$B1005:$AW1005)</f>
        <v/>
      </c>
      <c r="D1005">
        <f>COUNT('01_Data'!$B1005:$AW1005)</f>
        <v/>
      </c>
      <c r="E1005" s="5">
        <f>MEDIAN(-6,LN((C1005+0.3)/(D1005-C1005+0.3)),6)</f>
        <v/>
      </c>
      <c r="F1005" s="5">
        <f>SUMPRODUCT(('01_Data'!$B1005:$AW1005&lt;&gt;"")*(1/(1+EXP(-(E1005-'03_Lap_b'!$B$5:$AW$5)))))</f>
        <v/>
      </c>
      <c r="G1005" s="5">
        <f>SUMPRODUCT(('01_Data'!$B1005:$AW1005&lt;&gt;"")*(1/(1+EXP(-(E1005-'03_Lap_b'!$B$5:$AW$5))))^2)</f>
        <v/>
      </c>
      <c r="H1005" s="5">
        <f>MEDIAN(-6,E1005+(C1005-F1005)/MAX(F1005-G1005,0.000000001),6)</f>
        <v/>
      </c>
      <c r="I1005" s="5">
        <f>SUMPRODUCT(('01_Data'!$B1005:$AW1005&lt;&gt;"")*(1/(1+EXP(-(H1005-'03_Lap_b'!$B$10:$AW$10)))))</f>
        <v/>
      </c>
      <c r="J1005" s="5">
        <f>SUMPRODUCT(('01_Data'!$B1005:$AW1005&lt;&gt;"")*(1/(1+EXP(-(H1005-'03_Lap_b'!$B$10:$AW$10))))^2)</f>
        <v/>
      </c>
      <c r="K1005" s="5">
        <f>MEDIAN(-6,H1005+(C1005-I1005)/MAX(I1005-J1005,0.000000001),6)</f>
        <v/>
      </c>
      <c r="L1005" s="5">
        <f>SUMPRODUCT(('01_Data'!$B1005:$AW1005&lt;&gt;"")*(1/(1+EXP(-(K1005-'03_Lap_b'!$B$15:$AW$15)))))</f>
        <v/>
      </c>
      <c r="M1005" s="5">
        <f>SUMPRODUCT(('01_Data'!$B1005:$AW1005&lt;&gt;"")*(1/(1+EXP(-(K1005-'03_Lap_b'!$B$15:$AW$15))))^2)</f>
        <v/>
      </c>
      <c r="N1005" s="5">
        <f>MEDIAN(-6,K1005+(C1005-L1005)/MAX(L1005-M1005,0.000000001),6)</f>
        <v/>
      </c>
      <c r="O1005" s="5">
        <f>SUMPRODUCT(('01_Data'!$B1005:$AW1005&lt;&gt;"")*(1/(1+EXP(-(N1005-'03_Lap_b'!$B$20:$AW$20)))))</f>
        <v/>
      </c>
      <c r="P1005" s="5">
        <f>SUMPRODUCT(('01_Data'!$B1005:$AW1005&lt;&gt;"")*(1/(1+EXP(-(N1005-'03_Lap_b'!$B$20:$AW$20))))^2)</f>
        <v/>
      </c>
      <c r="Q1005" s="5">
        <f>MEDIAN(-6,N1005+(C1005-O1005)/MAX(O1005-P1005,0.000000001),6)</f>
        <v/>
      </c>
      <c r="R1005" s="5">
        <f>SUMPRODUCT(('01_Data'!$B1005:$AW1005&lt;&gt;"")*(1/(1+EXP(-(Q1005-'03_Lap_b'!$B$25:$AW$25)))))</f>
        <v/>
      </c>
      <c r="S1005" s="5">
        <f>SUMPRODUCT(('01_Data'!$B1005:$AW1005&lt;&gt;"")*(1/(1+EXP(-(Q1005-'03_Lap_b'!$B$25:$AW$25))))^2)</f>
        <v/>
      </c>
      <c r="T1005" s="5">
        <f>MEDIAN(-6,Q1005+(C1005-R1005)/MAX(R1005-S1005,0.000000001),6)</f>
        <v/>
      </c>
      <c r="U1005" s="5">
        <f>SUMPRODUCT(('01_Data'!$B1005:$AW1005&lt;&gt;"")*(1/(1+EXP(-(T1005-'03_Lap_b'!$B$30:$AW$30)))))</f>
        <v/>
      </c>
      <c r="V1005" s="5">
        <f>SUMPRODUCT(('01_Data'!$B1005:$AW1005&lt;&gt;"")*(1/(1+EXP(-(T1005-'03_Lap_b'!$B$30:$AW$30))))^2)</f>
        <v/>
      </c>
      <c r="W1005" s="5">
        <f>MEDIAN(-6,T1005+(C1005-U1005)/MAX(U1005-V1005,0.000000001),6)</f>
        <v/>
      </c>
      <c r="X1005" s="5">
        <f>SUMPRODUCT(('01_Data'!$B1005:$AW1005&lt;&gt;"")*(1/(1+EXP(-(W1005-'03_Lap_b'!$B$35:$AW$35)))))</f>
        <v/>
      </c>
      <c r="Y1005" s="5">
        <f>SUMPRODUCT(('01_Data'!$B1005:$AW1005&lt;&gt;"")*(1/(1+EXP(-(W1005-'03_Lap_b'!$B$35:$AW$35))))^2)</f>
        <v/>
      </c>
      <c r="Z1005" s="5">
        <f>MEDIAN(-6,W1005+(C1005-X1005)/MAX(X1005-Y1005,0.000000001),6)</f>
        <v/>
      </c>
      <c r="AA1005" s="5">
        <f>SUMPRODUCT(('01_Data'!$B1005:$AW1005&lt;&gt;"")*(1/(1+EXP(-(Z1005-'03_Lap_b'!$B$40:$AW$40)))))</f>
        <v/>
      </c>
      <c r="AB1005" s="5">
        <f>SUMPRODUCT(('01_Data'!$B1005:$AW1005&lt;&gt;"")*(1/(1+EXP(-(Z1005-'03_Lap_b'!$B$40:$AW$40))))^2)</f>
        <v/>
      </c>
      <c r="AC1005" s="5">
        <f>MEDIAN(-6,Z1005+(C1005-AA1005)/MAX(AA1005-AB1005,0.000000001),6)</f>
        <v/>
      </c>
    </row>
    <row r="1006">
      <c r="A1006" t="n">
        <v>1005</v>
      </c>
      <c r="B1006">
        <f>'01_Data'!A1006</f>
        <v/>
      </c>
      <c r="C1006">
        <f>SUM('01_Data'!$B1006:$AW1006)</f>
        <v/>
      </c>
      <c r="D1006">
        <f>COUNT('01_Data'!$B1006:$AW1006)</f>
        <v/>
      </c>
      <c r="E1006" s="5">
        <f>MEDIAN(-6,LN((C1006+0.3)/(D1006-C1006+0.3)),6)</f>
        <v/>
      </c>
      <c r="F1006" s="5">
        <f>SUMPRODUCT(('01_Data'!$B1006:$AW1006&lt;&gt;"")*(1/(1+EXP(-(E1006-'03_Lap_b'!$B$5:$AW$5)))))</f>
        <v/>
      </c>
      <c r="G1006" s="5">
        <f>SUMPRODUCT(('01_Data'!$B1006:$AW1006&lt;&gt;"")*(1/(1+EXP(-(E1006-'03_Lap_b'!$B$5:$AW$5))))^2)</f>
        <v/>
      </c>
      <c r="H1006" s="5">
        <f>MEDIAN(-6,E1006+(C1006-F1006)/MAX(F1006-G1006,0.000000001),6)</f>
        <v/>
      </c>
      <c r="I1006" s="5">
        <f>SUMPRODUCT(('01_Data'!$B1006:$AW1006&lt;&gt;"")*(1/(1+EXP(-(H1006-'03_Lap_b'!$B$10:$AW$10)))))</f>
        <v/>
      </c>
      <c r="J1006" s="5">
        <f>SUMPRODUCT(('01_Data'!$B1006:$AW1006&lt;&gt;"")*(1/(1+EXP(-(H1006-'03_Lap_b'!$B$10:$AW$10))))^2)</f>
        <v/>
      </c>
      <c r="K1006" s="5">
        <f>MEDIAN(-6,H1006+(C1006-I1006)/MAX(I1006-J1006,0.000000001),6)</f>
        <v/>
      </c>
      <c r="L1006" s="5">
        <f>SUMPRODUCT(('01_Data'!$B1006:$AW1006&lt;&gt;"")*(1/(1+EXP(-(K1006-'03_Lap_b'!$B$15:$AW$15)))))</f>
        <v/>
      </c>
      <c r="M1006" s="5">
        <f>SUMPRODUCT(('01_Data'!$B1006:$AW1006&lt;&gt;"")*(1/(1+EXP(-(K1006-'03_Lap_b'!$B$15:$AW$15))))^2)</f>
        <v/>
      </c>
      <c r="N1006" s="5">
        <f>MEDIAN(-6,K1006+(C1006-L1006)/MAX(L1006-M1006,0.000000001),6)</f>
        <v/>
      </c>
      <c r="O1006" s="5">
        <f>SUMPRODUCT(('01_Data'!$B1006:$AW1006&lt;&gt;"")*(1/(1+EXP(-(N1006-'03_Lap_b'!$B$20:$AW$20)))))</f>
        <v/>
      </c>
      <c r="P1006" s="5">
        <f>SUMPRODUCT(('01_Data'!$B1006:$AW1006&lt;&gt;"")*(1/(1+EXP(-(N1006-'03_Lap_b'!$B$20:$AW$20))))^2)</f>
        <v/>
      </c>
      <c r="Q1006" s="5">
        <f>MEDIAN(-6,N1006+(C1006-O1006)/MAX(O1006-P1006,0.000000001),6)</f>
        <v/>
      </c>
      <c r="R1006" s="5">
        <f>SUMPRODUCT(('01_Data'!$B1006:$AW1006&lt;&gt;"")*(1/(1+EXP(-(Q1006-'03_Lap_b'!$B$25:$AW$25)))))</f>
        <v/>
      </c>
      <c r="S1006" s="5">
        <f>SUMPRODUCT(('01_Data'!$B1006:$AW1006&lt;&gt;"")*(1/(1+EXP(-(Q1006-'03_Lap_b'!$B$25:$AW$25))))^2)</f>
        <v/>
      </c>
      <c r="T1006" s="5">
        <f>MEDIAN(-6,Q1006+(C1006-R1006)/MAX(R1006-S1006,0.000000001),6)</f>
        <v/>
      </c>
      <c r="U1006" s="5">
        <f>SUMPRODUCT(('01_Data'!$B1006:$AW1006&lt;&gt;"")*(1/(1+EXP(-(T1006-'03_Lap_b'!$B$30:$AW$30)))))</f>
        <v/>
      </c>
      <c r="V1006" s="5">
        <f>SUMPRODUCT(('01_Data'!$B1006:$AW1006&lt;&gt;"")*(1/(1+EXP(-(T1006-'03_Lap_b'!$B$30:$AW$30))))^2)</f>
        <v/>
      </c>
      <c r="W1006" s="5">
        <f>MEDIAN(-6,T1006+(C1006-U1006)/MAX(U1006-V1006,0.000000001),6)</f>
        <v/>
      </c>
      <c r="X1006" s="5">
        <f>SUMPRODUCT(('01_Data'!$B1006:$AW1006&lt;&gt;"")*(1/(1+EXP(-(W1006-'03_Lap_b'!$B$35:$AW$35)))))</f>
        <v/>
      </c>
      <c r="Y1006" s="5">
        <f>SUMPRODUCT(('01_Data'!$B1006:$AW1006&lt;&gt;"")*(1/(1+EXP(-(W1006-'03_Lap_b'!$B$35:$AW$35))))^2)</f>
        <v/>
      </c>
      <c r="Z1006" s="5">
        <f>MEDIAN(-6,W1006+(C1006-X1006)/MAX(X1006-Y1006,0.000000001),6)</f>
        <v/>
      </c>
      <c r="AA1006" s="5">
        <f>SUMPRODUCT(('01_Data'!$B1006:$AW1006&lt;&gt;"")*(1/(1+EXP(-(Z1006-'03_Lap_b'!$B$40:$AW$40)))))</f>
        <v/>
      </c>
      <c r="AB1006" s="5">
        <f>SUMPRODUCT(('01_Data'!$B1006:$AW1006&lt;&gt;"")*(1/(1+EXP(-(Z1006-'03_Lap_b'!$B$40:$AW$40))))^2)</f>
        <v/>
      </c>
      <c r="AC1006" s="5">
        <f>MEDIAN(-6,Z1006+(C1006-AA1006)/MAX(AA1006-AB1006,0.000000001),6)</f>
        <v/>
      </c>
    </row>
    <row r="1007">
      <c r="A1007" t="n">
        <v>1006</v>
      </c>
      <c r="B1007">
        <f>'01_Data'!A1007</f>
        <v/>
      </c>
      <c r="C1007">
        <f>SUM('01_Data'!$B1007:$AW1007)</f>
        <v/>
      </c>
      <c r="D1007">
        <f>COUNT('01_Data'!$B1007:$AW1007)</f>
        <v/>
      </c>
      <c r="E1007" s="5">
        <f>MEDIAN(-6,LN((C1007+0.3)/(D1007-C1007+0.3)),6)</f>
        <v/>
      </c>
      <c r="F1007" s="5">
        <f>SUMPRODUCT(('01_Data'!$B1007:$AW1007&lt;&gt;"")*(1/(1+EXP(-(E1007-'03_Lap_b'!$B$5:$AW$5)))))</f>
        <v/>
      </c>
      <c r="G1007" s="5">
        <f>SUMPRODUCT(('01_Data'!$B1007:$AW1007&lt;&gt;"")*(1/(1+EXP(-(E1007-'03_Lap_b'!$B$5:$AW$5))))^2)</f>
        <v/>
      </c>
      <c r="H1007" s="5">
        <f>MEDIAN(-6,E1007+(C1007-F1007)/MAX(F1007-G1007,0.000000001),6)</f>
        <v/>
      </c>
      <c r="I1007" s="5">
        <f>SUMPRODUCT(('01_Data'!$B1007:$AW1007&lt;&gt;"")*(1/(1+EXP(-(H1007-'03_Lap_b'!$B$10:$AW$10)))))</f>
        <v/>
      </c>
      <c r="J1007" s="5">
        <f>SUMPRODUCT(('01_Data'!$B1007:$AW1007&lt;&gt;"")*(1/(1+EXP(-(H1007-'03_Lap_b'!$B$10:$AW$10))))^2)</f>
        <v/>
      </c>
      <c r="K1007" s="5">
        <f>MEDIAN(-6,H1007+(C1007-I1007)/MAX(I1007-J1007,0.000000001),6)</f>
        <v/>
      </c>
      <c r="L1007" s="5">
        <f>SUMPRODUCT(('01_Data'!$B1007:$AW1007&lt;&gt;"")*(1/(1+EXP(-(K1007-'03_Lap_b'!$B$15:$AW$15)))))</f>
        <v/>
      </c>
      <c r="M1007" s="5">
        <f>SUMPRODUCT(('01_Data'!$B1007:$AW1007&lt;&gt;"")*(1/(1+EXP(-(K1007-'03_Lap_b'!$B$15:$AW$15))))^2)</f>
        <v/>
      </c>
      <c r="N1007" s="5">
        <f>MEDIAN(-6,K1007+(C1007-L1007)/MAX(L1007-M1007,0.000000001),6)</f>
        <v/>
      </c>
      <c r="O1007" s="5">
        <f>SUMPRODUCT(('01_Data'!$B1007:$AW1007&lt;&gt;"")*(1/(1+EXP(-(N1007-'03_Lap_b'!$B$20:$AW$20)))))</f>
        <v/>
      </c>
      <c r="P1007" s="5">
        <f>SUMPRODUCT(('01_Data'!$B1007:$AW1007&lt;&gt;"")*(1/(1+EXP(-(N1007-'03_Lap_b'!$B$20:$AW$20))))^2)</f>
        <v/>
      </c>
      <c r="Q1007" s="5">
        <f>MEDIAN(-6,N1007+(C1007-O1007)/MAX(O1007-P1007,0.000000001),6)</f>
        <v/>
      </c>
      <c r="R1007" s="5">
        <f>SUMPRODUCT(('01_Data'!$B1007:$AW1007&lt;&gt;"")*(1/(1+EXP(-(Q1007-'03_Lap_b'!$B$25:$AW$25)))))</f>
        <v/>
      </c>
      <c r="S1007" s="5">
        <f>SUMPRODUCT(('01_Data'!$B1007:$AW1007&lt;&gt;"")*(1/(1+EXP(-(Q1007-'03_Lap_b'!$B$25:$AW$25))))^2)</f>
        <v/>
      </c>
      <c r="T1007" s="5">
        <f>MEDIAN(-6,Q1007+(C1007-R1007)/MAX(R1007-S1007,0.000000001),6)</f>
        <v/>
      </c>
      <c r="U1007" s="5">
        <f>SUMPRODUCT(('01_Data'!$B1007:$AW1007&lt;&gt;"")*(1/(1+EXP(-(T1007-'03_Lap_b'!$B$30:$AW$30)))))</f>
        <v/>
      </c>
      <c r="V1007" s="5">
        <f>SUMPRODUCT(('01_Data'!$B1007:$AW1007&lt;&gt;"")*(1/(1+EXP(-(T1007-'03_Lap_b'!$B$30:$AW$30))))^2)</f>
        <v/>
      </c>
      <c r="W1007" s="5">
        <f>MEDIAN(-6,T1007+(C1007-U1007)/MAX(U1007-V1007,0.000000001),6)</f>
        <v/>
      </c>
      <c r="X1007" s="5">
        <f>SUMPRODUCT(('01_Data'!$B1007:$AW1007&lt;&gt;"")*(1/(1+EXP(-(W1007-'03_Lap_b'!$B$35:$AW$35)))))</f>
        <v/>
      </c>
      <c r="Y1007" s="5">
        <f>SUMPRODUCT(('01_Data'!$B1007:$AW1007&lt;&gt;"")*(1/(1+EXP(-(W1007-'03_Lap_b'!$B$35:$AW$35))))^2)</f>
        <v/>
      </c>
      <c r="Z1007" s="5">
        <f>MEDIAN(-6,W1007+(C1007-X1007)/MAX(X1007-Y1007,0.000000001),6)</f>
        <v/>
      </c>
      <c r="AA1007" s="5">
        <f>SUMPRODUCT(('01_Data'!$B1007:$AW1007&lt;&gt;"")*(1/(1+EXP(-(Z1007-'03_Lap_b'!$B$40:$AW$40)))))</f>
        <v/>
      </c>
      <c r="AB1007" s="5">
        <f>SUMPRODUCT(('01_Data'!$B1007:$AW1007&lt;&gt;"")*(1/(1+EXP(-(Z1007-'03_Lap_b'!$B$40:$AW$40))))^2)</f>
        <v/>
      </c>
      <c r="AC1007" s="5">
        <f>MEDIAN(-6,Z1007+(C1007-AA1007)/MAX(AA1007-AB1007,0.000000001),6)</f>
        <v/>
      </c>
    </row>
    <row r="1008">
      <c r="A1008" t="n">
        <v>1007</v>
      </c>
      <c r="B1008">
        <f>'01_Data'!A1008</f>
        <v/>
      </c>
      <c r="C1008">
        <f>SUM('01_Data'!$B1008:$AW1008)</f>
        <v/>
      </c>
      <c r="D1008">
        <f>COUNT('01_Data'!$B1008:$AW1008)</f>
        <v/>
      </c>
      <c r="E1008" s="5">
        <f>MEDIAN(-6,LN((C1008+0.3)/(D1008-C1008+0.3)),6)</f>
        <v/>
      </c>
      <c r="F1008" s="5">
        <f>SUMPRODUCT(('01_Data'!$B1008:$AW1008&lt;&gt;"")*(1/(1+EXP(-(E1008-'03_Lap_b'!$B$5:$AW$5)))))</f>
        <v/>
      </c>
      <c r="G1008" s="5">
        <f>SUMPRODUCT(('01_Data'!$B1008:$AW1008&lt;&gt;"")*(1/(1+EXP(-(E1008-'03_Lap_b'!$B$5:$AW$5))))^2)</f>
        <v/>
      </c>
      <c r="H1008" s="5">
        <f>MEDIAN(-6,E1008+(C1008-F1008)/MAX(F1008-G1008,0.000000001),6)</f>
        <v/>
      </c>
      <c r="I1008" s="5">
        <f>SUMPRODUCT(('01_Data'!$B1008:$AW1008&lt;&gt;"")*(1/(1+EXP(-(H1008-'03_Lap_b'!$B$10:$AW$10)))))</f>
        <v/>
      </c>
      <c r="J1008" s="5">
        <f>SUMPRODUCT(('01_Data'!$B1008:$AW1008&lt;&gt;"")*(1/(1+EXP(-(H1008-'03_Lap_b'!$B$10:$AW$10))))^2)</f>
        <v/>
      </c>
      <c r="K1008" s="5">
        <f>MEDIAN(-6,H1008+(C1008-I1008)/MAX(I1008-J1008,0.000000001),6)</f>
        <v/>
      </c>
      <c r="L1008" s="5">
        <f>SUMPRODUCT(('01_Data'!$B1008:$AW1008&lt;&gt;"")*(1/(1+EXP(-(K1008-'03_Lap_b'!$B$15:$AW$15)))))</f>
        <v/>
      </c>
      <c r="M1008" s="5">
        <f>SUMPRODUCT(('01_Data'!$B1008:$AW1008&lt;&gt;"")*(1/(1+EXP(-(K1008-'03_Lap_b'!$B$15:$AW$15))))^2)</f>
        <v/>
      </c>
      <c r="N1008" s="5">
        <f>MEDIAN(-6,K1008+(C1008-L1008)/MAX(L1008-M1008,0.000000001),6)</f>
        <v/>
      </c>
      <c r="O1008" s="5">
        <f>SUMPRODUCT(('01_Data'!$B1008:$AW1008&lt;&gt;"")*(1/(1+EXP(-(N1008-'03_Lap_b'!$B$20:$AW$20)))))</f>
        <v/>
      </c>
      <c r="P1008" s="5">
        <f>SUMPRODUCT(('01_Data'!$B1008:$AW1008&lt;&gt;"")*(1/(1+EXP(-(N1008-'03_Lap_b'!$B$20:$AW$20))))^2)</f>
        <v/>
      </c>
      <c r="Q1008" s="5">
        <f>MEDIAN(-6,N1008+(C1008-O1008)/MAX(O1008-P1008,0.000000001),6)</f>
        <v/>
      </c>
      <c r="R1008" s="5">
        <f>SUMPRODUCT(('01_Data'!$B1008:$AW1008&lt;&gt;"")*(1/(1+EXP(-(Q1008-'03_Lap_b'!$B$25:$AW$25)))))</f>
        <v/>
      </c>
      <c r="S1008" s="5">
        <f>SUMPRODUCT(('01_Data'!$B1008:$AW1008&lt;&gt;"")*(1/(1+EXP(-(Q1008-'03_Lap_b'!$B$25:$AW$25))))^2)</f>
        <v/>
      </c>
      <c r="T1008" s="5">
        <f>MEDIAN(-6,Q1008+(C1008-R1008)/MAX(R1008-S1008,0.000000001),6)</f>
        <v/>
      </c>
      <c r="U1008" s="5">
        <f>SUMPRODUCT(('01_Data'!$B1008:$AW1008&lt;&gt;"")*(1/(1+EXP(-(T1008-'03_Lap_b'!$B$30:$AW$30)))))</f>
        <v/>
      </c>
      <c r="V1008" s="5">
        <f>SUMPRODUCT(('01_Data'!$B1008:$AW1008&lt;&gt;"")*(1/(1+EXP(-(T1008-'03_Lap_b'!$B$30:$AW$30))))^2)</f>
        <v/>
      </c>
      <c r="W1008" s="5">
        <f>MEDIAN(-6,T1008+(C1008-U1008)/MAX(U1008-V1008,0.000000001),6)</f>
        <v/>
      </c>
      <c r="X1008" s="5">
        <f>SUMPRODUCT(('01_Data'!$B1008:$AW1008&lt;&gt;"")*(1/(1+EXP(-(W1008-'03_Lap_b'!$B$35:$AW$35)))))</f>
        <v/>
      </c>
      <c r="Y1008" s="5">
        <f>SUMPRODUCT(('01_Data'!$B1008:$AW1008&lt;&gt;"")*(1/(1+EXP(-(W1008-'03_Lap_b'!$B$35:$AW$35))))^2)</f>
        <v/>
      </c>
      <c r="Z1008" s="5">
        <f>MEDIAN(-6,W1008+(C1008-X1008)/MAX(X1008-Y1008,0.000000001),6)</f>
        <v/>
      </c>
      <c r="AA1008" s="5">
        <f>SUMPRODUCT(('01_Data'!$B1008:$AW1008&lt;&gt;"")*(1/(1+EXP(-(Z1008-'03_Lap_b'!$B$40:$AW$40)))))</f>
        <v/>
      </c>
      <c r="AB1008" s="5">
        <f>SUMPRODUCT(('01_Data'!$B1008:$AW1008&lt;&gt;"")*(1/(1+EXP(-(Z1008-'03_Lap_b'!$B$40:$AW$40))))^2)</f>
        <v/>
      </c>
      <c r="AC1008" s="5">
        <f>MEDIAN(-6,Z1008+(C1008-AA1008)/MAX(AA1008-AB1008,0.000000001),6)</f>
        <v/>
      </c>
    </row>
    <row r="1009">
      <c r="A1009" t="n">
        <v>1008</v>
      </c>
      <c r="B1009">
        <f>'01_Data'!A1009</f>
        <v/>
      </c>
      <c r="C1009">
        <f>SUM('01_Data'!$B1009:$AW1009)</f>
        <v/>
      </c>
      <c r="D1009">
        <f>COUNT('01_Data'!$B1009:$AW1009)</f>
        <v/>
      </c>
      <c r="E1009" s="5">
        <f>MEDIAN(-6,LN((C1009+0.3)/(D1009-C1009+0.3)),6)</f>
        <v/>
      </c>
      <c r="F1009" s="5">
        <f>SUMPRODUCT(('01_Data'!$B1009:$AW1009&lt;&gt;"")*(1/(1+EXP(-(E1009-'03_Lap_b'!$B$5:$AW$5)))))</f>
        <v/>
      </c>
      <c r="G1009" s="5">
        <f>SUMPRODUCT(('01_Data'!$B1009:$AW1009&lt;&gt;"")*(1/(1+EXP(-(E1009-'03_Lap_b'!$B$5:$AW$5))))^2)</f>
        <v/>
      </c>
      <c r="H1009" s="5">
        <f>MEDIAN(-6,E1009+(C1009-F1009)/MAX(F1009-G1009,0.000000001),6)</f>
        <v/>
      </c>
      <c r="I1009" s="5">
        <f>SUMPRODUCT(('01_Data'!$B1009:$AW1009&lt;&gt;"")*(1/(1+EXP(-(H1009-'03_Lap_b'!$B$10:$AW$10)))))</f>
        <v/>
      </c>
      <c r="J1009" s="5">
        <f>SUMPRODUCT(('01_Data'!$B1009:$AW1009&lt;&gt;"")*(1/(1+EXP(-(H1009-'03_Lap_b'!$B$10:$AW$10))))^2)</f>
        <v/>
      </c>
      <c r="K1009" s="5">
        <f>MEDIAN(-6,H1009+(C1009-I1009)/MAX(I1009-J1009,0.000000001),6)</f>
        <v/>
      </c>
      <c r="L1009" s="5">
        <f>SUMPRODUCT(('01_Data'!$B1009:$AW1009&lt;&gt;"")*(1/(1+EXP(-(K1009-'03_Lap_b'!$B$15:$AW$15)))))</f>
        <v/>
      </c>
      <c r="M1009" s="5">
        <f>SUMPRODUCT(('01_Data'!$B1009:$AW1009&lt;&gt;"")*(1/(1+EXP(-(K1009-'03_Lap_b'!$B$15:$AW$15))))^2)</f>
        <v/>
      </c>
      <c r="N1009" s="5">
        <f>MEDIAN(-6,K1009+(C1009-L1009)/MAX(L1009-M1009,0.000000001),6)</f>
        <v/>
      </c>
      <c r="O1009" s="5">
        <f>SUMPRODUCT(('01_Data'!$B1009:$AW1009&lt;&gt;"")*(1/(1+EXP(-(N1009-'03_Lap_b'!$B$20:$AW$20)))))</f>
        <v/>
      </c>
      <c r="P1009" s="5">
        <f>SUMPRODUCT(('01_Data'!$B1009:$AW1009&lt;&gt;"")*(1/(1+EXP(-(N1009-'03_Lap_b'!$B$20:$AW$20))))^2)</f>
        <v/>
      </c>
      <c r="Q1009" s="5">
        <f>MEDIAN(-6,N1009+(C1009-O1009)/MAX(O1009-P1009,0.000000001),6)</f>
        <v/>
      </c>
      <c r="R1009" s="5">
        <f>SUMPRODUCT(('01_Data'!$B1009:$AW1009&lt;&gt;"")*(1/(1+EXP(-(Q1009-'03_Lap_b'!$B$25:$AW$25)))))</f>
        <v/>
      </c>
      <c r="S1009" s="5">
        <f>SUMPRODUCT(('01_Data'!$B1009:$AW1009&lt;&gt;"")*(1/(1+EXP(-(Q1009-'03_Lap_b'!$B$25:$AW$25))))^2)</f>
        <v/>
      </c>
      <c r="T1009" s="5">
        <f>MEDIAN(-6,Q1009+(C1009-R1009)/MAX(R1009-S1009,0.000000001),6)</f>
        <v/>
      </c>
      <c r="U1009" s="5">
        <f>SUMPRODUCT(('01_Data'!$B1009:$AW1009&lt;&gt;"")*(1/(1+EXP(-(T1009-'03_Lap_b'!$B$30:$AW$30)))))</f>
        <v/>
      </c>
      <c r="V1009" s="5">
        <f>SUMPRODUCT(('01_Data'!$B1009:$AW1009&lt;&gt;"")*(1/(1+EXP(-(T1009-'03_Lap_b'!$B$30:$AW$30))))^2)</f>
        <v/>
      </c>
      <c r="W1009" s="5">
        <f>MEDIAN(-6,T1009+(C1009-U1009)/MAX(U1009-V1009,0.000000001),6)</f>
        <v/>
      </c>
      <c r="X1009" s="5">
        <f>SUMPRODUCT(('01_Data'!$B1009:$AW1009&lt;&gt;"")*(1/(1+EXP(-(W1009-'03_Lap_b'!$B$35:$AW$35)))))</f>
        <v/>
      </c>
      <c r="Y1009" s="5">
        <f>SUMPRODUCT(('01_Data'!$B1009:$AW1009&lt;&gt;"")*(1/(1+EXP(-(W1009-'03_Lap_b'!$B$35:$AW$35))))^2)</f>
        <v/>
      </c>
      <c r="Z1009" s="5">
        <f>MEDIAN(-6,W1009+(C1009-X1009)/MAX(X1009-Y1009,0.000000001),6)</f>
        <v/>
      </c>
      <c r="AA1009" s="5">
        <f>SUMPRODUCT(('01_Data'!$B1009:$AW1009&lt;&gt;"")*(1/(1+EXP(-(Z1009-'03_Lap_b'!$B$40:$AW$40)))))</f>
        <v/>
      </c>
      <c r="AB1009" s="5">
        <f>SUMPRODUCT(('01_Data'!$B1009:$AW1009&lt;&gt;"")*(1/(1+EXP(-(Z1009-'03_Lap_b'!$B$40:$AW$40))))^2)</f>
        <v/>
      </c>
      <c r="AC1009" s="5">
        <f>MEDIAN(-6,Z1009+(C1009-AA1009)/MAX(AA1009-AB1009,0.000000001),6)</f>
        <v/>
      </c>
    </row>
    <row r="1010">
      <c r="A1010" t="n">
        <v>1009</v>
      </c>
      <c r="B1010">
        <f>'01_Data'!A1010</f>
        <v/>
      </c>
      <c r="C1010">
        <f>SUM('01_Data'!$B1010:$AW1010)</f>
        <v/>
      </c>
      <c r="D1010">
        <f>COUNT('01_Data'!$B1010:$AW1010)</f>
        <v/>
      </c>
      <c r="E1010" s="5">
        <f>MEDIAN(-6,LN((C1010+0.3)/(D1010-C1010+0.3)),6)</f>
        <v/>
      </c>
      <c r="F1010" s="5">
        <f>SUMPRODUCT(('01_Data'!$B1010:$AW1010&lt;&gt;"")*(1/(1+EXP(-(E1010-'03_Lap_b'!$B$5:$AW$5)))))</f>
        <v/>
      </c>
      <c r="G1010" s="5">
        <f>SUMPRODUCT(('01_Data'!$B1010:$AW1010&lt;&gt;"")*(1/(1+EXP(-(E1010-'03_Lap_b'!$B$5:$AW$5))))^2)</f>
        <v/>
      </c>
      <c r="H1010" s="5">
        <f>MEDIAN(-6,E1010+(C1010-F1010)/MAX(F1010-G1010,0.000000001),6)</f>
        <v/>
      </c>
      <c r="I1010" s="5">
        <f>SUMPRODUCT(('01_Data'!$B1010:$AW1010&lt;&gt;"")*(1/(1+EXP(-(H1010-'03_Lap_b'!$B$10:$AW$10)))))</f>
        <v/>
      </c>
      <c r="J1010" s="5">
        <f>SUMPRODUCT(('01_Data'!$B1010:$AW1010&lt;&gt;"")*(1/(1+EXP(-(H1010-'03_Lap_b'!$B$10:$AW$10))))^2)</f>
        <v/>
      </c>
      <c r="K1010" s="5">
        <f>MEDIAN(-6,H1010+(C1010-I1010)/MAX(I1010-J1010,0.000000001),6)</f>
        <v/>
      </c>
      <c r="L1010" s="5">
        <f>SUMPRODUCT(('01_Data'!$B1010:$AW1010&lt;&gt;"")*(1/(1+EXP(-(K1010-'03_Lap_b'!$B$15:$AW$15)))))</f>
        <v/>
      </c>
      <c r="M1010" s="5">
        <f>SUMPRODUCT(('01_Data'!$B1010:$AW1010&lt;&gt;"")*(1/(1+EXP(-(K1010-'03_Lap_b'!$B$15:$AW$15))))^2)</f>
        <v/>
      </c>
      <c r="N1010" s="5">
        <f>MEDIAN(-6,K1010+(C1010-L1010)/MAX(L1010-M1010,0.000000001),6)</f>
        <v/>
      </c>
      <c r="O1010" s="5">
        <f>SUMPRODUCT(('01_Data'!$B1010:$AW1010&lt;&gt;"")*(1/(1+EXP(-(N1010-'03_Lap_b'!$B$20:$AW$20)))))</f>
        <v/>
      </c>
      <c r="P1010" s="5">
        <f>SUMPRODUCT(('01_Data'!$B1010:$AW1010&lt;&gt;"")*(1/(1+EXP(-(N1010-'03_Lap_b'!$B$20:$AW$20))))^2)</f>
        <v/>
      </c>
      <c r="Q1010" s="5">
        <f>MEDIAN(-6,N1010+(C1010-O1010)/MAX(O1010-P1010,0.000000001),6)</f>
        <v/>
      </c>
      <c r="R1010" s="5">
        <f>SUMPRODUCT(('01_Data'!$B1010:$AW1010&lt;&gt;"")*(1/(1+EXP(-(Q1010-'03_Lap_b'!$B$25:$AW$25)))))</f>
        <v/>
      </c>
      <c r="S1010" s="5">
        <f>SUMPRODUCT(('01_Data'!$B1010:$AW1010&lt;&gt;"")*(1/(1+EXP(-(Q1010-'03_Lap_b'!$B$25:$AW$25))))^2)</f>
        <v/>
      </c>
      <c r="T1010" s="5">
        <f>MEDIAN(-6,Q1010+(C1010-R1010)/MAX(R1010-S1010,0.000000001),6)</f>
        <v/>
      </c>
      <c r="U1010" s="5">
        <f>SUMPRODUCT(('01_Data'!$B1010:$AW1010&lt;&gt;"")*(1/(1+EXP(-(T1010-'03_Lap_b'!$B$30:$AW$30)))))</f>
        <v/>
      </c>
      <c r="V1010" s="5">
        <f>SUMPRODUCT(('01_Data'!$B1010:$AW1010&lt;&gt;"")*(1/(1+EXP(-(T1010-'03_Lap_b'!$B$30:$AW$30))))^2)</f>
        <v/>
      </c>
      <c r="W1010" s="5">
        <f>MEDIAN(-6,T1010+(C1010-U1010)/MAX(U1010-V1010,0.000000001),6)</f>
        <v/>
      </c>
      <c r="X1010" s="5">
        <f>SUMPRODUCT(('01_Data'!$B1010:$AW1010&lt;&gt;"")*(1/(1+EXP(-(W1010-'03_Lap_b'!$B$35:$AW$35)))))</f>
        <v/>
      </c>
      <c r="Y1010" s="5">
        <f>SUMPRODUCT(('01_Data'!$B1010:$AW1010&lt;&gt;"")*(1/(1+EXP(-(W1010-'03_Lap_b'!$B$35:$AW$35))))^2)</f>
        <v/>
      </c>
      <c r="Z1010" s="5">
        <f>MEDIAN(-6,W1010+(C1010-X1010)/MAX(X1010-Y1010,0.000000001),6)</f>
        <v/>
      </c>
      <c r="AA1010" s="5">
        <f>SUMPRODUCT(('01_Data'!$B1010:$AW1010&lt;&gt;"")*(1/(1+EXP(-(Z1010-'03_Lap_b'!$B$40:$AW$40)))))</f>
        <v/>
      </c>
      <c r="AB1010" s="5">
        <f>SUMPRODUCT(('01_Data'!$B1010:$AW1010&lt;&gt;"")*(1/(1+EXP(-(Z1010-'03_Lap_b'!$B$40:$AW$40))))^2)</f>
        <v/>
      </c>
      <c r="AC1010" s="5">
        <f>MEDIAN(-6,Z1010+(C1010-AA1010)/MAX(AA1010-AB1010,0.000000001),6)</f>
        <v/>
      </c>
    </row>
    <row r="1011">
      <c r="A1011" t="n">
        <v>1010</v>
      </c>
      <c r="B1011">
        <f>'01_Data'!A1011</f>
        <v/>
      </c>
      <c r="C1011">
        <f>SUM('01_Data'!$B1011:$AW1011)</f>
        <v/>
      </c>
      <c r="D1011">
        <f>COUNT('01_Data'!$B1011:$AW1011)</f>
        <v/>
      </c>
      <c r="E1011" s="5">
        <f>MEDIAN(-6,LN((C1011+0.3)/(D1011-C1011+0.3)),6)</f>
        <v/>
      </c>
      <c r="F1011" s="5">
        <f>SUMPRODUCT(('01_Data'!$B1011:$AW1011&lt;&gt;"")*(1/(1+EXP(-(E1011-'03_Lap_b'!$B$5:$AW$5)))))</f>
        <v/>
      </c>
      <c r="G1011" s="5">
        <f>SUMPRODUCT(('01_Data'!$B1011:$AW1011&lt;&gt;"")*(1/(1+EXP(-(E1011-'03_Lap_b'!$B$5:$AW$5))))^2)</f>
        <v/>
      </c>
      <c r="H1011" s="5">
        <f>MEDIAN(-6,E1011+(C1011-F1011)/MAX(F1011-G1011,0.000000001),6)</f>
        <v/>
      </c>
      <c r="I1011" s="5">
        <f>SUMPRODUCT(('01_Data'!$B1011:$AW1011&lt;&gt;"")*(1/(1+EXP(-(H1011-'03_Lap_b'!$B$10:$AW$10)))))</f>
        <v/>
      </c>
      <c r="J1011" s="5">
        <f>SUMPRODUCT(('01_Data'!$B1011:$AW1011&lt;&gt;"")*(1/(1+EXP(-(H1011-'03_Lap_b'!$B$10:$AW$10))))^2)</f>
        <v/>
      </c>
      <c r="K1011" s="5">
        <f>MEDIAN(-6,H1011+(C1011-I1011)/MAX(I1011-J1011,0.000000001),6)</f>
        <v/>
      </c>
      <c r="L1011" s="5">
        <f>SUMPRODUCT(('01_Data'!$B1011:$AW1011&lt;&gt;"")*(1/(1+EXP(-(K1011-'03_Lap_b'!$B$15:$AW$15)))))</f>
        <v/>
      </c>
      <c r="M1011" s="5">
        <f>SUMPRODUCT(('01_Data'!$B1011:$AW1011&lt;&gt;"")*(1/(1+EXP(-(K1011-'03_Lap_b'!$B$15:$AW$15))))^2)</f>
        <v/>
      </c>
      <c r="N1011" s="5">
        <f>MEDIAN(-6,K1011+(C1011-L1011)/MAX(L1011-M1011,0.000000001),6)</f>
        <v/>
      </c>
      <c r="O1011" s="5">
        <f>SUMPRODUCT(('01_Data'!$B1011:$AW1011&lt;&gt;"")*(1/(1+EXP(-(N1011-'03_Lap_b'!$B$20:$AW$20)))))</f>
        <v/>
      </c>
      <c r="P1011" s="5">
        <f>SUMPRODUCT(('01_Data'!$B1011:$AW1011&lt;&gt;"")*(1/(1+EXP(-(N1011-'03_Lap_b'!$B$20:$AW$20))))^2)</f>
        <v/>
      </c>
      <c r="Q1011" s="5">
        <f>MEDIAN(-6,N1011+(C1011-O1011)/MAX(O1011-P1011,0.000000001),6)</f>
        <v/>
      </c>
      <c r="R1011" s="5">
        <f>SUMPRODUCT(('01_Data'!$B1011:$AW1011&lt;&gt;"")*(1/(1+EXP(-(Q1011-'03_Lap_b'!$B$25:$AW$25)))))</f>
        <v/>
      </c>
      <c r="S1011" s="5">
        <f>SUMPRODUCT(('01_Data'!$B1011:$AW1011&lt;&gt;"")*(1/(1+EXP(-(Q1011-'03_Lap_b'!$B$25:$AW$25))))^2)</f>
        <v/>
      </c>
      <c r="T1011" s="5">
        <f>MEDIAN(-6,Q1011+(C1011-R1011)/MAX(R1011-S1011,0.000000001),6)</f>
        <v/>
      </c>
      <c r="U1011" s="5">
        <f>SUMPRODUCT(('01_Data'!$B1011:$AW1011&lt;&gt;"")*(1/(1+EXP(-(T1011-'03_Lap_b'!$B$30:$AW$30)))))</f>
        <v/>
      </c>
      <c r="V1011" s="5">
        <f>SUMPRODUCT(('01_Data'!$B1011:$AW1011&lt;&gt;"")*(1/(1+EXP(-(T1011-'03_Lap_b'!$B$30:$AW$30))))^2)</f>
        <v/>
      </c>
      <c r="W1011" s="5">
        <f>MEDIAN(-6,T1011+(C1011-U1011)/MAX(U1011-V1011,0.000000001),6)</f>
        <v/>
      </c>
      <c r="X1011" s="5">
        <f>SUMPRODUCT(('01_Data'!$B1011:$AW1011&lt;&gt;"")*(1/(1+EXP(-(W1011-'03_Lap_b'!$B$35:$AW$35)))))</f>
        <v/>
      </c>
      <c r="Y1011" s="5">
        <f>SUMPRODUCT(('01_Data'!$B1011:$AW1011&lt;&gt;"")*(1/(1+EXP(-(W1011-'03_Lap_b'!$B$35:$AW$35))))^2)</f>
        <v/>
      </c>
      <c r="Z1011" s="5">
        <f>MEDIAN(-6,W1011+(C1011-X1011)/MAX(X1011-Y1011,0.000000001),6)</f>
        <v/>
      </c>
      <c r="AA1011" s="5">
        <f>SUMPRODUCT(('01_Data'!$B1011:$AW1011&lt;&gt;"")*(1/(1+EXP(-(Z1011-'03_Lap_b'!$B$40:$AW$40)))))</f>
        <v/>
      </c>
      <c r="AB1011" s="5">
        <f>SUMPRODUCT(('01_Data'!$B1011:$AW1011&lt;&gt;"")*(1/(1+EXP(-(Z1011-'03_Lap_b'!$B$40:$AW$40))))^2)</f>
        <v/>
      </c>
      <c r="AC1011" s="5">
        <f>MEDIAN(-6,Z1011+(C1011-AA1011)/MAX(AA1011-AB1011,0.000000001),6)</f>
        <v/>
      </c>
    </row>
    <row r="1012">
      <c r="A1012" t="n">
        <v>1011</v>
      </c>
      <c r="B1012">
        <f>'01_Data'!A1012</f>
        <v/>
      </c>
      <c r="C1012">
        <f>SUM('01_Data'!$B1012:$AW1012)</f>
        <v/>
      </c>
      <c r="D1012">
        <f>COUNT('01_Data'!$B1012:$AW1012)</f>
        <v/>
      </c>
      <c r="E1012" s="5">
        <f>MEDIAN(-6,LN((C1012+0.3)/(D1012-C1012+0.3)),6)</f>
        <v/>
      </c>
      <c r="F1012" s="5">
        <f>SUMPRODUCT(('01_Data'!$B1012:$AW1012&lt;&gt;"")*(1/(1+EXP(-(E1012-'03_Lap_b'!$B$5:$AW$5)))))</f>
        <v/>
      </c>
      <c r="G1012" s="5">
        <f>SUMPRODUCT(('01_Data'!$B1012:$AW1012&lt;&gt;"")*(1/(1+EXP(-(E1012-'03_Lap_b'!$B$5:$AW$5))))^2)</f>
        <v/>
      </c>
      <c r="H1012" s="5">
        <f>MEDIAN(-6,E1012+(C1012-F1012)/MAX(F1012-G1012,0.000000001),6)</f>
        <v/>
      </c>
      <c r="I1012" s="5">
        <f>SUMPRODUCT(('01_Data'!$B1012:$AW1012&lt;&gt;"")*(1/(1+EXP(-(H1012-'03_Lap_b'!$B$10:$AW$10)))))</f>
        <v/>
      </c>
      <c r="J1012" s="5">
        <f>SUMPRODUCT(('01_Data'!$B1012:$AW1012&lt;&gt;"")*(1/(1+EXP(-(H1012-'03_Lap_b'!$B$10:$AW$10))))^2)</f>
        <v/>
      </c>
      <c r="K1012" s="5">
        <f>MEDIAN(-6,H1012+(C1012-I1012)/MAX(I1012-J1012,0.000000001),6)</f>
        <v/>
      </c>
      <c r="L1012" s="5">
        <f>SUMPRODUCT(('01_Data'!$B1012:$AW1012&lt;&gt;"")*(1/(1+EXP(-(K1012-'03_Lap_b'!$B$15:$AW$15)))))</f>
        <v/>
      </c>
      <c r="M1012" s="5">
        <f>SUMPRODUCT(('01_Data'!$B1012:$AW1012&lt;&gt;"")*(1/(1+EXP(-(K1012-'03_Lap_b'!$B$15:$AW$15))))^2)</f>
        <v/>
      </c>
      <c r="N1012" s="5">
        <f>MEDIAN(-6,K1012+(C1012-L1012)/MAX(L1012-M1012,0.000000001),6)</f>
        <v/>
      </c>
      <c r="O1012" s="5">
        <f>SUMPRODUCT(('01_Data'!$B1012:$AW1012&lt;&gt;"")*(1/(1+EXP(-(N1012-'03_Lap_b'!$B$20:$AW$20)))))</f>
        <v/>
      </c>
      <c r="P1012" s="5">
        <f>SUMPRODUCT(('01_Data'!$B1012:$AW1012&lt;&gt;"")*(1/(1+EXP(-(N1012-'03_Lap_b'!$B$20:$AW$20))))^2)</f>
        <v/>
      </c>
      <c r="Q1012" s="5">
        <f>MEDIAN(-6,N1012+(C1012-O1012)/MAX(O1012-P1012,0.000000001),6)</f>
        <v/>
      </c>
      <c r="R1012" s="5">
        <f>SUMPRODUCT(('01_Data'!$B1012:$AW1012&lt;&gt;"")*(1/(1+EXP(-(Q1012-'03_Lap_b'!$B$25:$AW$25)))))</f>
        <v/>
      </c>
      <c r="S1012" s="5">
        <f>SUMPRODUCT(('01_Data'!$B1012:$AW1012&lt;&gt;"")*(1/(1+EXP(-(Q1012-'03_Lap_b'!$B$25:$AW$25))))^2)</f>
        <v/>
      </c>
      <c r="T1012" s="5">
        <f>MEDIAN(-6,Q1012+(C1012-R1012)/MAX(R1012-S1012,0.000000001),6)</f>
        <v/>
      </c>
      <c r="U1012" s="5">
        <f>SUMPRODUCT(('01_Data'!$B1012:$AW1012&lt;&gt;"")*(1/(1+EXP(-(T1012-'03_Lap_b'!$B$30:$AW$30)))))</f>
        <v/>
      </c>
      <c r="V1012" s="5">
        <f>SUMPRODUCT(('01_Data'!$B1012:$AW1012&lt;&gt;"")*(1/(1+EXP(-(T1012-'03_Lap_b'!$B$30:$AW$30))))^2)</f>
        <v/>
      </c>
      <c r="W1012" s="5">
        <f>MEDIAN(-6,T1012+(C1012-U1012)/MAX(U1012-V1012,0.000000001),6)</f>
        <v/>
      </c>
      <c r="X1012" s="5">
        <f>SUMPRODUCT(('01_Data'!$B1012:$AW1012&lt;&gt;"")*(1/(1+EXP(-(W1012-'03_Lap_b'!$B$35:$AW$35)))))</f>
        <v/>
      </c>
      <c r="Y1012" s="5">
        <f>SUMPRODUCT(('01_Data'!$B1012:$AW1012&lt;&gt;"")*(1/(1+EXP(-(W1012-'03_Lap_b'!$B$35:$AW$35))))^2)</f>
        <v/>
      </c>
      <c r="Z1012" s="5">
        <f>MEDIAN(-6,W1012+(C1012-X1012)/MAX(X1012-Y1012,0.000000001),6)</f>
        <v/>
      </c>
      <c r="AA1012" s="5">
        <f>SUMPRODUCT(('01_Data'!$B1012:$AW1012&lt;&gt;"")*(1/(1+EXP(-(Z1012-'03_Lap_b'!$B$40:$AW$40)))))</f>
        <v/>
      </c>
      <c r="AB1012" s="5">
        <f>SUMPRODUCT(('01_Data'!$B1012:$AW1012&lt;&gt;"")*(1/(1+EXP(-(Z1012-'03_Lap_b'!$B$40:$AW$40))))^2)</f>
        <v/>
      </c>
      <c r="AC1012" s="5">
        <f>MEDIAN(-6,Z1012+(C1012-AA1012)/MAX(AA1012-AB1012,0.000000001),6)</f>
        <v/>
      </c>
    </row>
    <row r="1013">
      <c r="A1013" t="n">
        <v>1012</v>
      </c>
      <c r="B1013">
        <f>'01_Data'!A1013</f>
        <v/>
      </c>
      <c r="C1013">
        <f>SUM('01_Data'!$B1013:$AW1013)</f>
        <v/>
      </c>
      <c r="D1013">
        <f>COUNT('01_Data'!$B1013:$AW1013)</f>
        <v/>
      </c>
      <c r="E1013" s="5">
        <f>MEDIAN(-6,LN((C1013+0.3)/(D1013-C1013+0.3)),6)</f>
        <v/>
      </c>
      <c r="F1013" s="5">
        <f>SUMPRODUCT(('01_Data'!$B1013:$AW1013&lt;&gt;"")*(1/(1+EXP(-(E1013-'03_Lap_b'!$B$5:$AW$5)))))</f>
        <v/>
      </c>
      <c r="G1013" s="5">
        <f>SUMPRODUCT(('01_Data'!$B1013:$AW1013&lt;&gt;"")*(1/(1+EXP(-(E1013-'03_Lap_b'!$B$5:$AW$5))))^2)</f>
        <v/>
      </c>
      <c r="H1013" s="5">
        <f>MEDIAN(-6,E1013+(C1013-F1013)/MAX(F1013-G1013,0.000000001),6)</f>
        <v/>
      </c>
      <c r="I1013" s="5">
        <f>SUMPRODUCT(('01_Data'!$B1013:$AW1013&lt;&gt;"")*(1/(1+EXP(-(H1013-'03_Lap_b'!$B$10:$AW$10)))))</f>
        <v/>
      </c>
      <c r="J1013" s="5">
        <f>SUMPRODUCT(('01_Data'!$B1013:$AW1013&lt;&gt;"")*(1/(1+EXP(-(H1013-'03_Lap_b'!$B$10:$AW$10))))^2)</f>
        <v/>
      </c>
      <c r="K1013" s="5">
        <f>MEDIAN(-6,H1013+(C1013-I1013)/MAX(I1013-J1013,0.000000001),6)</f>
        <v/>
      </c>
      <c r="L1013" s="5">
        <f>SUMPRODUCT(('01_Data'!$B1013:$AW1013&lt;&gt;"")*(1/(1+EXP(-(K1013-'03_Lap_b'!$B$15:$AW$15)))))</f>
        <v/>
      </c>
      <c r="M1013" s="5">
        <f>SUMPRODUCT(('01_Data'!$B1013:$AW1013&lt;&gt;"")*(1/(1+EXP(-(K1013-'03_Lap_b'!$B$15:$AW$15))))^2)</f>
        <v/>
      </c>
      <c r="N1013" s="5">
        <f>MEDIAN(-6,K1013+(C1013-L1013)/MAX(L1013-M1013,0.000000001),6)</f>
        <v/>
      </c>
      <c r="O1013" s="5">
        <f>SUMPRODUCT(('01_Data'!$B1013:$AW1013&lt;&gt;"")*(1/(1+EXP(-(N1013-'03_Lap_b'!$B$20:$AW$20)))))</f>
        <v/>
      </c>
      <c r="P1013" s="5">
        <f>SUMPRODUCT(('01_Data'!$B1013:$AW1013&lt;&gt;"")*(1/(1+EXP(-(N1013-'03_Lap_b'!$B$20:$AW$20))))^2)</f>
        <v/>
      </c>
      <c r="Q1013" s="5">
        <f>MEDIAN(-6,N1013+(C1013-O1013)/MAX(O1013-P1013,0.000000001),6)</f>
        <v/>
      </c>
      <c r="R1013" s="5">
        <f>SUMPRODUCT(('01_Data'!$B1013:$AW1013&lt;&gt;"")*(1/(1+EXP(-(Q1013-'03_Lap_b'!$B$25:$AW$25)))))</f>
        <v/>
      </c>
      <c r="S1013" s="5">
        <f>SUMPRODUCT(('01_Data'!$B1013:$AW1013&lt;&gt;"")*(1/(1+EXP(-(Q1013-'03_Lap_b'!$B$25:$AW$25))))^2)</f>
        <v/>
      </c>
      <c r="T1013" s="5">
        <f>MEDIAN(-6,Q1013+(C1013-R1013)/MAX(R1013-S1013,0.000000001),6)</f>
        <v/>
      </c>
      <c r="U1013" s="5">
        <f>SUMPRODUCT(('01_Data'!$B1013:$AW1013&lt;&gt;"")*(1/(1+EXP(-(T1013-'03_Lap_b'!$B$30:$AW$30)))))</f>
        <v/>
      </c>
      <c r="V1013" s="5">
        <f>SUMPRODUCT(('01_Data'!$B1013:$AW1013&lt;&gt;"")*(1/(1+EXP(-(T1013-'03_Lap_b'!$B$30:$AW$30))))^2)</f>
        <v/>
      </c>
      <c r="W1013" s="5">
        <f>MEDIAN(-6,T1013+(C1013-U1013)/MAX(U1013-V1013,0.000000001),6)</f>
        <v/>
      </c>
      <c r="X1013" s="5">
        <f>SUMPRODUCT(('01_Data'!$B1013:$AW1013&lt;&gt;"")*(1/(1+EXP(-(W1013-'03_Lap_b'!$B$35:$AW$35)))))</f>
        <v/>
      </c>
      <c r="Y1013" s="5">
        <f>SUMPRODUCT(('01_Data'!$B1013:$AW1013&lt;&gt;"")*(1/(1+EXP(-(W1013-'03_Lap_b'!$B$35:$AW$35))))^2)</f>
        <v/>
      </c>
      <c r="Z1013" s="5">
        <f>MEDIAN(-6,W1013+(C1013-X1013)/MAX(X1013-Y1013,0.000000001),6)</f>
        <v/>
      </c>
      <c r="AA1013" s="5">
        <f>SUMPRODUCT(('01_Data'!$B1013:$AW1013&lt;&gt;"")*(1/(1+EXP(-(Z1013-'03_Lap_b'!$B$40:$AW$40)))))</f>
        <v/>
      </c>
      <c r="AB1013" s="5">
        <f>SUMPRODUCT(('01_Data'!$B1013:$AW1013&lt;&gt;"")*(1/(1+EXP(-(Z1013-'03_Lap_b'!$B$40:$AW$40))))^2)</f>
        <v/>
      </c>
      <c r="AC1013" s="5">
        <f>MEDIAN(-6,Z1013+(C1013-AA1013)/MAX(AA1013-AB1013,0.000000001),6)</f>
        <v/>
      </c>
    </row>
    <row r="1014">
      <c r="A1014" t="n">
        <v>1013</v>
      </c>
      <c r="B1014">
        <f>'01_Data'!A1014</f>
        <v/>
      </c>
      <c r="C1014">
        <f>SUM('01_Data'!$B1014:$AW1014)</f>
        <v/>
      </c>
      <c r="D1014">
        <f>COUNT('01_Data'!$B1014:$AW1014)</f>
        <v/>
      </c>
      <c r="E1014" s="5">
        <f>MEDIAN(-6,LN((C1014+0.3)/(D1014-C1014+0.3)),6)</f>
        <v/>
      </c>
      <c r="F1014" s="5">
        <f>SUMPRODUCT(('01_Data'!$B1014:$AW1014&lt;&gt;"")*(1/(1+EXP(-(E1014-'03_Lap_b'!$B$5:$AW$5)))))</f>
        <v/>
      </c>
      <c r="G1014" s="5">
        <f>SUMPRODUCT(('01_Data'!$B1014:$AW1014&lt;&gt;"")*(1/(1+EXP(-(E1014-'03_Lap_b'!$B$5:$AW$5))))^2)</f>
        <v/>
      </c>
      <c r="H1014" s="5">
        <f>MEDIAN(-6,E1014+(C1014-F1014)/MAX(F1014-G1014,0.000000001),6)</f>
        <v/>
      </c>
      <c r="I1014" s="5">
        <f>SUMPRODUCT(('01_Data'!$B1014:$AW1014&lt;&gt;"")*(1/(1+EXP(-(H1014-'03_Lap_b'!$B$10:$AW$10)))))</f>
        <v/>
      </c>
      <c r="J1014" s="5">
        <f>SUMPRODUCT(('01_Data'!$B1014:$AW1014&lt;&gt;"")*(1/(1+EXP(-(H1014-'03_Lap_b'!$B$10:$AW$10))))^2)</f>
        <v/>
      </c>
      <c r="K1014" s="5">
        <f>MEDIAN(-6,H1014+(C1014-I1014)/MAX(I1014-J1014,0.000000001),6)</f>
        <v/>
      </c>
      <c r="L1014" s="5">
        <f>SUMPRODUCT(('01_Data'!$B1014:$AW1014&lt;&gt;"")*(1/(1+EXP(-(K1014-'03_Lap_b'!$B$15:$AW$15)))))</f>
        <v/>
      </c>
      <c r="M1014" s="5">
        <f>SUMPRODUCT(('01_Data'!$B1014:$AW1014&lt;&gt;"")*(1/(1+EXP(-(K1014-'03_Lap_b'!$B$15:$AW$15))))^2)</f>
        <v/>
      </c>
      <c r="N1014" s="5">
        <f>MEDIAN(-6,K1014+(C1014-L1014)/MAX(L1014-M1014,0.000000001),6)</f>
        <v/>
      </c>
      <c r="O1014" s="5">
        <f>SUMPRODUCT(('01_Data'!$B1014:$AW1014&lt;&gt;"")*(1/(1+EXP(-(N1014-'03_Lap_b'!$B$20:$AW$20)))))</f>
        <v/>
      </c>
      <c r="P1014" s="5">
        <f>SUMPRODUCT(('01_Data'!$B1014:$AW1014&lt;&gt;"")*(1/(1+EXP(-(N1014-'03_Lap_b'!$B$20:$AW$20))))^2)</f>
        <v/>
      </c>
      <c r="Q1014" s="5">
        <f>MEDIAN(-6,N1014+(C1014-O1014)/MAX(O1014-P1014,0.000000001),6)</f>
        <v/>
      </c>
      <c r="R1014" s="5">
        <f>SUMPRODUCT(('01_Data'!$B1014:$AW1014&lt;&gt;"")*(1/(1+EXP(-(Q1014-'03_Lap_b'!$B$25:$AW$25)))))</f>
        <v/>
      </c>
      <c r="S1014" s="5">
        <f>SUMPRODUCT(('01_Data'!$B1014:$AW1014&lt;&gt;"")*(1/(1+EXP(-(Q1014-'03_Lap_b'!$B$25:$AW$25))))^2)</f>
        <v/>
      </c>
      <c r="T1014" s="5">
        <f>MEDIAN(-6,Q1014+(C1014-R1014)/MAX(R1014-S1014,0.000000001),6)</f>
        <v/>
      </c>
      <c r="U1014" s="5">
        <f>SUMPRODUCT(('01_Data'!$B1014:$AW1014&lt;&gt;"")*(1/(1+EXP(-(T1014-'03_Lap_b'!$B$30:$AW$30)))))</f>
        <v/>
      </c>
      <c r="V1014" s="5">
        <f>SUMPRODUCT(('01_Data'!$B1014:$AW1014&lt;&gt;"")*(1/(1+EXP(-(T1014-'03_Lap_b'!$B$30:$AW$30))))^2)</f>
        <v/>
      </c>
      <c r="W1014" s="5">
        <f>MEDIAN(-6,T1014+(C1014-U1014)/MAX(U1014-V1014,0.000000001),6)</f>
        <v/>
      </c>
      <c r="X1014" s="5">
        <f>SUMPRODUCT(('01_Data'!$B1014:$AW1014&lt;&gt;"")*(1/(1+EXP(-(W1014-'03_Lap_b'!$B$35:$AW$35)))))</f>
        <v/>
      </c>
      <c r="Y1014" s="5">
        <f>SUMPRODUCT(('01_Data'!$B1014:$AW1014&lt;&gt;"")*(1/(1+EXP(-(W1014-'03_Lap_b'!$B$35:$AW$35))))^2)</f>
        <v/>
      </c>
      <c r="Z1014" s="5">
        <f>MEDIAN(-6,W1014+(C1014-X1014)/MAX(X1014-Y1014,0.000000001),6)</f>
        <v/>
      </c>
      <c r="AA1014" s="5">
        <f>SUMPRODUCT(('01_Data'!$B1014:$AW1014&lt;&gt;"")*(1/(1+EXP(-(Z1014-'03_Lap_b'!$B$40:$AW$40)))))</f>
        <v/>
      </c>
      <c r="AB1014" s="5">
        <f>SUMPRODUCT(('01_Data'!$B1014:$AW1014&lt;&gt;"")*(1/(1+EXP(-(Z1014-'03_Lap_b'!$B$40:$AW$40))))^2)</f>
        <v/>
      </c>
      <c r="AC1014" s="5">
        <f>MEDIAN(-6,Z1014+(C1014-AA1014)/MAX(AA1014-AB1014,0.000000001),6)</f>
        <v/>
      </c>
    </row>
    <row r="1015">
      <c r="A1015" t="n">
        <v>1014</v>
      </c>
      <c r="B1015">
        <f>'01_Data'!A1015</f>
        <v/>
      </c>
      <c r="C1015">
        <f>SUM('01_Data'!$B1015:$AW1015)</f>
        <v/>
      </c>
      <c r="D1015">
        <f>COUNT('01_Data'!$B1015:$AW1015)</f>
        <v/>
      </c>
      <c r="E1015" s="5">
        <f>MEDIAN(-6,LN((C1015+0.3)/(D1015-C1015+0.3)),6)</f>
        <v/>
      </c>
      <c r="F1015" s="5">
        <f>SUMPRODUCT(('01_Data'!$B1015:$AW1015&lt;&gt;"")*(1/(1+EXP(-(E1015-'03_Lap_b'!$B$5:$AW$5)))))</f>
        <v/>
      </c>
      <c r="G1015" s="5">
        <f>SUMPRODUCT(('01_Data'!$B1015:$AW1015&lt;&gt;"")*(1/(1+EXP(-(E1015-'03_Lap_b'!$B$5:$AW$5))))^2)</f>
        <v/>
      </c>
      <c r="H1015" s="5">
        <f>MEDIAN(-6,E1015+(C1015-F1015)/MAX(F1015-G1015,0.000000001),6)</f>
        <v/>
      </c>
      <c r="I1015" s="5">
        <f>SUMPRODUCT(('01_Data'!$B1015:$AW1015&lt;&gt;"")*(1/(1+EXP(-(H1015-'03_Lap_b'!$B$10:$AW$10)))))</f>
        <v/>
      </c>
      <c r="J1015" s="5">
        <f>SUMPRODUCT(('01_Data'!$B1015:$AW1015&lt;&gt;"")*(1/(1+EXP(-(H1015-'03_Lap_b'!$B$10:$AW$10))))^2)</f>
        <v/>
      </c>
      <c r="K1015" s="5">
        <f>MEDIAN(-6,H1015+(C1015-I1015)/MAX(I1015-J1015,0.000000001),6)</f>
        <v/>
      </c>
      <c r="L1015" s="5">
        <f>SUMPRODUCT(('01_Data'!$B1015:$AW1015&lt;&gt;"")*(1/(1+EXP(-(K1015-'03_Lap_b'!$B$15:$AW$15)))))</f>
        <v/>
      </c>
      <c r="M1015" s="5">
        <f>SUMPRODUCT(('01_Data'!$B1015:$AW1015&lt;&gt;"")*(1/(1+EXP(-(K1015-'03_Lap_b'!$B$15:$AW$15))))^2)</f>
        <v/>
      </c>
      <c r="N1015" s="5">
        <f>MEDIAN(-6,K1015+(C1015-L1015)/MAX(L1015-M1015,0.000000001),6)</f>
        <v/>
      </c>
      <c r="O1015" s="5">
        <f>SUMPRODUCT(('01_Data'!$B1015:$AW1015&lt;&gt;"")*(1/(1+EXP(-(N1015-'03_Lap_b'!$B$20:$AW$20)))))</f>
        <v/>
      </c>
      <c r="P1015" s="5">
        <f>SUMPRODUCT(('01_Data'!$B1015:$AW1015&lt;&gt;"")*(1/(1+EXP(-(N1015-'03_Lap_b'!$B$20:$AW$20))))^2)</f>
        <v/>
      </c>
      <c r="Q1015" s="5">
        <f>MEDIAN(-6,N1015+(C1015-O1015)/MAX(O1015-P1015,0.000000001),6)</f>
        <v/>
      </c>
      <c r="R1015" s="5">
        <f>SUMPRODUCT(('01_Data'!$B1015:$AW1015&lt;&gt;"")*(1/(1+EXP(-(Q1015-'03_Lap_b'!$B$25:$AW$25)))))</f>
        <v/>
      </c>
      <c r="S1015" s="5">
        <f>SUMPRODUCT(('01_Data'!$B1015:$AW1015&lt;&gt;"")*(1/(1+EXP(-(Q1015-'03_Lap_b'!$B$25:$AW$25))))^2)</f>
        <v/>
      </c>
      <c r="T1015" s="5">
        <f>MEDIAN(-6,Q1015+(C1015-R1015)/MAX(R1015-S1015,0.000000001),6)</f>
        <v/>
      </c>
      <c r="U1015" s="5">
        <f>SUMPRODUCT(('01_Data'!$B1015:$AW1015&lt;&gt;"")*(1/(1+EXP(-(T1015-'03_Lap_b'!$B$30:$AW$30)))))</f>
        <v/>
      </c>
      <c r="V1015" s="5">
        <f>SUMPRODUCT(('01_Data'!$B1015:$AW1015&lt;&gt;"")*(1/(1+EXP(-(T1015-'03_Lap_b'!$B$30:$AW$30))))^2)</f>
        <v/>
      </c>
      <c r="W1015" s="5">
        <f>MEDIAN(-6,T1015+(C1015-U1015)/MAX(U1015-V1015,0.000000001),6)</f>
        <v/>
      </c>
      <c r="X1015" s="5">
        <f>SUMPRODUCT(('01_Data'!$B1015:$AW1015&lt;&gt;"")*(1/(1+EXP(-(W1015-'03_Lap_b'!$B$35:$AW$35)))))</f>
        <v/>
      </c>
      <c r="Y1015" s="5">
        <f>SUMPRODUCT(('01_Data'!$B1015:$AW1015&lt;&gt;"")*(1/(1+EXP(-(W1015-'03_Lap_b'!$B$35:$AW$35))))^2)</f>
        <v/>
      </c>
      <c r="Z1015" s="5">
        <f>MEDIAN(-6,W1015+(C1015-X1015)/MAX(X1015-Y1015,0.000000001),6)</f>
        <v/>
      </c>
      <c r="AA1015" s="5">
        <f>SUMPRODUCT(('01_Data'!$B1015:$AW1015&lt;&gt;"")*(1/(1+EXP(-(Z1015-'03_Lap_b'!$B$40:$AW$40)))))</f>
        <v/>
      </c>
      <c r="AB1015" s="5">
        <f>SUMPRODUCT(('01_Data'!$B1015:$AW1015&lt;&gt;"")*(1/(1+EXP(-(Z1015-'03_Lap_b'!$B$40:$AW$40))))^2)</f>
        <v/>
      </c>
      <c r="AC1015" s="5">
        <f>MEDIAN(-6,Z1015+(C1015-AA1015)/MAX(AA1015-AB1015,0.000000001),6)</f>
        <v/>
      </c>
    </row>
    <row r="1016">
      <c r="A1016" t="n">
        <v>1015</v>
      </c>
      <c r="B1016">
        <f>'01_Data'!A1016</f>
        <v/>
      </c>
      <c r="C1016">
        <f>SUM('01_Data'!$B1016:$AW1016)</f>
        <v/>
      </c>
      <c r="D1016">
        <f>COUNT('01_Data'!$B1016:$AW1016)</f>
        <v/>
      </c>
      <c r="E1016" s="5">
        <f>MEDIAN(-6,LN((C1016+0.3)/(D1016-C1016+0.3)),6)</f>
        <v/>
      </c>
      <c r="F1016" s="5">
        <f>SUMPRODUCT(('01_Data'!$B1016:$AW1016&lt;&gt;"")*(1/(1+EXP(-(E1016-'03_Lap_b'!$B$5:$AW$5)))))</f>
        <v/>
      </c>
      <c r="G1016" s="5">
        <f>SUMPRODUCT(('01_Data'!$B1016:$AW1016&lt;&gt;"")*(1/(1+EXP(-(E1016-'03_Lap_b'!$B$5:$AW$5))))^2)</f>
        <v/>
      </c>
      <c r="H1016" s="5">
        <f>MEDIAN(-6,E1016+(C1016-F1016)/MAX(F1016-G1016,0.000000001),6)</f>
        <v/>
      </c>
      <c r="I1016" s="5">
        <f>SUMPRODUCT(('01_Data'!$B1016:$AW1016&lt;&gt;"")*(1/(1+EXP(-(H1016-'03_Lap_b'!$B$10:$AW$10)))))</f>
        <v/>
      </c>
      <c r="J1016" s="5">
        <f>SUMPRODUCT(('01_Data'!$B1016:$AW1016&lt;&gt;"")*(1/(1+EXP(-(H1016-'03_Lap_b'!$B$10:$AW$10))))^2)</f>
        <v/>
      </c>
      <c r="K1016" s="5">
        <f>MEDIAN(-6,H1016+(C1016-I1016)/MAX(I1016-J1016,0.000000001),6)</f>
        <v/>
      </c>
      <c r="L1016" s="5">
        <f>SUMPRODUCT(('01_Data'!$B1016:$AW1016&lt;&gt;"")*(1/(1+EXP(-(K1016-'03_Lap_b'!$B$15:$AW$15)))))</f>
        <v/>
      </c>
      <c r="M1016" s="5">
        <f>SUMPRODUCT(('01_Data'!$B1016:$AW1016&lt;&gt;"")*(1/(1+EXP(-(K1016-'03_Lap_b'!$B$15:$AW$15))))^2)</f>
        <v/>
      </c>
      <c r="N1016" s="5">
        <f>MEDIAN(-6,K1016+(C1016-L1016)/MAX(L1016-M1016,0.000000001),6)</f>
        <v/>
      </c>
      <c r="O1016" s="5">
        <f>SUMPRODUCT(('01_Data'!$B1016:$AW1016&lt;&gt;"")*(1/(1+EXP(-(N1016-'03_Lap_b'!$B$20:$AW$20)))))</f>
        <v/>
      </c>
      <c r="P1016" s="5">
        <f>SUMPRODUCT(('01_Data'!$B1016:$AW1016&lt;&gt;"")*(1/(1+EXP(-(N1016-'03_Lap_b'!$B$20:$AW$20))))^2)</f>
        <v/>
      </c>
      <c r="Q1016" s="5">
        <f>MEDIAN(-6,N1016+(C1016-O1016)/MAX(O1016-P1016,0.000000001),6)</f>
        <v/>
      </c>
      <c r="R1016" s="5">
        <f>SUMPRODUCT(('01_Data'!$B1016:$AW1016&lt;&gt;"")*(1/(1+EXP(-(Q1016-'03_Lap_b'!$B$25:$AW$25)))))</f>
        <v/>
      </c>
      <c r="S1016" s="5">
        <f>SUMPRODUCT(('01_Data'!$B1016:$AW1016&lt;&gt;"")*(1/(1+EXP(-(Q1016-'03_Lap_b'!$B$25:$AW$25))))^2)</f>
        <v/>
      </c>
      <c r="T1016" s="5">
        <f>MEDIAN(-6,Q1016+(C1016-R1016)/MAX(R1016-S1016,0.000000001),6)</f>
        <v/>
      </c>
      <c r="U1016" s="5">
        <f>SUMPRODUCT(('01_Data'!$B1016:$AW1016&lt;&gt;"")*(1/(1+EXP(-(T1016-'03_Lap_b'!$B$30:$AW$30)))))</f>
        <v/>
      </c>
      <c r="V1016" s="5">
        <f>SUMPRODUCT(('01_Data'!$B1016:$AW1016&lt;&gt;"")*(1/(1+EXP(-(T1016-'03_Lap_b'!$B$30:$AW$30))))^2)</f>
        <v/>
      </c>
      <c r="W1016" s="5">
        <f>MEDIAN(-6,T1016+(C1016-U1016)/MAX(U1016-V1016,0.000000001),6)</f>
        <v/>
      </c>
      <c r="X1016" s="5">
        <f>SUMPRODUCT(('01_Data'!$B1016:$AW1016&lt;&gt;"")*(1/(1+EXP(-(W1016-'03_Lap_b'!$B$35:$AW$35)))))</f>
        <v/>
      </c>
      <c r="Y1016" s="5">
        <f>SUMPRODUCT(('01_Data'!$B1016:$AW1016&lt;&gt;"")*(1/(1+EXP(-(W1016-'03_Lap_b'!$B$35:$AW$35))))^2)</f>
        <v/>
      </c>
      <c r="Z1016" s="5">
        <f>MEDIAN(-6,W1016+(C1016-X1016)/MAX(X1016-Y1016,0.000000001),6)</f>
        <v/>
      </c>
      <c r="AA1016" s="5">
        <f>SUMPRODUCT(('01_Data'!$B1016:$AW1016&lt;&gt;"")*(1/(1+EXP(-(Z1016-'03_Lap_b'!$B$40:$AW$40)))))</f>
        <v/>
      </c>
      <c r="AB1016" s="5">
        <f>SUMPRODUCT(('01_Data'!$B1016:$AW1016&lt;&gt;"")*(1/(1+EXP(-(Z1016-'03_Lap_b'!$B$40:$AW$40))))^2)</f>
        <v/>
      </c>
      <c r="AC1016" s="5">
        <f>MEDIAN(-6,Z1016+(C1016-AA1016)/MAX(AA1016-AB1016,0.000000001),6)</f>
        <v/>
      </c>
    </row>
    <row r="1017">
      <c r="A1017" t="n">
        <v>1016</v>
      </c>
      <c r="B1017">
        <f>'01_Data'!A1017</f>
        <v/>
      </c>
      <c r="C1017">
        <f>SUM('01_Data'!$B1017:$AW1017)</f>
        <v/>
      </c>
      <c r="D1017">
        <f>COUNT('01_Data'!$B1017:$AW1017)</f>
        <v/>
      </c>
      <c r="E1017" s="5">
        <f>MEDIAN(-6,LN((C1017+0.3)/(D1017-C1017+0.3)),6)</f>
        <v/>
      </c>
      <c r="F1017" s="5">
        <f>SUMPRODUCT(('01_Data'!$B1017:$AW1017&lt;&gt;"")*(1/(1+EXP(-(E1017-'03_Lap_b'!$B$5:$AW$5)))))</f>
        <v/>
      </c>
      <c r="G1017" s="5">
        <f>SUMPRODUCT(('01_Data'!$B1017:$AW1017&lt;&gt;"")*(1/(1+EXP(-(E1017-'03_Lap_b'!$B$5:$AW$5))))^2)</f>
        <v/>
      </c>
      <c r="H1017" s="5">
        <f>MEDIAN(-6,E1017+(C1017-F1017)/MAX(F1017-G1017,0.000000001),6)</f>
        <v/>
      </c>
      <c r="I1017" s="5">
        <f>SUMPRODUCT(('01_Data'!$B1017:$AW1017&lt;&gt;"")*(1/(1+EXP(-(H1017-'03_Lap_b'!$B$10:$AW$10)))))</f>
        <v/>
      </c>
      <c r="J1017" s="5">
        <f>SUMPRODUCT(('01_Data'!$B1017:$AW1017&lt;&gt;"")*(1/(1+EXP(-(H1017-'03_Lap_b'!$B$10:$AW$10))))^2)</f>
        <v/>
      </c>
      <c r="K1017" s="5">
        <f>MEDIAN(-6,H1017+(C1017-I1017)/MAX(I1017-J1017,0.000000001),6)</f>
        <v/>
      </c>
      <c r="L1017" s="5">
        <f>SUMPRODUCT(('01_Data'!$B1017:$AW1017&lt;&gt;"")*(1/(1+EXP(-(K1017-'03_Lap_b'!$B$15:$AW$15)))))</f>
        <v/>
      </c>
      <c r="M1017" s="5">
        <f>SUMPRODUCT(('01_Data'!$B1017:$AW1017&lt;&gt;"")*(1/(1+EXP(-(K1017-'03_Lap_b'!$B$15:$AW$15))))^2)</f>
        <v/>
      </c>
      <c r="N1017" s="5">
        <f>MEDIAN(-6,K1017+(C1017-L1017)/MAX(L1017-M1017,0.000000001),6)</f>
        <v/>
      </c>
      <c r="O1017" s="5">
        <f>SUMPRODUCT(('01_Data'!$B1017:$AW1017&lt;&gt;"")*(1/(1+EXP(-(N1017-'03_Lap_b'!$B$20:$AW$20)))))</f>
        <v/>
      </c>
      <c r="P1017" s="5">
        <f>SUMPRODUCT(('01_Data'!$B1017:$AW1017&lt;&gt;"")*(1/(1+EXP(-(N1017-'03_Lap_b'!$B$20:$AW$20))))^2)</f>
        <v/>
      </c>
      <c r="Q1017" s="5">
        <f>MEDIAN(-6,N1017+(C1017-O1017)/MAX(O1017-P1017,0.000000001),6)</f>
        <v/>
      </c>
      <c r="R1017" s="5">
        <f>SUMPRODUCT(('01_Data'!$B1017:$AW1017&lt;&gt;"")*(1/(1+EXP(-(Q1017-'03_Lap_b'!$B$25:$AW$25)))))</f>
        <v/>
      </c>
      <c r="S1017" s="5">
        <f>SUMPRODUCT(('01_Data'!$B1017:$AW1017&lt;&gt;"")*(1/(1+EXP(-(Q1017-'03_Lap_b'!$B$25:$AW$25))))^2)</f>
        <v/>
      </c>
      <c r="T1017" s="5">
        <f>MEDIAN(-6,Q1017+(C1017-R1017)/MAX(R1017-S1017,0.000000001),6)</f>
        <v/>
      </c>
      <c r="U1017" s="5">
        <f>SUMPRODUCT(('01_Data'!$B1017:$AW1017&lt;&gt;"")*(1/(1+EXP(-(T1017-'03_Lap_b'!$B$30:$AW$30)))))</f>
        <v/>
      </c>
      <c r="V1017" s="5">
        <f>SUMPRODUCT(('01_Data'!$B1017:$AW1017&lt;&gt;"")*(1/(1+EXP(-(T1017-'03_Lap_b'!$B$30:$AW$30))))^2)</f>
        <v/>
      </c>
      <c r="W1017" s="5">
        <f>MEDIAN(-6,T1017+(C1017-U1017)/MAX(U1017-V1017,0.000000001),6)</f>
        <v/>
      </c>
      <c r="X1017" s="5">
        <f>SUMPRODUCT(('01_Data'!$B1017:$AW1017&lt;&gt;"")*(1/(1+EXP(-(W1017-'03_Lap_b'!$B$35:$AW$35)))))</f>
        <v/>
      </c>
      <c r="Y1017" s="5">
        <f>SUMPRODUCT(('01_Data'!$B1017:$AW1017&lt;&gt;"")*(1/(1+EXP(-(W1017-'03_Lap_b'!$B$35:$AW$35))))^2)</f>
        <v/>
      </c>
      <c r="Z1017" s="5">
        <f>MEDIAN(-6,W1017+(C1017-X1017)/MAX(X1017-Y1017,0.000000001),6)</f>
        <v/>
      </c>
      <c r="AA1017" s="5">
        <f>SUMPRODUCT(('01_Data'!$B1017:$AW1017&lt;&gt;"")*(1/(1+EXP(-(Z1017-'03_Lap_b'!$B$40:$AW$40)))))</f>
        <v/>
      </c>
      <c r="AB1017" s="5">
        <f>SUMPRODUCT(('01_Data'!$B1017:$AW1017&lt;&gt;"")*(1/(1+EXP(-(Z1017-'03_Lap_b'!$B$40:$AW$40))))^2)</f>
        <v/>
      </c>
      <c r="AC1017" s="5">
        <f>MEDIAN(-6,Z1017+(C1017-AA1017)/MAX(AA1017-AB1017,0.000000001),6)</f>
        <v/>
      </c>
    </row>
    <row r="1018">
      <c r="A1018" t="n">
        <v>1017</v>
      </c>
      <c r="B1018">
        <f>'01_Data'!A1018</f>
        <v/>
      </c>
      <c r="C1018">
        <f>SUM('01_Data'!$B1018:$AW1018)</f>
        <v/>
      </c>
      <c r="D1018">
        <f>COUNT('01_Data'!$B1018:$AW1018)</f>
        <v/>
      </c>
      <c r="E1018" s="5">
        <f>MEDIAN(-6,LN((C1018+0.3)/(D1018-C1018+0.3)),6)</f>
        <v/>
      </c>
      <c r="F1018" s="5">
        <f>SUMPRODUCT(('01_Data'!$B1018:$AW1018&lt;&gt;"")*(1/(1+EXP(-(E1018-'03_Lap_b'!$B$5:$AW$5)))))</f>
        <v/>
      </c>
      <c r="G1018" s="5">
        <f>SUMPRODUCT(('01_Data'!$B1018:$AW1018&lt;&gt;"")*(1/(1+EXP(-(E1018-'03_Lap_b'!$B$5:$AW$5))))^2)</f>
        <v/>
      </c>
      <c r="H1018" s="5">
        <f>MEDIAN(-6,E1018+(C1018-F1018)/MAX(F1018-G1018,0.000000001),6)</f>
        <v/>
      </c>
      <c r="I1018" s="5">
        <f>SUMPRODUCT(('01_Data'!$B1018:$AW1018&lt;&gt;"")*(1/(1+EXP(-(H1018-'03_Lap_b'!$B$10:$AW$10)))))</f>
        <v/>
      </c>
      <c r="J1018" s="5">
        <f>SUMPRODUCT(('01_Data'!$B1018:$AW1018&lt;&gt;"")*(1/(1+EXP(-(H1018-'03_Lap_b'!$B$10:$AW$10))))^2)</f>
        <v/>
      </c>
      <c r="K1018" s="5">
        <f>MEDIAN(-6,H1018+(C1018-I1018)/MAX(I1018-J1018,0.000000001),6)</f>
        <v/>
      </c>
      <c r="L1018" s="5">
        <f>SUMPRODUCT(('01_Data'!$B1018:$AW1018&lt;&gt;"")*(1/(1+EXP(-(K1018-'03_Lap_b'!$B$15:$AW$15)))))</f>
        <v/>
      </c>
      <c r="M1018" s="5">
        <f>SUMPRODUCT(('01_Data'!$B1018:$AW1018&lt;&gt;"")*(1/(1+EXP(-(K1018-'03_Lap_b'!$B$15:$AW$15))))^2)</f>
        <v/>
      </c>
      <c r="N1018" s="5">
        <f>MEDIAN(-6,K1018+(C1018-L1018)/MAX(L1018-M1018,0.000000001),6)</f>
        <v/>
      </c>
      <c r="O1018" s="5">
        <f>SUMPRODUCT(('01_Data'!$B1018:$AW1018&lt;&gt;"")*(1/(1+EXP(-(N1018-'03_Lap_b'!$B$20:$AW$20)))))</f>
        <v/>
      </c>
      <c r="P1018" s="5">
        <f>SUMPRODUCT(('01_Data'!$B1018:$AW1018&lt;&gt;"")*(1/(1+EXP(-(N1018-'03_Lap_b'!$B$20:$AW$20))))^2)</f>
        <v/>
      </c>
      <c r="Q1018" s="5">
        <f>MEDIAN(-6,N1018+(C1018-O1018)/MAX(O1018-P1018,0.000000001),6)</f>
        <v/>
      </c>
      <c r="R1018" s="5">
        <f>SUMPRODUCT(('01_Data'!$B1018:$AW1018&lt;&gt;"")*(1/(1+EXP(-(Q1018-'03_Lap_b'!$B$25:$AW$25)))))</f>
        <v/>
      </c>
      <c r="S1018" s="5">
        <f>SUMPRODUCT(('01_Data'!$B1018:$AW1018&lt;&gt;"")*(1/(1+EXP(-(Q1018-'03_Lap_b'!$B$25:$AW$25))))^2)</f>
        <v/>
      </c>
      <c r="T1018" s="5">
        <f>MEDIAN(-6,Q1018+(C1018-R1018)/MAX(R1018-S1018,0.000000001),6)</f>
        <v/>
      </c>
      <c r="U1018" s="5">
        <f>SUMPRODUCT(('01_Data'!$B1018:$AW1018&lt;&gt;"")*(1/(1+EXP(-(T1018-'03_Lap_b'!$B$30:$AW$30)))))</f>
        <v/>
      </c>
      <c r="V1018" s="5">
        <f>SUMPRODUCT(('01_Data'!$B1018:$AW1018&lt;&gt;"")*(1/(1+EXP(-(T1018-'03_Lap_b'!$B$30:$AW$30))))^2)</f>
        <v/>
      </c>
      <c r="W1018" s="5">
        <f>MEDIAN(-6,T1018+(C1018-U1018)/MAX(U1018-V1018,0.000000001),6)</f>
        <v/>
      </c>
      <c r="X1018" s="5">
        <f>SUMPRODUCT(('01_Data'!$B1018:$AW1018&lt;&gt;"")*(1/(1+EXP(-(W1018-'03_Lap_b'!$B$35:$AW$35)))))</f>
        <v/>
      </c>
      <c r="Y1018" s="5">
        <f>SUMPRODUCT(('01_Data'!$B1018:$AW1018&lt;&gt;"")*(1/(1+EXP(-(W1018-'03_Lap_b'!$B$35:$AW$35))))^2)</f>
        <v/>
      </c>
      <c r="Z1018" s="5">
        <f>MEDIAN(-6,W1018+(C1018-X1018)/MAX(X1018-Y1018,0.000000001),6)</f>
        <v/>
      </c>
      <c r="AA1018" s="5">
        <f>SUMPRODUCT(('01_Data'!$B1018:$AW1018&lt;&gt;"")*(1/(1+EXP(-(Z1018-'03_Lap_b'!$B$40:$AW$40)))))</f>
        <v/>
      </c>
      <c r="AB1018" s="5">
        <f>SUMPRODUCT(('01_Data'!$B1018:$AW1018&lt;&gt;"")*(1/(1+EXP(-(Z1018-'03_Lap_b'!$B$40:$AW$40))))^2)</f>
        <v/>
      </c>
      <c r="AC1018" s="5">
        <f>MEDIAN(-6,Z1018+(C1018-AA1018)/MAX(AA1018-AB1018,0.000000001),6)</f>
        <v/>
      </c>
    </row>
    <row r="1019">
      <c r="A1019" t="n">
        <v>1018</v>
      </c>
      <c r="B1019">
        <f>'01_Data'!A1019</f>
        <v/>
      </c>
      <c r="C1019">
        <f>SUM('01_Data'!$B1019:$AW1019)</f>
        <v/>
      </c>
      <c r="D1019">
        <f>COUNT('01_Data'!$B1019:$AW1019)</f>
        <v/>
      </c>
      <c r="E1019" s="5">
        <f>MEDIAN(-6,LN((C1019+0.3)/(D1019-C1019+0.3)),6)</f>
        <v/>
      </c>
      <c r="F1019" s="5">
        <f>SUMPRODUCT(('01_Data'!$B1019:$AW1019&lt;&gt;"")*(1/(1+EXP(-(E1019-'03_Lap_b'!$B$5:$AW$5)))))</f>
        <v/>
      </c>
      <c r="G1019" s="5">
        <f>SUMPRODUCT(('01_Data'!$B1019:$AW1019&lt;&gt;"")*(1/(1+EXP(-(E1019-'03_Lap_b'!$B$5:$AW$5))))^2)</f>
        <v/>
      </c>
      <c r="H1019" s="5">
        <f>MEDIAN(-6,E1019+(C1019-F1019)/MAX(F1019-G1019,0.000000001),6)</f>
        <v/>
      </c>
      <c r="I1019" s="5">
        <f>SUMPRODUCT(('01_Data'!$B1019:$AW1019&lt;&gt;"")*(1/(1+EXP(-(H1019-'03_Lap_b'!$B$10:$AW$10)))))</f>
        <v/>
      </c>
      <c r="J1019" s="5">
        <f>SUMPRODUCT(('01_Data'!$B1019:$AW1019&lt;&gt;"")*(1/(1+EXP(-(H1019-'03_Lap_b'!$B$10:$AW$10))))^2)</f>
        <v/>
      </c>
      <c r="K1019" s="5">
        <f>MEDIAN(-6,H1019+(C1019-I1019)/MAX(I1019-J1019,0.000000001),6)</f>
        <v/>
      </c>
      <c r="L1019" s="5">
        <f>SUMPRODUCT(('01_Data'!$B1019:$AW1019&lt;&gt;"")*(1/(1+EXP(-(K1019-'03_Lap_b'!$B$15:$AW$15)))))</f>
        <v/>
      </c>
      <c r="M1019" s="5">
        <f>SUMPRODUCT(('01_Data'!$B1019:$AW1019&lt;&gt;"")*(1/(1+EXP(-(K1019-'03_Lap_b'!$B$15:$AW$15))))^2)</f>
        <v/>
      </c>
      <c r="N1019" s="5">
        <f>MEDIAN(-6,K1019+(C1019-L1019)/MAX(L1019-M1019,0.000000001),6)</f>
        <v/>
      </c>
      <c r="O1019" s="5">
        <f>SUMPRODUCT(('01_Data'!$B1019:$AW1019&lt;&gt;"")*(1/(1+EXP(-(N1019-'03_Lap_b'!$B$20:$AW$20)))))</f>
        <v/>
      </c>
      <c r="P1019" s="5">
        <f>SUMPRODUCT(('01_Data'!$B1019:$AW1019&lt;&gt;"")*(1/(1+EXP(-(N1019-'03_Lap_b'!$B$20:$AW$20))))^2)</f>
        <v/>
      </c>
      <c r="Q1019" s="5">
        <f>MEDIAN(-6,N1019+(C1019-O1019)/MAX(O1019-P1019,0.000000001),6)</f>
        <v/>
      </c>
      <c r="R1019" s="5">
        <f>SUMPRODUCT(('01_Data'!$B1019:$AW1019&lt;&gt;"")*(1/(1+EXP(-(Q1019-'03_Lap_b'!$B$25:$AW$25)))))</f>
        <v/>
      </c>
      <c r="S1019" s="5">
        <f>SUMPRODUCT(('01_Data'!$B1019:$AW1019&lt;&gt;"")*(1/(1+EXP(-(Q1019-'03_Lap_b'!$B$25:$AW$25))))^2)</f>
        <v/>
      </c>
      <c r="T1019" s="5">
        <f>MEDIAN(-6,Q1019+(C1019-R1019)/MAX(R1019-S1019,0.000000001),6)</f>
        <v/>
      </c>
      <c r="U1019" s="5">
        <f>SUMPRODUCT(('01_Data'!$B1019:$AW1019&lt;&gt;"")*(1/(1+EXP(-(T1019-'03_Lap_b'!$B$30:$AW$30)))))</f>
        <v/>
      </c>
      <c r="V1019" s="5">
        <f>SUMPRODUCT(('01_Data'!$B1019:$AW1019&lt;&gt;"")*(1/(1+EXP(-(T1019-'03_Lap_b'!$B$30:$AW$30))))^2)</f>
        <v/>
      </c>
      <c r="W1019" s="5">
        <f>MEDIAN(-6,T1019+(C1019-U1019)/MAX(U1019-V1019,0.000000001),6)</f>
        <v/>
      </c>
      <c r="X1019" s="5">
        <f>SUMPRODUCT(('01_Data'!$B1019:$AW1019&lt;&gt;"")*(1/(1+EXP(-(W1019-'03_Lap_b'!$B$35:$AW$35)))))</f>
        <v/>
      </c>
      <c r="Y1019" s="5">
        <f>SUMPRODUCT(('01_Data'!$B1019:$AW1019&lt;&gt;"")*(1/(1+EXP(-(W1019-'03_Lap_b'!$B$35:$AW$35))))^2)</f>
        <v/>
      </c>
      <c r="Z1019" s="5">
        <f>MEDIAN(-6,W1019+(C1019-X1019)/MAX(X1019-Y1019,0.000000001),6)</f>
        <v/>
      </c>
      <c r="AA1019" s="5">
        <f>SUMPRODUCT(('01_Data'!$B1019:$AW1019&lt;&gt;"")*(1/(1+EXP(-(Z1019-'03_Lap_b'!$B$40:$AW$40)))))</f>
        <v/>
      </c>
      <c r="AB1019" s="5">
        <f>SUMPRODUCT(('01_Data'!$B1019:$AW1019&lt;&gt;"")*(1/(1+EXP(-(Z1019-'03_Lap_b'!$B$40:$AW$40))))^2)</f>
        <v/>
      </c>
      <c r="AC1019" s="5">
        <f>MEDIAN(-6,Z1019+(C1019-AA1019)/MAX(AA1019-AB1019,0.000000001),6)</f>
        <v/>
      </c>
    </row>
    <row r="1020">
      <c r="A1020" t="n">
        <v>1019</v>
      </c>
      <c r="B1020">
        <f>'01_Data'!A1020</f>
        <v/>
      </c>
      <c r="C1020">
        <f>SUM('01_Data'!$B1020:$AW1020)</f>
        <v/>
      </c>
      <c r="D1020">
        <f>COUNT('01_Data'!$B1020:$AW1020)</f>
        <v/>
      </c>
      <c r="E1020" s="5">
        <f>MEDIAN(-6,LN((C1020+0.3)/(D1020-C1020+0.3)),6)</f>
        <v/>
      </c>
      <c r="F1020" s="5">
        <f>SUMPRODUCT(('01_Data'!$B1020:$AW1020&lt;&gt;"")*(1/(1+EXP(-(E1020-'03_Lap_b'!$B$5:$AW$5)))))</f>
        <v/>
      </c>
      <c r="G1020" s="5">
        <f>SUMPRODUCT(('01_Data'!$B1020:$AW1020&lt;&gt;"")*(1/(1+EXP(-(E1020-'03_Lap_b'!$B$5:$AW$5))))^2)</f>
        <v/>
      </c>
      <c r="H1020" s="5">
        <f>MEDIAN(-6,E1020+(C1020-F1020)/MAX(F1020-G1020,0.000000001),6)</f>
        <v/>
      </c>
      <c r="I1020" s="5">
        <f>SUMPRODUCT(('01_Data'!$B1020:$AW1020&lt;&gt;"")*(1/(1+EXP(-(H1020-'03_Lap_b'!$B$10:$AW$10)))))</f>
        <v/>
      </c>
      <c r="J1020" s="5">
        <f>SUMPRODUCT(('01_Data'!$B1020:$AW1020&lt;&gt;"")*(1/(1+EXP(-(H1020-'03_Lap_b'!$B$10:$AW$10))))^2)</f>
        <v/>
      </c>
      <c r="K1020" s="5">
        <f>MEDIAN(-6,H1020+(C1020-I1020)/MAX(I1020-J1020,0.000000001),6)</f>
        <v/>
      </c>
      <c r="L1020" s="5">
        <f>SUMPRODUCT(('01_Data'!$B1020:$AW1020&lt;&gt;"")*(1/(1+EXP(-(K1020-'03_Lap_b'!$B$15:$AW$15)))))</f>
        <v/>
      </c>
      <c r="M1020" s="5">
        <f>SUMPRODUCT(('01_Data'!$B1020:$AW1020&lt;&gt;"")*(1/(1+EXP(-(K1020-'03_Lap_b'!$B$15:$AW$15))))^2)</f>
        <v/>
      </c>
      <c r="N1020" s="5">
        <f>MEDIAN(-6,K1020+(C1020-L1020)/MAX(L1020-M1020,0.000000001),6)</f>
        <v/>
      </c>
      <c r="O1020" s="5">
        <f>SUMPRODUCT(('01_Data'!$B1020:$AW1020&lt;&gt;"")*(1/(1+EXP(-(N1020-'03_Lap_b'!$B$20:$AW$20)))))</f>
        <v/>
      </c>
      <c r="P1020" s="5">
        <f>SUMPRODUCT(('01_Data'!$B1020:$AW1020&lt;&gt;"")*(1/(1+EXP(-(N1020-'03_Lap_b'!$B$20:$AW$20))))^2)</f>
        <v/>
      </c>
      <c r="Q1020" s="5">
        <f>MEDIAN(-6,N1020+(C1020-O1020)/MAX(O1020-P1020,0.000000001),6)</f>
        <v/>
      </c>
      <c r="R1020" s="5">
        <f>SUMPRODUCT(('01_Data'!$B1020:$AW1020&lt;&gt;"")*(1/(1+EXP(-(Q1020-'03_Lap_b'!$B$25:$AW$25)))))</f>
        <v/>
      </c>
      <c r="S1020" s="5">
        <f>SUMPRODUCT(('01_Data'!$B1020:$AW1020&lt;&gt;"")*(1/(1+EXP(-(Q1020-'03_Lap_b'!$B$25:$AW$25))))^2)</f>
        <v/>
      </c>
      <c r="T1020" s="5">
        <f>MEDIAN(-6,Q1020+(C1020-R1020)/MAX(R1020-S1020,0.000000001),6)</f>
        <v/>
      </c>
      <c r="U1020" s="5">
        <f>SUMPRODUCT(('01_Data'!$B1020:$AW1020&lt;&gt;"")*(1/(1+EXP(-(T1020-'03_Lap_b'!$B$30:$AW$30)))))</f>
        <v/>
      </c>
      <c r="V1020" s="5">
        <f>SUMPRODUCT(('01_Data'!$B1020:$AW1020&lt;&gt;"")*(1/(1+EXP(-(T1020-'03_Lap_b'!$B$30:$AW$30))))^2)</f>
        <v/>
      </c>
      <c r="W1020" s="5">
        <f>MEDIAN(-6,T1020+(C1020-U1020)/MAX(U1020-V1020,0.000000001),6)</f>
        <v/>
      </c>
      <c r="X1020" s="5">
        <f>SUMPRODUCT(('01_Data'!$B1020:$AW1020&lt;&gt;"")*(1/(1+EXP(-(W1020-'03_Lap_b'!$B$35:$AW$35)))))</f>
        <v/>
      </c>
      <c r="Y1020" s="5">
        <f>SUMPRODUCT(('01_Data'!$B1020:$AW1020&lt;&gt;"")*(1/(1+EXP(-(W1020-'03_Lap_b'!$B$35:$AW$35))))^2)</f>
        <v/>
      </c>
      <c r="Z1020" s="5">
        <f>MEDIAN(-6,W1020+(C1020-X1020)/MAX(X1020-Y1020,0.000000001),6)</f>
        <v/>
      </c>
      <c r="AA1020" s="5">
        <f>SUMPRODUCT(('01_Data'!$B1020:$AW1020&lt;&gt;"")*(1/(1+EXP(-(Z1020-'03_Lap_b'!$B$40:$AW$40)))))</f>
        <v/>
      </c>
      <c r="AB1020" s="5">
        <f>SUMPRODUCT(('01_Data'!$B1020:$AW1020&lt;&gt;"")*(1/(1+EXP(-(Z1020-'03_Lap_b'!$B$40:$AW$40))))^2)</f>
        <v/>
      </c>
      <c r="AC1020" s="5">
        <f>MEDIAN(-6,Z1020+(C1020-AA1020)/MAX(AA1020-AB1020,0.000000001),6)</f>
        <v/>
      </c>
    </row>
    <row r="1021">
      <c r="A1021" t="n">
        <v>1020</v>
      </c>
      <c r="B1021">
        <f>'01_Data'!A1021</f>
        <v/>
      </c>
      <c r="C1021">
        <f>SUM('01_Data'!$B1021:$AW1021)</f>
        <v/>
      </c>
      <c r="D1021">
        <f>COUNT('01_Data'!$B1021:$AW1021)</f>
        <v/>
      </c>
      <c r="E1021" s="5">
        <f>MEDIAN(-6,LN((C1021+0.3)/(D1021-C1021+0.3)),6)</f>
        <v/>
      </c>
      <c r="F1021" s="5">
        <f>SUMPRODUCT(('01_Data'!$B1021:$AW1021&lt;&gt;"")*(1/(1+EXP(-(E1021-'03_Lap_b'!$B$5:$AW$5)))))</f>
        <v/>
      </c>
      <c r="G1021" s="5">
        <f>SUMPRODUCT(('01_Data'!$B1021:$AW1021&lt;&gt;"")*(1/(1+EXP(-(E1021-'03_Lap_b'!$B$5:$AW$5))))^2)</f>
        <v/>
      </c>
      <c r="H1021" s="5">
        <f>MEDIAN(-6,E1021+(C1021-F1021)/MAX(F1021-G1021,0.000000001),6)</f>
        <v/>
      </c>
      <c r="I1021" s="5">
        <f>SUMPRODUCT(('01_Data'!$B1021:$AW1021&lt;&gt;"")*(1/(1+EXP(-(H1021-'03_Lap_b'!$B$10:$AW$10)))))</f>
        <v/>
      </c>
      <c r="J1021" s="5">
        <f>SUMPRODUCT(('01_Data'!$B1021:$AW1021&lt;&gt;"")*(1/(1+EXP(-(H1021-'03_Lap_b'!$B$10:$AW$10))))^2)</f>
        <v/>
      </c>
      <c r="K1021" s="5">
        <f>MEDIAN(-6,H1021+(C1021-I1021)/MAX(I1021-J1021,0.000000001),6)</f>
        <v/>
      </c>
      <c r="L1021" s="5">
        <f>SUMPRODUCT(('01_Data'!$B1021:$AW1021&lt;&gt;"")*(1/(1+EXP(-(K1021-'03_Lap_b'!$B$15:$AW$15)))))</f>
        <v/>
      </c>
      <c r="M1021" s="5">
        <f>SUMPRODUCT(('01_Data'!$B1021:$AW1021&lt;&gt;"")*(1/(1+EXP(-(K1021-'03_Lap_b'!$B$15:$AW$15))))^2)</f>
        <v/>
      </c>
      <c r="N1021" s="5">
        <f>MEDIAN(-6,K1021+(C1021-L1021)/MAX(L1021-M1021,0.000000001),6)</f>
        <v/>
      </c>
      <c r="O1021" s="5">
        <f>SUMPRODUCT(('01_Data'!$B1021:$AW1021&lt;&gt;"")*(1/(1+EXP(-(N1021-'03_Lap_b'!$B$20:$AW$20)))))</f>
        <v/>
      </c>
      <c r="P1021" s="5">
        <f>SUMPRODUCT(('01_Data'!$B1021:$AW1021&lt;&gt;"")*(1/(1+EXP(-(N1021-'03_Lap_b'!$B$20:$AW$20))))^2)</f>
        <v/>
      </c>
      <c r="Q1021" s="5">
        <f>MEDIAN(-6,N1021+(C1021-O1021)/MAX(O1021-P1021,0.000000001),6)</f>
        <v/>
      </c>
      <c r="R1021" s="5">
        <f>SUMPRODUCT(('01_Data'!$B1021:$AW1021&lt;&gt;"")*(1/(1+EXP(-(Q1021-'03_Lap_b'!$B$25:$AW$25)))))</f>
        <v/>
      </c>
      <c r="S1021" s="5">
        <f>SUMPRODUCT(('01_Data'!$B1021:$AW1021&lt;&gt;"")*(1/(1+EXP(-(Q1021-'03_Lap_b'!$B$25:$AW$25))))^2)</f>
        <v/>
      </c>
      <c r="T1021" s="5">
        <f>MEDIAN(-6,Q1021+(C1021-R1021)/MAX(R1021-S1021,0.000000001),6)</f>
        <v/>
      </c>
      <c r="U1021" s="5">
        <f>SUMPRODUCT(('01_Data'!$B1021:$AW1021&lt;&gt;"")*(1/(1+EXP(-(T1021-'03_Lap_b'!$B$30:$AW$30)))))</f>
        <v/>
      </c>
      <c r="V1021" s="5">
        <f>SUMPRODUCT(('01_Data'!$B1021:$AW1021&lt;&gt;"")*(1/(1+EXP(-(T1021-'03_Lap_b'!$B$30:$AW$30))))^2)</f>
        <v/>
      </c>
      <c r="W1021" s="5">
        <f>MEDIAN(-6,T1021+(C1021-U1021)/MAX(U1021-V1021,0.000000001),6)</f>
        <v/>
      </c>
      <c r="X1021" s="5">
        <f>SUMPRODUCT(('01_Data'!$B1021:$AW1021&lt;&gt;"")*(1/(1+EXP(-(W1021-'03_Lap_b'!$B$35:$AW$35)))))</f>
        <v/>
      </c>
      <c r="Y1021" s="5">
        <f>SUMPRODUCT(('01_Data'!$B1021:$AW1021&lt;&gt;"")*(1/(1+EXP(-(W1021-'03_Lap_b'!$B$35:$AW$35))))^2)</f>
        <v/>
      </c>
      <c r="Z1021" s="5">
        <f>MEDIAN(-6,W1021+(C1021-X1021)/MAX(X1021-Y1021,0.000000001),6)</f>
        <v/>
      </c>
      <c r="AA1021" s="5">
        <f>SUMPRODUCT(('01_Data'!$B1021:$AW1021&lt;&gt;"")*(1/(1+EXP(-(Z1021-'03_Lap_b'!$B$40:$AW$40)))))</f>
        <v/>
      </c>
      <c r="AB1021" s="5">
        <f>SUMPRODUCT(('01_Data'!$B1021:$AW1021&lt;&gt;"")*(1/(1+EXP(-(Z1021-'03_Lap_b'!$B$40:$AW$40))))^2)</f>
        <v/>
      </c>
      <c r="AC1021" s="5">
        <f>MEDIAN(-6,Z1021+(C1021-AA1021)/MAX(AA1021-AB1021,0.000000001),6)</f>
        <v/>
      </c>
    </row>
    <row r="1022">
      <c r="A1022" t="n">
        <v>1021</v>
      </c>
      <c r="B1022">
        <f>'01_Data'!A1022</f>
        <v/>
      </c>
      <c r="C1022">
        <f>SUM('01_Data'!$B1022:$AW1022)</f>
        <v/>
      </c>
      <c r="D1022">
        <f>COUNT('01_Data'!$B1022:$AW1022)</f>
        <v/>
      </c>
      <c r="E1022" s="5">
        <f>MEDIAN(-6,LN((C1022+0.3)/(D1022-C1022+0.3)),6)</f>
        <v/>
      </c>
      <c r="F1022" s="5">
        <f>SUMPRODUCT(('01_Data'!$B1022:$AW1022&lt;&gt;"")*(1/(1+EXP(-(E1022-'03_Lap_b'!$B$5:$AW$5)))))</f>
        <v/>
      </c>
      <c r="G1022" s="5">
        <f>SUMPRODUCT(('01_Data'!$B1022:$AW1022&lt;&gt;"")*(1/(1+EXP(-(E1022-'03_Lap_b'!$B$5:$AW$5))))^2)</f>
        <v/>
      </c>
      <c r="H1022" s="5">
        <f>MEDIAN(-6,E1022+(C1022-F1022)/MAX(F1022-G1022,0.000000001),6)</f>
        <v/>
      </c>
      <c r="I1022" s="5">
        <f>SUMPRODUCT(('01_Data'!$B1022:$AW1022&lt;&gt;"")*(1/(1+EXP(-(H1022-'03_Lap_b'!$B$10:$AW$10)))))</f>
        <v/>
      </c>
      <c r="J1022" s="5">
        <f>SUMPRODUCT(('01_Data'!$B1022:$AW1022&lt;&gt;"")*(1/(1+EXP(-(H1022-'03_Lap_b'!$B$10:$AW$10))))^2)</f>
        <v/>
      </c>
      <c r="K1022" s="5">
        <f>MEDIAN(-6,H1022+(C1022-I1022)/MAX(I1022-J1022,0.000000001),6)</f>
        <v/>
      </c>
      <c r="L1022" s="5">
        <f>SUMPRODUCT(('01_Data'!$B1022:$AW1022&lt;&gt;"")*(1/(1+EXP(-(K1022-'03_Lap_b'!$B$15:$AW$15)))))</f>
        <v/>
      </c>
      <c r="M1022" s="5">
        <f>SUMPRODUCT(('01_Data'!$B1022:$AW1022&lt;&gt;"")*(1/(1+EXP(-(K1022-'03_Lap_b'!$B$15:$AW$15))))^2)</f>
        <v/>
      </c>
      <c r="N1022" s="5">
        <f>MEDIAN(-6,K1022+(C1022-L1022)/MAX(L1022-M1022,0.000000001),6)</f>
        <v/>
      </c>
      <c r="O1022" s="5">
        <f>SUMPRODUCT(('01_Data'!$B1022:$AW1022&lt;&gt;"")*(1/(1+EXP(-(N1022-'03_Lap_b'!$B$20:$AW$20)))))</f>
        <v/>
      </c>
      <c r="P1022" s="5">
        <f>SUMPRODUCT(('01_Data'!$B1022:$AW1022&lt;&gt;"")*(1/(1+EXP(-(N1022-'03_Lap_b'!$B$20:$AW$20))))^2)</f>
        <v/>
      </c>
      <c r="Q1022" s="5">
        <f>MEDIAN(-6,N1022+(C1022-O1022)/MAX(O1022-P1022,0.000000001),6)</f>
        <v/>
      </c>
      <c r="R1022" s="5">
        <f>SUMPRODUCT(('01_Data'!$B1022:$AW1022&lt;&gt;"")*(1/(1+EXP(-(Q1022-'03_Lap_b'!$B$25:$AW$25)))))</f>
        <v/>
      </c>
      <c r="S1022" s="5">
        <f>SUMPRODUCT(('01_Data'!$B1022:$AW1022&lt;&gt;"")*(1/(1+EXP(-(Q1022-'03_Lap_b'!$B$25:$AW$25))))^2)</f>
        <v/>
      </c>
      <c r="T1022" s="5">
        <f>MEDIAN(-6,Q1022+(C1022-R1022)/MAX(R1022-S1022,0.000000001),6)</f>
        <v/>
      </c>
      <c r="U1022" s="5">
        <f>SUMPRODUCT(('01_Data'!$B1022:$AW1022&lt;&gt;"")*(1/(1+EXP(-(T1022-'03_Lap_b'!$B$30:$AW$30)))))</f>
        <v/>
      </c>
      <c r="V1022" s="5">
        <f>SUMPRODUCT(('01_Data'!$B1022:$AW1022&lt;&gt;"")*(1/(1+EXP(-(T1022-'03_Lap_b'!$B$30:$AW$30))))^2)</f>
        <v/>
      </c>
      <c r="W1022" s="5">
        <f>MEDIAN(-6,T1022+(C1022-U1022)/MAX(U1022-V1022,0.000000001),6)</f>
        <v/>
      </c>
      <c r="X1022" s="5">
        <f>SUMPRODUCT(('01_Data'!$B1022:$AW1022&lt;&gt;"")*(1/(1+EXP(-(W1022-'03_Lap_b'!$B$35:$AW$35)))))</f>
        <v/>
      </c>
      <c r="Y1022" s="5">
        <f>SUMPRODUCT(('01_Data'!$B1022:$AW1022&lt;&gt;"")*(1/(1+EXP(-(W1022-'03_Lap_b'!$B$35:$AW$35))))^2)</f>
        <v/>
      </c>
      <c r="Z1022" s="5">
        <f>MEDIAN(-6,W1022+(C1022-X1022)/MAX(X1022-Y1022,0.000000001),6)</f>
        <v/>
      </c>
      <c r="AA1022" s="5">
        <f>SUMPRODUCT(('01_Data'!$B1022:$AW1022&lt;&gt;"")*(1/(1+EXP(-(Z1022-'03_Lap_b'!$B$40:$AW$40)))))</f>
        <v/>
      </c>
      <c r="AB1022" s="5">
        <f>SUMPRODUCT(('01_Data'!$B1022:$AW1022&lt;&gt;"")*(1/(1+EXP(-(Z1022-'03_Lap_b'!$B$40:$AW$40))))^2)</f>
        <v/>
      </c>
      <c r="AC1022" s="5">
        <f>MEDIAN(-6,Z1022+(C1022-AA1022)/MAX(AA1022-AB1022,0.000000001),6)</f>
        <v/>
      </c>
    </row>
    <row r="1023">
      <c r="A1023" t="n">
        <v>1022</v>
      </c>
      <c r="B1023">
        <f>'01_Data'!A1023</f>
        <v/>
      </c>
      <c r="C1023">
        <f>SUM('01_Data'!$B1023:$AW1023)</f>
        <v/>
      </c>
      <c r="D1023">
        <f>COUNT('01_Data'!$B1023:$AW1023)</f>
        <v/>
      </c>
      <c r="E1023" s="5">
        <f>MEDIAN(-6,LN((C1023+0.3)/(D1023-C1023+0.3)),6)</f>
        <v/>
      </c>
      <c r="F1023" s="5">
        <f>SUMPRODUCT(('01_Data'!$B1023:$AW1023&lt;&gt;"")*(1/(1+EXP(-(E1023-'03_Lap_b'!$B$5:$AW$5)))))</f>
        <v/>
      </c>
      <c r="G1023" s="5">
        <f>SUMPRODUCT(('01_Data'!$B1023:$AW1023&lt;&gt;"")*(1/(1+EXP(-(E1023-'03_Lap_b'!$B$5:$AW$5))))^2)</f>
        <v/>
      </c>
      <c r="H1023" s="5">
        <f>MEDIAN(-6,E1023+(C1023-F1023)/MAX(F1023-G1023,0.000000001),6)</f>
        <v/>
      </c>
      <c r="I1023" s="5">
        <f>SUMPRODUCT(('01_Data'!$B1023:$AW1023&lt;&gt;"")*(1/(1+EXP(-(H1023-'03_Lap_b'!$B$10:$AW$10)))))</f>
        <v/>
      </c>
      <c r="J1023" s="5">
        <f>SUMPRODUCT(('01_Data'!$B1023:$AW1023&lt;&gt;"")*(1/(1+EXP(-(H1023-'03_Lap_b'!$B$10:$AW$10))))^2)</f>
        <v/>
      </c>
      <c r="K1023" s="5">
        <f>MEDIAN(-6,H1023+(C1023-I1023)/MAX(I1023-J1023,0.000000001),6)</f>
        <v/>
      </c>
      <c r="L1023" s="5">
        <f>SUMPRODUCT(('01_Data'!$B1023:$AW1023&lt;&gt;"")*(1/(1+EXP(-(K1023-'03_Lap_b'!$B$15:$AW$15)))))</f>
        <v/>
      </c>
      <c r="M1023" s="5">
        <f>SUMPRODUCT(('01_Data'!$B1023:$AW1023&lt;&gt;"")*(1/(1+EXP(-(K1023-'03_Lap_b'!$B$15:$AW$15))))^2)</f>
        <v/>
      </c>
      <c r="N1023" s="5">
        <f>MEDIAN(-6,K1023+(C1023-L1023)/MAX(L1023-M1023,0.000000001),6)</f>
        <v/>
      </c>
      <c r="O1023" s="5">
        <f>SUMPRODUCT(('01_Data'!$B1023:$AW1023&lt;&gt;"")*(1/(1+EXP(-(N1023-'03_Lap_b'!$B$20:$AW$20)))))</f>
        <v/>
      </c>
      <c r="P1023" s="5">
        <f>SUMPRODUCT(('01_Data'!$B1023:$AW1023&lt;&gt;"")*(1/(1+EXP(-(N1023-'03_Lap_b'!$B$20:$AW$20))))^2)</f>
        <v/>
      </c>
      <c r="Q1023" s="5">
        <f>MEDIAN(-6,N1023+(C1023-O1023)/MAX(O1023-P1023,0.000000001),6)</f>
        <v/>
      </c>
      <c r="R1023" s="5">
        <f>SUMPRODUCT(('01_Data'!$B1023:$AW1023&lt;&gt;"")*(1/(1+EXP(-(Q1023-'03_Lap_b'!$B$25:$AW$25)))))</f>
        <v/>
      </c>
      <c r="S1023" s="5">
        <f>SUMPRODUCT(('01_Data'!$B1023:$AW1023&lt;&gt;"")*(1/(1+EXP(-(Q1023-'03_Lap_b'!$B$25:$AW$25))))^2)</f>
        <v/>
      </c>
      <c r="T1023" s="5">
        <f>MEDIAN(-6,Q1023+(C1023-R1023)/MAX(R1023-S1023,0.000000001),6)</f>
        <v/>
      </c>
      <c r="U1023" s="5">
        <f>SUMPRODUCT(('01_Data'!$B1023:$AW1023&lt;&gt;"")*(1/(1+EXP(-(T1023-'03_Lap_b'!$B$30:$AW$30)))))</f>
        <v/>
      </c>
      <c r="V1023" s="5">
        <f>SUMPRODUCT(('01_Data'!$B1023:$AW1023&lt;&gt;"")*(1/(1+EXP(-(T1023-'03_Lap_b'!$B$30:$AW$30))))^2)</f>
        <v/>
      </c>
      <c r="W1023" s="5">
        <f>MEDIAN(-6,T1023+(C1023-U1023)/MAX(U1023-V1023,0.000000001),6)</f>
        <v/>
      </c>
      <c r="X1023" s="5">
        <f>SUMPRODUCT(('01_Data'!$B1023:$AW1023&lt;&gt;"")*(1/(1+EXP(-(W1023-'03_Lap_b'!$B$35:$AW$35)))))</f>
        <v/>
      </c>
      <c r="Y1023" s="5">
        <f>SUMPRODUCT(('01_Data'!$B1023:$AW1023&lt;&gt;"")*(1/(1+EXP(-(W1023-'03_Lap_b'!$B$35:$AW$35))))^2)</f>
        <v/>
      </c>
      <c r="Z1023" s="5">
        <f>MEDIAN(-6,W1023+(C1023-X1023)/MAX(X1023-Y1023,0.000000001),6)</f>
        <v/>
      </c>
      <c r="AA1023" s="5">
        <f>SUMPRODUCT(('01_Data'!$B1023:$AW1023&lt;&gt;"")*(1/(1+EXP(-(Z1023-'03_Lap_b'!$B$40:$AW$40)))))</f>
        <v/>
      </c>
      <c r="AB1023" s="5">
        <f>SUMPRODUCT(('01_Data'!$B1023:$AW1023&lt;&gt;"")*(1/(1+EXP(-(Z1023-'03_Lap_b'!$B$40:$AW$40))))^2)</f>
        <v/>
      </c>
      <c r="AC1023" s="5">
        <f>MEDIAN(-6,Z1023+(C1023-AA1023)/MAX(AA1023-AB1023,0.000000001),6)</f>
        <v/>
      </c>
    </row>
    <row r="1024">
      <c r="A1024" t="n">
        <v>1023</v>
      </c>
      <c r="B1024">
        <f>'01_Data'!A1024</f>
        <v/>
      </c>
      <c r="C1024">
        <f>SUM('01_Data'!$B1024:$AW1024)</f>
        <v/>
      </c>
      <c r="D1024">
        <f>COUNT('01_Data'!$B1024:$AW1024)</f>
        <v/>
      </c>
      <c r="E1024" s="5">
        <f>MEDIAN(-6,LN((C1024+0.3)/(D1024-C1024+0.3)),6)</f>
        <v/>
      </c>
      <c r="F1024" s="5">
        <f>SUMPRODUCT(('01_Data'!$B1024:$AW1024&lt;&gt;"")*(1/(1+EXP(-(E1024-'03_Lap_b'!$B$5:$AW$5)))))</f>
        <v/>
      </c>
      <c r="G1024" s="5">
        <f>SUMPRODUCT(('01_Data'!$B1024:$AW1024&lt;&gt;"")*(1/(1+EXP(-(E1024-'03_Lap_b'!$B$5:$AW$5))))^2)</f>
        <v/>
      </c>
      <c r="H1024" s="5">
        <f>MEDIAN(-6,E1024+(C1024-F1024)/MAX(F1024-G1024,0.000000001),6)</f>
        <v/>
      </c>
      <c r="I1024" s="5">
        <f>SUMPRODUCT(('01_Data'!$B1024:$AW1024&lt;&gt;"")*(1/(1+EXP(-(H1024-'03_Lap_b'!$B$10:$AW$10)))))</f>
        <v/>
      </c>
      <c r="J1024" s="5">
        <f>SUMPRODUCT(('01_Data'!$B1024:$AW1024&lt;&gt;"")*(1/(1+EXP(-(H1024-'03_Lap_b'!$B$10:$AW$10))))^2)</f>
        <v/>
      </c>
      <c r="K1024" s="5">
        <f>MEDIAN(-6,H1024+(C1024-I1024)/MAX(I1024-J1024,0.000000001),6)</f>
        <v/>
      </c>
      <c r="L1024" s="5">
        <f>SUMPRODUCT(('01_Data'!$B1024:$AW1024&lt;&gt;"")*(1/(1+EXP(-(K1024-'03_Lap_b'!$B$15:$AW$15)))))</f>
        <v/>
      </c>
      <c r="M1024" s="5">
        <f>SUMPRODUCT(('01_Data'!$B1024:$AW1024&lt;&gt;"")*(1/(1+EXP(-(K1024-'03_Lap_b'!$B$15:$AW$15))))^2)</f>
        <v/>
      </c>
      <c r="N1024" s="5">
        <f>MEDIAN(-6,K1024+(C1024-L1024)/MAX(L1024-M1024,0.000000001),6)</f>
        <v/>
      </c>
      <c r="O1024" s="5">
        <f>SUMPRODUCT(('01_Data'!$B1024:$AW1024&lt;&gt;"")*(1/(1+EXP(-(N1024-'03_Lap_b'!$B$20:$AW$20)))))</f>
        <v/>
      </c>
      <c r="P1024" s="5">
        <f>SUMPRODUCT(('01_Data'!$B1024:$AW1024&lt;&gt;"")*(1/(1+EXP(-(N1024-'03_Lap_b'!$B$20:$AW$20))))^2)</f>
        <v/>
      </c>
      <c r="Q1024" s="5">
        <f>MEDIAN(-6,N1024+(C1024-O1024)/MAX(O1024-P1024,0.000000001),6)</f>
        <v/>
      </c>
      <c r="R1024" s="5">
        <f>SUMPRODUCT(('01_Data'!$B1024:$AW1024&lt;&gt;"")*(1/(1+EXP(-(Q1024-'03_Lap_b'!$B$25:$AW$25)))))</f>
        <v/>
      </c>
      <c r="S1024" s="5">
        <f>SUMPRODUCT(('01_Data'!$B1024:$AW1024&lt;&gt;"")*(1/(1+EXP(-(Q1024-'03_Lap_b'!$B$25:$AW$25))))^2)</f>
        <v/>
      </c>
      <c r="T1024" s="5">
        <f>MEDIAN(-6,Q1024+(C1024-R1024)/MAX(R1024-S1024,0.000000001),6)</f>
        <v/>
      </c>
      <c r="U1024" s="5">
        <f>SUMPRODUCT(('01_Data'!$B1024:$AW1024&lt;&gt;"")*(1/(1+EXP(-(T1024-'03_Lap_b'!$B$30:$AW$30)))))</f>
        <v/>
      </c>
      <c r="V1024" s="5">
        <f>SUMPRODUCT(('01_Data'!$B1024:$AW1024&lt;&gt;"")*(1/(1+EXP(-(T1024-'03_Lap_b'!$B$30:$AW$30))))^2)</f>
        <v/>
      </c>
      <c r="W1024" s="5">
        <f>MEDIAN(-6,T1024+(C1024-U1024)/MAX(U1024-V1024,0.000000001),6)</f>
        <v/>
      </c>
      <c r="X1024" s="5">
        <f>SUMPRODUCT(('01_Data'!$B1024:$AW1024&lt;&gt;"")*(1/(1+EXP(-(W1024-'03_Lap_b'!$B$35:$AW$35)))))</f>
        <v/>
      </c>
      <c r="Y1024" s="5">
        <f>SUMPRODUCT(('01_Data'!$B1024:$AW1024&lt;&gt;"")*(1/(1+EXP(-(W1024-'03_Lap_b'!$B$35:$AW$35))))^2)</f>
        <v/>
      </c>
      <c r="Z1024" s="5">
        <f>MEDIAN(-6,W1024+(C1024-X1024)/MAX(X1024-Y1024,0.000000001),6)</f>
        <v/>
      </c>
      <c r="AA1024" s="5">
        <f>SUMPRODUCT(('01_Data'!$B1024:$AW1024&lt;&gt;"")*(1/(1+EXP(-(Z1024-'03_Lap_b'!$B$40:$AW$40)))))</f>
        <v/>
      </c>
      <c r="AB1024" s="5">
        <f>SUMPRODUCT(('01_Data'!$B1024:$AW1024&lt;&gt;"")*(1/(1+EXP(-(Z1024-'03_Lap_b'!$B$40:$AW$40))))^2)</f>
        <v/>
      </c>
      <c r="AC1024" s="5">
        <f>MEDIAN(-6,Z1024+(C1024-AA1024)/MAX(AA1024-AB1024,0.000000001),6)</f>
        <v/>
      </c>
    </row>
    <row r="1025">
      <c r="A1025" t="n">
        <v>1024</v>
      </c>
      <c r="B1025">
        <f>'01_Data'!A1025</f>
        <v/>
      </c>
      <c r="C1025">
        <f>SUM('01_Data'!$B1025:$AW1025)</f>
        <v/>
      </c>
      <c r="D1025">
        <f>COUNT('01_Data'!$B1025:$AW1025)</f>
        <v/>
      </c>
      <c r="E1025" s="5">
        <f>MEDIAN(-6,LN((C1025+0.3)/(D1025-C1025+0.3)),6)</f>
        <v/>
      </c>
      <c r="F1025" s="5">
        <f>SUMPRODUCT(('01_Data'!$B1025:$AW1025&lt;&gt;"")*(1/(1+EXP(-(E1025-'03_Lap_b'!$B$5:$AW$5)))))</f>
        <v/>
      </c>
      <c r="G1025" s="5">
        <f>SUMPRODUCT(('01_Data'!$B1025:$AW1025&lt;&gt;"")*(1/(1+EXP(-(E1025-'03_Lap_b'!$B$5:$AW$5))))^2)</f>
        <v/>
      </c>
      <c r="H1025" s="5">
        <f>MEDIAN(-6,E1025+(C1025-F1025)/MAX(F1025-G1025,0.000000001),6)</f>
        <v/>
      </c>
      <c r="I1025" s="5">
        <f>SUMPRODUCT(('01_Data'!$B1025:$AW1025&lt;&gt;"")*(1/(1+EXP(-(H1025-'03_Lap_b'!$B$10:$AW$10)))))</f>
        <v/>
      </c>
      <c r="J1025" s="5">
        <f>SUMPRODUCT(('01_Data'!$B1025:$AW1025&lt;&gt;"")*(1/(1+EXP(-(H1025-'03_Lap_b'!$B$10:$AW$10))))^2)</f>
        <v/>
      </c>
      <c r="K1025" s="5">
        <f>MEDIAN(-6,H1025+(C1025-I1025)/MAX(I1025-J1025,0.000000001),6)</f>
        <v/>
      </c>
      <c r="L1025" s="5">
        <f>SUMPRODUCT(('01_Data'!$B1025:$AW1025&lt;&gt;"")*(1/(1+EXP(-(K1025-'03_Lap_b'!$B$15:$AW$15)))))</f>
        <v/>
      </c>
      <c r="M1025" s="5">
        <f>SUMPRODUCT(('01_Data'!$B1025:$AW1025&lt;&gt;"")*(1/(1+EXP(-(K1025-'03_Lap_b'!$B$15:$AW$15))))^2)</f>
        <v/>
      </c>
      <c r="N1025" s="5">
        <f>MEDIAN(-6,K1025+(C1025-L1025)/MAX(L1025-M1025,0.000000001),6)</f>
        <v/>
      </c>
      <c r="O1025" s="5">
        <f>SUMPRODUCT(('01_Data'!$B1025:$AW1025&lt;&gt;"")*(1/(1+EXP(-(N1025-'03_Lap_b'!$B$20:$AW$20)))))</f>
        <v/>
      </c>
      <c r="P1025" s="5">
        <f>SUMPRODUCT(('01_Data'!$B1025:$AW1025&lt;&gt;"")*(1/(1+EXP(-(N1025-'03_Lap_b'!$B$20:$AW$20))))^2)</f>
        <v/>
      </c>
      <c r="Q1025" s="5">
        <f>MEDIAN(-6,N1025+(C1025-O1025)/MAX(O1025-P1025,0.000000001),6)</f>
        <v/>
      </c>
      <c r="R1025" s="5">
        <f>SUMPRODUCT(('01_Data'!$B1025:$AW1025&lt;&gt;"")*(1/(1+EXP(-(Q1025-'03_Lap_b'!$B$25:$AW$25)))))</f>
        <v/>
      </c>
      <c r="S1025" s="5">
        <f>SUMPRODUCT(('01_Data'!$B1025:$AW1025&lt;&gt;"")*(1/(1+EXP(-(Q1025-'03_Lap_b'!$B$25:$AW$25))))^2)</f>
        <v/>
      </c>
      <c r="T1025" s="5">
        <f>MEDIAN(-6,Q1025+(C1025-R1025)/MAX(R1025-S1025,0.000000001),6)</f>
        <v/>
      </c>
      <c r="U1025" s="5">
        <f>SUMPRODUCT(('01_Data'!$B1025:$AW1025&lt;&gt;"")*(1/(1+EXP(-(T1025-'03_Lap_b'!$B$30:$AW$30)))))</f>
        <v/>
      </c>
      <c r="V1025" s="5">
        <f>SUMPRODUCT(('01_Data'!$B1025:$AW1025&lt;&gt;"")*(1/(1+EXP(-(T1025-'03_Lap_b'!$B$30:$AW$30))))^2)</f>
        <v/>
      </c>
      <c r="W1025" s="5">
        <f>MEDIAN(-6,T1025+(C1025-U1025)/MAX(U1025-V1025,0.000000001),6)</f>
        <v/>
      </c>
      <c r="X1025" s="5">
        <f>SUMPRODUCT(('01_Data'!$B1025:$AW1025&lt;&gt;"")*(1/(1+EXP(-(W1025-'03_Lap_b'!$B$35:$AW$35)))))</f>
        <v/>
      </c>
      <c r="Y1025" s="5">
        <f>SUMPRODUCT(('01_Data'!$B1025:$AW1025&lt;&gt;"")*(1/(1+EXP(-(W1025-'03_Lap_b'!$B$35:$AW$35))))^2)</f>
        <v/>
      </c>
      <c r="Z1025" s="5">
        <f>MEDIAN(-6,W1025+(C1025-X1025)/MAX(X1025-Y1025,0.000000001),6)</f>
        <v/>
      </c>
      <c r="AA1025" s="5">
        <f>SUMPRODUCT(('01_Data'!$B1025:$AW1025&lt;&gt;"")*(1/(1+EXP(-(Z1025-'03_Lap_b'!$B$40:$AW$40)))))</f>
        <v/>
      </c>
      <c r="AB1025" s="5">
        <f>SUMPRODUCT(('01_Data'!$B1025:$AW1025&lt;&gt;"")*(1/(1+EXP(-(Z1025-'03_Lap_b'!$B$40:$AW$40))))^2)</f>
        <v/>
      </c>
      <c r="AC1025" s="5">
        <f>MEDIAN(-6,Z1025+(C1025-AA1025)/MAX(AA1025-AB1025,0.000000001),6)</f>
        <v/>
      </c>
    </row>
    <row r="1026">
      <c r="A1026" t="n">
        <v>1025</v>
      </c>
      <c r="B1026">
        <f>'01_Data'!A1026</f>
        <v/>
      </c>
      <c r="C1026">
        <f>SUM('01_Data'!$B1026:$AW1026)</f>
        <v/>
      </c>
      <c r="D1026">
        <f>COUNT('01_Data'!$B1026:$AW1026)</f>
        <v/>
      </c>
      <c r="E1026" s="5">
        <f>MEDIAN(-6,LN((C1026+0.3)/(D1026-C1026+0.3)),6)</f>
        <v/>
      </c>
      <c r="F1026" s="5">
        <f>SUMPRODUCT(('01_Data'!$B1026:$AW1026&lt;&gt;"")*(1/(1+EXP(-(E1026-'03_Lap_b'!$B$5:$AW$5)))))</f>
        <v/>
      </c>
      <c r="G1026" s="5">
        <f>SUMPRODUCT(('01_Data'!$B1026:$AW1026&lt;&gt;"")*(1/(1+EXP(-(E1026-'03_Lap_b'!$B$5:$AW$5))))^2)</f>
        <v/>
      </c>
      <c r="H1026" s="5">
        <f>MEDIAN(-6,E1026+(C1026-F1026)/MAX(F1026-G1026,0.000000001),6)</f>
        <v/>
      </c>
      <c r="I1026" s="5">
        <f>SUMPRODUCT(('01_Data'!$B1026:$AW1026&lt;&gt;"")*(1/(1+EXP(-(H1026-'03_Lap_b'!$B$10:$AW$10)))))</f>
        <v/>
      </c>
      <c r="J1026" s="5">
        <f>SUMPRODUCT(('01_Data'!$B1026:$AW1026&lt;&gt;"")*(1/(1+EXP(-(H1026-'03_Lap_b'!$B$10:$AW$10))))^2)</f>
        <v/>
      </c>
      <c r="K1026" s="5">
        <f>MEDIAN(-6,H1026+(C1026-I1026)/MAX(I1026-J1026,0.000000001),6)</f>
        <v/>
      </c>
      <c r="L1026" s="5">
        <f>SUMPRODUCT(('01_Data'!$B1026:$AW1026&lt;&gt;"")*(1/(1+EXP(-(K1026-'03_Lap_b'!$B$15:$AW$15)))))</f>
        <v/>
      </c>
      <c r="M1026" s="5">
        <f>SUMPRODUCT(('01_Data'!$B1026:$AW1026&lt;&gt;"")*(1/(1+EXP(-(K1026-'03_Lap_b'!$B$15:$AW$15))))^2)</f>
        <v/>
      </c>
      <c r="N1026" s="5">
        <f>MEDIAN(-6,K1026+(C1026-L1026)/MAX(L1026-M1026,0.000000001),6)</f>
        <v/>
      </c>
      <c r="O1026" s="5">
        <f>SUMPRODUCT(('01_Data'!$B1026:$AW1026&lt;&gt;"")*(1/(1+EXP(-(N1026-'03_Lap_b'!$B$20:$AW$20)))))</f>
        <v/>
      </c>
      <c r="P1026" s="5">
        <f>SUMPRODUCT(('01_Data'!$B1026:$AW1026&lt;&gt;"")*(1/(1+EXP(-(N1026-'03_Lap_b'!$B$20:$AW$20))))^2)</f>
        <v/>
      </c>
      <c r="Q1026" s="5">
        <f>MEDIAN(-6,N1026+(C1026-O1026)/MAX(O1026-P1026,0.000000001),6)</f>
        <v/>
      </c>
      <c r="R1026" s="5">
        <f>SUMPRODUCT(('01_Data'!$B1026:$AW1026&lt;&gt;"")*(1/(1+EXP(-(Q1026-'03_Lap_b'!$B$25:$AW$25)))))</f>
        <v/>
      </c>
      <c r="S1026" s="5">
        <f>SUMPRODUCT(('01_Data'!$B1026:$AW1026&lt;&gt;"")*(1/(1+EXP(-(Q1026-'03_Lap_b'!$B$25:$AW$25))))^2)</f>
        <v/>
      </c>
      <c r="T1026" s="5">
        <f>MEDIAN(-6,Q1026+(C1026-R1026)/MAX(R1026-S1026,0.000000001),6)</f>
        <v/>
      </c>
      <c r="U1026" s="5">
        <f>SUMPRODUCT(('01_Data'!$B1026:$AW1026&lt;&gt;"")*(1/(1+EXP(-(T1026-'03_Lap_b'!$B$30:$AW$30)))))</f>
        <v/>
      </c>
      <c r="V1026" s="5">
        <f>SUMPRODUCT(('01_Data'!$B1026:$AW1026&lt;&gt;"")*(1/(1+EXP(-(T1026-'03_Lap_b'!$B$30:$AW$30))))^2)</f>
        <v/>
      </c>
      <c r="W1026" s="5">
        <f>MEDIAN(-6,T1026+(C1026-U1026)/MAX(U1026-V1026,0.000000001),6)</f>
        <v/>
      </c>
      <c r="X1026" s="5">
        <f>SUMPRODUCT(('01_Data'!$B1026:$AW1026&lt;&gt;"")*(1/(1+EXP(-(W1026-'03_Lap_b'!$B$35:$AW$35)))))</f>
        <v/>
      </c>
      <c r="Y1026" s="5">
        <f>SUMPRODUCT(('01_Data'!$B1026:$AW1026&lt;&gt;"")*(1/(1+EXP(-(W1026-'03_Lap_b'!$B$35:$AW$35))))^2)</f>
        <v/>
      </c>
      <c r="Z1026" s="5">
        <f>MEDIAN(-6,W1026+(C1026-X1026)/MAX(X1026-Y1026,0.000000001),6)</f>
        <v/>
      </c>
      <c r="AA1026" s="5">
        <f>SUMPRODUCT(('01_Data'!$B1026:$AW1026&lt;&gt;"")*(1/(1+EXP(-(Z1026-'03_Lap_b'!$B$40:$AW$40)))))</f>
        <v/>
      </c>
      <c r="AB1026" s="5">
        <f>SUMPRODUCT(('01_Data'!$B1026:$AW1026&lt;&gt;"")*(1/(1+EXP(-(Z1026-'03_Lap_b'!$B$40:$AW$40))))^2)</f>
        <v/>
      </c>
      <c r="AC1026" s="5">
        <f>MEDIAN(-6,Z1026+(C1026-AA1026)/MAX(AA1026-AB1026,0.000000001),6)</f>
        <v/>
      </c>
    </row>
    <row r="1027">
      <c r="A1027" t="n">
        <v>1026</v>
      </c>
      <c r="B1027">
        <f>'01_Data'!A1027</f>
        <v/>
      </c>
      <c r="C1027">
        <f>SUM('01_Data'!$B1027:$AW1027)</f>
        <v/>
      </c>
      <c r="D1027">
        <f>COUNT('01_Data'!$B1027:$AW1027)</f>
        <v/>
      </c>
      <c r="E1027" s="5">
        <f>MEDIAN(-6,LN((C1027+0.3)/(D1027-C1027+0.3)),6)</f>
        <v/>
      </c>
      <c r="F1027" s="5">
        <f>SUMPRODUCT(('01_Data'!$B1027:$AW1027&lt;&gt;"")*(1/(1+EXP(-(E1027-'03_Lap_b'!$B$5:$AW$5)))))</f>
        <v/>
      </c>
      <c r="G1027" s="5">
        <f>SUMPRODUCT(('01_Data'!$B1027:$AW1027&lt;&gt;"")*(1/(1+EXP(-(E1027-'03_Lap_b'!$B$5:$AW$5))))^2)</f>
        <v/>
      </c>
      <c r="H1027" s="5">
        <f>MEDIAN(-6,E1027+(C1027-F1027)/MAX(F1027-G1027,0.000000001),6)</f>
        <v/>
      </c>
      <c r="I1027" s="5">
        <f>SUMPRODUCT(('01_Data'!$B1027:$AW1027&lt;&gt;"")*(1/(1+EXP(-(H1027-'03_Lap_b'!$B$10:$AW$10)))))</f>
        <v/>
      </c>
      <c r="J1027" s="5">
        <f>SUMPRODUCT(('01_Data'!$B1027:$AW1027&lt;&gt;"")*(1/(1+EXP(-(H1027-'03_Lap_b'!$B$10:$AW$10))))^2)</f>
        <v/>
      </c>
      <c r="K1027" s="5">
        <f>MEDIAN(-6,H1027+(C1027-I1027)/MAX(I1027-J1027,0.000000001),6)</f>
        <v/>
      </c>
      <c r="L1027" s="5">
        <f>SUMPRODUCT(('01_Data'!$B1027:$AW1027&lt;&gt;"")*(1/(1+EXP(-(K1027-'03_Lap_b'!$B$15:$AW$15)))))</f>
        <v/>
      </c>
      <c r="M1027" s="5">
        <f>SUMPRODUCT(('01_Data'!$B1027:$AW1027&lt;&gt;"")*(1/(1+EXP(-(K1027-'03_Lap_b'!$B$15:$AW$15))))^2)</f>
        <v/>
      </c>
      <c r="N1027" s="5">
        <f>MEDIAN(-6,K1027+(C1027-L1027)/MAX(L1027-M1027,0.000000001),6)</f>
        <v/>
      </c>
      <c r="O1027" s="5">
        <f>SUMPRODUCT(('01_Data'!$B1027:$AW1027&lt;&gt;"")*(1/(1+EXP(-(N1027-'03_Lap_b'!$B$20:$AW$20)))))</f>
        <v/>
      </c>
      <c r="P1027" s="5">
        <f>SUMPRODUCT(('01_Data'!$B1027:$AW1027&lt;&gt;"")*(1/(1+EXP(-(N1027-'03_Lap_b'!$B$20:$AW$20))))^2)</f>
        <v/>
      </c>
      <c r="Q1027" s="5">
        <f>MEDIAN(-6,N1027+(C1027-O1027)/MAX(O1027-P1027,0.000000001),6)</f>
        <v/>
      </c>
      <c r="R1027" s="5">
        <f>SUMPRODUCT(('01_Data'!$B1027:$AW1027&lt;&gt;"")*(1/(1+EXP(-(Q1027-'03_Lap_b'!$B$25:$AW$25)))))</f>
        <v/>
      </c>
      <c r="S1027" s="5">
        <f>SUMPRODUCT(('01_Data'!$B1027:$AW1027&lt;&gt;"")*(1/(1+EXP(-(Q1027-'03_Lap_b'!$B$25:$AW$25))))^2)</f>
        <v/>
      </c>
      <c r="T1027" s="5">
        <f>MEDIAN(-6,Q1027+(C1027-R1027)/MAX(R1027-S1027,0.000000001),6)</f>
        <v/>
      </c>
      <c r="U1027" s="5">
        <f>SUMPRODUCT(('01_Data'!$B1027:$AW1027&lt;&gt;"")*(1/(1+EXP(-(T1027-'03_Lap_b'!$B$30:$AW$30)))))</f>
        <v/>
      </c>
      <c r="V1027" s="5">
        <f>SUMPRODUCT(('01_Data'!$B1027:$AW1027&lt;&gt;"")*(1/(1+EXP(-(T1027-'03_Lap_b'!$B$30:$AW$30))))^2)</f>
        <v/>
      </c>
      <c r="W1027" s="5">
        <f>MEDIAN(-6,T1027+(C1027-U1027)/MAX(U1027-V1027,0.000000001),6)</f>
        <v/>
      </c>
      <c r="X1027" s="5">
        <f>SUMPRODUCT(('01_Data'!$B1027:$AW1027&lt;&gt;"")*(1/(1+EXP(-(W1027-'03_Lap_b'!$B$35:$AW$35)))))</f>
        <v/>
      </c>
      <c r="Y1027" s="5">
        <f>SUMPRODUCT(('01_Data'!$B1027:$AW1027&lt;&gt;"")*(1/(1+EXP(-(W1027-'03_Lap_b'!$B$35:$AW$35))))^2)</f>
        <v/>
      </c>
      <c r="Z1027" s="5">
        <f>MEDIAN(-6,W1027+(C1027-X1027)/MAX(X1027-Y1027,0.000000001),6)</f>
        <v/>
      </c>
      <c r="AA1027" s="5">
        <f>SUMPRODUCT(('01_Data'!$B1027:$AW1027&lt;&gt;"")*(1/(1+EXP(-(Z1027-'03_Lap_b'!$B$40:$AW$40)))))</f>
        <v/>
      </c>
      <c r="AB1027" s="5">
        <f>SUMPRODUCT(('01_Data'!$B1027:$AW1027&lt;&gt;"")*(1/(1+EXP(-(Z1027-'03_Lap_b'!$B$40:$AW$40))))^2)</f>
        <v/>
      </c>
      <c r="AC1027" s="5">
        <f>MEDIAN(-6,Z1027+(C1027-AA1027)/MAX(AA1027-AB1027,0.000000001),6)</f>
        <v/>
      </c>
    </row>
    <row r="1028">
      <c r="A1028" t="n">
        <v>1027</v>
      </c>
      <c r="B1028">
        <f>'01_Data'!A1028</f>
        <v/>
      </c>
      <c r="C1028">
        <f>SUM('01_Data'!$B1028:$AW1028)</f>
        <v/>
      </c>
      <c r="D1028">
        <f>COUNT('01_Data'!$B1028:$AW1028)</f>
        <v/>
      </c>
      <c r="E1028" s="5">
        <f>MEDIAN(-6,LN((C1028+0.3)/(D1028-C1028+0.3)),6)</f>
        <v/>
      </c>
      <c r="F1028" s="5">
        <f>SUMPRODUCT(('01_Data'!$B1028:$AW1028&lt;&gt;"")*(1/(1+EXP(-(E1028-'03_Lap_b'!$B$5:$AW$5)))))</f>
        <v/>
      </c>
      <c r="G1028" s="5">
        <f>SUMPRODUCT(('01_Data'!$B1028:$AW1028&lt;&gt;"")*(1/(1+EXP(-(E1028-'03_Lap_b'!$B$5:$AW$5))))^2)</f>
        <v/>
      </c>
      <c r="H1028" s="5">
        <f>MEDIAN(-6,E1028+(C1028-F1028)/MAX(F1028-G1028,0.000000001),6)</f>
        <v/>
      </c>
      <c r="I1028" s="5">
        <f>SUMPRODUCT(('01_Data'!$B1028:$AW1028&lt;&gt;"")*(1/(1+EXP(-(H1028-'03_Lap_b'!$B$10:$AW$10)))))</f>
        <v/>
      </c>
      <c r="J1028" s="5">
        <f>SUMPRODUCT(('01_Data'!$B1028:$AW1028&lt;&gt;"")*(1/(1+EXP(-(H1028-'03_Lap_b'!$B$10:$AW$10))))^2)</f>
        <v/>
      </c>
      <c r="K1028" s="5">
        <f>MEDIAN(-6,H1028+(C1028-I1028)/MAX(I1028-J1028,0.000000001),6)</f>
        <v/>
      </c>
      <c r="L1028" s="5">
        <f>SUMPRODUCT(('01_Data'!$B1028:$AW1028&lt;&gt;"")*(1/(1+EXP(-(K1028-'03_Lap_b'!$B$15:$AW$15)))))</f>
        <v/>
      </c>
      <c r="M1028" s="5">
        <f>SUMPRODUCT(('01_Data'!$B1028:$AW1028&lt;&gt;"")*(1/(1+EXP(-(K1028-'03_Lap_b'!$B$15:$AW$15))))^2)</f>
        <v/>
      </c>
      <c r="N1028" s="5">
        <f>MEDIAN(-6,K1028+(C1028-L1028)/MAX(L1028-M1028,0.000000001),6)</f>
        <v/>
      </c>
      <c r="O1028" s="5">
        <f>SUMPRODUCT(('01_Data'!$B1028:$AW1028&lt;&gt;"")*(1/(1+EXP(-(N1028-'03_Lap_b'!$B$20:$AW$20)))))</f>
        <v/>
      </c>
      <c r="P1028" s="5">
        <f>SUMPRODUCT(('01_Data'!$B1028:$AW1028&lt;&gt;"")*(1/(1+EXP(-(N1028-'03_Lap_b'!$B$20:$AW$20))))^2)</f>
        <v/>
      </c>
      <c r="Q1028" s="5">
        <f>MEDIAN(-6,N1028+(C1028-O1028)/MAX(O1028-P1028,0.000000001),6)</f>
        <v/>
      </c>
      <c r="R1028" s="5">
        <f>SUMPRODUCT(('01_Data'!$B1028:$AW1028&lt;&gt;"")*(1/(1+EXP(-(Q1028-'03_Lap_b'!$B$25:$AW$25)))))</f>
        <v/>
      </c>
      <c r="S1028" s="5">
        <f>SUMPRODUCT(('01_Data'!$B1028:$AW1028&lt;&gt;"")*(1/(1+EXP(-(Q1028-'03_Lap_b'!$B$25:$AW$25))))^2)</f>
        <v/>
      </c>
      <c r="T1028" s="5">
        <f>MEDIAN(-6,Q1028+(C1028-R1028)/MAX(R1028-S1028,0.000000001),6)</f>
        <v/>
      </c>
      <c r="U1028" s="5">
        <f>SUMPRODUCT(('01_Data'!$B1028:$AW1028&lt;&gt;"")*(1/(1+EXP(-(T1028-'03_Lap_b'!$B$30:$AW$30)))))</f>
        <v/>
      </c>
      <c r="V1028" s="5">
        <f>SUMPRODUCT(('01_Data'!$B1028:$AW1028&lt;&gt;"")*(1/(1+EXP(-(T1028-'03_Lap_b'!$B$30:$AW$30))))^2)</f>
        <v/>
      </c>
      <c r="W1028" s="5">
        <f>MEDIAN(-6,T1028+(C1028-U1028)/MAX(U1028-V1028,0.000000001),6)</f>
        <v/>
      </c>
      <c r="X1028" s="5">
        <f>SUMPRODUCT(('01_Data'!$B1028:$AW1028&lt;&gt;"")*(1/(1+EXP(-(W1028-'03_Lap_b'!$B$35:$AW$35)))))</f>
        <v/>
      </c>
      <c r="Y1028" s="5">
        <f>SUMPRODUCT(('01_Data'!$B1028:$AW1028&lt;&gt;"")*(1/(1+EXP(-(W1028-'03_Lap_b'!$B$35:$AW$35))))^2)</f>
        <v/>
      </c>
      <c r="Z1028" s="5">
        <f>MEDIAN(-6,W1028+(C1028-X1028)/MAX(X1028-Y1028,0.000000001),6)</f>
        <v/>
      </c>
      <c r="AA1028" s="5">
        <f>SUMPRODUCT(('01_Data'!$B1028:$AW1028&lt;&gt;"")*(1/(1+EXP(-(Z1028-'03_Lap_b'!$B$40:$AW$40)))))</f>
        <v/>
      </c>
      <c r="AB1028" s="5">
        <f>SUMPRODUCT(('01_Data'!$B1028:$AW1028&lt;&gt;"")*(1/(1+EXP(-(Z1028-'03_Lap_b'!$B$40:$AW$40))))^2)</f>
        <v/>
      </c>
      <c r="AC1028" s="5">
        <f>MEDIAN(-6,Z1028+(C1028-AA1028)/MAX(AA1028-AB1028,0.000000001),6)</f>
        <v/>
      </c>
    </row>
    <row r="1029">
      <c r="A1029" t="n">
        <v>1028</v>
      </c>
      <c r="B1029">
        <f>'01_Data'!A1029</f>
        <v/>
      </c>
      <c r="C1029">
        <f>SUM('01_Data'!$B1029:$AW1029)</f>
        <v/>
      </c>
      <c r="D1029">
        <f>COUNT('01_Data'!$B1029:$AW1029)</f>
        <v/>
      </c>
      <c r="E1029" s="5">
        <f>MEDIAN(-6,LN((C1029+0.3)/(D1029-C1029+0.3)),6)</f>
        <v/>
      </c>
      <c r="F1029" s="5">
        <f>SUMPRODUCT(('01_Data'!$B1029:$AW1029&lt;&gt;"")*(1/(1+EXP(-(E1029-'03_Lap_b'!$B$5:$AW$5)))))</f>
        <v/>
      </c>
      <c r="G1029" s="5">
        <f>SUMPRODUCT(('01_Data'!$B1029:$AW1029&lt;&gt;"")*(1/(1+EXP(-(E1029-'03_Lap_b'!$B$5:$AW$5))))^2)</f>
        <v/>
      </c>
      <c r="H1029" s="5">
        <f>MEDIAN(-6,E1029+(C1029-F1029)/MAX(F1029-G1029,0.000000001),6)</f>
        <v/>
      </c>
      <c r="I1029" s="5">
        <f>SUMPRODUCT(('01_Data'!$B1029:$AW1029&lt;&gt;"")*(1/(1+EXP(-(H1029-'03_Lap_b'!$B$10:$AW$10)))))</f>
        <v/>
      </c>
      <c r="J1029" s="5">
        <f>SUMPRODUCT(('01_Data'!$B1029:$AW1029&lt;&gt;"")*(1/(1+EXP(-(H1029-'03_Lap_b'!$B$10:$AW$10))))^2)</f>
        <v/>
      </c>
      <c r="K1029" s="5">
        <f>MEDIAN(-6,H1029+(C1029-I1029)/MAX(I1029-J1029,0.000000001),6)</f>
        <v/>
      </c>
      <c r="L1029" s="5">
        <f>SUMPRODUCT(('01_Data'!$B1029:$AW1029&lt;&gt;"")*(1/(1+EXP(-(K1029-'03_Lap_b'!$B$15:$AW$15)))))</f>
        <v/>
      </c>
      <c r="M1029" s="5">
        <f>SUMPRODUCT(('01_Data'!$B1029:$AW1029&lt;&gt;"")*(1/(1+EXP(-(K1029-'03_Lap_b'!$B$15:$AW$15))))^2)</f>
        <v/>
      </c>
      <c r="N1029" s="5">
        <f>MEDIAN(-6,K1029+(C1029-L1029)/MAX(L1029-M1029,0.000000001),6)</f>
        <v/>
      </c>
      <c r="O1029" s="5">
        <f>SUMPRODUCT(('01_Data'!$B1029:$AW1029&lt;&gt;"")*(1/(1+EXP(-(N1029-'03_Lap_b'!$B$20:$AW$20)))))</f>
        <v/>
      </c>
      <c r="P1029" s="5">
        <f>SUMPRODUCT(('01_Data'!$B1029:$AW1029&lt;&gt;"")*(1/(1+EXP(-(N1029-'03_Lap_b'!$B$20:$AW$20))))^2)</f>
        <v/>
      </c>
      <c r="Q1029" s="5">
        <f>MEDIAN(-6,N1029+(C1029-O1029)/MAX(O1029-P1029,0.000000001),6)</f>
        <v/>
      </c>
      <c r="R1029" s="5">
        <f>SUMPRODUCT(('01_Data'!$B1029:$AW1029&lt;&gt;"")*(1/(1+EXP(-(Q1029-'03_Lap_b'!$B$25:$AW$25)))))</f>
        <v/>
      </c>
      <c r="S1029" s="5">
        <f>SUMPRODUCT(('01_Data'!$B1029:$AW1029&lt;&gt;"")*(1/(1+EXP(-(Q1029-'03_Lap_b'!$B$25:$AW$25))))^2)</f>
        <v/>
      </c>
      <c r="T1029" s="5">
        <f>MEDIAN(-6,Q1029+(C1029-R1029)/MAX(R1029-S1029,0.000000001),6)</f>
        <v/>
      </c>
      <c r="U1029" s="5">
        <f>SUMPRODUCT(('01_Data'!$B1029:$AW1029&lt;&gt;"")*(1/(1+EXP(-(T1029-'03_Lap_b'!$B$30:$AW$30)))))</f>
        <v/>
      </c>
      <c r="V1029" s="5">
        <f>SUMPRODUCT(('01_Data'!$B1029:$AW1029&lt;&gt;"")*(1/(1+EXP(-(T1029-'03_Lap_b'!$B$30:$AW$30))))^2)</f>
        <v/>
      </c>
      <c r="W1029" s="5">
        <f>MEDIAN(-6,T1029+(C1029-U1029)/MAX(U1029-V1029,0.000000001),6)</f>
        <v/>
      </c>
      <c r="X1029" s="5">
        <f>SUMPRODUCT(('01_Data'!$B1029:$AW1029&lt;&gt;"")*(1/(1+EXP(-(W1029-'03_Lap_b'!$B$35:$AW$35)))))</f>
        <v/>
      </c>
      <c r="Y1029" s="5">
        <f>SUMPRODUCT(('01_Data'!$B1029:$AW1029&lt;&gt;"")*(1/(1+EXP(-(W1029-'03_Lap_b'!$B$35:$AW$35))))^2)</f>
        <v/>
      </c>
      <c r="Z1029" s="5">
        <f>MEDIAN(-6,W1029+(C1029-X1029)/MAX(X1029-Y1029,0.000000001),6)</f>
        <v/>
      </c>
      <c r="AA1029" s="5">
        <f>SUMPRODUCT(('01_Data'!$B1029:$AW1029&lt;&gt;"")*(1/(1+EXP(-(Z1029-'03_Lap_b'!$B$40:$AW$40)))))</f>
        <v/>
      </c>
      <c r="AB1029" s="5">
        <f>SUMPRODUCT(('01_Data'!$B1029:$AW1029&lt;&gt;"")*(1/(1+EXP(-(Z1029-'03_Lap_b'!$B$40:$AW$40))))^2)</f>
        <v/>
      </c>
      <c r="AC1029" s="5">
        <f>MEDIAN(-6,Z1029+(C1029-AA1029)/MAX(AA1029-AB1029,0.000000001),6)</f>
        <v/>
      </c>
    </row>
    <row r="1030">
      <c r="A1030" t="n">
        <v>1029</v>
      </c>
      <c r="B1030">
        <f>'01_Data'!A1030</f>
        <v/>
      </c>
      <c r="C1030">
        <f>SUM('01_Data'!$B1030:$AW1030)</f>
        <v/>
      </c>
      <c r="D1030">
        <f>COUNT('01_Data'!$B1030:$AW1030)</f>
        <v/>
      </c>
      <c r="E1030" s="5">
        <f>MEDIAN(-6,LN((C1030+0.3)/(D1030-C1030+0.3)),6)</f>
        <v/>
      </c>
      <c r="F1030" s="5">
        <f>SUMPRODUCT(('01_Data'!$B1030:$AW1030&lt;&gt;"")*(1/(1+EXP(-(E1030-'03_Lap_b'!$B$5:$AW$5)))))</f>
        <v/>
      </c>
      <c r="G1030" s="5">
        <f>SUMPRODUCT(('01_Data'!$B1030:$AW1030&lt;&gt;"")*(1/(1+EXP(-(E1030-'03_Lap_b'!$B$5:$AW$5))))^2)</f>
        <v/>
      </c>
      <c r="H1030" s="5">
        <f>MEDIAN(-6,E1030+(C1030-F1030)/MAX(F1030-G1030,0.000000001),6)</f>
        <v/>
      </c>
      <c r="I1030" s="5">
        <f>SUMPRODUCT(('01_Data'!$B1030:$AW1030&lt;&gt;"")*(1/(1+EXP(-(H1030-'03_Lap_b'!$B$10:$AW$10)))))</f>
        <v/>
      </c>
      <c r="J1030" s="5">
        <f>SUMPRODUCT(('01_Data'!$B1030:$AW1030&lt;&gt;"")*(1/(1+EXP(-(H1030-'03_Lap_b'!$B$10:$AW$10))))^2)</f>
        <v/>
      </c>
      <c r="K1030" s="5">
        <f>MEDIAN(-6,H1030+(C1030-I1030)/MAX(I1030-J1030,0.000000001),6)</f>
        <v/>
      </c>
      <c r="L1030" s="5">
        <f>SUMPRODUCT(('01_Data'!$B1030:$AW1030&lt;&gt;"")*(1/(1+EXP(-(K1030-'03_Lap_b'!$B$15:$AW$15)))))</f>
        <v/>
      </c>
      <c r="M1030" s="5">
        <f>SUMPRODUCT(('01_Data'!$B1030:$AW1030&lt;&gt;"")*(1/(1+EXP(-(K1030-'03_Lap_b'!$B$15:$AW$15))))^2)</f>
        <v/>
      </c>
      <c r="N1030" s="5">
        <f>MEDIAN(-6,K1030+(C1030-L1030)/MAX(L1030-M1030,0.000000001),6)</f>
        <v/>
      </c>
      <c r="O1030" s="5">
        <f>SUMPRODUCT(('01_Data'!$B1030:$AW1030&lt;&gt;"")*(1/(1+EXP(-(N1030-'03_Lap_b'!$B$20:$AW$20)))))</f>
        <v/>
      </c>
      <c r="P1030" s="5">
        <f>SUMPRODUCT(('01_Data'!$B1030:$AW1030&lt;&gt;"")*(1/(1+EXP(-(N1030-'03_Lap_b'!$B$20:$AW$20))))^2)</f>
        <v/>
      </c>
      <c r="Q1030" s="5">
        <f>MEDIAN(-6,N1030+(C1030-O1030)/MAX(O1030-P1030,0.000000001),6)</f>
        <v/>
      </c>
      <c r="R1030" s="5">
        <f>SUMPRODUCT(('01_Data'!$B1030:$AW1030&lt;&gt;"")*(1/(1+EXP(-(Q1030-'03_Lap_b'!$B$25:$AW$25)))))</f>
        <v/>
      </c>
      <c r="S1030" s="5">
        <f>SUMPRODUCT(('01_Data'!$B1030:$AW1030&lt;&gt;"")*(1/(1+EXP(-(Q1030-'03_Lap_b'!$B$25:$AW$25))))^2)</f>
        <v/>
      </c>
      <c r="T1030" s="5">
        <f>MEDIAN(-6,Q1030+(C1030-R1030)/MAX(R1030-S1030,0.000000001),6)</f>
        <v/>
      </c>
      <c r="U1030" s="5">
        <f>SUMPRODUCT(('01_Data'!$B1030:$AW1030&lt;&gt;"")*(1/(1+EXP(-(T1030-'03_Lap_b'!$B$30:$AW$30)))))</f>
        <v/>
      </c>
      <c r="V1030" s="5">
        <f>SUMPRODUCT(('01_Data'!$B1030:$AW1030&lt;&gt;"")*(1/(1+EXP(-(T1030-'03_Lap_b'!$B$30:$AW$30))))^2)</f>
        <v/>
      </c>
      <c r="W1030" s="5">
        <f>MEDIAN(-6,T1030+(C1030-U1030)/MAX(U1030-V1030,0.000000001),6)</f>
        <v/>
      </c>
      <c r="X1030" s="5">
        <f>SUMPRODUCT(('01_Data'!$B1030:$AW1030&lt;&gt;"")*(1/(1+EXP(-(W1030-'03_Lap_b'!$B$35:$AW$35)))))</f>
        <v/>
      </c>
      <c r="Y1030" s="5">
        <f>SUMPRODUCT(('01_Data'!$B1030:$AW1030&lt;&gt;"")*(1/(1+EXP(-(W1030-'03_Lap_b'!$B$35:$AW$35))))^2)</f>
        <v/>
      </c>
      <c r="Z1030" s="5">
        <f>MEDIAN(-6,W1030+(C1030-X1030)/MAX(X1030-Y1030,0.000000001),6)</f>
        <v/>
      </c>
      <c r="AA1030" s="5">
        <f>SUMPRODUCT(('01_Data'!$B1030:$AW1030&lt;&gt;"")*(1/(1+EXP(-(Z1030-'03_Lap_b'!$B$40:$AW$40)))))</f>
        <v/>
      </c>
      <c r="AB1030" s="5">
        <f>SUMPRODUCT(('01_Data'!$B1030:$AW1030&lt;&gt;"")*(1/(1+EXP(-(Z1030-'03_Lap_b'!$B$40:$AW$40))))^2)</f>
        <v/>
      </c>
      <c r="AC1030" s="5">
        <f>MEDIAN(-6,Z1030+(C1030-AA1030)/MAX(AA1030-AB1030,0.000000001),6)</f>
        <v/>
      </c>
    </row>
    <row r="1031">
      <c r="A1031" t="n">
        <v>1030</v>
      </c>
      <c r="B1031">
        <f>'01_Data'!A1031</f>
        <v/>
      </c>
      <c r="C1031">
        <f>SUM('01_Data'!$B1031:$AW1031)</f>
        <v/>
      </c>
      <c r="D1031">
        <f>COUNT('01_Data'!$B1031:$AW1031)</f>
        <v/>
      </c>
      <c r="E1031" s="5">
        <f>MEDIAN(-6,LN((C1031+0.3)/(D1031-C1031+0.3)),6)</f>
        <v/>
      </c>
      <c r="F1031" s="5">
        <f>SUMPRODUCT(('01_Data'!$B1031:$AW1031&lt;&gt;"")*(1/(1+EXP(-(E1031-'03_Lap_b'!$B$5:$AW$5)))))</f>
        <v/>
      </c>
      <c r="G1031" s="5">
        <f>SUMPRODUCT(('01_Data'!$B1031:$AW1031&lt;&gt;"")*(1/(1+EXP(-(E1031-'03_Lap_b'!$B$5:$AW$5))))^2)</f>
        <v/>
      </c>
      <c r="H1031" s="5">
        <f>MEDIAN(-6,E1031+(C1031-F1031)/MAX(F1031-G1031,0.000000001),6)</f>
        <v/>
      </c>
      <c r="I1031" s="5">
        <f>SUMPRODUCT(('01_Data'!$B1031:$AW1031&lt;&gt;"")*(1/(1+EXP(-(H1031-'03_Lap_b'!$B$10:$AW$10)))))</f>
        <v/>
      </c>
      <c r="J1031" s="5">
        <f>SUMPRODUCT(('01_Data'!$B1031:$AW1031&lt;&gt;"")*(1/(1+EXP(-(H1031-'03_Lap_b'!$B$10:$AW$10))))^2)</f>
        <v/>
      </c>
      <c r="K1031" s="5">
        <f>MEDIAN(-6,H1031+(C1031-I1031)/MAX(I1031-J1031,0.000000001),6)</f>
        <v/>
      </c>
      <c r="L1031" s="5">
        <f>SUMPRODUCT(('01_Data'!$B1031:$AW1031&lt;&gt;"")*(1/(1+EXP(-(K1031-'03_Lap_b'!$B$15:$AW$15)))))</f>
        <v/>
      </c>
      <c r="M1031" s="5">
        <f>SUMPRODUCT(('01_Data'!$B1031:$AW1031&lt;&gt;"")*(1/(1+EXP(-(K1031-'03_Lap_b'!$B$15:$AW$15))))^2)</f>
        <v/>
      </c>
      <c r="N1031" s="5">
        <f>MEDIAN(-6,K1031+(C1031-L1031)/MAX(L1031-M1031,0.000000001),6)</f>
        <v/>
      </c>
      <c r="O1031" s="5">
        <f>SUMPRODUCT(('01_Data'!$B1031:$AW1031&lt;&gt;"")*(1/(1+EXP(-(N1031-'03_Lap_b'!$B$20:$AW$20)))))</f>
        <v/>
      </c>
      <c r="P1031" s="5">
        <f>SUMPRODUCT(('01_Data'!$B1031:$AW1031&lt;&gt;"")*(1/(1+EXP(-(N1031-'03_Lap_b'!$B$20:$AW$20))))^2)</f>
        <v/>
      </c>
      <c r="Q1031" s="5">
        <f>MEDIAN(-6,N1031+(C1031-O1031)/MAX(O1031-P1031,0.000000001),6)</f>
        <v/>
      </c>
      <c r="R1031" s="5">
        <f>SUMPRODUCT(('01_Data'!$B1031:$AW1031&lt;&gt;"")*(1/(1+EXP(-(Q1031-'03_Lap_b'!$B$25:$AW$25)))))</f>
        <v/>
      </c>
      <c r="S1031" s="5">
        <f>SUMPRODUCT(('01_Data'!$B1031:$AW1031&lt;&gt;"")*(1/(1+EXP(-(Q1031-'03_Lap_b'!$B$25:$AW$25))))^2)</f>
        <v/>
      </c>
      <c r="T1031" s="5">
        <f>MEDIAN(-6,Q1031+(C1031-R1031)/MAX(R1031-S1031,0.000000001),6)</f>
        <v/>
      </c>
      <c r="U1031" s="5">
        <f>SUMPRODUCT(('01_Data'!$B1031:$AW1031&lt;&gt;"")*(1/(1+EXP(-(T1031-'03_Lap_b'!$B$30:$AW$30)))))</f>
        <v/>
      </c>
      <c r="V1031" s="5">
        <f>SUMPRODUCT(('01_Data'!$B1031:$AW1031&lt;&gt;"")*(1/(1+EXP(-(T1031-'03_Lap_b'!$B$30:$AW$30))))^2)</f>
        <v/>
      </c>
      <c r="W1031" s="5">
        <f>MEDIAN(-6,T1031+(C1031-U1031)/MAX(U1031-V1031,0.000000001),6)</f>
        <v/>
      </c>
      <c r="X1031" s="5">
        <f>SUMPRODUCT(('01_Data'!$B1031:$AW1031&lt;&gt;"")*(1/(1+EXP(-(W1031-'03_Lap_b'!$B$35:$AW$35)))))</f>
        <v/>
      </c>
      <c r="Y1031" s="5">
        <f>SUMPRODUCT(('01_Data'!$B1031:$AW1031&lt;&gt;"")*(1/(1+EXP(-(W1031-'03_Lap_b'!$B$35:$AW$35))))^2)</f>
        <v/>
      </c>
      <c r="Z1031" s="5">
        <f>MEDIAN(-6,W1031+(C1031-X1031)/MAX(X1031-Y1031,0.000000001),6)</f>
        <v/>
      </c>
      <c r="AA1031" s="5">
        <f>SUMPRODUCT(('01_Data'!$B1031:$AW1031&lt;&gt;"")*(1/(1+EXP(-(Z1031-'03_Lap_b'!$B$40:$AW$40)))))</f>
        <v/>
      </c>
      <c r="AB1031" s="5">
        <f>SUMPRODUCT(('01_Data'!$B1031:$AW1031&lt;&gt;"")*(1/(1+EXP(-(Z1031-'03_Lap_b'!$B$40:$AW$40))))^2)</f>
        <v/>
      </c>
      <c r="AC1031" s="5">
        <f>MEDIAN(-6,Z1031+(C1031-AA1031)/MAX(AA1031-AB1031,0.000000001),6)</f>
        <v/>
      </c>
    </row>
    <row r="1032">
      <c r="A1032" t="n">
        <v>1031</v>
      </c>
      <c r="B1032">
        <f>'01_Data'!A1032</f>
        <v/>
      </c>
      <c r="C1032">
        <f>SUM('01_Data'!$B1032:$AW1032)</f>
        <v/>
      </c>
      <c r="D1032">
        <f>COUNT('01_Data'!$B1032:$AW1032)</f>
        <v/>
      </c>
      <c r="E1032" s="5">
        <f>MEDIAN(-6,LN((C1032+0.3)/(D1032-C1032+0.3)),6)</f>
        <v/>
      </c>
      <c r="F1032" s="5">
        <f>SUMPRODUCT(('01_Data'!$B1032:$AW1032&lt;&gt;"")*(1/(1+EXP(-(E1032-'03_Lap_b'!$B$5:$AW$5)))))</f>
        <v/>
      </c>
      <c r="G1032" s="5">
        <f>SUMPRODUCT(('01_Data'!$B1032:$AW1032&lt;&gt;"")*(1/(1+EXP(-(E1032-'03_Lap_b'!$B$5:$AW$5))))^2)</f>
        <v/>
      </c>
      <c r="H1032" s="5">
        <f>MEDIAN(-6,E1032+(C1032-F1032)/MAX(F1032-G1032,0.000000001),6)</f>
        <v/>
      </c>
      <c r="I1032" s="5">
        <f>SUMPRODUCT(('01_Data'!$B1032:$AW1032&lt;&gt;"")*(1/(1+EXP(-(H1032-'03_Lap_b'!$B$10:$AW$10)))))</f>
        <v/>
      </c>
      <c r="J1032" s="5">
        <f>SUMPRODUCT(('01_Data'!$B1032:$AW1032&lt;&gt;"")*(1/(1+EXP(-(H1032-'03_Lap_b'!$B$10:$AW$10))))^2)</f>
        <v/>
      </c>
      <c r="K1032" s="5">
        <f>MEDIAN(-6,H1032+(C1032-I1032)/MAX(I1032-J1032,0.000000001),6)</f>
        <v/>
      </c>
      <c r="L1032" s="5">
        <f>SUMPRODUCT(('01_Data'!$B1032:$AW1032&lt;&gt;"")*(1/(1+EXP(-(K1032-'03_Lap_b'!$B$15:$AW$15)))))</f>
        <v/>
      </c>
      <c r="M1032" s="5">
        <f>SUMPRODUCT(('01_Data'!$B1032:$AW1032&lt;&gt;"")*(1/(1+EXP(-(K1032-'03_Lap_b'!$B$15:$AW$15))))^2)</f>
        <v/>
      </c>
      <c r="N1032" s="5">
        <f>MEDIAN(-6,K1032+(C1032-L1032)/MAX(L1032-M1032,0.000000001),6)</f>
        <v/>
      </c>
      <c r="O1032" s="5">
        <f>SUMPRODUCT(('01_Data'!$B1032:$AW1032&lt;&gt;"")*(1/(1+EXP(-(N1032-'03_Lap_b'!$B$20:$AW$20)))))</f>
        <v/>
      </c>
      <c r="P1032" s="5">
        <f>SUMPRODUCT(('01_Data'!$B1032:$AW1032&lt;&gt;"")*(1/(1+EXP(-(N1032-'03_Lap_b'!$B$20:$AW$20))))^2)</f>
        <v/>
      </c>
      <c r="Q1032" s="5">
        <f>MEDIAN(-6,N1032+(C1032-O1032)/MAX(O1032-P1032,0.000000001),6)</f>
        <v/>
      </c>
      <c r="R1032" s="5">
        <f>SUMPRODUCT(('01_Data'!$B1032:$AW1032&lt;&gt;"")*(1/(1+EXP(-(Q1032-'03_Lap_b'!$B$25:$AW$25)))))</f>
        <v/>
      </c>
      <c r="S1032" s="5">
        <f>SUMPRODUCT(('01_Data'!$B1032:$AW1032&lt;&gt;"")*(1/(1+EXP(-(Q1032-'03_Lap_b'!$B$25:$AW$25))))^2)</f>
        <v/>
      </c>
      <c r="T1032" s="5">
        <f>MEDIAN(-6,Q1032+(C1032-R1032)/MAX(R1032-S1032,0.000000001),6)</f>
        <v/>
      </c>
      <c r="U1032" s="5">
        <f>SUMPRODUCT(('01_Data'!$B1032:$AW1032&lt;&gt;"")*(1/(1+EXP(-(T1032-'03_Lap_b'!$B$30:$AW$30)))))</f>
        <v/>
      </c>
      <c r="V1032" s="5">
        <f>SUMPRODUCT(('01_Data'!$B1032:$AW1032&lt;&gt;"")*(1/(1+EXP(-(T1032-'03_Lap_b'!$B$30:$AW$30))))^2)</f>
        <v/>
      </c>
      <c r="W1032" s="5">
        <f>MEDIAN(-6,T1032+(C1032-U1032)/MAX(U1032-V1032,0.000000001),6)</f>
        <v/>
      </c>
      <c r="X1032" s="5">
        <f>SUMPRODUCT(('01_Data'!$B1032:$AW1032&lt;&gt;"")*(1/(1+EXP(-(W1032-'03_Lap_b'!$B$35:$AW$35)))))</f>
        <v/>
      </c>
      <c r="Y1032" s="5">
        <f>SUMPRODUCT(('01_Data'!$B1032:$AW1032&lt;&gt;"")*(1/(1+EXP(-(W1032-'03_Lap_b'!$B$35:$AW$35))))^2)</f>
        <v/>
      </c>
      <c r="Z1032" s="5">
        <f>MEDIAN(-6,W1032+(C1032-X1032)/MAX(X1032-Y1032,0.000000001),6)</f>
        <v/>
      </c>
      <c r="AA1032" s="5">
        <f>SUMPRODUCT(('01_Data'!$B1032:$AW1032&lt;&gt;"")*(1/(1+EXP(-(Z1032-'03_Lap_b'!$B$40:$AW$40)))))</f>
        <v/>
      </c>
      <c r="AB1032" s="5">
        <f>SUMPRODUCT(('01_Data'!$B1032:$AW1032&lt;&gt;"")*(1/(1+EXP(-(Z1032-'03_Lap_b'!$B$40:$AW$40))))^2)</f>
        <v/>
      </c>
      <c r="AC1032" s="5">
        <f>MEDIAN(-6,Z1032+(C1032-AA1032)/MAX(AA1032-AB1032,0.000000001),6)</f>
        <v/>
      </c>
    </row>
    <row r="1033">
      <c r="A1033" t="n">
        <v>1032</v>
      </c>
      <c r="B1033">
        <f>'01_Data'!A1033</f>
        <v/>
      </c>
      <c r="C1033">
        <f>SUM('01_Data'!$B1033:$AW1033)</f>
        <v/>
      </c>
      <c r="D1033">
        <f>COUNT('01_Data'!$B1033:$AW1033)</f>
        <v/>
      </c>
      <c r="E1033" s="5">
        <f>MEDIAN(-6,LN((C1033+0.3)/(D1033-C1033+0.3)),6)</f>
        <v/>
      </c>
      <c r="F1033" s="5">
        <f>SUMPRODUCT(('01_Data'!$B1033:$AW1033&lt;&gt;"")*(1/(1+EXP(-(E1033-'03_Lap_b'!$B$5:$AW$5)))))</f>
        <v/>
      </c>
      <c r="G1033" s="5">
        <f>SUMPRODUCT(('01_Data'!$B1033:$AW1033&lt;&gt;"")*(1/(1+EXP(-(E1033-'03_Lap_b'!$B$5:$AW$5))))^2)</f>
        <v/>
      </c>
      <c r="H1033" s="5">
        <f>MEDIAN(-6,E1033+(C1033-F1033)/MAX(F1033-G1033,0.000000001),6)</f>
        <v/>
      </c>
      <c r="I1033" s="5">
        <f>SUMPRODUCT(('01_Data'!$B1033:$AW1033&lt;&gt;"")*(1/(1+EXP(-(H1033-'03_Lap_b'!$B$10:$AW$10)))))</f>
        <v/>
      </c>
      <c r="J1033" s="5">
        <f>SUMPRODUCT(('01_Data'!$B1033:$AW1033&lt;&gt;"")*(1/(1+EXP(-(H1033-'03_Lap_b'!$B$10:$AW$10))))^2)</f>
        <v/>
      </c>
      <c r="K1033" s="5">
        <f>MEDIAN(-6,H1033+(C1033-I1033)/MAX(I1033-J1033,0.000000001),6)</f>
        <v/>
      </c>
      <c r="L1033" s="5">
        <f>SUMPRODUCT(('01_Data'!$B1033:$AW1033&lt;&gt;"")*(1/(1+EXP(-(K1033-'03_Lap_b'!$B$15:$AW$15)))))</f>
        <v/>
      </c>
      <c r="M1033" s="5">
        <f>SUMPRODUCT(('01_Data'!$B1033:$AW1033&lt;&gt;"")*(1/(1+EXP(-(K1033-'03_Lap_b'!$B$15:$AW$15))))^2)</f>
        <v/>
      </c>
      <c r="N1033" s="5">
        <f>MEDIAN(-6,K1033+(C1033-L1033)/MAX(L1033-M1033,0.000000001),6)</f>
        <v/>
      </c>
      <c r="O1033" s="5">
        <f>SUMPRODUCT(('01_Data'!$B1033:$AW1033&lt;&gt;"")*(1/(1+EXP(-(N1033-'03_Lap_b'!$B$20:$AW$20)))))</f>
        <v/>
      </c>
      <c r="P1033" s="5">
        <f>SUMPRODUCT(('01_Data'!$B1033:$AW1033&lt;&gt;"")*(1/(1+EXP(-(N1033-'03_Lap_b'!$B$20:$AW$20))))^2)</f>
        <v/>
      </c>
      <c r="Q1033" s="5">
        <f>MEDIAN(-6,N1033+(C1033-O1033)/MAX(O1033-P1033,0.000000001),6)</f>
        <v/>
      </c>
      <c r="R1033" s="5">
        <f>SUMPRODUCT(('01_Data'!$B1033:$AW1033&lt;&gt;"")*(1/(1+EXP(-(Q1033-'03_Lap_b'!$B$25:$AW$25)))))</f>
        <v/>
      </c>
      <c r="S1033" s="5">
        <f>SUMPRODUCT(('01_Data'!$B1033:$AW1033&lt;&gt;"")*(1/(1+EXP(-(Q1033-'03_Lap_b'!$B$25:$AW$25))))^2)</f>
        <v/>
      </c>
      <c r="T1033" s="5">
        <f>MEDIAN(-6,Q1033+(C1033-R1033)/MAX(R1033-S1033,0.000000001),6)</f>
        <v/>
      </c>
      <c r="U1033" s="5">
        <f>SUMPRODUCT(('01_Data'!$B1033:$AW1033&lt;&gt;"")*(1/(1+EXP(-(T1033-'03_Lap_b'!$B$30:$AW$30)))))</f>
        <v/>
      </c>
      <c r="V1033" s="5">
        <f>SUMPRODUCT(('01_Data'!$B1033:$AW1033&lt;&gt;"")*(1/(1+EXP(-(T1033-'03_Lap_b'!$B$30:$AW$30))))^2)</f>
        <v/>
      </c>
      <c r="W1033" s="5">
        <f>MEDIAN(-6,T1033+(C1033-U1033)/MAX(U1033-V1033,0.000000001),6)</f>
        <v/>
      </c>
      <c r="X1033" s="5">
        <f>SUMPRODUCT(('01_Data'!$B1033:$AW1033&lt;&gt;"")*(1/(1+EXP(-(W1033-'03_Lap_b'!$B$35:$AW$35)))))</f>
        <v/>
      </c>
      <c r="Y1033" s="5">
        <f>SUMPRODUCT(('01_Data'!$B1033:$AW1033&lt;&gt;"")*(1/(1+EXP(-(W1033-'03_Lap_b'!$B$35:$AW$35))))^2)</f>
        <v/>
      </c>
      <c r="Z1033" s="5">
        <f>MEDIAN(-6,W1033+(C1033-X1033)/MAX(X1033-Y1033,0.000000001),6)</f>
        <v/>
      </c>
      <c r="AA1033" s="5">
        <f>SUMPRODUCT(('01_Data'!$B1033:$AW1033&lt;&gt;"")*(1/(1+EXP(-(Z1033-'03_Lap_b'!$B$40:$AW$40)))))</f>
        <v/>
      </c>
      <c r="AB1033" s="5">
        <f>SUMPRODUCT(('01_Data'!$B1033:$AW1033&lt;&gt;"")*(1/(1+EXP(-(Z1033-'03_Lap_b'!$B$40:$AW$40))))^2)</f>
        <v/>
      </c>
      <c r="AC1033" s="5">
        <f>MEDIAN(-6,Z1033+(C1033-AA1033)/MAX(AA1033-AB1033,0.000000001),6)</f>
        <v/>
      </c>
    </row>
    <row r="1034">
      <c r="A1034" t="n">
        <v>1033</v>
      </c>
      <c r="B1034">
        <f>'01_Data'!A1034</f>
        <v/>
      </c>
      <c r="C1034">
        <f>SUM('01_Data'!$B1034:$AW1034)</f>
        <v/>
      </c>
      <c r="D1034">
        <f>COUNT('01_Data'!$B1034:$AW1034)</f>
        <v/>
      </c>
      <c r="E1034" s="5">
        <f>MEDIAN(-6,LN((C1034+0.3)/(D1034-C1034+0.3)),6)</f>
        <v/>
      </c>
      <c r="F1034" s="5">
        <f>SUMPRODUCT(('01_Data'!$B1034:$AW1034&lt;&gt;"")*(1/(1+EXP(-(E1034-'03_Lap_b'!$B$5:$AW$5)))))</f>
        <v/>
      </c>
      <c r="G1034" s="5">
        <f>SUMPRODUCT(('01_Data'!$B1034:$AW1034&lt;&gt;"")*(1/(1+EXP(-(E1034-'03_Lap_b'!$B$5:$AW$5))))^2)</f>
        <v/>
      </c>
      <c r="H1034" s="5">
        <f>MEDIAN(-6,E1034+(C1034-F1034)/MAX(F1034-G1034,0.000000001),6)</f>
        <v/>
      </c>
      <c r="I1034" s="5">
        <f>SUMPRODUCT(('01_Data'!$B1034:$AW1034&lt;&gt;"")*(1/(1+EXP(-(H1034-'03_Lap_b'!$B$10:$AW$10)))))</f>
        <v/>
      </c>
      <c r="J1034" s="5">
        <f>SUMPRODUCT(('01_Data'!$B1034:$AW1034&lt;&gt;"")*(1/(1+EXP(-(H1034-'03_Lap_b'!$B$10:$AW$10))))^2)</f>
        <v/>
      </c>
      <c r="K1034" s="5">
        <f>MEDIAN(-6,H1034+(C1034-I1034)/MAX(I1034-J1034,0.000000001),6)</f>
        <v/>
      </c>
      <c r="L1034" s="5">
        <f>SUMPRODUCT(('01_Data'!$B1034:$AW1034&lt;&gt;"")*(1/(1+EXP(-(K1034-'03_Lap_b'!$B$15:$AW$15)))))</f>
        <v/>
      </c>
      <c r="M1034" s="5">
        <f>SUMPRODUCT(('01_Data'!$B1034:$AW1034&lt;&gt;"")*(1/(1+EXP(-(K1034-'03_Lap_b'!$B$15:$AW$15))))^2)</f>
        <v/>
      </c>
      <c r="N1034" s="5">
        <f>MEDIAN(-6,K1034+(C1034-L1034)/MAX(L1034-M1034,0.000000001),6)</f>
        <v/>
      </c>
      <c r="O1034" s="5">
        <f>SUMPRODUCT(('01_Data'!$B1034:$AW1034&lt;&gt;"")*(1/(1+EXP(-(N1034-'03_Lap_b'!$B$20:$AW$20)))))</f>
        <v/>
      </c>
      <c r="P1034" s="5">
        <f>SUMPRODUCT(('01_Data'!$B1034:$AW1034&lt;&gt;"")*(1/(1+EXP(-(N1034-'03_Lap_b'!$B$20:$AW$20))))^2)</f>
        <v/>
      </c>
      <c r="Q1034" s="5">
        <f>MEDIAN(-6,N1034+(C1034-O1034)/MAX(O1034-P1034,0.000000001),6)</f>
        <v/>
      </c>
      <c r="R1034" s="5">
        <f>SUMPRODUCT(('01_Data'!$B1034:$AW1034&lt;&gt;"")*(1/(1+EXP(-(Q1034-'03_Lap_b'!$B$25:$AW$25)))))</f>
        <v/>
      </c>
      <c r="S1034" s="5">
        <f>SUMPRODUCT(('01_Data'!$B1034:$AW1034&lt;&gt;"")*(1/(1+EXP(-(Q1034-'03_Lap_b'!$B$25:$AW$25))))^2)</f>
        <v/>
      </c>
      <c r="T1034" s="5">
        <f>MEDIAN(-6,Q1034+(C1034-R1034)/MAX(R1034-S1034,0.000000001),6)</f>
        <v/>
      </c>
      <c r="U1034" s="5">
        <f>SUMPRODUCT(('01_Data'!$B1034:$AW1034&lt;&gt;"")*(1/(1+EXP(-(T1034-'03_Lap_b'!$B$30:$AW$30)))))</f>
        <v/>
      </c>
      <c r="V1034" s="5">
        <f>SUMPRODUCT(('01_Data'!$B1034:$AW1034&lt;&gt;"")*(1/(1+EXP(-(T1034-'03_Lap_b'!$B$30:$AW$30))))^2)</f>
        <v/>
      </c>
      <c r="W1034" s="5">
        <f>MEDIAN(-6,T1034+(C1034-U1034)/MAX(U1034-V1034,0.000000001),6)</f>
        <v/>
      </c>
      <c r="X1034" s="5">
        <f>SUMPRODUCT(('01_Data'!$B1034:$AW1034&lt;&gt;"")*(1/(1+EXP(-(W1034-'03_Lap_b'!$B$35:$AW$35)))))</f>
        <v/>
      </c>
      <c r="Y1034" s="5">
        <f>SUMPRODUCT(('01_Data'!$B1034:$AW1034&lt;&gt;"")*(1/(1+EXP(-(W1034-'03_Lap_b'!$B$35:$AW$35))))^2)</f>
        <v/>
      </c>
      <c r="Z1034" s="5">
        <f>MEDIAN(-6,W1034+(C1034-X1034)/MAX(X1034-Y1034,0.000000001),6)</f>
        <v/>
      </c>
      <c r="AA1034" s="5">
        <f>SUMPRODUCT(('01_Data'!$B1034:$AW1034&lt;&gt;"")*(1/(1+EXP(-(Z1034-'03_Lap_b'!$B$40:$AW$40)))))</f>
        <v/>
      </c>
      <c r="AB1034" s="5">
        <f>SUMPRODUCT(('01_Data'!$B1034:$AW1034&lt;&gt;"")*(1/(1+EXP(-(Z1034-'03_Lap_b'!$B$40:$AW$40))))^2)</f>
        <v/>
      </c>
      <c r="AC1034" s="5">
        <f>MEDIAN(-6,Z1034+(C1034-AA1034)/MAX(AA1034-AB1034,0.000000001),6)</f>
        <v/>
      </c>
    </row>
    <row r="1035">
      <c r="A1035" t="n">
        <v>1034</v>
      </c>
      <c r="B1035">
        <f>'01_Data'!A1035</f>
        <v/>
      </c>
      <c r="C1035">
        <f>SUM('01_Data'!$B1035:$AW1035)</f>
        <v/>
      </c>
      <c r="D1035">
        <f>COUNT('01_Data'!$B1035:$AW1035)</f>
        <v/>
      </c>
      <c r="E1035" s="5">
        <f>MEDIAN(-6,LN((C1035+0.3)/(D1035-C1035+0.3)),6)</f>
        <v/>
      </c>
      <c r="F1035" s="5">
        <f>SUMPRODUCT(('01_Data'!$B1035:$AW1035&lt;&gt;"")*(1/(1+EXP(-(E1035-'03_Lap_b'!$B$5:$AW$5)))))</f>
        <v/>
      </c>
      <c r="G1035" s="5">
        <f>SUMPRODUCT(('01_Data'!$B1035:$AW1035&lt;&gt;"")*(1/(1+EXP(-(E1035-'03_Lap_b'!$B$5:$AW$5))))^2)</f>
        <v/>
      </c>
      <c r="H1035" s="5">
        <f>MEDIAN(-6,E1035+(C1035-F1035)/MAX(F1035-G1035,0.000000001),6)</f>
        <v/>
      </c>
      <c r="I1035" s="5">
        <f>SUMPRODUCT(('01_Data'!$B1035:$AW1035&lt;&gt;"")*(1/(1+EXP(-(H1035-'03_Lap_b'!$B$10:$AW$10)))))</f>
        <v/>
      </c>
      <c r="J1035" s="5">
        <f>SUMPRODUCT(('01_Data'!$B1035:$AW1035&lt;&gt;"")*(1/(1+EXP(-(H1035-'03_Lap_b'!$B$10:$AW$10))))^2)</f>
        <v/>
      </c>
      <c r="K1035" s="5">
        <f>MEDIAN(-6,H1035+(C1035-I1035)/MAX(I1035-J1035,0.000000001),6)</f>
        <v/>
      </c>
      <c r="L1035" s="5">
        <f>SUMPRODUCT(('01_Data'!$B1035:$AW1035&lt;&gt;"")*(1/(1+EXP(-(K1035-'03_Lap_b'!$B$15:$AW$15)))))</f>
        <v/>
      </c>
      <c r="M1035" s="5">
        <f>SUMPRODUCT(('01_Data'!$B1035:$AW1035&lt;&gt;"")*(1/(1+EXP(-(K1035-'03_Lap_b'!$B$15:$AW$15))))^2)</f>
        <v/>
      </c>
      <c r="N1035" s="5">
        <f>MEDIAN(-6,K1035+(C1035-L1035)/MAX(L1035-M1035,0.000000001),6)</f>
        <v/>
      </c>
      <c r="O1035" s="5">
        <f>SUMPRODUCT(('01_Data'!$B1035:$AW1035&lt;&gt;"")*(1/(1+EXP(-(N1035-'03_Lap_b'!$B$20:$AW$20)))))</f>
        <v/>
      </c>
      <c r="P1035" s="5">
        <f>SUMPRODUCT(('01_Data'!$B1035:$AW1035&lt;&gt;"")*(1/(1+EXP(-(N1035-'03_Lap_b'!$B$20:$AW$20))))^2)</f>
        <v/>
      </c>
      <c r="Q1035" s="5">
        <f>MEDIAN(-6,N1035+(C1035-O1035)/MAX(O1035-P1035,0.000000001),6)</f>
        <v/>
      </c>
      <c r="R1035" s="5">
        <f>SUMPRODUCT(('01_Data'!$B1035:$AW1035&lt;&gt;"")*(1/(1+EXP(-(Q1035-'03_Lap_b'!$B$25:$AW$25)))))</f>
        <v/>
      </c>
      <c r="S1035" s="5">
        <f>SUMPRODUCT(('01_Data'!$B1035:$AW1035&lt;&gt;"")*(1/(1+EXP(-(Q1035-'03_Lap_b'!$B$25:$AW$25))))^2)</f>
        <v/>
      </c>
      <c r="T1035" s="5">
        <f>MEDIAN(-6,Q1035+(C1035-R1035)/MAX(R1035-S1035,0.000000001),6)</f>
        <v/>
      </c>
      <c r="U1035" s="5">
        <f>SUMPRODUCT(('01_Data'!$B1035:$AW1035&lt;&gt;"")*(1/(1+EXP(-(T1035-'03_Lap_b'!$B$30:$AW$30)))))</f>
        <v/>
      </c>
      <c r="V1035" s="5">
        <f>SUMPRODUCT(('01_Data'!$B1035:$AW1035&lt;&gt;"")*(1/(1+EXP(-(T1035-'03_Lap_b'!$B$30:$AW$30))))^2)</f>
        <v/>
      </c>
      <c r="W1035" s="5">
        <f>MEDIAN(-6,T1035+(C1035-U1035)/MAX(U1035-V1035,0.000000001),6)</f>
        <v/>
      </c>
      <c r="X1035" s="5">
        <f>SUMPRODUCT(('01_Data'!$B1035:$AW1035&lt;&gt;"")*(1/(1+EXP(-(W1035-'03_Lap_b'!$B$35:$AW$35)))))</f>
        <v/>
      </c>
      <c r="Y1035" s="5">
        <f>SUMPRODUCT(('01_Data'!$B1035:$AW1035&lt;&gt;"")*(1/(1+EXP(-(W1035-'03_Lap_b'!$B$35:$AW$35))))^2)</f>
        <v/>
      </c>
      <c r="Z1035" s="5">
        <f>MEDIAN(-6,W1035+(C1035-X1035)/MAX(X1035-Y1035,0.000000001),6)</f>
        <v/>
      </c>
      <c r="AA1035" s="5">
        <f>SUMPRODUCT(('01_Data'!$B1035:$AW1035&lt;&gt;"")*(1/(1+EXP(-(Z1035-'03_Lap_b'!$B$40:$AW$40)))))</f>
        <v/>
      </c>
      <c r="AB1035" s="5">
        <f>SUMPRODUCT(('01_Data'!$B1035:$AW1035&lt;&gt;"")*(1/(1+EXP(-(Z1035-'03_Lap_b'!$B$40:$AW$40))))^2)</f>
        <v/>
      </c>
      <c r="AC1035" s="5">
        <f>MEDIAN(-6,Z1035+(C1035-AA1035)/MAX(AA1035-AB1035,0.000000001),6)</f>
        <v/>
      </c>
    </row>
    <row r="1036">
      <c r="A1036" t="n">
        <v>1035</v>
      </c>
      <c r="B1036">
        <f>'01_Data'!A1036</f>
        <v/>
      </c>
      <c r="C1036">
        <f>SUM('01_Data'!$B1036:$AW1036)</f>
        <v/>
      </c>
      <c r="D1036">
        <f>COUNT('01_Data'!$B1036:$AW1036)</f>
        <v/>
      </c>
      <c r="E1036" s="5">
        <f>MEDIAN(-6,LN((C1036+0.3)/(D1036-C1036+0.3)),6)</f>
        <v/>
      </c>
      <c r="F1036" s="5">
        <f>SUMPRODUCT(('01_Data'!$B1036:$AW1036&lt;&gt;"")*(1/(1+EXP(-(E1036-'03_Lap_b'!$B$5:$AW$5)))))</f>
        <v/>
      </c>
      <c r="G1036" s="5">
        <f>SUMPRODUCT(('01_Data'!$B1036:$AW1036&lt;&gt;"")*(1/(1+EXP(-(E1036-'03_Lap_b'!$B$5:$AW$5))))^2)</f>
        <v/>
      </c>
      <c r="H1036" s="5">
        <f>MEDIAN(-6,E1036+(C1036-F1036)/MAX(F1036-G1036,0.000000001),6)</f>
        <v/>
      </c>
      <c r="I1036" s="5">
        <f>SUMPRODUCT(('01_Data'!$B1036:$AW1036&lt;&gt;"")*(1/(1+EXP(-(H1036-'03_Lap_b'!$B$10:$AW$10)))))</f>
        <v/>
      </c>
      <c r="J1036" s="5">
        <f>SUMPRODUCT(('01_Data'!$B1036:$AW1036&lt;&gt;"")*(1/(1+EXP(-(H1036-'03_Lap_b'!$B$10:$AW$10))))^2)</f>
        <v/>
      </c>
      <c r="K1036" s="5">
        <f>MEDIAN(-6,H1036+(C1036-I1036)/MAX(I1036-J1036,0.000000001),6)</f>
        <v/>
      </c>
      <c r="L1036" s="5">
        <f>SUMPRODUCT(('01_Data'!$B1036:$AW1036&lt;&gt;"")*(1/(1+EXP(-(K1036-'03_Lap_b'!$B$15:$AW$15)))))</f>
        <v/>
      </c>
      <c r="M1036" s="5">
        <f>SUMPRODUCT(('01_Data'!$B1036:$AW1036&lt;&gt;"")*(1/(1+EXP(-(K1036-'03_Lap_b'!$B$15:$AW$15))))^2)</f>
        <v/>
      </c>
      <c r="N1036" s="5">
        <f>MEDIAN(-6,K1036+(C1036-L1036)/MAX(L1036-M1036,0.000000001),6)</f>
        <v/>
      </c>
      <c r="O1036" s="5">
        <f>SUMPRODUCT(('01_Data'!$B1036:$AW1036&lt;&gt;"")*(1/(1+EXP(-(N1036-'03_Lap_b'!$B$20:$AW$20)))))</f>
        <v/>
      </c>
      <c r="P1036" s="5">
        <f>SUMPRODUCT(('01_Data'!$B1036:$AW1036&lt;&gt;"")*(1/(1+EXP(-(N1036-'03_Lap_b'!$B$20:$AW$20))))^2)</f>
        <v/>
      </c>
      <c r="Q1036" s="5">
        <f>MEDIAN(-6,N1036+(C1036-O1036)/MAX(O1036-P1036,0.000000001),6)</f>
        <v/>
      </c>
      <c r="R1036" s="5">
        <f>SUMPRODUCT(('01_Data'!$B1036:$AW1036&lt;&gt;"")*(1/(1+EXP(-(Q1036-'03_Lap_b'!$B$25:$AW$25)))))</f>
        <v/>
      </c>
      <c r="S1036" s="5">
        <f>SUMPRODUCT(('01_Data'!$B1036:$AW1036&lt;&gt;"")*(1/(1+EXP(-(Q1036-'03_Lap_b'!$B$25:$AW$25))))^2)</f>
        <v/>
      </c>
      <c r="T1036" s="5">
        <f>MEDIAN(-6,Q1036+(C1036-R1036)/MAX(R1036-S1036,0.000000001),6)</f>
        <v/>
      </c>
      <c r="U1036" s="5">
        <f>SUMPRODUCT(('01_Data'!$B1036:$AW1036&lt;&gt;"")*(1/(1+EXP(-(T1036-'03_Lap_b'!$B$30:$AW$30)))))</f>
        <v/>
      </c>
      <c r="V1036" s="5">
        <f>SUMPRODUCT(('01_Data'!$B1036:$AW1036&lt;&gt;"")*(1/(1+EXP(-(T1036-'03_Lap_b'!$B$30:$AW$30))))^2)</f>
        <v/>
      </c>
      <c r="W1036" s="5">
        <f>MEDIAN(-6,T1036+(C1036-U1036)/MAX(U1036-V1036,0.000000001),6)</f>
        <v/>
      </c>
      <c r="X1036" s="5">
        <f>SUMPRODUCT(('01_Data'!$B1036:$AW1036&lt;&gt;"")*(1/(1+EXP(-(W1036-'03_Lap_b'!$B$35:$AW$35)))))</f>
        <v/>
      </c>
      <c r="Y1036" s="5">
        <f>SUMPRODUCT(('01_Data'!$B1036:$AW1036&lt;&gt;"")*(1/(1+EXP(-(W1036-'03_Lap_b'!$B$35:$AW$35))))^2)</f>
        <v/>
      </c>
      <c r="Z1036" s="5">
        <f>MEDIAN(-6,W1036+(C1036-X1036)/MAX(X1036-Y1036,0.000000001),6)</f>
        <v/>
      </c>
      <c r="AA1036" s="5">
        <f>SUMPRODUCT(('01_Data'!$B1036:$AW1036&lt;&gt;"")*(1/(1+EXP(-(Z1036-'03_Lap_b'!$B$40:$AW$40)))))</f>
        <v/>
      </c>
      <c r="AB1036" s="5">
        <f>SUMPRODUCT(('01_Data'!$B1036:$AW1036&lt;&gt;"")*(1/(1+EXP(-(Z1036-'03_Lap_b'!$B$40:$AW$40))))^2)</f>
        <v/>
      </c>
      <c r="AC1036" s="5">
        <f>MEDIAN(-6,Z1036+(C1036-AA1036)/MAX(AA1036-AB1036,0.000000001),6)</f>
        <v/>
      </c>
    </row>
    <row r="1037">
      <c r="A1037" t="n">
        <v>1036</v>
      </c>
      <c r="B1037">
        <f>'01_Data'!A1037</f>
        <v/>
      </c>
      <c r="C1037">
        <f>SUM('01_Data'!$B1037:$AW1037)</f>
        <v/>
      </c>
      <c r="D1037">
        <f>COUNT('01_Data'!$B1037:$AW1037)</f>
        <v/>
      </c>
      <c r="E1037" s="5">
        <f>MEDIAN(-6,LN((C1037+0.3)/(D1037-C1037+0.3)),6)</f>
        <v/>
      </c>
      <c r="F1037" s="5">
        <f>SUMPRODUCT(('01_Data'!$B1037:$AW1037&lt;&gt;"")*(1/(1+EXP(-(E1037-'03_Lap_b'!$B$5:$AW$5)))))</f>
        <v/>
      </c>
      <c r="G1037" s="5">
        <f>SUMPRODUCT(('01_Data'!$B1037:$AW1037&lt;&gt;"")*(1/(1+EXP(-(E1037-'03_Lap_b'!$B$5:$AW$5))))^2)</f>
        <v/>
      </c>
      <c r="H1037" s="5">
        <f>MEDIAN(-6,E1037+(C1037-F1037)/MAX(F1037-G1037,0.000000001),6)</f>
        <v/>
      </c>
      <c r="I1037" s="5">
        <f>SUMPRODUCT(('01_Data'!$B1037:$AW1037&lt;&gt;"")*(1/(1+EXP(-(H1037-'03_Lap_b'!$B$10:$AW$10)))))</f>
        <v/>
      </c>
      <c r="J1037" s="5">
        <f>SUMPRODUCT(('01_Data'!$B1037:$AW1037&lt;&gt;"")*(1/(1+EXP(-(H1037-'03_Lap_b'!$B$10:$AW$10))))^2)</f>
        <v/>
      </c>
      <c r="K1037" s="5">
        <f>MEDIAN(-6,H1037+(C1037-I1037)/MAX(I1037-J1037,0.000000001),6)</f>
        <v/>
      </c>
      <c r="L1037" s="5">
        <f>SUMPRODUCT(('01_Data'!$B1037:$AW1037&lt;&gt;"")*(1/(1+EXP(-(K1037-'03_Lap_b'!$B$15:$AW$15)))))</f>
        <v/>
      </c>
      <c r="M1037" s="5">
        <f>SUMPRODUCT(('01_Data'!$B1037:$AW1037&lt;&gt;"")*(1/(1+EXP(-(K1037-'03_Lap_b'!$B$15:$AW$15))))^2)</f>
        <v/>
      </c>
      <c r="N1037" s="5">
        <f>MEDIAN(-6,K1037+(C1037-L1037)/MAX(L1037-M1037,0.000000001),6)</f>
        <v/>
      </c>
      <c r="O1037" s="5">
        <f>SUMPRODUCT(('01_Data'!$B1037:$AW1037&lt;&gt;"")*(1/(1+EXP(-(N1037-'03_Lap_b'!$B$20:$AW$20)))))</f>
        <v/>
      </c>
      <c r="P1037" s="5">
        <f>SUMPRODUCT(('01_Data'!$B1037:$AW1037&lt;&gt;"")*(1/(1+EXP(-(N1037-'03_Lap_b'!$B$20:$AW$20))))^2)</f>
        <v/>
      </c>
      <c r="Q1037" s="5">
        <f>MEDIAN(-6,N1037+(C1037-O1037)/MAX(O1037-P1037,0.000000001),6)</f>
        <v/>
      </c>
      <c r="R1037" s="5">
        <f>SUMPRODUCT(('01_Data'!$B1037:$AW1037&lt;&gt;"")*(1/(1+EXP(-(Q1037-'03_Lap_b'!$B$25:$AW$25)))))</f>
        <v/>
      </c>
      <c r="S1037" s="5">
        <f>SUMPRODUCT(('01_Data'!$B1037:$AW1037&lt;&gt;"")*(1/(1+EXP(-(Q1037-'03_Lap_b'!$B$25:$AW$25))))^2)</f>
        <v/>
      </c>
      <c r="T1037" s="5">
        <f>MEDIAN(-6,Q1037+(C1037-R1037)/MAX(R1037-S1037,0.000000001),6)</f>
        <v/>
      </c>
      <c r="U1037" s="5">
        <f>SUMPRODUCT(('01_Data'!$B1037:$AW1037&lt;&gt;"")*(1/(1+EXP(-(T1037-'03_Lap_b'!$B$30:$AW$30)))))</f>
        <v/>
      </c>
      <c r="V1037" s="5">
        <f>SUMPRODUCT(('01_Data'!$B1037:$AW1037&lt;&gt;"")*(1/(1+EXP(-(T1037-'03_Lap_b'!$B$30:$AW$30))))^2)</f>
        <v/>
      </c>
      <c r="W1037" s="5">
        <f>MEDIAN(-6,T1037+(C1037-U1037)/MAX(U1037-V1037,0.000000001),6)</f>
        <v/>
      </c>
      <c r="X1037" s="5">
        <f>SUMPRODUCT(('01_Data'!$B1037:$AW1037&lt;&gt;"")*(1/(1+EXP(-(W1037-'03_Lap_b'!$B$35:$AW$35)))))</f>
        <v/>
      </c>
      <c r="Y1037" s="5">
        <f>SUMPRODUCT(('01_Data'!$B1037:$AW1037&lt;&gt;"")*(1/(1+EXP(-(W1037-'03_Lap_b'!$B$35:$AW$35))))^2)</f>
        <v/>
      </c>
      <c r="Z1037" s="5">
        <f>MEDIAN(-6,W1037+(C1037-X1037)/MAX(X1037-Y1037,0.000000001),6)</f>
        <v/>
      </c>
      <c r="AA1037" s="5">
        <f>SUMPRODUCT(('01_Data'!$B1037:$AW1037&lt;&gt;"")*(1/(1+EXP(-(Z1037-'03_Lap_b'!$B$40:$AW$40)))))</f>
        <v/>
      </c>
      <c r="AB1037" s="5">
        <f>SUMPRODUCT(('01_Data'!$B1037:$AW1037&lt;&gt;"")*(1/(1+EXP(-(Z1037-'03_Lap_b'!$B$40:$AW$40))))^2)</f>
        <v/>
      </c>
      <c r="AC1037" s="5">
        <f>MEDIAN(-6,Z1037+(C1037-AA1037)/MAX(AA1037-AB1037,0.000000001),6)</f>
        <v/>
      </c>
    </row>
    <row r="1038">
      <c r="A1038" t="n">
        <v>1037</v>
      </c>
      <c r="B1038">
        <f>'01_Data'!A1038</f>
        <v/>
      </c>
      <c r="C1038">
        <f>SUM('01_Data'!$B1038:$AW1038)</f>
        <v/>
      </c>
      <c r="D1038">
        <f>COUNT('01_Data'!$B1038:$AW1038)</f>
        <v/>
      </c>
      <c r="E1038" s="5">
        <f>MEDIAN(-6,LN((C1038+0.3)/(D1038-C1038+0.3)),6)</f>
        <v/>
      </c>
      <c r="F1038" s="5">
        <f>SUMPRODUCT(('01_Data'!$B1038:$AW1038&lt;&gt;"")*(1/(1+EXP(-(E1038-'03_Lap_b'!$B$5:$AW$5)))))</f>
        <v/>
      </c>
      <c r="G1038" s="5">
        <f>SUMPRODUCT(('01_Data'!$B1038:$AW1038&lt;&gt;"")*(1/(1+EXP(-(E1038-'03_Lap_b'!$B$5:$AW$5))))^2)</f>
        <v/>
      </c>
      <c r="H1038" s="5">
        <f>MEDIAN(-6,E1038+(C1038-F1038)/MAX(F1038-G1038,0.000000001),6)</f>
        <v/>
      </c>
      <c r="I1038" s="5">
        <f>SUMPRODUCT(('01_Data'!$B1038:$AW1038&lt;&gt;"")*(1/(1+EXP(-(H1038-'03_Lap_b'!$B$10:$AW$10)))))</f>
        <v/>
      </c>
      <c r="J1038" s="5">
        <f>SUMPRODUCT(('01_Data'!$B1038:$AW1038&lt;&gt;"")*(1/(1+EXP(-(H1038-'03_Lap_b'!$B$10:$AW$10))))^2)</f>
        <v/>
      </c>
      <c r="K1038" s="5">
        <f>MEDIAN(-6,H1038+(C1038-I1038)/MAX(I1038-J1038,0.000000001),6)</f>
        <v/>
      </c>
      <c r="L1038" s="5">
        <f>SUMPRODUCT(('01_Data'!$B1038:$AW1038&lt;&gt;"")*(1/(1+EXP(-(K1038-'03_Lap_b'!$B$15:$AW$15)))))</f>
        <v/>
      </c>
      <c r="M1038" s="5">
        <f>SUMPRODUCT(('01_Data'!$B1038:$AW1038&lt;&gt;"")*(1/(1+EXP(-(K1038-'03_Lap_b'!$B$15:$AW$15))))^2)</f>
        <v/>
      </c>
      <c r="N1038" s="5">
        <f>MEDIAN(-6,K1038+(C1038-L1038)/MAX(L1038-M1038,0.000000001),6)</f>
        <v/>
      </c>
      <c r="O1038" s="5">
        <f>SUMPRODUCT(('01_Data'!$B1038:$AW1038&lt;&gt;"")*(1/(1+EXP(-(N1038-'03_Lap_b'!$B$20:$AW$20)))))</f>
        <v/>
      </c>
      <c r="P1038" s="5">
        <f>SUMPRODUCT(('01_Data'!$B1038:$AW1038&lt;&gt;"")*(1/(1+EXP(-(N1038-'03_Lap_b'!$B$20:$AW$20))))^2)</f>
        <v/>
      </c>
      <c r="Q1038" s="5">
        <f>MEDIAN(-6,N1038+(C1038-O1038)/MAX(O1038-P1038,0.000000001),6)</f>
        <v/>
      </c>
      <c r="R1038" s="5">
        <f>SUMPRODUCT(('01_Data'!$B1038:$AW1038&lt;&gt;"")*(1/(1+EXP(-(Q1038-'03_Lap_b'!$B$25:$AW$25)))))</f>
        <v/>
      </c>
      <c r="S1038" s="5">
        <f>SUMPRODUCT(('01_Data'!$B1038:$AW1038&lt;&gt;"")*(1/(1+EXP(-(Q1038-'03_Lap_b'!$B$25:$AW$25))))^2)</f>
        <v/>
      </c>
      <c r="T1038" s="5">
        <f>MEDIAN(-6,Q1038+(C1038-R1038)/MAX(R1038-S1038,0.000000001),6)</f>
        <v/>
      </c>
      <c r="U1038" s="5">
        <f>SUMPRODUCT(('01_Data'!$B1038:$AW1038&lt;&gt;"")*(1/(1+EXP(-(T1038-'03_Lap_b'!$B$30:$AW$30)))))</f>
        <v/>
      </c>
      <c r="V1038" s="5">
        <f>SUMPRODUCT(('01_Data'!$B1038:$AW1038&lt;&gt;"")*(1/(1+EXP(-(T1038-'03_Lap_b'!$B$30:$AW$30))))^2)</f>
        <v/>
      </c>
      <c r="W1038" s="5">
        <f>MEDIAN(-6,T1038+(C1038-U1038)/MAX(U1038-V1038,0.000000001),6)</f>
        <v/>
      </c>
      <c r="X1038" s="5">
        <f>SUMPRODUCT(('01_Data'!$B1038:$AW1038&lt;&gt;"")*(1/(1+EXP(-(W1038-'03_Lap_b'!$B$35:$AW$35)))))</f>
        <v/>
      </c>
      <c r="Y1038" s="5">
        <f>SUMPRODUCT(('01_Data'!$B1038:$AW1038&lt;&gt;"")*(1/(1+EXP(-(W1038-'03_Lap_b'!$B$35:$AW$35))))^2)</f>
        <v/>
      </c>
      <c r="Z1038" s="5">
        <f>MEDIAN(-6,W1038+(C1038-X1038)/MAX(X1038-Y1038,0.000000001),6)</f>
        <v/>
      </c>
      <c r="AA1038" s="5">
        <f>SUMPRODUCT(('01_Data'!$B1038:$AW1038&lt;&gt;"")*(1/(1+EXP(-(Z1038-'03_Lap_b'!$B$40:$AW$40)))))</f>
        <v/>
      </c>
      <c r="AB1038" s="5">
        <f>SUMPRODUCT(('01_Data'!$B1038:$AW1038&lt;&gt;"")*(1/(1+EXP(-(Z1038-'03_Lap_b'!$B$40:$AW$40))))^2)</f>
        <v/>
      </c>
      <c r="AC1038" s="5">
        <f>MEDIAN(-6,Z1038+(C1038-AA1038)/MAX(AA1038-AB1038,0.000000001),6)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Item →</t>
        </is>
      </c>
      <c r="B1" s="6" t="inlineStr">
        <is>
          <t>Câu 1 MC</t>
        </is>
      </c>
      <c r="C1" s="6" t="inlineStr">
        <is>
          <t>Câu 2 MC</t>
        </is>
      </c>
      <c r="D1" s="6" t="inlineStr">
        <is>
          <t>Câu 3 MC</t>
        </is>
      </c>
      <c r="E1" s="6" t="inlineStr">
        <is>
          <t>Câu 4 MC</t>
        </is>
      </c>
      <c r="F1" s="6" t="inlineStr">
        <is>
          <t>Câu 5 MC</t>
        </is>
      </c>
      <c r="G1" s="6" t="inlineStr">
        <is>
          <t>Câu 6 MC</t>
        </is>
      </c>
      <c r="H1" s="6" t="inlineStr">
        <is>
          <t>Câu 7 MC</t>
        </is>
      </c>
      <c r="I1" s="6" t="inlineStr">
        <is>
          <t>Câu 8 MC</t>
        </is>
      </c>
      <c r="J1" s="6" t="inlineStr">
        <is>
          <t>Câu 9 MC</t>
        </is>
      </c>
      <c r="K1" s="6" t="inlineStr">
        <is>
          <t>Câu 10 MC</t>
        </is>
      </c>
      <c r="L1" s="6" t="inlineStr">
        <is>
          <t>Câu 24 MC</t>
        </is>
      </c>
      <c r="M1" s="6" t="inlineStr">
        <is>
          <t>Câu 23 MC</t>
        </is>
      </c>
      <c r="N1" s="6" t="inlineStr">
        <is>
          <t>Câu 11 MC</t>
        </is>
      </c>
      <c r="O1" s="6" t="inlineStr">
        <is>
          <t>Câu 12 MC</t>
        </is>
      </c>
      <c r="P1" s="6" t="inlineStr">
        <is>
          <t>Câu 13 MC</t>
        </is>
      </c>
      <c r="Q1" s="6" t="inlineStr">
        <is>
          <t>Câu 22 MC</t>
        </is>
      </c>
      <c r="R1" s="6" t="inlineStr">
        <is>
          <t>Câu 16 MC</t>
        </is>
      </c>
      <c r="S1" s="6" t="inlineStr">
        <is>
          <t>Câu 17 MC</t>
        </is>
      </c>
      <c r="T1" s="6" t="inlineStr">
        <is>
          <t>Câu 18 MC</t>
        </is>
      </c>
      <c r="U1" s="6" t="inlineStr">
        <is>
          <t>Câu 14 MC</t>
        </is>
      </c>
      <c r="V1" s="6" t="inlineStr">
        <is>
          <t>Câu 15 MC</t>
        </is>
      </c>
      <c r="W1" s="6" t="inlineStr">
        <is>
          <t>Câu 19 MC</t>
        </is>
      </c>
      <c r="X1" s="6" t="inlineStr">
        <is>
          <t>Câu 20 MC</t>
        </is>
      </c>
      <c r="Y1" s="6" t="inlineStr">
        <is>
          <t>Câu 21 MC</t>
        </is>
      </c>
      <c r="Z1" s="6" t="inlineStr">
        <is>
          <t>Câu 25.a TF</t>
        </is>
      </c>
      <c r="AA1" s="6" t="inlineStr">
        <is>
          <t>Câu 25.b TF</t>
        </is>
      </c>
      <c r="AB1" s="6" t="inlineStr">
        <is>
          <t>Câu 25.c TF</t>
        </is>
      </c>
      <c r="AC1" s="6" t="inlineStr">
        <is>
          <t>Câu 25.d TF</t>
        </is>
      </c>
      <c r="AD1" s="6" t="inlineStr">
        <is>
          <t>Câu 27.a TF</t>
        </is>
      </c>
      <c r="AE1" s="6" t="inlineStr">
        <is>
          <t>Câu 27.b TF</t>
        </is>
      </c>
      <c r="AF1" s="6" t="inlineStr">
        <is>
          <t>Câu 27.c TF</t>
        </is>
      </c>
      <c r="AG1" s="6" t="inlineStr">
        <is>
          <t>Câu 27.d TF</t>
        </is>
      </c>
      <c r="AH1" s="6" t="inlineStr">
        <is>
          <t>Câu 26.a TF</t>
        </is>
      </c>
      <c r="AI1" s="6" t="inlineStr">
        <is>
          <t>Câu 26.b TF</t>
        </is>
      </c>
      <c r="AJ1" s="6" t="inlineStr">
        <is>
          <t>Câu 26.c TF</t>
        </is>
      </c>
      <c r="AK1" s="6" t="inlineStr">
        <is>
          <t>Câu 26.d TF</t>
        </is>
      </c>
      <c r="AL1" s="6" t="inlineStr">
        <is>
          <t>Câu 28.a TF</t>
        </is>
      </c>
      <c r="AM1" s="6" t="inlineStr">
        <is>
          <t>Câu 28.b TF</t>
        </is>
      </c>
      <c r="AN1" s="6" t="inlineStr">
        <is>
          <t>Câu 28.c TF</t>
        </is>
      </c>
      <c r="AO1" s="6" t="inlineStr">
        <is>
          <t>Câu 28.d TF</t>
        </is>
      </c>
      <c r="AP1" s="6" t="inlineStr">
        <is>
          <t>Câu 29.a TF</t>
        </is>
      </c>
      <c r="AQ1" s="6" t="inlineStr">
        <is>
          <t>Câu 29.b TF</t>
        </is>
      </c>
      <c r="AR1" s="6" t="inlineStr">
        <is>
          <t>Câu 29.c TF</t>
        </is>
      </c>
      <c r="AS1" s="6" t="inlineStr">
        <is>
          <t>Câu 29.d TF</t>
        </is>
      </c>
      <c r="AT1" s="6" t="inlineStr">
        <is>
          <t>Câu 30.a TF</t>
        </is>
      </c>
      <c r="AU1" s="6" t="inlineStr">
        <is>
          <t>Câu 30.b TF</t>
        </is>
      </c>
      <c r="AV1" s="6" t="inlineStr">
        <is>
          <t>Câu 30.c TF</t>
        </is>
      </c>
      <c r="AW1" s="6" t="inlineStr">
        <is>
          <t>Câu 30.d TF</t>
        </is>
      </c>
    </row>
    <row r="2">
      <c r="B2" s="7" t="inlineStr">
        <is>
          <t>208493209536</t>
        </is>
      </c>
      <c r="C2" s="7" t="inlineStr">
        <is>
          <t>208493412207</t>
        </is>
      </c>
      <c r="D2" s="7" t="inlineStr">
        <is>
          <t>208493634375</t>
        </is>
      </c>
      <c r="E2" s="7" t="inlineStr">
        <is>
          <t>208493806712</t>
        </is>
      </c>
      <c r="F2" s="7" t="inlineStr">
        <is>
          <t>208494503646</t>
        </is>
      </c>
      <c r="G2" s="7" t="inlineStr">
        <is>
          <t>208495066643</t>
        </is>
      </c>
      <c r="H2" s="7" t="inlineStr">
        <is>
          <t>208495459130</t>
        </is>
      </c>
      <c r="I2" s="7" t="inlineStr">
        <is>
          <t>208495984573</t>
        </is>
      </c>
      <c r="J2" s="7" t="inlineStr">
        <is>
          <t>208496326564</t>
        </is>
      </c>
      <c r="K2" s="7" t="inlineStr">
        <is>
          <t>208497043631</t>
        </is>
      </c>
      <c r="L2" s="7" t="inlineStr">
        <is>
          <t>208497697530</t>
        </is>
      </c>
      <c r="M2" s="7" t="inlineStr">
        <is>
          <t>208497947837</t>
        </is>
      </c>
      <c r="N2" s="7" t="inlineStr">
        <is>
          <t>208498680706</t>
        </is>
      </c>
      <c r="O2" s="7" t="inlineStr">
        <is>
          <t>208498750254</t>
        </is>
      </c>
      <c r="P2" s="7" t="inlineStr">
        <is>
          <t>208500103341</t>
        </is>
      </c>
      <c r="Q2" s="7" t="inlineStr">
        <is>
          <t>208500538567</t>
        </is>
      </c>
      <c r="R2" s="7" t="inlineStr">
        <is>
          <t>208501397853</t>
        </is>
      </c>
      <c r="S2" s="7" t="inlineStr">
        <is>
          <t>208501882621</t>
        </is>
      </c>
      <c r="T2" s="7" t="inlineStr">
        <is>
          <t>208502464537</t>
        </is>
      </c>
      <c r="U2" s="7" t="inlineStr">
        <is>
          <t>208518915377</t>
        </is>
      </c>
      <c r="V2" s="7" t="inlineStr">
        <is>
          <t>208519541200</t>
        </is>
      </c>
      <c r="W2" s="7" t="inlineStr">
        <is>
          <t>208519949207</t>
        </is>
      </c>
      <c r="X2" s="7" t="inlineStr">
        <is>
          <t>208520832930</t>
        </is>
      </c>
      <c r="Y2" s="7" t="inlineStr">
        <is>
          <t>208521276474</t>
        </is>
      </c>
      <c r="Z2" s="7" t="inlineStr">
        <is>
          <t>208529022568_a</t>
        </is>
      </c>
      <c r="AA2" s="7" t="inlineStr">
        <is>
          <t>208529022568_b</t>
        </is>
      </c>
      <c r="AB2" s="7" t="inlineStr">
        <is>
          <t>208529022568_c</t>
        </is>
      </c>
      <c r="AC2" s="7" t="inlineStr">
        <is>
          <t>208529022568_d</t>
        </is>
      </c>
      <c r="AD2" s="7" t="inlineStr">
        <is>
          <t>208560377855_a</t>
        </is>
      </c>
      <c r="AE2" s="7" t="inlineStr">
        <is>
          <t>208560377855_b</t>
        </is>
      </c>
      <c r="AF2" s="7" t="inlineStr">
        <is>
          <t>208560377855_c</t>
        </is>
      </c>
      <c r="AG2" s="7" t="inlineStr">
        <is>
          <t>208560377855_d</t>
        </is>
      </c>
      <c r="AH2" s="7" t="inlineStr">
        <is>
          <t>208572448723_a</t>
        </is>
      </c>
      <c r="AI2" s="7" t="inlineStr">
        <is>
          <t>208572448723_b</t>
        </is>
      </c>
      <c r="AJ2" s="7" t="inlineStr">
        <is>
          <t>208572448723_c</t>
        </is>
      </c>
      <c r="AK2" s="7" t="inlineStr">
        <is>
          <t>208572448723_d</t>
        </is>
      </c>
      <c r="AL2" s="7" t="inlineStr">
        <is>
          <t>208572588199_a</t>
        </is>
      </c>
      <c r="AM2" s="7" t="inlineStr">
        <is>
          <t>208572588199_b</t>
        </is>
      </c>
      <c r="AN2" s="7" t="inlineStr">
        <is>
          <t>208572588199_c</t>
        </is>
      </c>
      <c r="AO2" s="7" t="inlineStr">
        <is>
          <t>208572588199_d</t>
        </is>
      </c>
      <c r="AP2" s="7" t="inlineStr">
        <is>
          <t>208572673790_a</t>
        </is>
      </c>
      <c r="AQ2" s="7" t="inlineStr">
        <is>
          <t>208572673790_b</t>
        </is>
      </c>
      <c r="AR2" s="7" t="inlineStr">
        <is>
          <t>208572673790_c</t>
        </is>
      </c>
      <c r="AS2" s="7" t="inlineStr">
        <is>
          <t>208572673790_d</t>
        </is>
      </c>
      <c r="AT2" s="7" t="inlineStr">
        <is>
          <t>208576851532_a</t>
        </is>
      </c>
      <c r="AU2" s="7" t="inlineStr">
        <is>
          <t>208576851532_b</t>
        </is>
      </c>
      <c r="AV2" s="7" t="inlineStr">
        <is>
          <t>208576851532_c</t>
        </is>
      </c>
      <c r="AW2" s="7" t="inlineStr">
        <is>
          <t>208576851532_d</t>
        </is>
      </c>
    </row>
    <row r="5">
      <c r="A5" s="4" t="inlineStr">
        <is>
          <t>b0 (canh tâm)</t>
        </is>
      </c>
      <c r="B5" s="5">
        <f>'02_KhoiTao'!$I$2</f>
        <v/>
      </c>
      <c r="C5" s="5">
        <f>'02_KhoiTao'!$I$3</f>
        <v/>
      </c>
      <c r="D5" s="5">
        <f>'02_KhoiTao'!$I$4</f>
        <v/>
      </c>
      <c r="E5" s="5">
        <f>'02_KhoiTao'!$I$5</f>
        <v/>
      </c>
      <c r="F5" s="5">
        <f>'02_KhoiTao'!$I$6</f>
        <v/>
      </c>
      <c r="G5" s="5">
        <f>'02_KhoiTao'!$I$7</f>
        <v/>
      </c>
      <c r="H5" s="5">
        <f>'02_KhoiTao'!$I$8</f>
        <v/>
      </c>
      <c r="I5" s="5">
        <f>'02_KhoiTao'!$I$9</f>
        <v/>
      </c>
      <c r="J5" s="5">
        <f>'02_KhoiTao'!$I$10</f>
        <v/>
      </c>
      <c r="K5" s="5">
        <f>'02_KhoiTao'!$I$11</f>
        <v/>
      </c>
      <c r="L5" s="5">
        <f>'02_KhoiTao'!$I$12</f>
        <v/>
      </c>
      <c r="M5" s="5">
        <f>'02_KhoiTao'!$I$13</f>
        <v/>
      </c>
      <c r="N5" s="5">
        <f>'02_KhoiTao'!$I$14</f>
        <v/>
      </c>
      <c r="O5" s="5">
        <f>'02_KhoiTao'!$I$15</f>
        <v/>
      </c>
      <c r="P5" s="5">
        <f>'02_KhoiTao'!$I$16</f>
        <v/>
      </c>
      <c r="Q5" s="5">
        <f>'02_KhoiTao'!$I$17</f>
        <v/>
      </c>
      <c r="R5" s="5">
        <f>'02_KhoiTao'!$I$18</f>
        <v/>
      </c>
      <c r="S5" s="5">
        <f>'02_KhoiTao'!$I$19</f>
        <v/>
      </c>
      <c r="T5" s="5">
        <f>'02_KhoiTao'!$I$20</f>
        <v/>
      </c>
      <c r="U5" s="5">
        <f>'02_KhoiTao'!$I$21</f>
        <v/>
      </c>
      <c r="V5" s="5">
        <f>'02_KhoiTao'!$I$22</f>
        <v/>
      </c>
      <c r="W5" s="5">
        <f>'02_KhoiTao'!$I$23</f>
        <v/>
      </c>
      <c r="X5" s="5">
        <f>'02_KhoiTao'!$I$24</f>
        <v/>
      </c>
      <c r="Y5" s="5">
        <f>'02_KhoiTao'!$I$25</f>
        <v/>
      </c>
      <c r="Z5" s="5">
        <f>'02_KhoiTao'!$I$26</f>
        <v/>
      </c>
      <c r="AA5" s="5">
        <f>'02_KhoiTao'!$I$27</f>
        <v/>
      </c>
      <c r="AB5" s="5">
        <f>'02_KhoiTao'!$I$28</f>
        <v/>
      </c>
      <c r="AC5" s="5">
        <f>'02_KhoiTao'!$I$29</f>
        <v/>
      </c>
      <c r="AD5" s="5">
        <f>'02_KhoiTao'!$I$30</f>
        <v/>
      </c>
      <c r="AE5" s="5">
        <f>'02_KhoiTao'!$I$31</f>
        <v/>
      </c>
      <c r="AF5" s="5">
        <f>'02_KhoiTao'!$I$32</f>
        <v/>
      </c>
      <c r="AG5" s="5">
        <f>'02_KhoiTao'!$I$33</f>
        <v/>
      </c>
      <c r="AH5" s="5">
        <f>'02_KhoiTao'!$I$34</f>
        <v/>
      </c>
      <c r="AI5" s="5">
        <f>'02_KhoiTao'!$I$35</f>
        <v/>
      </c>
      <c r="AJ5" s="5">
        <f>'02_KhoiTao'!$I$36</f>
        <v/>
      </c>
      <c r="AK5" s="5">
        <f>'02_KhoiTao'!$I$37</f>
        <v/>
      </c>
      <c r="AL5" s="5">
        <f>'02_KhoiTao'!$I$38</f>
        <v/>
      </c>
      <c r="AM5" s="5">
        <f>'02_KhoiTao'!$I$39</f>
        <v/>
      </c>
      <c r="AN5" s="5">
        <f>'02_KhoiTao'!$I$40</f>
        <v/>
      </c>
      <c r="AO5" s="5">
        <f>'02_KhoiTao'!$I$41</f>
        <v/>
      </c>
      <c r="AP5" s="5">
        <f>'02_KhoiTao'!$I$42</f>
        <v/>
      </c>
      <c r="AQ5" s="5">
        <f>'02_KhoiTao'!$I$43</f>
        <v/>
      </c>
      <c r="AR5" s="5">
        <f>'02_KhoiTao'!$I$44</f>
        <v/>
      </c>
      <c r="AS5" s="5">
        <f>'02_KhoiTao'!$I$45</f>
        <v/>
      </c>
      <c r="AT5" s="5">
        <f>'02_KhoiTao'!$I$46</f>
        <v/>
      </c>
      <c r="AU5" s="5">
        <f>'02_KhoiTao'!$I$47</f>
        <v/>
      </c>
      <c r="AV5" s="5">
        <f>'02_KhoiTao'!$I$48</f>
        <v/>
      </c>
      <c r="AW5" s="5">
        <f>'02_KhoiTao'!$I$49</f>
        <v/>
      </c>
    </row>
    <row r="7">
      <c r="A7" s="8" t="inlineStr">
        <is>
          <t>ΣP vòng 1</t>
        </is>
      </c>
      <c r="B7" s="5">
        <f>SUMPRODUCT(('01_Data'!B2:B1038&lt;&gt;"")*(1/(1+EXP(-('03_Lap_Theta'!$H$2:$H$1038-B5)))))</f>
        <v/>
      </c>
      <c r="C7" s="5">
        <f>SUMPRODUCT(('01_Data'!C2:C1038&lt;&gt;"")*(1/(1+EXP(-('03_Lap_Theta'!$H$2:$H$1038-C5)))))</f>
        <v/>
      </c>
      <c r="D7" s="5">
        <f>SUMPRODUCT(('01_Data'!D2:D1038&lt;&gt;"")*(1/(1+EXP(-('03_Lap_Theta'!$H$2:$H$1038-D5)))))</f>
        <v/>
      </c>
      <c r="E7" s="5">
        <f>SUMPRODUCT(('01_Data'!E2:E1038&lt;&gt;"")*(1/(1+EXP(-('03_Lap_Theta'!$H$2:$H$1038-E5)))))</f>
        <v/>
      </c>
      <c r="F7" s="5">
        <f>SUMPRODUCT(('01_Data'!F2:F1038&lt;&gt;"")*(1/(1+EXP(-('03_Lap_Theta'!$H$2:$H$1038-F5)))))</f>
        <v/>
      </c>
      <c r="G7" s="5">
        <f>SUMPRODUCT(('01_Data'!G2:G1038&lt;&gt;"")*(1/(1+EXP(-('03_Lap_Theta'!$H$2:$H$1038-G5)))))</f>
        <v/>
      </c>
      <c r="H7" s="5">
        <f>SUMPRODUCT(('01_Data'!H2:H1038&lt;&gt;"")*(1/(1+EXP(-('03_Lap_Theta'!$H$2:$H$1038-H5)))))</f>
        <v/>
      </c>
      <c r="I7" s="5">
        <f>SUMPRODUCT(('01_Data'!I2:I1038&lt;&gt;"")*(1/(1+EXP(-('03_Lap_Theta'!$H$2:$H$1038-I5)))))</f>
        <v/>
      </c>
      <c r="J7" s="5">
        <f>SUMPRODUCT(('01_Data'!J2:J1038&lt;&gt;"")*(1/(1+EXP(-('03_Lap_Theta'!$H$2:$H$1038-J5)))))</f>
        <v/>
      </c>
      <c r="K7" s="5">
        <f>SUMPRODUCT(('01_Data'!K2:K1038&lt;&gt;"")*(1/(1+EXP(-('03_Lap_Theta'!$H$2:$H$1038-K5)))))</f>
        <v/>
      </c>
      <c r="L7" s="5">
        <f>SUMPRODUCT(('01_Data'!L2:L1038&lt;&gt;"")*(1/(1+EXP(-('03_Lap_Theta'!$H$2:$H$1038-L5)))))</f>
        <v/>
      </c>
      <c r="M7" s="5">
        <f>SUMPRODUCT(('01_Data'!M2:M1038&lt;&gt;"")*(1/(1+EXP(-('03_Lap_Theta'!$H$2:$H$1038-M5)))))</f>
        <v/>
      </c>
      <c r="N7" s="5">
        <f>SUMPRODUCT(('01_Data'!N2:N1038&lt;&gt;"")*(1/(1+EXP(-('03_Lap_Theta'!$H$2:$H$1038-N5)))))</f>
        <v/>
      </c>
      <c r="O7" s="5">
        <f>SUMPRODUCT(('01_Data'!O2:O1038&lt;&gt;"")*(1/(1+EXP(-('03_Lap_Theta'!$H$2:$H$1038-O5)))))</f>
        <v/>
      </c>
      <c r="P7" s="5">
        <f>SUMPRODUCT(('01_Data'!P2:P1038&lt;&gt;"")*(1/(1+EXP(-('03_Lap_Theta'!$H$2:$H$1038-P5)))))</f>
        <v/>
      </c>
      <c r="Q7" s="5">
        <f>SUMPRODUCT(('01_Data'!Q2:Q1038&lt;&gt;"")*(1/(1+EXP(-('03_Lap_Theta'!$H$2:$H$1038-Q5)))))</f>
        <v/>
      </c>
      <c r="R7" s="5">
        <f>SUMPRODUCT(('01_Data'!R2:R1038&lt;&gt;"")*(1/(1+EXP(-('03_Lap_Theta'!$H$2:$H$1038-R5)))))</f>
        <v/>
      </c>
      <c r="S7" s="5">
        <f>SUMPRODUCT(('01_Data'!S2:S1038&lt;&gt;"")*(1/(1+EXP(-('03_Lap_Theta'!$H$2:$H$1038-S5)))))</f>
        <v/>
      </c>
      <c r="T7" s="5">
        <f>SUMPRODUCT(('01_Data'!T2:T1038&lt;&gt;"")*(1/(1+EXP(-('03_Lap_Theta'!$H$2:$H$1038-T5)))))</f>
        <v/>
      </c>
      <c r="U7" s="5">
        <f>SUMPRODUCT(('01_Data'!U2:U1038&lt;&gt;"")*(1/(1+EXP(-('03_Lap_Theta'!$H$2:$H$1038-U5)))))</f>
        <v/>
      </c>
      <c r="V7" s="5">
        <f>SUMPRODUCT(('01_Data'!V2:V1038&lt;&gt;"")*(1/(1+EXP(-('03_Lap_Theta'!$H$2:$H$1038-V5)))))</f>
        <v/>
      </c>
      <c r="W7" s="5">
        <f>SUMPRODUCT(('01_Data'!W2:W1038&lt;&gt;"")*(1/(1+EXP(-('03_Lap_Theta'!$H$2:$H$1038-W5)))))</f>
        <v/>
      </c>
      <c r="X7" s="5">
        <f>SUMPRODUCT(('01_Data'!X2:X1038&lt;&gt;"")*(1/(1+EXP(-('03_Lap_Theta'!$H$2:$H$1038-X5)))))</f>
        <v/>
      </c>
      <c r="Y7" s="5">
        <f>SUMPRODUCT(('01_Data'!Y2:Y1038&lt;&gt;"")*(1/(1+EXP(-('03_Lap_Theta'!$H$2:$H$1038-Y5)))))</f>
        <v/>
      </c>
      <c r="Z7" s="5">
        <f>SUMPRODUCT(('01_Data'!Z2:Z1038&lt;&gt;"")*(1/(1+EXP(-('03_Lap_Theta'!$H$2:$H$1038-Z5)))))</f>
        <v/>
      </c>
      <c r="AA7" s="5">
        <f>SUMPRODUCT(('01_Data'!AA2:AA1038&lt;&gt;"")*(1/(1+EXP(-('03_Lap_Theta'!$H$2:$H$1038-AA5)))))</f>
        <v/>
      </c>
      <c r="AB7" s="5">
        <f>SUMPRODUCT(('01_Data'!AB2:AB1038&lt;&gt;"")*(1/(1+EXP(-('03_Lap_Theta'!$H$2:$H$1038-AB5)))))</f>
        <v/>
      </c>
      <c r="AC7" s="5">
        <f>SUMPRODUCT(('01_Data'!AC2:AC1038&lt;&gt;"")*(1/(1+EXP(-('03_Lap_Theta'!$H$2:$H$1038-AC5)))))</f>
        <v/>
      </c>
      <c r="AD7" s="5">
        <f>SUMPRODUCT(('01_Data'!AD2:AD1038&lt;&gt;"")*(1/(1+EXP(-('03_Lap_Theta'!$H$2:$H$1038-AD5)))))</f>
        <v/>
      </c>
      <c r="AE7" s="5">
        <f>SUMPRODUCT(('01_Data'!AE2:AE1038&lt;&gt;"")*(1/(1+EXP(-('03_Lap_Theta'!$H$2:$H$1038-AE5)))))</f>
        <v/>
      </c>
      <c r="AF7" s="5">
        <f>SUMPRODUCT(('01_Data'!AF2:AF1038&lt;&gt;"")*(1/(1+EXP(-('03_Lap_Theta'!$H$2:$H$1038-AF5)))))</f>
        <v/>
      </c>
      <c r="AG7" s="5">
        <f>SUMPRODUCT(('01_Data'!AG2:AG1038&lt;&gt;"")*(1/(1+EXP(-('03_Lap_Theta'!$H$2:$H$1038-AG5)))))</f>
        <v/>
      </c>
      <c r="AH7" s="5">
        <f>SUMPRODUCT(('01_Data'!AH2:AH1038&lt;&gt;"")*(1/(1+EXP(-('03_Lap_Theta'!$H$2:$H$1038-AH5)))))</f>
        <v/>
      </c>
      <c r="AI7" s="5">
        <f>SUMPRODUCT(('01_Data'!AI2:AI1038&lt;&gt;"")*(1/(1+EXP(-('03_Lap_Theta'!$H$2:$H$1038-AI5)))))</f>
        <v/>
      </c>
      <c r="AJ7" s="5">
        <f>SUMPRODUCT(('01_Data'!AJ2:AJ1038&lt;&gt;"")*(1/(1+EXP(-('03_Lap_Theta'!$H$2:$H$1038-AJ5)))))</f>
        <v/>
      </c>
      <c r="AK7" s="5">
        <f>SUMPRODUCT(('01_Data'!AK2:AK1038&lt;&gt;"")*(1/(1+EXP(-('03_Lap_Theta'!$H$2:$H$1038-AK5)))))</f>
        <v/>
      </c>
      <c r="AL7" s="5">
        <f>SUMPRODUCT(('01_Data'!AL2:AL1038&lt;&gt;"")*(1/(1+EXP(-('03_Lap_Theta'!$H$2:$H$1038-AL5)))))</f>
        <v/>
      </c>
      <c r="AM7" s="5">
        <f>SUMPRODUCT(('01_Data'!AM2:AM1038&lt;&gt;"")*(1/(1+EXP(-('03_Lap_Theta'!$H$2:$H$1038-AM5)))))</f>
        <v/>
      </c>
      <c r="AN7" s="5">
        <f>SUMPRODUCT(('01_Data'!AN2:AN1038&lt;&gt;"")*(1/(1+EXP(-('03_Lap_Theta'!$H$2:$H$1038-AN5)))))</f>
        <v/>
      </c>
      <c r="AO7" s="5">
        <f>SUMPRODUCT(('01_Data'!AO2:AO1038&lt;&gt;"")*(1/(1+EXP(-('03_Lap_Theta'!$H$2:$H$1038-AO5)))))</f>
        <v/>
      </c>
      <c r="AP7" s="5">
        <f>SUMPRODUCT(('01_Data'!AP2:AP1038&lt;&gt;"")*(1/(1+EXP(-('03_Lap_Theta'!$H$2:$H$1038-AP5)))))</f>
        <v/>
      </c>
      <c r="AQ7" s="5">
        <f>SUMPRODUCT(('01_Data'!AQ2:AQ1038&lt;&gt;"")*(1/(1+EXP(-('03_Lap_Theta'!$H$2:$H$1038-AQ5)))))</f>
        <v/>
      </c>
      <c r="AR7" s="5">
        <f>SUMPRODUCT(('01_Data'!AR2:AR1038&lt;&gt;"")*(1/(1+EXP(-('03_Lap_Theta'!$H$2:$H$1038-AR5)))))</f>
        <v/>
      </c>
      <c r="AS7" s="5">
        <f>SUMPRODUCT(('01_Data'!AS2:AS1038&lt;&gt;"")*(1/(1+EXP(-('03_Lap_Theta'!$H$2:$H$1038-AS5)))))</f>
        <v/>
      </c>
      <c r="AT7" s="5">
        <f>SUMPRODUCT(('01_Data'!AT2:AT1038&lt;&gt;"")*(1/(1+EXP(-('03_Lap_Theta'!$H$2:$H$1038-AT5)))))</f>
        <v/>
      </c>
      <c r="AU7" s="5">
        <f>SUMPRODUCT(('01_Data'!AU2:AU1038&lt;&gt;"")*(1/(1+EXP(-('03_Lap_Theta'!$H$2:$H$1038-AU5)))))</f>
        <v/>
      </c>
      <c r="AV7" s="5">
        <f>SUMPRODUCT(('01_Data'!AV2:AV1038&lt;&gt;"")*(1/(1+EXP(-('03_Lap_Theta'!$H$2:$H$1038-AV5)))))</f>
        <v/>
      </c>
      <c r="AW7" s="5">
        <f>SUMPRODUCT(('01_Data'!AW2:AW1038&lt;&gt;"")*(1/(1+EXP(-('03_Lap_Theta'!$H$2:$H$1038-AW5)))))</f>
        <v/>
      </c>
    </row>
    <row r="8">
      <c r="A8" s="8" t="inlineStr">
        <is>
          <t>ΣP² vòng 1</t>
        </is>
      </c>
      <c r="B8" s="5">
        <f>SUMPRODUCT(('01_Data'!B2:B1038&lt;&gt;"")*(1/(1+EXP(-('03_Lap_Theta'!$H$2:$H$1038-B5))))^2)</f>
        <v/>
      </c>
      <c r="C8" s="5">
        <f>SUMPRODUCT(('01_Data'!C2:C1038&lt;&gt;"")*(1/(1+EXP(-('03_Lap_Theta'!$H$2:$H$1038-C5))))^2)</f>
        <v/>
      </c>
      <c r="D8" s="5">
        <f>SUMPRODUCT(('01_Data'!D2:D1038&lt;&gt;"")*(1/(1+EXP(-('03_Lap_Theta'!$H$2:$H$1038-D5))))^2)</f>
        <v/>
      </c>
      <c r="E8" s="5">
        <f>SUMPRODUCT(('01_Data'!E2:E1038&lt;&gt;"")*(1/(1+EXP(-('03_Lap_Theta'!$H$2:$H$1038-E5))))^2)</f>
        <v/>
      </c>
      <c r="F8" s="5">
        <f>SUMPRODUCT(('01_Data'!F2:F1038&lt;&gt;"")*(1/(1+EXP(-('03_Lap_Theta'!$H$2:$H$1038-F5))))^2)</f>
        <v/>
      </c>
      <c r="G8" s="5">
        <f>SUMPRODUCT(('01_Data'!G2:G1038&lt;&gt;"")*(1/(1+EXP(-('03_Lap_Theta'!$H$2:$H$1038-G5))))^2)</f>
        <v/>
      </c>
      <c r="H8" s="5">
        <f>SUMPRODUCT(('01_Data'!H2:H1038&lt;&gt;"")*(1/(1+EXP(-('03_Lap_Theta'!$H$2:$H$1038-H5))))^2)</f>
        <v/>
      </c>
      <c r="I8" s="5">
        <f>SUMPRODUCT(('01_Data'!I2:I1038&lt;&gt;"")*(1/(1+EXP(-('03_Lap_Theta'!$H$2:$H$1038-I5))))^2)</f>
        <v/>
      </c>
      <c r="J8" s="5">
        <f>SUMPRODUCT(('01_Data'!J2:J1038&lt;&gt;"")*(1/(1+EXP(-('03_Lap_Theta'!$H$2:$H$1038-J5))))^2)</f>
        <v/>
      </c>
      <c r="K8" s="5">
        <f>SUMPRODUCT(('01_Data'!K2:K1038&lt;&gt;"")*(1/(1+EXP(-('03_Lap_Theta'!$H$2:$H$1038-K5))))^2)</f>
        <v/>
      </c>
      <c r="L8" s="5">
        <f>SUMPRODUCT(('01_Data'!L2:L1038&lt;&gt;"")*(1/(1+EXP(-('03_Lap_Theta'!$H$2:$H$1038-L5))))^2)</f>
        <v/>
      </c>
      <c r="M8" s="5">
        <f>SUMPRODUCT(('01_Data'!M2:M1038&lt;&gt;"")*(1/(1+EXP(-('03_Lap_Theta'!$H$2:$H$1038-M5))))^2)</f>
        <v/>
      </c>
      <c r="N8" s="5">
        <f>SUMPRODUCT(('01_Data'!N2:N1038&lt;&gt;"")*(1/(1+EXP(-('03_Lap_Theta'!$H$2:$H$1038-N5))))^2)</f>
        <v/>
      </c>
      <c r="O8" s="5">
        <f>SUMPRODUCT(('01_Data'!O2:O1038&lt;&gt;"")*(1/(1+EXP(-('03_Lap_Theta'!$H$2:$H$1038-O5))))^2)</f>
        <v/>
      </c>
      <c r="P8" s="5">
        <f>SUMPRODUCT(('01_Data'!P2:P1038&lt;&gt;"")*(1/(1+EXP(-('03_Lap_Theta'!$H$2:$H$1038-P5))))^2)</f>
        <v/>
      </c>
      <c r="Q8" s="5">
        <f>SUMPRODUCT(('01_Data'!Q2:Q1038&lt;&gt;"")*(1/(1+EXP(-('03_Lap_Theta'!$H$2:$H$1038-Q5))))^2)</f>
        <v/>
      </c>
      <c r="R8" s="5">
        <f>SUMPRODUCT(('01_Data'!R2:R1038&lt;&gt;"")*(1/(1+EXP(-('03_Lap_Theta'!$H$2:$H$1038-R5))))^2)</f>
        <v/>
      </c>
      <c r="S8" s="5">
        <f>SUMPRODUCT(('01_Data'!S2:S1038&lt;&gt;"")*(1/(1+EXP(-('03_Lap_Theta'!$H$2:$H$1038-S5))))^2)</f>
        <v/>
      </c>
      <c r="T8" s="5">
        <f>SUMPRODUCT(('01_Data'!T2:T1038&lt;&gt;"")*(1/(1+EXP(-('03_Lap_Theta'!$H$2:$H$1038-T5))))^2)</f>
        <v/>
      </c>
      <c r="U8" s="5">
        <f>SUMPRODUCT(('01_Data'!U2:U1038&lt;&gt;"")*(1/(1+EXP(-('03_Lap_Theta'!$H$2:$H$1038-U5))))^2)</f>
        <v/>
      </c>
      <c r="V8" s="5">
        <f>SUMPRODUCT(('01_Data'!V2:V1038&lt;&gt;"")*(1/(1+EXP(-('03_Lap_Theta'!$H$2:$H$1038-V5))))^2)</f>
        <v/>
      </c>
      <c r="W8" s="5">
        <f>SUMPRODUCT(('01_Data'!W2:W1038&lt;&gt;"")*(1/(1+EXP(-('03_Lap_Theta'!$H$2:$H$1038-W5))))^2)</f>
        <v/>
      </c>
      <c r="X8" s="5">
        <f>SUMPRODUCT(('01_Data'!X2:X1038&lt;&gt;"")*(1/(1+EXP(-('03_Lap_Theta'!$H$2:$H$1038-X5))))^2)</f>
        <v/>
      </c>
      <c r="Y8" s="5">
        <f>SUMPRODUCT(('01_Data'!Y2:Y1038&lt;&gt;"")*(1/(1+EXP(-('03_Lap_Theta'!$H$2:$H$1038-Y5))))^2)</f>
        <v/>
      </c>
      <c r="Z8" s="5">
        <f>SUMPRODUCT(('01_Data'!Z2:Z1038&lt;&gt;"")*(1/(1+EXP(-('03_Lap_Theta'!$H$2:$H$1038-Z5))))^2)</f>
        <v/>
      </c>
      <c r="AA8" s="5">
        <f>SUMPRODUCT(('01_Data'!AA2:AA1038&lt;&gt;"")*(1/(1+EXP(-('03_Lap_Theta'!$H$2:$H$1038-AA5))))^2)</f>
        <v/>
      </c>
      <c r="AB8" s="5">
        <f>SUMPRODUCT(('01_Data'!AB2:AB1038&lt;&gt;"")*(1/(1+EXP(-('03_Lap_Theta'!$H$2:$H$1038-AB5))))^2)</f>
        <v/>
      </c>
      <c r="AC8" s="5">
        <f>SUMPRODUCT(('01_Data'!AC2:AC1038&lt;&gt;"")*(1/(1+EXP(-('03_Lap_Theta'!$H$2:$H$1038-AC5))))^2)</f>
        <v/>
      </c>
      <c r="AD8" s="5">
        <f>SUMPRODUCT(('01_Data'!AD2:AD1038&lt;&gt;"")*(1/(1+EXP(-('03_Lap_Theta'!$H$2:$H$1038-AD5))))^2)</f>
        <v/>
      </c>
      <c r="AE8" s="5">
        <f>SUMPRODUCT(('01_Data'!AE2:AE1038&lt;&gt;"")*(1/(1+EXP(-('03_Lap_Theta'!$H$2:$H$1038-AE5))))^2)</f>
        <v/>
      </c>
      <c r="AF8" s="5">
        <f>SUMPRODUCT(('01_Data'!AF2:AF1038&lt;&gt;"")*(1/(1+EXP(-('03_Lap_Theta'!$H$2:$H$1038-AF5))))^2)</f>
        <v/>
      </c>
      <c r="AG8" s="5">
        <f>SUMPRODUCT(('01_Data'!AG2:AG1038&lt;&gt;"")*(1/(1+EXP(-('03_Lap_Theta'!$H$2:$H$1038-AG5))))^2)</f>
        <v/>
      </c>
      <c r="AH8" s="5">
        <f>SUMPRODUCT(('01_Data'!AH2:AH1038&lt;&gt;"")*(1/(1+EXP(-('03_Lap_Theta'!$H$2:$H$1038-AH5))))^2)</f>
        <v/>
      </c>
      <c r="AI8" s="5">
        <f>SUMPRODUCT(('01_Data'!AI2:AI1038&lt;&gt;"")*(1/(1+EXP(-('03_Lap_Theta'!$H$2:$H$1038-AI5))))^2)</f>
        <v/>
      </c>
      <c r="AJ8" s="5">
        <f>SUMPRODUCT(('01_Data'!AJ2:AJ1038&lt;&gt;"")*(1/(1+EXP(-('03_Lap_Theta'!$H$2:$H$1038-AJ5))))^2)</f>
        <v/>
      </c>
      <c r="AK8" s="5">
        <f>SUMPRODUCT(('01_Data'!AK2:AK1038&lt;&gt;"")*(1/(1+EXP(-('03_Lap_Theta'!$H$2:$H$1038-AK5))))^2)</f>
        <v/>
      </c>
      <c r="AL8" s="5">
        <f>SUMPRODUCT(('01_Data'!AL2:AL1038&lt;&gt;"")*(1/(1+EXP(-('03_Lap_Theta'!$H$2:$H$1038-AL5))))^2)</f>
        <v/>
      </c>
      <c r="AM8" s="5">
        <f>SUMPRODUCT(('01_Data'!AM2:AM1038&lt;&gt;"")*(1/(1+EXP(-('03_Lap_Theta'!$H$2:$H$1038-AM5))))^2)</f>
        <v/>
      </c>
      <c r="AN8" s="5">
        <f>SUMPRODUCT(('01_Data'!AN2:AN1038&lt;&gt;"")*(1/(1+EXP(-('03_Lap_Theta'!$H$2:$H$1038-AN5))))^2)</f>
        <v/>
      </c>
      <c r="AO8" s="5">
        <f>SUMPRODUCT(('01_Data'!AO2:AO1038&lt;&gt;"")*(1/(1+EXP(-('03_Lap_Theta'!$H$2:$H$1038-AO5))))^2)</f>
        <v/>
      </c>
      <c r="AP8" s="5">
        <f>SUMPRODUCT(('01_Data'!AP2:AP1038&lt;&gt;"")*(1/(1+EXP(-('03_Lap_Theta'!$H$2:$H$1038-AP5))))^2)</f>
        <v/>
      </c>
      <c r="AQ8" s="5">
        <f>SUMPRODUCT(('01_Data'!AQ2:AQ1038&lt;&gt;"")*(1/(1+EXP(-('03_Lap_Theta'!$H$2:$H$1038-AQ5))))^2)</f>
        <v/>
      </c>
      <c r="AR8" s="5">
        <f>SUMPRODUCT(('01_Data'!AR2:AR1038&lt;&gt;"")*(1/(1+EXP(-('03_Lap_Theta'!$H$2:$H$1038-AR5))))^2)</f>
        <v/>
      </c>
      <c r="AS8" s="5">
        <f>SUMPRODUCT(('01_Data'!AS2:AS1038&lt;&gt;"")*(1/(1+EXP(-('03_Lap_Theta'!$H$2:$H$1038-AS5))))^2)</f>
        <v/>
      </c>
      <c r="AT8" s="5">
        <f>SUMPRODUCT(('01_Data'!AT2:AT1038&lt;&gt;"")*(1/(1+EXP(-('03_Lap_Theta'!$H$2:$H$1038-AT5))))^2)</f>
        <v/>
      </c>
      <c r="AU8" s="5">
        <f>SUMPRODUCT(('01_Data'!AU2:AU1038&lt;&gt;"")*(1/(1+EXP(-('03_Lap_Theta'!$H$2:$H$1038-AU5))))^2)</f>
        <v/>
      </c>
      <c r="AV8" s="5">
        <f>SUMPRODUCT(('01_Data'!AV2:AV1038&lt;&gt;"")*(1/(1+EXP(-('03_Lap_Theta'!$H$2:$H$1038-AV5))))^2)</f>
        <v/>
      </c>
      <c r="AW8" s="5">
        <f>SUMPRODUCT(('01_Data'!AW2:AW1038&lt;&gt;"")*(1/(1+EXP(-('03_Lap_Theta'!$H$2:$H$1038-AW5))))^2)</f>
        <v/>
      </c>
    </row>
    <row r="9">
      <c r="A9" s="8" t="inlineStr">
        <is>
          <t>b1_raw</t>
        </is>
      </c>
      <c r="B9" s="5">
        <f>MEDIAN(-6,B5+(B7-'02_KhoiTao'!$E$2)/MAX(B7-B8,0.000000001),6)</f>
        <v/>
      </c>
      <c r="C9" s="5">
        <f>MEDIAN(-6,C5+(C7-'02_KhoiTao'!$E$3)/MAX(C7-C8,0.000000001),6)</f>
        <v/>
      </c>
      <c r="D9" s="5">
        <f>MEDIAN(-6,D5+(D7-'02_KhoiTao'!$E$4)/MAX(D7-D8,0.000000001),6)</f>
        <v/>
      </c>
      <c r="E9" s="5">
        <f>MEDIAN(-6,E5+(E7-'02_KhoiTao'!$E$5)/MAX(E7-E8,0.000000001),6)</f>
        <v/>
      </c>
      <c r="F9" s="5">
        <f>MEDIAN(-6,F5+(F7-'02_KhoiTao'!$E$6)/MAX(F7-F8,0.000000001),6)</f>
        <v/>
      </c>
      <c r="G9" s="5">
        <f>MEDIAN(-6,G5+(G7-'02_KhoiTao'!$E$7)/MAX(G7-G8,0.000000001),6)</f>
        <v/>
      </c>
      <c r="H9" s="5">
        <f>MEDIAN(-6,H5+(H7-'02_KhoiTao'!$E$8)/MAX(H7-H8,0.000000001),6)</f>
        <v/>
      </c>
      <c r="I9" s="5">
        <f>MEDIAN(-6,I5+(I7-'02_KhoiTao'!$E$9)/MAX(I7-I8,0.000000001),6)</f>
        <v/>
      </c>
      <c r="J9" s="5">
        <f>MEDIAN(-6,J5+(J7-'02_KhoiTao'!$E$10)/MAX(J7-J8,0.000000001),6)</f>
        <v/>
      </c>
      <c r="K9" s="5">
        <f>MEDIAN(-6,K5+(K7-'02_KhoiTao'!$E$11)/MAX(K7-K8,0.000000001),6)</f>
        <v/>
      </c>
      <c r="L9" s="5">
        <f>MEDIAN(-6,L5+(L7-'02_KhoiTao'!$E$12)/MAX(L7-L8,0.000000001),6)</f>
        <v/>
      </c>
      <c r="M9" s="5">
        <f>MEDIAN(-6,M5+(M7-'02_KhoiTao'!$E$13)/MAX(M7-M8,0.000000001),6)</f>
        <v/>
      </c>
      <c r="N9" s="5">
        <f>MEDIAN(-6,N5+(N7-'02_KhoiTao'!$E$14)/MAX(N7-N8,0.000000001),6)</f>
        <v/>
      </c>
      <c r="O9" s="5">
        <f>MEDIAN(-6,O5+(O7-'02_KhoiTao'!$E$15)/MAX(O7-O8,0.000000001),6)</f>
        <v/>
      </c>
      <c r="P9" s="5">
        <f>MEDIAN(-6,P5+(P7-'02_KhoiTao'!$E$16)/MAX(P7-P8,0.000000001),6)</f>
        <v/>
      </c>
      <c r="Q9" s="5">
        <f>MEDIAN(-6,Q5+(Q7-'02_KhoiTao'!$E$17)/MAX(Q7-Q8,0.000000001),6)</f>
        <v/>
      </c>
      <c r="R9" s="5">
        <f>MEDIAN(-6,R5+(R7-'02_KhoiTao'!$E$18)/MAX(R7-R8,0.000000001),6)</f>
        <v/>
      </c>
      <c r="S9" s="5">
        <f>MEDIAN(-6,S5+(S7-'02_KhoiTao'!$E$19)/MAX(S7-S8,0.000000001),6)</f>
        <v/>
      </c>
      <c r="T9" s="5">
        <f>MEDIAN(-6,T5+(T7-'02_KhoiTao'!$E$20)/MAX(T7-T8,0.000000001),6)</f>
        <v/>
      </c>
      <c r="U9" s="5">
        <f>MEDIAN(-6,U5+(U7-'02_KhoiTao'!$E$21)/MAX(U7-U8,0.000000001),6)</f>
        <v/>
      </c>
      <c r="V9" s="5">
        <f>MEDIAN(-6,V5+(V7-'02_KhoiTao'!$E$22)/MAX(V7-V8,0.000000001),6)</f>
        <v/>
      </c>
      <c r="W9" s="5">
        <f>MEDIAN(-6,W5+(W7-'02_KhoiTao'!$E$23)/MAX(W7-W8,0.000000001),6)</f>
        <v/>
      </c>
      <c r="X9" s="5">
        <f>MEDIAN(-6,X5+(X7-'02_KhoiTao'!$E$24)/MAX(X7-X8,0.000000001),6)</f>
        <v/>
      </c>
      <c r="Y9" s="5">
        <f>MEDIAN(-6,Y5+(Y7-'02_KhoiTao'!$E$25)/MAX(Y7-Y8,0.000000001),6)</f>
        <v/>
      </c>
      <c r="Z9" s="5">
        <f>MEDIAN(-6,Z5+(Z7-'02_KhoiTao'!$E$26)/MAX(Z7-Z8,0.000000001),6)</f>
        <v/>
      </c>
      <c r="AA9" s="5">
        <f>MEDIAN(-6,AA5+(AA7-'02_KhoiTao'!$E$27)/MAX(AA7-AA8,0.000000001),6)</f>
        <v/>
      </c>
      <c r="AB9" s="5">
        <f>MEDIAN(-6,AB5+(AB7-'02_KhoiTao'!$E$28)/MAX(AB7-AB8,0.000000001),6)</f>
        <v/>
      </c>
      <c r="AC9" s="5">
        <f>MEDIAN(-6,AC5+(AC7-'02_KhoiTao'!$E$29)/MAX(AC7-AC8,0.000000001),6)</f>
        <v/>
      </c>
      <c r="AD9" s="5">
        <f>MEDIAN(-6,AD5+(AD7-'02_KhoiTao'!$E$30)/MAX(AD7-AD8,0.000000001),6)</f>
        <v/>
      </c>
      <c r="AE9" s="5">
        <f>MEDIAN(-6,AE5+(AE7-'02_KhoiTao'!$E$31)/MAX(AE7-AE8,0.000000001),6)</f>
        <v/>
      </c>
      <c r="AF9" s="5">
        <f>MEDIAN(-6,AF5+(AF7-'02_KhoiTao'!$E$32)/MAX(AF7-AF8,0.000000001),6)</f>
        <v/>
      </c>
      <c r="AG9" s="5">
        <f>MEDIAN(-6,AG5+(AG7-'02_KhoiTao'!$E$33)/MAX(AG7-AG8,0.000000001),6)</f>
        <v/>
      </c>
      <c r="AH9" s="5">
        <f>MEDIAN(-6,AH5+(AH7-'02_KhoiTao'!$E$34)/MAX(AH7-AH8,0.000000001),6)</f>
        <v/>
      </c>
      <c r="AI9" s="5">
        <f>MEDIAN(-6,AI5+(AI7-'02_KhoiTao'!$E$35)/MAX(AI7-AI8,0.000000001),6)</f>
        <v/>
      </c>
      <c r="AJ9" s="5">
        <f>MEDIAN(-6,AJ5+(AJ7-'02_KhoiTao'!$E$36)/MAX(AJ7-AJ8,0.000000001),6)</f>
        <v/>
      </c>
      <c r="AK9" s="5">
        <f>MEDIAN(-6,AK5+(AK7-'02_KhoiTao'!$E$37)/MAX(AK7-AK8,0.000000001),6)</f>
        <v/>
      </c>
      <c r="AL9" s="5">
        <f>MEDIAN(-6,AL5+(AL7-'02_KhoiTao'!$E$38)/MAX(AL7-AL8,0.000000001),6)</f>
        <v/>
      </c>
      <c r="AM9" s="5">
        <f>MEDIAN(-6,AM5+(AM7-'02_KhoiTao'!$E$39)/MAX(AM7-AM8,0.000000001),6)</f>
        <v/>
      </c>
      <c r="AN9" s="5">
        <f>MEDIAN(-6,AN5+(AN7-'02_KhoiTao'!$E$40)/MAX(AN7-AN8,0.000000001),6)</f>
        <v/>
      </c>
      <c r="AO9" s="5">
        <f>MEDIAN(-6,AO5+(AO7-'02_KhoiTao'!$E$41)/MAX(AO7-AO8,0.000000001),6)</f>
        <v/>
      </c>
      <c r="AP9" s="5">
        <f>MEDIAN(-6,AP5+(AP7-'02_KhoiTao'!$E$42)/MAX(AP7-AP8,0.000000001),6)</f>
        <v/>
      </c>
      <c r="AQ9" s="5">
        <f>MEDIAN(-6,AQ5+(AQ7-'02_KhoiTao'!$E$43)/MAX(AQ7-AQ8,0.000000001),6)</f>
        <v/>
      </c>
      <c r="AR9" s="5">
        <f>MEDIAN(-6,AR5+(AR7-'02_KhoiTao'!$E$44)/MAX(AR7-AR8,0.000000001),6)</f>
        <v/>
      </c>
      <c r="AS9" s="5">
        <f>MEDIAN(-6,AS5+(AS7-'02_KhoiTao'!$E$45)/MAX(AS7-AS8,0.000000001),6)</f>
        <v/>
      </c>
      <c r="AT9" s="5">
        <f>MEDIAN(-6,AT5+(AT7-'02_KhoiTao'!$E$46)/MAX(AT7-AT8,0.000000001),6)</f>
        <v/>
      </c>
      <c r="AU9" s="5">
        <f>MEDIAN(-6,AU5+(AU7-'02_KhoiTao'!$E$47)/MAX(AU7-AU8,0.000000001),6)</f>
        <v/>
      </c>
      <c r="AV9" s="5">
        <f>MEDIAN(-6,AV5+(AV7-'02_KhoiTao'!$E$48)/MAX(AV7-AV8,0.000000001),6)</f>
        <v/>
      </c>
      <c r="AW9" s="5">
        <f>MEDIAN(-6,AW5+(AW7-'02_KhoiTao'!$E$49)/MAX(AW7-AW8,0.000000001),6)</f>
        <v/>
      </c>
    </row>
    <row r="10">
      <c r="A10" s="4" t="inlineStr">
        <is>
          <t>b1 (canh tâm)</t>
        </is>
      </c>
      <c r="B10" s="5">
        <f>B9-AVERAGE(B9:AW9)</f>
        <v/>
      </c>
      <c r="C10" s="5">
        <f>C9-AVERAGE(B9:AW9)</f>
        <v/>
      </c>
      <c r="D10" s="5">
        <f>D9-AVERAGE(B9:AW9)</f>
        <v/>
      </c>
      <c r="E10" s="5">
        <f>E9-AVERAGE(B9:AW9)</f>
        <v/>
      </c>
      <c r="F10" s="5">
        <f>F9-AVERAGE(B9:AW9)</f>
        <v/>
      </c>
      <c r="G10" s="5">
        <f>G9-AVERAGE(B9:AW9)</f>
        <v/>
      </c>
      <c r="H10" s="5">
        <f>H9-AVERAGE(B9:AW9)</f>
        <v/>
      </c>
      <c r="I10" s="5">
        <f>I9-AVERAGE(B9:AW9)</f>
        <v/>
      </c>
      <c r="J10" s="5">
        <f>J9-AVERAGE(B9:AW9)</f>
        <v/>
      </c>
      <c r="K10" s="5">
        <f>K9-AVERAGE(B9:AW9)</f>
        <v/>
      </c>
      <c r="L10" s="5">
        <f>L9-AVERAGE(B9:AW9)</f>
        <v/>
      </c>
      <c r="M10" s="5">
        <f>M9-AVERAGE(B9:AW9)</f>
        <v/>
      </c>
      <c r="N10" s="5">
        <f>N9-AVERAGE(B9:AW9)</f>
        <v/>
      </c>
      <c r="O10" s="5">
        <f>O9-AVERAGE(B9:AW9)</f>
        <v/>
      </c>
      <c r="P10" s="5">
        <f>P9-AVERAGE(B9:AW9)</f>
        <v/>
      </c>
      <c r="Q10" s="5">
        <f>Q9-AVERAGE(B9:AW9)</f>
        <v/>
      </c>
      <c r="R10" s="5">
        <f>R9-AVERAGE(B9:AW9)</f>
        <v/>
      </c>
      <c r="S10" s="5">
        <f>S9-AVERAGE(B9:AW9)</f>
        <v/>
      </c>
      <c r="T10" s="5">
        <f>T9-AVERAGE(B9:AW9)</f>
        <v/>
      </c>
      <c r="U10" s="5">
        <f>U9-AVERAGE(B9:AW9)</f>
        <v/>
      </c>
      <c r="V10" s="5">
        <f>V9-AVERAGE(B9:AW9)</f>
        <v/>
      </c>
      <c r="W10" s="5">
        <f>W9-AVERAGE(B9:AW9)</f>
        <v/>
      </c>
      <c r="X10" s="5">
        <f>X9-AVERAGE(B9:AW9)</f>
        <v/>
      </c>
      <c r="Y10" s="5">
        <f>Y9-AVERAGE(B9:AW9)</f>
        <v/>
      </c>
      <c r="Z10" s="5">
        <f>Z9-AVERAGE(B9:AW9)</f>
        <v/>
      </c>
      <c r="AA10" s="5">
        <f>AA9-AVERAGE(B9:AW9)</f>
        <v/>
      </c>
      <c r="AB10" s="5">
        <f>AB9-AVERAGE(B9:AW9)</f>
        <v/>
      </c>
      <c r="AC10" s="5">
        <f>AC9-AVERAGE(B9:AW9)</f>
        <v/>
      </c>
      <c r="AD10" s="5">
        <f>AD9-AVERAGE(B9:AW9)</f>
        <v/>
      </c>
      <c r="AE10" s="5">
        <f>AE9-AVERAGE(B9:AW9)</f>
        <v/>
      </c>
      <c r="AF10" s="5">
        <f>AF9-AVERAGE(B9:AW9)</f>
        <v/>
      </c>
      <c r="AG10" s="5">
        <f>AG9-AVERAGE(B9:AW9)</f>
        <v/>
      </c>
      <c r="AH10" s="5">
        <f>AH9-AVERAGE(B9:AW9)</f>
        <v/>
      </c>
      <c r="AI10" s="5">
        <f>AI9-AVERAGE(B9:AW9)</f>
        <v/>
      </c>
      <c r="AJ10" s="5">
        <f>AJ9-AVERAGE(B9:AW9)</f>
        <v/>
      </c>
      <c r="AK10" s="5">
        <f>AK9-AVERAGE(B9:AW9)</f>
        <v/>
      </c>
      <c r="AL10" s="5">
        <f>AL9-AVERAGE(B9:AW9)</f>
        <v/>
      </c>
      <c r="AM10" s="5">
        <f>AM9-AVERAGE(B9:AW9)</f>
        <v/>
      </c>
      <c r="AN10" s="5">
        <f>AN9-AVERAGE(B9:AW9)</f>
        <v/>
      </c>
      <c r="AO10" s="5">
        <f>AO9-AVERAGE(B9:AW9)</f>
        <v/>
      </c>
      <c r="AP10" s="5">
        <f>AP9-AVERAGE(B9:AW9)</f>
        <v/>
      </c>
      <c r="AQ10" s="5">
        <f>AQ9-AVERAGE(B9:AW9)</f>
        <v/>
      </c>
      <c r="AR10" s="5">
        <f>AR9-AVERAGE(B9:AW9)</f>
        <v/>
      </c>
      <c r="AS10" s="5">
        <f>AS9-AVERAGE(B9:AW9)</f>
        <v/>
      </c>
      <c r="AT10" s="5">
        <f>AT9-AVERAGE(B9:AW9)</f>
        <v/>
      </c>
      <c r="AU10" s="5">
        <f>AU9-AVERAGE(B9:AW9)</f>
        <v/>
      </c>
      <c r="AV10" s="5">
        <f>AV9-AVERAGE(B9:AW9)</f>
        <v/>
      </c>
      <c r="AW10" s="5">
        <f>AW9-AVERAGE(B9:AW9)</f>
        <v/>
      </c>
      <c r="AX10" s="8" t="inlineStr">
        <is>
          <t>max|Δb|</t>
        </is>
      </c>
      <c r="AY10" s="9">
        <f t="array" ref="AY10">MAX(ABS(B10:AW10-B5:AW5))</f>
        <v/>
      </c>
    </row>
    <row r="12">
      <c r="A12" s="8" t="inlineStr">
        <is>
          <t>ΣP vòng 2</t>
        </is>
      </c>
      <c r="B12" s="5">
        <f>SUMPRODUCT(('01_Data'!B2:B1038&lt;&gt;"")*(1/(1+EXP(-('03_Lap_Theta'!$K$2:$K$1038-B10)))))</f>
        <v/>
      </c>
      <c r="C12" s="5">
        <f>SUMPRODUCT(('01_Data'!C2:C1038&lt;&gt;"")*(1/(1+EXP(-('03_Lap_Theta'!$K$2:$K$1038-C10)))))</f>
        <v/>
      </c>
      <c r="D12" s="5">
        <f>SUMPRODUCT(('01_Data'!D2:D1038&lt;&gt;"")*(1/(1+EXP(-('03_Lap_Theta'!$K$2:$K$1038-D10)))))</f>
        <v/>
      </c>
      <c r="E12" s="5">
        <f>SUMPRODUCT(('01_Data'!E2:E1038&lt;&gt;"")*(1/(1+EXP(-('03_Lap_Theta'!$K$2:$K$1038-E10)))))</f>
        <v/>
      </c>
      <c r="F12" s="5">
        <f>SUMPRODUCT(('01_Data'!F2:F1038&lt;&gt;"")*(1/(1+EXP(-('03_Lap_Theta'!$K$2:$K$1038-F10)))))</f>
        <v/>
      </c>
      <c r="G12" s="5">
        <f>SUMPRODUCT(('01_Data'!G2:G1038&lt;&gt;"")*(1/(1+EXP(-('03_Lap_Theta'!$K$2:$K$1038-G10)))))</f>
        <v/>
      </c>
      <c r="H12" s="5">
        <f>SUMPRODUCT(('01_Data'!H2:H1038&lt;&gt;"")*(1/(1+EXP(-('03_Lap_Theta'!$K$2:$K$1038-H10)))))</f>
        <v/>
      </c>
      <c r="I12" s="5">
        <f>SUMPRODUCT(('01_Data'!I2:I1038&lt;&gt;"")*(1/(1+EXP(-('03_Lap_Theta'!$K$2:$K$1038-I10)))))</f>
        <v/>
      </c>
      <c r="J12" s="5">
        <f>SUMPRODUCT(('01_Data'!J2:J1038&lt;&gt;"")*(1/(1+EXP(-('03_Lap_Theta'!$K$2:$K$1038-J10)))))</f>
        <v/>
      </c>
      <c r="K12" s="5">
        <f>SUMPRODUCT(('01_Data'!K2:K1038&lt;&gt;"")*(1/(1+EXP(-('03_Lap_Theta'!$K$2:$K$1038-K10)))))</f>
        <v/>
      </c>
      <c r="L12" s="5">
        <f>SUMPRODUCT(('01_Data'!L2:L1038&lt;&gt;"")*(1/(1+EXP(-('03_Lap_Theta'!$K$2:$K$1038-L10)))))</f>
        <v/>
      </c>
      <c r="M12" s="5">
        <f>SUMPRODUCT(('01_Data'!M2:M1038&lt;&gt;"")*(1/(1+EXP(-('03_Lap_Theta'!$K$2:$K$1038-M10)))))</f>
        <v/>
      </c>
      <c r="N12" s="5">
        <f>SUMPRODUCT(('01_Data'!N2:N1038&lt;&gt;"")*(1/(1+EXP(-('03_Lap_Theta'!$K$2:$K$1038-N10)))))</f>
        <v/>
      </c>
      <c r="O12" s="5">
        <f>SUMPRODUCT(('01_Data'!O2:O1038&lt;&gt;"")*(1/(1+EXP(-('03_Lap_Theta'!$K$2:$K$1038-O10)))))</f>
        <v/>
      </c>
      <c r="P12" s="5">
        <f>SUMPRODUCT(('01_Data'!P2:P1038&lt;&gt;"")*(1/(1+EXP(-('03_Lap_Theta'!$K$2:$K$1038-P10)))))</f>
        <v/>
      </c>
      <c r="Q12" s="5">
        <f>SUMPRODUCT(('01_Data'!Q2:Q1038&lt;&gt;"")*(1/(1+EXP(-('03_Lap_Theta'!$K$2:$K$1038-Q10)))))</f>
        <v/>
      </c>
      <c r="R12" s="5">
        <f>SUMPRODUCT(('01_Data'!R2:R1038&lt;&gt;"")*(1/(1+EXP(-('03_Lap_Theta'!$K$2:$K$1038-R10)))))</f>
        <v/>
      </c>
      <c r="S12" s="5">
        <f>SUMPRODUCT(('01_Data'!S2:S1038&lt;&gt;"")*(1/(1+EXP(-('03_Lap_Theta'!$K$2:$K$1038-S10)))))</f>
        <v/>
      </c>
      <c r="T12" s="5">
        <f>SUMPRODUCT(('01_Data'!T2:T1038&lt;&gt;"")*(1/(1+EXP(-('03_Lap_Theta'!$K$2:$K$1038-T10)))))</f>
        <v/>
      </c>
      <c r="U12" s="5">
        <f>SUMPRODUCT(('01_Data'!U2:U1038&lt;&gt;"")*(1/(1+EXP(-('03_Lap_Theta'!$K$2:$K$1038-U10)))))</f>
        <v/>
      </c>
      <c r="V12" s="5">
        <f>SUMPRODUCT(('01_Data'!V2:V1038&lt;&gt;"")*(1/(1+EXP(-('03_Lap_Theta'!$K$2:$K$1038-V10)))))</f>
        <v/>
      </c>
      <c r="W12" s="5">
        <f>SUMPRODUCT(('01_Data'!W2:W1038&lt;&gt;"")*(1/(1+EXP(-('03_Lap_Theta'!$K$2:$K$1038-W10)))))</f>
        <v/>
      </c>
      <c r="X12" s="5">
        <f>SUMPRODUCT(('01_Data'!X2:X1038&lt;&gt;"")*(1/(1+EXP(-('03_Lap_Theta'!$K$2:$K$1038-X10)))))</f>
        <v/>
      </c>
      <c r="Y12" s="5">
        <f>SUMPRODUCT(('01_Data'!Y2:Y1038&lt;&gt;"")*(1/(1+EXP(-('03_Lap_Theta'!$K$2:$K$1038-Y10)))))</f>
        <v/>
      </c>
      <c r="Z12" s="5">
        <f>SUMPRODUCT(('01_Data'!Z2:Z1038&lt;&gt;"")*(1/(1+EXP(-('03_Lap_Theta'!$K$2:$K$1038-Z10)))))</f>
        <v/>
      </c>
      <c r="AA12" s="5">
        <f>SUMPRODUCT(('01_Data'!AA2:AA1038&lt;&gt;"")*(1/(1+EXP(-('03_Lap_Theta'!$K$2:$K$1038-AA10)))))</f>
        <v/>
      </c>
      <c r="AB12" s="5">
        <f>SUMPRODUCT(('01_Data'!AB2:AB1038&lt;&gt;"")*(1/(1+EXP(-('03_Lap_Theta'!$K$2:$K$1038-AB10)))))</f>
        <v/>
      </c>
      <c r="AC12" s="5">
        <f>SUMPRODUCT(('01_Data'!AC2:AC1038&lt;&gt;"")*(1/(1+EXP(-('03_Lap_Theta'!$K$2:$K$1038-AC10)))))</f>
        <v/>
      </c>
      <c r="AD12" s="5">
        <f>SUMPRODUCT(('01_Data'!AD2:AD1038&lt;&gt;"")*(1/(1+EXP(-('03_Lap_Theta'!$K$2:$K$1038-AD10)))))</f>
        <v/>
      </c>
      <c r="AE12" s="5">
        <f>SUMPRODUCT(('01_Data'!AE2:AE1038&lt;&gt;"")*(1/(1+EXP(-('03_Lap_Theta'!$K$2:$K$1038-AE10)))))</f>
        <v/>
      </c>
      <c r="AF12" s="5">
        <f>SUMPRODUCT(('01_Data'!AF2:AF1038&lt;&gt;"")*(1/(1+EXP(-('03_Lap_Theta'!$K$2:$K$1038-AF10)))))</f>
        <v/>
      </c>
      <c r="AG12" s="5">
        <f>SUMPRODUCT(('01_Data'!AG2:AG1038&lt;&gt;"")*(1/(1+EXP(-('03_Lap_Theta'!$K$2:$K$1038-AG10)))))</f>
        <v/>
      </c>
      <c r="AH12" s="5">
        <f>SUMPRODUCT(('01_Data'!AH2:AH1038&lt;&gt;"")*(1/(1+EXP(-('03_Lap_Theta'!$K$2:$K$1038-AH10)))))</f>
        <v/>
      </c>
      <c r="AI12" s="5">
        <f>SUMPRODUCT(('01_Data'!AI2:AI1038&lt;&gt;"")*(1/(1+EXP(-('03_Lap_Theta'!$K$2:$K$1038-AI10)))))</f>
        <v/>
      </c>
      <c r="AJ12" s="5">
        <f>SUMPRODUCT(('01_Data'!AJ2:AJ1038&lt;&gt;"")*(1/(1+EXP(-('03_Lap_Theta'!$K$2:$K$1038-AJ10)))))</f>
        <v/>
      </c>
      <c r="AK12" s="5">
        <f>SUMPRODUCT(('01_Data'!AK2:AK1038&lt;&gt;"")*(1/(1+EXP(-('03_Lap_Theta'!$K$2:$K$1038-AK10)))))</f>
        <v/>
      </c>
      <c r="AL12" s="5">
        <f>SUMPRODUCT(('01_Data'!AL2:AL1038&lt;&gt;"")*(1/(1+EXP(-('03_Lap_Theta'!$K$2:$K$1038-AL10)))))</f>
        <v/>
      </c>
      <c r="AM12" s="5">
        <f>SUMPRODUCT(('01_Data'!AM2:AM1038&lt;&gt;"")*(1/(1+EXP(-('03_Lap_Theta'!$K$2:$K$1038-AM10)))))</f>
        <v/>
      </c>
      <c r="AN12" s="5">
        <f>SUMPRODUCT(('01_Data'!AN2:AN1038&lt;&gt;"")*(1/(1+EXP(-('03_Lap_Theta'!$K$2:$K$1038-AN10)))))</f>
        <v/>
      </c>
      <c r="AO12" s="5">
        <f>SUMPRODUCT(('01_Data'!AO2:AO1038&lt;&gt;"")*(1/(1+EXP(-('03_Lap_Theta'!$K$2:$K$1038-AO10)))))</f>
        <v/>
      </c>
      <c r="AP12" s="5">
        <f>SUMPRODUCT(('01_Data'!AP2:AP1038&lt;&gt;"")*(1/(1+EXP(-('03_Lap_Theta'!$K$2:$K$1038-AP10)))))</f>
        <v/>
      </c>
      <c r="AQ12" s="5">
        <f>SUMPRODUCT(('01_Data'!AQ2:AQ1038&lt;&gt;"")*(1/(1+EXP(-('03_Lap_Theta'!$K$2:$K$1038-AQ10)))))</f>
        <v/>
      </c>
      <c r="AR12" s="5">
        <f>SUMPRODUCT(('01_Data'!AR2:AR1038&lt;&gt;"")*(1/(1+EXP(-('03_Lap_Theta'!$K$2:$K$1038-AR10)))))</f>
        <v/>
      </c>
      <c r="AS12" s="5">
        <f>SUMPRODUCT(('01_Data'!AS2:AS1038&lt;&gt;"")*(1/(1+EXP(-('03_Lap_Theta'!$K$2:$K$1038-AS10)))))</f>
        <v/>
      </c>
      <c r="AT12" s="5">
        <f>SUMPRODUCT(('01_Data'!AT2:AT1038&lt;&gt;"")*(1/(1+EXP(-('03_Lap_Theta'!$K$2:$K$1038-AT10)))))</f>
        <v/>
      </c>
      <c r="AU12" s="5">
        <f>SUMPRODUCT(('01_Data'!AU2:AU1038&lt;&gt;"")*(1/(1+EXP(-('03_Lap_Theta'!$K$2:$K$1038-AU10)))))</f>
        <v/>
      </c>
      <c r="AV12" s="5">
        <f>SUMPRODUCT(('01_Data'!AV2:AV1038&lt;&gt;"")*(1/(1+EXP(-('03_Lap_Theta'!$K$2:$K$1038-AV10)))))</f>
        <v/>
      </c>
      <c r="AW12" s="5">
        <f>SUMPRODUCT(('01_Data'!AW2:AW1038&lt;&gt;"")*(1/(1+EXP(-('03_Lap_Theta'!$K$2:$K$1038-AW10)))))</f>
        <v/>
      </c>
    </row>
    <row r="13">
      <c r="A13" s="8" t="inlineStr">
        <is>
          <t>ΣP² vòng 2</t>
        </is>
      </c>
      <c r="B13" s="5">
        <f>SUMPRODUCT(('01_Data'!B2:B1038&lt;&gt;"")*(1/(1+EXP(-('03_Lap_Theta'!$K$2:$K$1038-B10))))^2)</f>
        <v/>
      </c>
      <c r="C13" s="5">
        <f>SUMPRODUCT(('01_Data'!C2:C1038&lt;&gt;"")*(1/(1+EXP(-('03_Lap_Theta'!$K$2:$K$1038-C10))))^2)</f>
        <v/>
      </c>
      <c r="D13" s="5">
        <f>SUMPRODUCT(('01_Data'!D2:D1038&lt;&gt;"")*(1/(1+EXP(-('03_Lap_Theta'!$K$2:$K$1038-D10))))^2)</f>
        <v/>
      </c>
      <c r="E13" s="5">
        <f>SUMPRODUCT(('01_Data'!E2:E1038&lt;&gt;"")*(1/(1+EXP(-('03_Lap_Theta'!$K$2:$K$1038-E10))))^2)</f>
        <v/>
      </c>
      <c r="F13" s="5">
        <f>SUMPRODUCT(('01_Data'!F2:F1038&lt;&gt;"")*(1/(1+EXP(-('03_Lap_Theta'!$K$2:$K$1038-F10))))^2)</f>
        <v/>
      </c>
      <c r="G13" s="5">
        <f>SUMPRODUCT(('01_Data'!G2:G1038&lt;&gt;"")*(1/(1+EXP(-('03_Lap_Theta'!$K$2:$K$1038-G10))))^2)</f>
        <v/>
      </c>
      <c r="H13" s="5">
        <f>SUMPRODUCT(('01_Data'!H2:H1038&lt;&gt;"")*(1/(1+EXP(-('03_Lap_Theta'!$K$2:$K$1038-H10))))^2)</f>
        <v/>
      </c>
      <c r="I13" s="5">
        <f>SUMPRODUCT(('01_Data'!I2:I1038&lt;&gt;"")*(1/(1+EXP(-('03_Lap_Theta'!$K$2:$K$1038-I10))))^2)</f>
        <v/>
      </c>
      <c r="J13" s="5">
        <f>SUMPRODUCT(('01_Data'!J2:J1038&lt;&gt;"")*(1/(1+EXP(-('03_Lap_Theta'!$K$2:$K$1038-J10))))^2)</f>
        <v/>
      </c>
      <c r="K13" s="5">
        <f>SUMPRODUCT(('01_Data'!K2:K1038&lt;&gt;"")*(1/(1+EXP(-('03_Lap_Theta'!$K$2:$K$1038-K10))))^2)</f>
        <v/>
      </c>
      <c r="L13" s="5">
        <f>SUMPRODUCT(('01_Data'!L2:L1038&lt;&gt;"")*(1/(1+EXP(-('03_Lap_Theta'!$K$2:$K$1038-L10))))^2)</f>
        <v/>
      </c>
      <c r="M13" s="5">
        <f>SUMPRODUCT(('01_Data'!M2:M1038&lt;&gt;"")*(1/(1+EXP(-('03_Lap_Theta'!$K$2:$K$1038-M10))))^2)</f>
        <v/>
      </c>
      <c r="N13" s="5">
        <f>SUMPRODUCT(('01_Data'!N2:N1038&lt;&gt;"")*(1/(1+EXP(-('03_Lap_Theta'!$K$2:$K$1038-N10))))^2)</f>
        <v/>
      </c>
      <c r="O13" s="5">
        <f>SUMPRODUCT(('01_Data'!O2:O1038&lt;&gt;"")*(1/(1+EXP(-('03_Lap_Theta'!$K$2:$K$1038-O10))))^2)</f>
        <v/>
      </c>
      <c r="P13" s="5">
        <f>SUMPRODUCT(('01_Data'!P2:P1038&lt;&gt;"")*(1/(1+EXP(-('03_Lap_Theta'!$K$2:$K$1038-P10))))^2)</f>
        <v/>
      </c>
      <c r="Q13" s="5">
        <f>SUMPRODUCT(('01_Data'!Q2:Q1038&lt;&gt;"")*(1/(1+EXP(-('03_Lap_Theta'!$K$2:$K$1038-Q10))))^2)</f>
        <v/>
      </c>
      <c r="R13" s="5">
        <f>SUMPRODUCT(('01_Data'!R2:R1038&lt;&gt;"")*(1/(1+EXP(-('03_Lap_Theta'!$K$2:$K$1038-R10))))^2)</f>
        <v/>
      </c>
      <c r="S13" s="5">
        <f>SUMPRODUCT(('01_Data'!S2:S1038&lt;&gt;"")*(1/(1+EXP(-('03_Lap_Theta'!$K$2:$K$1038-S10))))^2)</f>
        <v/>
      </c>
      <c r="T13" s="5">
        <f>SUMPRODUCT(('01_Data'!T2:T1038&lt;&gt;"")*(1/(1+EXP(-('03_Lap_Theta'!$K$2:$K$1038-T10))))^2)</f>
        <v/>
      </c>
      <c r="U13" s="5">
        <f>SUMPRODUCT(('01_Data'!U2:U1038&lt;&gt;"")*(1/(1+EXP(-('03_Lap_Theta'!$K$2:$K$1038-U10))))^2)</f>
        <v/>
      </c>
      <c r="V13" s="5">
        <f>SUMPRODUCT(('01_Data'!V2:V1038&lt;&gt;"")*(1/(1+EXP(-('03_Lap_Theta'!$K$2:$K$1038-V10))))^2)</f>
        <v/>
      </c>
      <c r="W13" s="5">
        <f>SUMPRODUCT(('01_Data'!W2:W1038&lt;&gt;"")*(1/(1+EXP(-('03_Lap_Theta'!$K$2:$K$1038-W10))))^2)</f>
        <v/>
      </c>
      <c r="X13" s="5">
        <f>SUMPRODUCT(('01_Data'!X2:X1038&lt;&gt;"")*(1/(1+EXP(-('03_Lap_Theta'!$K$2:$K$1038-X10))))^2)</f>
        <v/>
      </c>
      <c r="Y13" s="5">
        <f>SUMPRODUCT(('01_Data'!Y2:Y1038&lt;&gt;"")*(1/(1+EXP(-('03_Lap_Theta'!$K$2:$K$1038-Y10))))^2)</f>
        <v/>
      </c>
      <c r="Z13" s="5">
        <f>SUMPRODUCT(('01_Data'!Z2:Z1038&lt;&gt;"")*(1/(1+EXP(-('03_Lap_Theta'!$K$2:$K$1038-Z10))))^2)</f>
        <v/>
      </c>
      <c r="AA13" s="5">
        <f>SUMPRODUCT(('01_Data'!AA2:AA1038&lt;&gt;"")*(1/(1+EXP(-('03_Lap_Theta'!$K$2:$K$1038-AA10))))^2)</f>
        <v/>
      </c>
      <c r="AB13" s="5">
        <f>SUMPRODUCT(('01_Data'!AB2:AB1038&lt;&gt;"")*(1/(1+EXP(-('03_Lap_Theta'!$K$2:$K$1038-AB10))))^2)</f>
        <v/>
      </c>
      <c r="AC13" s="5">
        <f>SUMPRODUCT(('01_Data'!AC2:AC1038&lt;&gt;"")*(1/(1+EXP(-('03_Lap_Theta'!$K$2:$K$1038-AC10))))^2)</f>
        <v/>
      </c>
      <c r="AD13" s="5">
        <f>SUMPRODUCT(('01_Data'!AD2:AD1038&lt;&gt;"")*(1/(1+EXP(-('03_Lap_Theta'!$K$2:$K$1038-AD10))))^2)</f>
        <v/>
      </c>
      <c r="AE13" s="5">
        <f>SUMPRODUCT(('01_Data'!AE2:AE1038&lt;&gt;"")*(1/(1+EXP(-('03_Lap_Theta'!$K$2:$K$1038-AE10))))^2)</f>
        <v/>
      </c>
      <c r="AF13" s="5">
        <f>SUMPRODUCT(('01_Data'!AF2:AF1038&lt;&gt;"")*(1/(1+EXP(-('03_Lap_Theta'!$K$2:$K$1038-AF10))))^2)</f>
        <v/>
      </c>
      <c r="AG13" s="5">
        <f>SUMPRODUCT(('01_Data'!AG2:AG1038&lt;&gt;"")*(1/(1+EXP(-('03_Lap_Theta'!$K$2:$K$1038-AG10))))^2)</f>
        <v/>
      </c>
      <c r="AH13" s="5">
        <f>SUMPRODUCT(('01_Data'!AH2:AH1038&lt;&gt;"")*(1/(1+EXP(-('03_Lap_Theta'!$K$2:$K$1038-AH10))))^2)</f>
        <v/>
      </c>
      <c r="AI13" s="5">
        <f>SUMPRODUCT(('01_Data'!AI2:AI1038&lt;&gt;"")*(1/(1+EXP(-('03_Lap_Theta'!$K$2:$K$1038-AI10))))^2)</f>
        <v/>
      </c>
      <c r="AJ13" s="5">
        <f>SUMPRODUCT(('01_Data'!AJ2:AJ1038&lt;&gt;"")*(1/(1+EXP(-('03_Lap_Theta'!$K$2:$K$1038-AJ10))))^2)</f>
        <v/>
      </c>
      <c r="AK13" s="5">
        <f>SUMPRODUCT(('01_Data'!AK2:AK1038&lt;&gt;"")*(1/(1+EXP(-('03_Lap_Theta'!$K$2:$K$1038-AK10))))^2)</f>
        <v/>
      </c>
      <c r="AL13" s="5">
        <f>SUMPRODUCT(('01_Data'!AL2:AL1038&lt;&gt;"")*(1/(1+EXP(-('03_Lap_Theta'!$K$2:$K$1038-AL10))))^2)</f>
        <v/>
      </c>
      <c r="AM13" s="5">
        <f>SUMPRODUCT(('01_Data'!AM2:AM1038&lt;&gt;"")*(1/(1+EXP(-('03_Lap_Theta'!$K$2:$K$1038-AM10))))^2)</f>
        <v/>
      </c>
      <c r="AN13" s="5">
        <f>SUMPRODUCT(('01_Data'!AN2:AN1038&lt;&gt;"")*(1/(1+EXP(-('03_Lap_Theta'!$K$2:$K$1038-AN10))))^2)</f>
        <v/>
      </c>
      <c r="AO13" s="5">
        <f>SUMPRODUCT(('01_Data'!AO2:AO1038&lt;&gt;"")*(1/(1+EXP(-('03_Lap_Theta'!$K$2:$K$1038-AO10))))^2)</f>
        <v/>
      </c>
      <c r="AP13" s="5">
        <f>SUMPRODUCT(('01_Data'!AP2:AP1038&lt;&gt;"")*(1/(1+EXP(-('03_Lap_Theta'!$K$2:$K$1038-AP10))))^2)</f>
        <v/>
      </c>
      <c r="AQ13" s="5">
        <f>SUMPRODUCT(('01_Data'!AQ2:AQ1038&lt;&gt;"")*(1/(1+EXP(-('03_Lap_Theta'!$K$2:$K$1038-AQ10))))^2)</f>
        <v/>
      </c>
      <c r="AR13" s="5">
        <f>SUMPRODUCT(('01_Data'!AR2:AR1038&lt;&gt;"")*(1/(1+EXP(-('03_Lap_Theta'!$K$2:$K$1038-AR10))))^2)</f>
        <v/>
      </c>
      <c r="AS13" s="5">
        <f>SUMPRODUCT(('01_Data'!AS2:AS1038&lt;&gt;"")*(1/(1+EXP(-('03_Lap_Theta'!$K$2:$K$1038-AS10))))^2)</f>
        <v/>
      </c>
      <c r="AT13" s="5">
        <f>SUMPRODUCT(('01_Data'!AT2:AT1038&lt;&gt;"")*(1/(1+EXP(-('03_Lap_Theta'!$K$2:$K$1038-AT10))))^2)</f>
        <v/>
      </c>
      <c r="AU13" s="5">
        <f>SUMPRODUCT(('01_Data'!AU2:AU1038&lt;&gt;"")*(1/(1+EXP(-('03_Lap_Theta'!$K$2:$K$1038-AU10))))^2)</f>
        <v/>
      </c>
      <c r="AV13" s="5">
        <f>SUMPRODUCT(('01_Data'!AV2:AV1038&lt;&gt;"")*(1/(1+EXP(-('03_Lap_Theta'!$K$2:$K$1038-AV10))))^2)</f>
        <v/>
      </c>
      <c r="AW13" s="5">
        <f>SUMPRODUCT(('01_Data'!AW2:AW1038&lt;&gt;"")*(1/(1+EXP(-('03_Lap_Theta'!$K$2:$K$1038-AW10))))^2)</f>
        <v/>
      </c>
    </row>
    <row r="14">
      <c r="A14" s="8" t="inlineStr">
        <is>
          <t>b2_raw</t>
        </is>
      </c>
      <c r="B14" s="5">
        <f>MEDIAN(-6,B10+(B12-'02_KhoiTao'!$E$2)/MAX(B12-B13,0.000000001),6)</f>
        <v/>
      </c>
      <c r="C14" s="5">
        <f>MEDIAN(-6,C10+(C12-'02_KhoiTao'!$E$3)/MAX(C12-C13,0.000000001),6)</f>
        <v/>
      </c>
      <c r="D14" s="5">
        <f>MEDIAN(-6,D10+(D12-'02_KhoiTao'!$E$4)/MAX(D12-D13,0.000000001),6)</f>
        <v/>
      </c>
      <c r="E14" s="5">
        <f>MEDIAN(-6,E10+(E12-'02_KhoiTao'!$E$5)/MAX(E12-E13,0.000000001),6)</f>
        <v/>
      </c>
      <c r="F14" s="5">
        <f>MEDIAN(-6,F10+(F12-'02_KhoiTao'!$E$6)/MAX(F12-F13,0.000000001),6)</f>
        <v/>
      </c>
      <c r="G14" s="5">
        <f>MEDIAN(-6,G10+(G12-'02_KhoiTao'!$E$7)/MAX(G12-G13,0.000000001),6)</f>
        <v/>
      </c>
      <c r="H14" s="5">
        <f>MEDIAN(-6,H10+(H12-'02_KhoiTao'!$E$8)/MAX(H12-H13,0.000000001),6)</f>
        <v/>
      </c>
      <c r="I14" s="5">
        <f>MEDIAN(-6,I10+(I12-'02_KhoiTao'!$E$9)/MAX(I12-I13,0.000000001),6)</f>
        <v/>
      </c>
      <c r="J14" s="5">
        <f>MEDIAN(-6,J10+(J12-'02_KhoiTao'!$E$10)/MAX(J12-J13,0.000000001),6)</f>
        <v/>
      </c>
      <c r="K14" s="5">
        <f>MEDIAN(-6,K10+(K12-'02_KhoiTao'!$E$11)/MAX(K12-K13,0.000000001),6)</f>
        <v/>
      </c>
      <c r="L14" s="5">
        <f>MEDIAN(-6,L10+(L12-'02_KhoiTao'!$E$12)/MAX(L12-L13,0.000000001),6)</f>
        <v/>
      </c>
      <c r="M14" s="5">
        <f>MEDIAN(-6,M10+(M12-'02_KhoiTao'!$E$13)/MAX(M12-M13,0.000000001),6)</f>
        <v/>
      </c>
      <c r="N14" s="5">
        <f>MEDIAN(-6,N10+(N12-'02_KhoiTao'!$E$14)/MAX(N12-N13,0.000000001),6)</f>
        <v/>
      </c>
      <c r="O14" s="5">
        <f>MEDIAN(-6,O10+(O12-'02_KhoiTao'!$E$15)/MAX(O12-O13,0.000000001),6)</f>
        <v/>
      </c>
      <c r="P14" s="5">
        <f>MEDIAN(-6,P10+(P12-'02_KhoiTao'!$E$16)/MAX(P12-P13,0.000000001),6)</f>
        <v/>
      </c>
      <c r="Q14" s="5">
        <f>MEDIAN(-6,Q10+(Q12-'02_KhoiTao'!$E$17)/MAX(Q12-Q13,0.000000001),6)</f>
        <v/>
      </c>
      <c r="R14" s="5">
        <f>MEDIAN(-6,R10+(R12-'02_KhoiTao'!$E$18)/MAX(R12-R13,0.000000001),6)</f>
        <v/>
      </c>
      <c r="S14" s="5">
        <f>MEDIAN(-6,S10+(S12-'02_KhoiTao'!$E$19)/MAX(S12-S13,0.000000001),6)</f>
        <v/>
      </c>
      <c r="T14" s="5">
        <f>MEDIAN(-6,T10+(T12-'02_KhoiTao'!$E$20)/MAX(T12-T13,0.000000001),6)</f>
        <v/>
      </c>
      <c r="U14" s="5">
        <f>MEDIAN(-6,U10+(U12-'02_KhoiTao'!$E$21)/MAX(U12-U13,0.000000001),6)</f>
        <v/>
      </c>
      <c r="V14" s="5">
        <f>MEDIAN(-6,V10+(V12-'02_KhoiTao'!$E$22)/MAX(V12-V13,0.000000001),6)</f>
        <v/>
      </c>
      <c r="W14" s="5">
        <f>MEDIAN(-6,W10+(W12-'02_KhoiTao'!$E$23)/MAX(W12-W13,0.000000001),6)</f>
        <v/>
      </c>
      <c r="X14" s="5">
        <f>MEDIAN(-6,X10+(X12-'02_KhoiTao'!$E$24)/MAX(X12-X13,0.000000001),6)</f>
        <v/>
      </c>
      <c r="Y14" s="5">
        <f>MEDIAN(-6,Y10+(Y12-'02_KhoiTao'!$E$25)/MAX(Y12-Y13,0.000000001),6)</f>
        <v/>
      </c>
      <c r="Z14" s="5">
        <f>MEDIAN(-6,Z10+(Z12-'02_KhoiTao'!$E$26)/MAX(Z12-Z13,0.000000001),6)</f>
        <v/>
      </c>
      <c r="AA14" s="5">
        <f>MEDIAN(-6,AA10+(AA12-'02_KhoiTao'!$E$27)/MAX(AA12-AA13,0.000000001),6)</f>
        <v/>
      </c>
      <c r="AB14" s="5">
        <f>MEDIAN(-6,AB10+(AB12-'02_KhoiTao'!$E$28)/MAX(AB12-AB13,0.000000001),6)</f>
        <v/>
      </c>
      <c r="AC14" s="5">
        <f>MEDIAN(-6,AC10+(AC12-'02_KhoiTao'!$E$29)/MAX(AC12-AC13,0.000000001),6)</f>
        <v/>
      </c>
      <c r="AD14" s="5">
        <f>MEDIAN(-6,AD10+(AD12-'02_KhoiTao'!$E$30)/MAX(AD12-AD13,0.000000001),6)</f>
        <v/>
      </c>
      <c r="AE14" s="5">
        <f>MEDIAN(-6,AE10+(AE12-'02_KhoiTao'!$E$31)/MAX(AE12-AE13,0.000000001),6)</f>
        <v/>
      </c>
      <c r="AF14" s="5">
        <f>MEDIAN(-6,AF10+(AF12-'02_KhoiTao'!$E$32)/MAX(AF12-AF13,0.000000001),6)</f>
        <v/>
      </c>
      <c r="AG14" s="5">
        <f>MEDIAN(-6,AG10+(AG12-'02_KhoiTao'!$E$33)/MAX(AG12-AG13,0.000000001),6)</f>
        <v/>
      </c>
      <c r="AH14" s="5">
        <f>MEDIAN(-6,AH10+(AH12-'02_KhoiTao'!$E$34)/MAX(AH12-AH13,0.000000001),6)</f>
        <v/>
      </c>
      <c r="AI14" s="5">
        <f>MEDIAN(-6,AI10+(AI12-'02_KhoiTao'!$E$35)/MAX(AI12-AI13,0.000000001),6)</f>
        <v/>
      </c>
      <c r="AJ14" s="5">
        <f>MEDIAN(-6,AJ10+(AJ12-'02_KhoiTao'!$E$36)/MAX(AJ12-AJ13,0.000000001),6)</f>
        <v/>
      </c>
      <c r="AK14" s="5">
        <f>MEDIAN(-6,AK10+(AK12-'02_KhoiTao'!$E$37)/MAX(AK12-AK13,0.000000001),6)</f>
        <v/>
      </c>
      <c r="AL14" s="5">
        <f>MEDIAN(-6,AL10+(AL12-'02_KhoiTao'!$E$38)/MAX(AL12-AL13,0.000000001),6)</f>
        <v/>
      </c>
      <c r="AM14" s="5">
        <f>MEDIAN(-6,AM10+(AM12-'02_KhoiTao'!$E$39)/MAX(AM12-AM13,0.000000001),6)</f>
        <v/>
      </c>
      <c r="AN14" s="5">
        <f>MEDIAN(-6,AN10+(AN12-'02_KhoiTao'!$E$40)/MAX(AN12-AN13,0.000000001),6)</f>
        <v/>
      </c>
      <c r="AO14" s="5">
        <f>MEDIAN(-6,AO10+(AO12-'02_KhoiTao'!$E$41)/MAX(AO12-AO13,0.000000001),6)</f>
        <v/>
      </c>
      <c r="AP14" s="5">
        <f>MEDIAN(-6,AP10+(AP12-'02_KhoiTao'!$E$42)/MAX(AP12-AP13,0.000000001),6)</f>
        <v/>
      </c>
      <c r="AQ14" s="5">
        <f>MEDIAN(-6,AQ10+(AQ12-'02_KhoiTao'!$E$43)/MAX(AQ12-AQ13,0.000000001),6)</f>
        <v/>
      </c>
      <c r="AR14" s="5">
        <f>MEDIAN(-6,AR10+(AR12-'02_KhoiTao'!$E$44)/MAX(AR12-AR13,0.000000001),6)</f>
        <v/>
      </c>
      <c r="AS14" s="5">
        <f>MEDIAN(-6,AS10+(AS12-'02_KhoiTao'!$E$45)/MAX(AS12-AS13,0.000000001),6)</f>
        <v/>
      </c>
      <c r="AT14" s="5">
        <f>MEDIAN(-6,AT10+(AT12-'02_KhoiTao'!$E$46)/MAX(AT12-AT13,0.000000001),6)</f>
        <v/>
      </c>
      <c r="AU14" s="5">
        <f>MEDIAN(-6,AU10+(AU12-'02_KhoiTao'!$E$47)/MAX(AU12-AU13,0.000000001),6)</f>
        <v/>
      </c>
      <c r="AV14" s="5">
        <f>MEDIAN(-6,AV10+(AV12-'02_KhoiTao'!$E$48)/MAX(AV12-AV13,0.000000001),6)</f>
        <v/>
      </c>
      <c r="AW14" s="5">
        <f>MEDIAN(-6,AW10+(AW12-'02_KhoiTao'!$E$49)/MAX(AW12-AW13,0.000000001),6)</f>
        <v/>
      </c>
    </row>
    <row r="15">
      <c r="A15" s="4" t="inlineStr">
        <is>
          <t>b2 (canh tâm)</t>
        </is>
      </c>
      <c r="B15" s="5">
        <f>B14-AVERAGE(B14:AW14)</f>
        <v/>
      </c>
      <c r="C15" s="5">
        <f>C14-AVERAGE(B14:AW14)</f>
        <v/>
      </c>
      <c r="D15" s="5">
        <f>D14-AVERAGE(B14:AW14)</f>
        <v/>
      </c>
      <c r="E15" s="5">
        <f>E14-AVERAGE(B14:AW14)</f>
        <v/>
      </c>
      <c r="F15" s="5">
        <f>F14-AVERAGE(B14:AW14)</f>
        <v/>
      </c>
      <c r="G15" s="5">
        <f>G14-AVERAGE(B14:AW14)</f>
        <v/>
      </c>
      <c r="H15" s="5">
        <f>H14-AVERAGE(B14:AW14)</f>
        <v/>
      </c>
      <c r="I15" s="5">
        <f>I14-AVERAGE(B14:AW14)</f>
        <v/>
      </c>
      <c r="J15" s="5">
        <f>J14-AVERAGE(B14:AW14)</f>
        <v/>
      </c>
      <c r="K15" s="5">
        <f>K14-AVERAGE(B14:AW14)</f>
        <v/>
      </c>
      <c r="L15" s="5">
        <f>L14-AVERAGE(B14:AW14)</f>
        <v/>
      </c>
      <c r="M15" s="5">
        <f>M14-AVERAGE(B14:AW14)</f>
        <v/>
      </c>
      <c r="N15" s="5">
        <f>N14-AVERAGE(B14:AW14)</f>
        <v/>
      </c>
      <c r="O15" s="5">
        <f>O14-AVERAGE(B14:AW14)</f>
        <v/>
      </c>
      <c r="P15" s="5">
        <f>P14-AVERAGE(B14:AW14)</f>
        <v/>
      </c>
      <c r="Q15" s="5">
        <f>Q14-AVERAGE(B14:AW14)</f>
        <v/>
      </c>
      <c r="R15" s="5">
        <f>R14-AVERAGE(B14:AW14)</f>
        <v/>
      </c>
      <c r="S15" s="5">
        <f>S14-AVERAGE(B14:AW14)</f>
        <v/>
      </c>
      <c r="T15" s="5">
        <f>T14-AVERAGE(B14:AW14)</f>
        <v/>
      </c>
      <c r="U15" s="5">
        <f>U14-AVERAGE(B14:AW14)</f>
        <v/>
      </c>
      <c r="V15" s="5">
        <f>V14-AVERAGE(B14:AW14)</f>
        <v/>
      </c>
      <c r="W15" s="5">
        <f>W14-AVERAGE(B14:AW14)</f>
        <v/>
      </c>
      <c r="X15" s="5">
        <f>X14-AVERAGE(B14:AW14)</f>
        <v/>
      </c>
      <c r="Y15" s="5">
        <f>Y14-AVERAGE(B14:AW14)</f>
        <v/>
      </c>
      <c r="Z15" s="5">
        <f>Z14-AVERAGE(B14:AW14)</f>
        <v/>
      </c>
      <c r="AA15" s="5">
        <f>AA14-AVERAGE(B14:AW14)</f>
        <v/>
      </c>
      <c r="AB15" s="5">
        <f>AB14-AVERAGE(B14:AW14)</f>
        <v/>
      </c>
      <c r="AC15" s="5">
        <f>AC14-AVERAGE(B14:AW14)</f>
        <v/>
      </c>
      <c r="AD15" s="5">
        <f>AD14-AVERAGE(B14:AW14)</f>
        <v/>
      </c>
      <c r="AE15" s="5">
        <f>AE14-AVERAGE(B14:AW14)</f>
        <v/>
      </c>
      <c r="AF15" s="5">
        <f>AF14-AVERAGE(B14:AW14)</f>
        <v/>
      </c>
      <c r="AG15" s="5">
        <f>AG14-AVERAGE(B14:AW14)</f>
        <v/>
      </c>
      <c r="AH15" s="5">
        <f>AH14-AVERAGE(B14:AW14)</f>
        <v/>
      </c>
      <c r="AI15" s="5">
        <f>AI14-AVERAGE(B14:AW14)</f>
        <v/>
      </c>
      <c r="AJ15" s="5">
        <f>AJ14-AVERAGE(B14:AW14)</f>
        <v/>
      </c>
      <c r="AK15" s="5">
        <f>AK14-AVERAGE(B14:AW14)</f>
        <v/>
      </c>
      <c r="AL15" s="5">
        <f>AL14-AVERAGE(B14:AW14)</f>
        <v/>
      </c>
      <c r="AM15" s="5">
        <f>AM14-AVERAGE(B14:AW14)</f>
        <v/>
      </c>
      <c r="AN15" s="5">
        <f>AN14-AVERAGE(B14:AW14)</f>
        <v/>
      </c>
      <c r="AO15" s="5">
        <f>AO14-AVERAGE(B14:AW14)</f>
        <v/>
      </c>
      <c r="AP15" s="5">
        <f>AP14-AVERAGE(B14:AW14)</f>
        <v/>
      </c>
      <c r="AQ15" s="5">
        <f>AQ14-AVERAGE(B14:AW14)</f>
        <v/>
      </c>
      <c r="AR15" s="5">
        <f>AR14-AVERAGE(B14:AW14)</f>
        <v/>
      </c>
      <c r="AS15" s="5">
        <f>AS14-AVERAGE(B14:AW14)</f>
        <v/>
      </c>
      <c r="AT15" s="5">
        <f>AT14-AVERAGE(B14:AW14)</f>
        <v/>
      </c>
      <c r="AU15" s="5">
        <f>AU14-AVERAGE(B14:AW14)</f>
        <v/>
      </c>
      <c r="AV15" s="5">
        <f>AV14-AVERAGE(B14:AW14)</f>
        <v/>
      </c>
      <c r="AW15" s="5">
        <f>AW14-AVERAGE(B14:AW14)</f>
        <v/>
      </c>
      <c r="AX15" s="8" t="inlineStr">
        <is>
          <t>max|Δb|</t>
        </is>
      </c>
      <c r="AY15" s="9">
        <f t="array" ref="AY15">MAX(ABS(B15:AW15-B10:AW10))</f>
        <v/>
      </c>
    </row>
    <row r="17">
      <c r="A17" s="8" t="inlineStr">
        <is>
          <t>ΣP vòng 3</t>
        </is>
      </c>
      <c r="B17" s="5">
        <f>SUMPRODUCT(('01_Data'!B2:B1038&lt;&gt;"")*(1/(1+EXP(-('03_Lap_Theta'!$N$2:$N$1038-B15)))))</f>
        <v/>
      </c>
      <c r="C17" s="5">
        <f>SUMPRODUCT(('01_Data'!C2:C1038&lt;&gt;"")*(1/(1+EXP(-('03_Lap_Theta'!$N$2:$N$1038-C15)))))</f>
        <v/>
      </c>
      <c r="D17" s="5">
        <f>SUMPRODUCT(('01_Data'!D2:D1038&lt;&gt;"")*(1/(1+EXP(-('03_Lap_Theta'!$N$2:$N$1038-D15)))))</f>
        <v/>
      </c>
      <c r="E17" s="5">
        <f>SUMPRODUCT(('01_Data'!E2:E1038&lt;&gt;"")*(1/(1+EXP(-('03_Lap_Theta'!$N$2:$N$1038-E15)))))</f>
        <v/>
      </c>
      <c r="F17" s="5">
        <f>SUMPRODUCT(('01_Data'!F2:F1038&lt;&gt;"")*(1/(1+EXP(-('03_Lap_Theta'!$N$2:$N$1038-F15)))))</f>
        <v/>
      </c>
      <c r="G17" s="5">
        <f>SUMPRODUCT(('01_Data'!G2:G1038&lt;&gt;"")*(1/(1+EXP(-('03_Lap_Theta'!$N$2:$N$1038-G15)))))</f>
        <v/>
      </c>
      <c r="H17" s="5">
        <f>SUMPRODUCT(('01_Data'!H2:H1038&lt;&gt;"")*(1/(1+EXP(-('03_Lap_Theta'!$N$2:$N$1038-H15)))))</f>
        <v/>
      </c>
      <c r="I17" s="5">
        <f>SUMPRODUCT(('01_Data'!I2:I1038&lt;&gt;"")*(1/(1+EXP(-('03_Lap_Theta'!$N$2:$N$1038-I15)))))</f>
        <v/>
      </c>
      <c r="J17" s="5">
        <f>SUMPRODUCT(('01_Data'!J2:J1038&lt;&gt;"")*(1/(1+EXP(-('03_Lap_Theta'!$N$2:$N$1038-J15)))))</f>
        <v/>
      </c>
      <c r="K17" s="5">
        <f>SUMPRODUCT(('01_Data'!K2:K1038&lt;&gt;"")*(1/(1+EXP(-('03_Lap_Theta'!$N$2:$N$1038-K15)))))</f>
        <v/>
      </c>
      <c r="L17" s="5">
        <f>SUMPRODUCT(('01_Data'!L2:L1038&lt;&gt;"")*(1/(1+EXP(-('03_Lap_Theta'!$N$2:$N$1038-L15)))))</f>
        <v/>
      </c>
      <c r="M17" s="5">
        <f>SUMPRODUCT(('01_Data'!M2:M1038&lt;&gt;"")*(1/(1+EXP(-('03_Lap_Theta'!$N$2:$N$1038-M15)))))</f>
        <v/>
      </c>
      <c r="N17" s="5">
        <f>SUMPRODUCT(('01_Data'!N2:N1038&lt;&gt;"")*(1/(1+EXP(-('03_Lap_Theta'!$N$2:$N$1038-N15)))))</f>
        <v/>
      </c>
      <c r="O17" s="5">
        <f>SUMPRODUCT(('01_Data'!O2:O1038&lt;&gt;"")*(1/(1+EXP(-('03_Lap_Theta'!$N$2:$N$1038-O15)))))</f>
        <v/>
      </c>
      <c r="P17" s="5">
        <f>SUMPRODUCT(('01_Data'!P2:P1038&lt;&gt;"")*(1/(1+EXP(-('03_Lap_Theta'!$N$2:$N$1038-P15)))))</f>
        <v/>
      </c>
      <c r="Q17" s="5">
        <f>SUMPRODUCT(('01_Data'!Q2:Q1038&lt;&gt;"")*(1/(1+EXP(-('03_Lap_Theta'!$N$2:$N$1038-Q15)))))</f>
        <v/>
      </c>
      <c r="R17" s="5">
        <f>SUMPRODUCT(('01_Data'!R2:R1038&lt;&gt;"")*(1/(1+EXP(-('03_Lap_Theta'!$N$2:$N$1038-R15)))))</f>
        <v/>
      </c>
      <c r="S17" s="5">
        <f>SUMPRODUCT(('01_Data'!S2:S1038&lt;&gt;"")*(1/(1+EXP(-('03_Lap_Theta'!$N$2:$N$1038-S15)))))</f>
        <v/>
      </c>
      <c r="T17" s="5">
        <f>SUMPRODUCT(('01_Data'!T2:T1038&lt;&gt;"")*(1/(1+EXP(-('03_Lap_Theta'!$N$2:$N$1038-T15)))))</f>
        <v/>
      </c>
      <c r="U17" s="5">
        <f>SUMPRODUCT(('01_Data'!U2:U1038&lt;&gt;"")*(1/(1+EXP(-('03_Lap_Theta'!$N$2:$N$1038-U15)))))</f>
        <v/>
      </c>
      <c r="V17" s="5">
        <f>SUMPRODUCT(('01_Data'!V2:V1038&lt;&gt;"")*(1/(1+EXP(-('03_Lap_Theta'!$N$2:$N$1038-V15)))))</f>
        <v/>
      </c>
      <c r="W17" s="5">
        <f>SUMPRODUCT(('01_Data'!W2:W1038&lt;&gt;"")*(1/(1+EXP(-('03_Lap_Theta'!$N$2:$N$1038-W15)))))</f>
        <v/>
      </c>
      <c r="X17" s="5">
        <f>SUMPRODUCT(('01_Data'!X2:X1038&lt;&gt;"")*(1/(1+EXP(-('03_Lap_Theta'!$N$2:$N$1038-X15)))))</f>
        <v/>
      </c>
      <c r="Y17" s="5">
        <f>SUMPRODUCT(('01_Data'!Y2:Y1038&lt;&gt;"")*(1/(1+EXP(-('03_Lap_Theta'!$N$2:$N$1038-Y15)))))</f>
        <v/>
      </c>
      <c r="Z17" s="5">
        <f>SUMPRODUCT(('01_Data'!Z2:Z1038&lt;&gt;"")*(1/(1+EXP(-('03_Lap_Theta'!$N$2:$N$1038-Z15)))))</f>
        <v/>
      </c>
      <c r="AA17" s="5">
        <f>SUMPRODUCT(('01_Data'!AA2:AA1038&lt;&gt;"")*(1/(1+EXP(-('03_Lap_Theta'!$N$2:$N$1038-AA15)))))</f>
        <v/>
      </c>
      <c r="AB17" s="5">
        <f>SUMPRODUCT(('01_Data'!AB2:AB1038&lt;&gt;"")*(1/(1+EXP(-('03_Lap_Theta'!$N$2:$N$1038-AB15)))))</f>
        <v/>
      </c>
      <c r="AC17" s="5">
        <f>SUMPRODUCT(('01_Data'!AC2:AC1038&lt;&gt;"")*(1/(1+EXP(-('03_Lap_Theta'!$N$2:$N$1038-AC15)))))</f>
        <v/>
      </c>
      <c r="AD17" s="5">
        <f>SUMPRODUCT(('01_Data'!AD2:AD1038&lt;&gt;"")*(1/(1+EXP(-('03_Lap_Theta'!$N$2:$N$1038-AD15)))))</f>
        <v/>
      </c>
      <c r="AE17" s="5">
        <f>SUMPRODUCT(('01_Data'!AE2:AE1038&lt;&gt;"")*(1/(1+EXP(-('03_Lap_Theta'!$N$2:$N$1038-AE15)))))</f>
        <v/>
      </c>
      <c r="AF17" s="5">
        <f>SUMPRODUCT(('01_Data'!AF2:AF1038&lt;&gt;"")*(1/(1+EXP(-('03_Lap_Theta'!$N$2:$N$1038-AF15)))))</f>
        <v/>
      </c>
      <c r="AG17" s="5">
        <f>SUMPRODUCT(('01_Data'!AG2:AG1038&lt;&gt;"")*(1/(1+EXP(-('03_Lap_Theta'!$N$2:$N$1038-AG15)))))</f>
        <v/>
      </c>
      <c r="AH17" s="5">
        <f>SUMPRODUCT(('01_Data'!AH2:AH1038&lt;&gt;"")*(1/(1+EXP(-('03_Lap_Theta'!$N$2:$N$1038-AH15)))))</f>
        <v/>
      </c>
      <c r="AI17" s="5">
        <f>SUMPRODUCT(('01_Data'!AI2:AI1038&lt;&gt;"")*(1/(1+EXP(-('03_Lap_Theta'!$N$2:$N$1038-AI15)))))</f>
        <v/>
      </c>
      <c r="AJ17" s="5">
        <f>SUMPRODUCT(('01_Data'!AJ2:AJ1038&lt;&gt;"")*(1/(1+EXP(-('03_Lap_Theta'!$N$2:$N$1038-AJ15)))))</f>
        <v/>
      </c>
      <c r="AK17" s="5">
        <f>SUMPRODUCT(('01_Data'!AK2:AK1038&lt;&gt;"")*(1/(1+EXP(-('03_Lap_Theta'!$N$2:$N$1038-AK15)))))</f>
        <v/>
      </c>
      <c r="AL17" s="5">
        <f>SUMPRODUCT(('01_Data'!AL2:AL1038&lt;&gt;"")*(1/(1+EXP(-('03_Lap_Theta'!$N$2:$N$1038-AL15)))))</f>
        <v/>
      </c>
      <c r="AM17" s="5">
        <f>SUMPRODUCT(('01_Data'!AM2:AM1038&lt;&gt;"")*(1/(1+EXP(-('03_Lap_Theta'!$N$2:$N$1038-AM15)))))</f>
        <v/>
      </c>
      <c r="AN17" s="5">
        <f>SUMPRODUCT(('01_Data'!AN2:AN1038&lt;&gt;"")*(1/(1+EXP(-('03_Lap_Theta'!$N$2:$N$1038-AN15)))))</f>
        <v/>
      </c>
      <c r="AO17" s="5">
        <f>SUMPRODUCT(('01_Data'!AO2:AO1038&lt;&gt;"")*(1/(1+EXP(-('03_Lap_Theta'!$N$2:$N$1038-AO15)))))</f>
        <v/>
      </c>
      <c r="AP17" s="5">
        <f>SUMPRODUCT(('01_Data'!AP2:AP1038&lt;&gt;"")*(1/(1+EXP(-('03_Lap_Theta'!$N$2:$N$1038-AP15)))))</f>
        <v/>
      </c>
      <c r="AQ17" s="5">
        <f>SUMPRODUCT(('01_Data'!AQ2:AQ1038&lt;&gt;"")*(1/(1+EXP(-('03_Lap_Theta'!$N$2:$N$1038-AQ15)))))</f>
        <v/>
      </c>
      <c r="AR17" s="5">
        <f>SUMPRODUCT(('01_Data'!AR2:AR1038&lt;&gt;"")*(1/(1+EXP(-('03_Lap_Theta'!$N$2:$N$1038-AR15)))))</f>
        <v/>
      </c>
      <c r="AS17" s="5">
        <f>SUMPRODUCT(('01_Data'!AS2:AS1038&lt;&gt;"")*(1/(1+EXP(-('03_Lap_Theta'!$N$2:$N$1038-AS15)))))</f>
        <v/>
      </c>
      <c r="AT17" s="5">
        <f>SUMPRODUCT(('01_Data'!AT2:AT1038&lt;&gt;"")*(1/(1+EXP(-('03_Lap_Theta'!$N$2:$N$1038-AT15)))))</f>
        <v/>
      </c>
      <c r="AU17" s="5">
        <f>SUMPRODUCT(('01_Data'!AU2:AU1038&lt;&gt;"")*(1/(1+EXP(-('03_Lap_Theta'!$N$2:$N$1038-AU15)))))</f>
        <v/>
      </c>
      <c r="AV17" s="5">
        <f>SUMPRODUCT(('01_Data'!AV2:AV1038&lt;&gt;"")*(1/(1+EXP(-('03_Lap_Theta'!$N$2:$N$1038-AV15)))))</f>
        <v/>
      </c>
      <c r="AW17" s="5">
        <f>SUMPRODUCT(('01_Data'!AW2:AW1038&lt;&gt;"")*(1/(1+EXP(-('03_Lap_Theta'!$N$2:$N$1038-AW15)))))</f>
        <v/>
      </c>
    </row>
    <row r="18">
      <c r="A18" s="8" t="inlineStr">
        <is>
          <t>ΣP² vòng 3</t>
        </is>
      </c>
      <c r="B18" s="5">
        <f>SUMPRODUCT(('01_Data'!B2:B1038&lt;&gt;"")*(1/(1+EXP(-('03_Lap_Theta'!$N$2:$N$1038-B15))))^2)</f>
        <v/>
      </c>
      <c r="C18" s="5">
        <f>SUMPRODUCT(('01_Data'!C2:C1038&lt;&gt;"")*(1/(1+EXP(-('03_Lap_Theta'!$N$2:$N$1038-C15))))^2)</f>
        <v/>
      </c>
      <c r="D18" s="5">
        <f>SUMPRODUCT(('01_Data'!D2:D1038&lt;&gt;"")*(1/(1+EXP(-('03_Lap_Theta'!$N$2:$N$1038-D15))))^2)</f>
        <v/>
      </c>
      <c r="E18" s="5">
        <f>SUMPRODUCT(('01_Data'!E2:E1038&lt;&gt;"")*(1/(1+EXP(-('03_Lap_Theta'!$N$2:$N$1038-E15))))^2)</f>
        <v/>
      </c>
      <c r="F18" s="5">
        <f>SUMPRODUCT(('01_Data'!F2:F1038&lt;&gt;"")*(1/(1+EXP(-('03_Lap_Theta'!$N$2:$N$1038-F15))))^2)</f>
        <v/>
      </c>
      <c r="G18" s="5">
        <f>SUMPRODUCT(('01_Data'!G2:G1038&lt;&gt;"")*(1/(1+EXP(-('03_Lap_Theta'!$N$2:$N$1038-G15))))^2)</f>
        <v/>
      </c>
      <c r="H18" s="5">
        <f>SUMPRODUCT(('01_Data'!H2:H1038&lt;&gt;"")*(1/(1+EXP(-('03_Lap_Theta'!$N$2:$N$1038-H15))))^2)</f>
        <v/>
      </c>
      <c r="I18" s="5">
        <f>SUMPRODUCT(('01_Data'!I2:I1038&lt;&gt;"")*(1/(1+EXP(-('03_Lap_Theta'!$N$2:$N$1038-I15))))^2)</f>
        <v/>
      </c>
      <c r="J18" s="5">
        <f>SUMPRODUCT(('01_Data'!J2:J1038&lt;&gt;"")*(1/(1+EXP(-('03_Lap_Theta'!$N$2:$N$1038-J15))))^2)</f>
        <v/>
      </c>
      <c r="K18" s="5">
        <f>SUMPRODUCT(('01_Data'!K2:K1038&lt;&gt;"")*(1/(1+EXP(-('03_Lap_Theta'!$N$2:$N$1038-K15))))^2)</f>
        <v/>
      </c>
      <c r="L18" s="5">
        <f>SUMPRODUCT(('01_Data'!L2:L1038&lt;&gt;"")*(1/(1+EXP(-('03_Lap_Theta'!$N$2:$N$1038-L15))))^2)</f>
        <v/>
      </c>
      <c r="M18" s="5">
        <f>SUMPRODUCT(('01_Data'!M2:M1038&lt;&gt;"")*(1/(1+EXP(-('03_Lap_Theta'!$N$2:$N$1038-M15))))^2)</f>
        <v/>
      </c>
      <c r="N18" s="5">
        <f>SUMPRODUCT(('01_Data'!N2:N1038&lt;&gt;"")*(1/(1+EXP(-('03_Lap_Theta'!$N$2:$N$1038-N15))))^2)</f>
        <v/>
      </c>
      <c r="O18" s="5">
        <f>SUMPRODUCT(('01_Data'!O2:O1038&lt;&gt;"")*(1/(1+EXP(-('03_Lap_Theta'!$N$2:$N$1038-O15))))^2)</f>
        <v/>
      </c>
      <c r="P18" s="5">
        <f>SUMPRODUCT(('01_Data'!P2:P1038&lt;&gt;"")*(1/(1+EXP(-('03_Lap_Theta'!$N$2:$N$1038-P15))))^2)</f>
        <v/>
      </c>
      <c r="Q18" s="5">
        <f>SUMPRODUCT(('01_Data'!Q2:Q1038&lt;&gt;"")*(1/(1+EXP(-('03_Lap_Theta'!$N$2:$N$1038-Q15))))^2)</f>
        <v/>
      </c>
      <c r="R18" s="5">
        <f>SUMPRODUCT(('01_Data'!R2:R1038&lt;&gt;"")*(1/(1+EXP(-('03_Lap_Theta'!$N$2:$N$1038-R15))))^2)</f>
        <v/>
      </c>
      <c r="S18" s="5">
        <f>SUMPRODUCT(('01_Data'!S2:S1038&lt;&gt;"")*(1/(1+EXP(-('03_Lap_Theta'!$N$2:$N$1038-S15))))^2)</f>
        <v/>
      </c>
      <c r="T18" s="5">
        <f>SUMPRODUCT(('01_Data'!T2:T1038&lt;&gt;"")*(1/(1+EXP(-('03_Lap_Theta'!$N$2:$N$1038-T15))))^2)</f>
        <v/>
      </c>
      <c r="U18" s="5">
        <f>SUMPRODUCT(('01_Data'!U2:U1038&lt;&gt;"")*(1/(1+EXP(-('03_Lap_Theta'!$N$2:$N$1038-U15))))^2)</f>
        <v/>
      </c>
      <c r="V18" s="5">
        <f>SUMPRODUCT(('01_Data'!V2:V1038&lt;&gt;"")*(1/(1+EXP(-('03_Lap_Theta'!$N$2:$N$1038-V15))))^2)</f>
        <v/>
      </c>
      <c r="W18" s="5">
        <f>SUMPRODUCT(('01_Data'!W2:W1038&lt;&gt;"")*(1/(1+EXP(-('03_Lap_Theta'!$N$2:$N$1038-W15))))^2)</f>
        <v/>
      </c>
      <c r="X18" s="5">
        <f>SUMPRODUCT(('01_Data'!X2:X1038&lt;&gt;"")*(1/(1+EXP(-('03_Lap_Theta'!$N$2:$N$1038-X15))))^2)</f>
        <v/>
      </c>
      <c r="Y18" s="5">
        <f>SUMPRODUCT(('01_Data'!Y2:Y1038&lt;&gt;"")*(1/(1+EXP(-('03_Lap_Theta'!$N$2:$N$1038-Y15))))^2)</f>
        <v/>
      </c>
      <c r="Z18" s="5">
        <f>SUMPRODUCT(('01_Data'!Z2:Z1038&lt;&gt;"")*(1/(1+EXP(-('03_Lap_Theta'!$N$2:$N$1038-Z15))))^2)</f>
        <v/>
      </c>
      <c r="AA18" s="5">
        <f>SUMPRODUCT(('01_Data'!AA2:AA1038&lt;&gt;"")*(1/(1+EXP(-('03_Lap_Theta'!$N$2:$N$1038-AA15))))^2)</f>
        <v/>
      </c>
      <c r="AB18" s="5">
        <f>SUMPRODUCT(('01_Data'!AB2:AB1038&lt;&gt;"")*(1/(1+EXP(-('03_Lap_Theta'!$N$2:$N$1038-AB15))))^2)</f>
        <v/>
      </c>
      <c r="AC18" s="5">
        <f>SUMPRODUCT(('01_Data'!AC2:AC1038&lt;&gt;"")*(1/(1+EXP(-('03_Lap_Theta'!$N$2:$N$1038-AC15))))^2)</f>
        <v/>
      </c>
      <c r="AD18" s="5">
        <f>SUMPRODUCT(('01_Data'!AD2:AD1038&lt;&gt;"")*(1/(1+EXP(-('03_Lap_Theta'!$N$2:$N$1038-AD15))))^2)</f>
        <v/>
      </c>
      <c r="AE18" s="5">
        <f>SUMPRODUCT(('01_Data'!AE2:AE1038&lt;&gt;"")*(1/(1+EXP(-('03_Lap_Theta'!$N$2:$N$1038-AE15))))^2)</f>
        <v/>
      </c>
      <c r="AF18" s="5">
        <f>SUMPRODUCT(('01_Data'!AF2:AF1038&lt;&gt;"")*(1/(1+EXP(-('03_Lap_Theta'!$N$2:$N$1038-AF15))))^2)</f>
        <v/>
      </c>
      <c r="AG18" s="5">
        <f>SUMPRODUCT(('01_Data'!AG2:AG1038&lt;&gt;"")*(1/(1+EXP(-('03_Lap_Theta'!$N$2:$N$1038-AG15))))^2)</f>
        <v/>
      </c>
      <c r="AH18" s="5">
        <f>SUMPRODUCT(('01_Data'!AH2:AH1038&lt;&gt;"")*(1/(1+EXP(-('03_Lap_Theta'!$N$2:$N$1038-AH15))))^2)</f>
        <v/>
      </c>
      <c r="AI18" s="5">
        <f>SUMPRODUCT(('01_Data'!AI2:AI1038&lt;&gt;"")*(1/(1+EXP(-('03_Lap_Theta'!$N$2:$N$1038-AI15))))^2)</f>
        <v/>
      </c>
      <c r="AJ18" s="5">
        <f>SUMPRODUCT(('01_Data'!AJ2:AJ1038&lt;&gt;"")*(1/(1+EXP(-('03_Lap_Theta'!$N$2:$N$1038-AJ15))))^2)</f>
        <v/>
      </c>
      <c r="AK18" s="5">
        <f>SUMPRODUCT(('01_Data'!AK2:AK1038&lt;&gt;"")*(1/(1+EXP(-('03_Lap_Theta'!$N$2:$N$1038-AK15))))^2)</f>
        <v/>
      </c>
      <c r="AL18" s="5">
        <f>SUMPRODUCT(('01_Data'!AL2:AL1038&lt;&gt;"")*(1/(1+EXP(-('03_Lap_Theta'!$N$2:$N$1038-AL15))))^2)</f>
        <v/>
      </c>
      <c r="AM18" s="5">
        <f>SUMPRODUCT(('01_Data'!AM2:AM1038&lt;&gt;"")*(1/(1+EXP(-('03_Lap_Theta'!$N$2:$N$1038-AM15))))^2)</f>
        <v/>
      </c>
      <c r="AN18" s="5">
        <f>SUMPRODUCT(('01_Data'!AN2:AN1038&lt;&gt;"")*(1/(1+EXP(-('03_Lap_Theta'!$N$2:$N$1038-AN15))))^2)</f>
        <v/>
      </c>
      <c r="AO18" s="5">
        <f>SUMPRODUCT(('01_Data'!AO2:AO1038&lt;&gt;"")*(1/(1+EXP(-('03_Lap_Theta'!$N$2:$N$1038-AO15))))^2)</f>
        <v/>
      </c>
      <c r="AP18" s="5">
        <f>SUMPRODUCT(('01_Data'!AP2:AP1038&lt;&gt;"")*(1/(1+EXP(-('03_Lap_Theta'!$N$2:$N$1038-AP15))))^2)</f>
        <v/>
      </c>
      <c r="AQ18" s="5">
        <f>SUMPRODUCT(('01_Data'!AQ2:AQ1038&lt;&gt;"")*(1/(1+EXP(-('03_Lap_Theta'!$N$2:$N$1038-AQ15))))^2)</f>
        <v/>
      </c>
      <c r="AR18" s="5">
        <f>SUMPRODUCT(('01_Data'!AR2:AR1038&lt;&gt;"")*(1/(1+EXP(-('03_Lap_Theta'!$N$2:$N$1038-AR15))))^2)</f>
        <v/>
      </c>
      <c r="AS18" s="5">
        <f>SUMPRODUCT(('01_Data'!AS2:AS1038&lt;&gt;"")*(1/(1+EXP(-('03_Lap_Theta'!$N$2:$N$1038-AS15))))^2)</f>
        <v/>
      </c>
      <c r="AT18" s="5">
        <f>SUMPRODUCT(('01_Data'!AT2:AT1038&lt;&gt;"")*(1/(1+EXP(-('03_Lap_Theta'!$N$2:$N$1038-AT15))))^2)</f>
        <v/>
      </c>
      <c r="AU18" s="5">
        <f>SUMPRODUCT(('01_Data'!AU2:AU1038&lt;&gt;"")*(1/(1+EXP(-('03_Lap_Theta'!$N$2:$N$1038-AU15))))^2)</f>
        <v/>
      </c>
      <c r="AV18" s="5">
        <f>SUMPRODUCT(('01_Data'!AV2:AV1038&lt;&gt;"")*(1/(1+EXP(-('03_Lap_Theta'!$N$2:$N$1038-AV15))))^2)</f>
        <v/>
      </c>
      <c r="AW18" s="5">
        <f>SUMPRODUCT(('01_Data'!AW2:AW1038&lt;&gt;"")*(1/(1+EXP(-('03_Lap_Theta'!$N$2:$N$1038-AW15))))^2)</f>
        <v/>
      </c>
    </row>
    <row r="19">
      <c r="A19" s="8" t="inlineStr">
        <is>
          <t>b3_raw</t>
        </is>
      </c>
      <c r="B19" s="5">
        <f>MEDIAN(-6,B15+(B17-'02_KhoiTao'!$E$2)/MAX(B17-B18,0.000000001),6)</f>
        <v/>
      </c>
      <c r="C19" s="5">
        <f>MEDIAN(-6,C15+(C17-'02_KhoiTao'!$E$3)/MAX(C17-C18,0.000000001),6)</f>
        <v/>
      </c>
      <c r="D19" s="5">
        <f>MEDIAN(-6,D15+(D17-'02_KhoiTao'!$E$4)/MAX(D17-D18,0.000000001),6)</f>
        <v/>
      </c>
      <c r="E19" s="5">
        <f>MEDIAN(-6,E15+(E17-'02_KhoiTao'!$E$5)/MAX(E17-E18,0.000000001),6)</f>
        <v/>
      </c>
      <c r="F19" s="5">
        <f>MEDIAN(-6,F15+(F17-'02_KhoiTao'!$E$6)/MAX(F17-F18,0.000000001),6)</f>
        <v/>
      </c>
      <c r="G19" s="5">
        <f>MEDIAN(-6,G15+(G17-'02_KhoiTao'!$E$7)/MAX(G17-G18,0.000000001),6)</f>
        <v/>
      </c>
      <c r="H19" s="5">
        <f>MEDIAN(-6,H15+(H17-'02_KhoiTao'!$E$8)/MAX(H17-H18,0.000000001),6)</f>
        <v/>
      </c>
      <c r="I19" s="5">
        <f>MEDIAN(-6,I15+(I17-'02_KhoiTao'!$E$9)/MAX(I17-I18,0.000000001),6)</f>
        <v/>
      </c>
      <c r="J19" s="5">
        <f>MEDIAN(-6,J15+(J17-'02_KhoiTao'!$E$10)/MAX(J17-J18,0.000000001),6)</f>
        <v/>
      </c>
      <c r="K19" s="5">
        <f>MEDIAN(-6,K15+(K17-'02_KhoiTao'!$E$11)/MAX(K17-K18,0.000000001),6)</f>
        <v/>
      </c>
      <c r="L19" s="5">
        <f>MEDIAN(-6,L15+(L17-'02_KhoiTao'!$E$12)/MAX(L17-L18,0.000000001),6)</f>
        <v/>
      </c>
      <c r="M19" s="5">
        <f>MEDIAN(-6,M15+(M17-'02_KhoiTao'!$E$13)/MAX(M17-M18,0.000000001),6)</f>
        <v/>
      </c>
      <c r="N19" s="5">
        <f>MEDIAN(-6,N15+(N17-'02_KhoiTao'!$E$14)/MAX(N17-N18,0.000000001),6)</f>
        <v/>
      </c>
      <c r="O19" s="5">
        <f>MEDIAN(-6,O15+(O17-'02_KhoiTao'!$E$15)/MAX(O17-O18,0.000000001),6)</f>
        <v/>
      </c>
      <c r="P19" s="5">
        <f>MEDIAN(-6,P15+(P17-'02_KhoiTao'!$E$16)/MAX(P17-P18,0.000000001),6)</f>
        <v/>
      </c>
      <c r="Q19" s="5">
        <f>MEDIAN(-6,Q15+(Q17-'02_KhoiTao'!$E$17)/MAX(Q17-Q18,0.000000001),6)</f>
        <v/>
      </c>
      <c r="R19" s="5">
        <f>MEDIAN(-6,R15+(R17-'02_KhoiTao'!$E$18)/MAX(R17-R18,0.000000001),6)</f>
        <v/>
      </c>
      <c r="S19" s="5">
        <f>MEDIAN(-6,S15+(S17-'02_KhoiTao'!$E$19)/MAX(S17-S18,0.000000001),6)</f>
        <v/>
      </c>
      <c r="T19" s="5">
        <f>MEDIAN(-6,T15+(T17-'02_KhoiTao'!$E$20)/MAX(T17-T18,0.000000001),6)</f>
        <v/>
      </c>
      <c r="U19" s="5">
        <f>MEDIAN(-6,U15+(U17-'02_KhoiTao'!$E$21)/MAX(U17-U18,0.000000001),6)</f>
        <v/>
      </c>
      <c r="V19" s="5">
        <f>MEDIAN(-6,V15+(V17-'02_KhoiTao'!$E$22)/MAX(V17-V18,0.000000001),6)</f>
        <v/>
      </c>
      <c r="W19" s="5">
        <f>MEDIAN(-6,W15+(W17-'02_KhoiTao'!$E$23)/MAX(W17-W18,0.000000001),6)</f>
        <v/>
      </c>
      <c r="X19" s="5">
        <f>MEDIAN(-6,X15+(X17-'02_KhoiTao'!$E$24)/MAX(X17-X18,0.000000001),6)</f>
        <v/>
      </c>
      <c r="Y19" s="5">
        <f>MEDIAN(-6,Y15+(Y17-'02_KhoiTao'!$E$25)/MAX(Y17-Y18,0.000000001),6)</f>
        <v/>
      </c>
      <c r="Z19" s="5">
        <f>MEDIAN(-6,Z15+(Z17-'02_KhoiTao'!$E$26)/MAX(Z17-Z18,0.000000001),6)</f>
        <v/>
      </c>
      <c r="AA19" s="5">
        <f>MEDIAN(-6,AA15+(AA17-'02_KhoiTao'!$E$27)/MAX(AA17-AA18,0.000000001),6)</f>
        <v/>
      </c>
      <c r="AB19" s="5">
        <f>MEDIAN(-6,AB15+(AB17-'02_KhoiTao'!$E$28)/MAX(AB17-AB18,0.000000001),6)</f>
        <v/>
      </c>
      <c r="AC19" s="5">
        <f>MEDIAN(-6,AC15+(AC17-'02_KhoiTao'!$E$29)/MAX(AC17-AC18,0.000000001),6)</f>
        <v/>
      </c>
      <c r="AD19" s="5">
        <f>MEDIAN(-6,AD15+(AD17-'02_KhoiTao'!$E$30)/MAX(AD17-AD18,0.000000001),6)</f>
        <v/>
      </c>
      <c r="AE19" s="5">
        <f>MEDIAN(-6,AE15+(AE17-'02_KhoiTao'!$E$31)/MAX(AE17-AE18,0.000000001),6)</f>
        <v/>
      </c>
      <c r="AF19" s="5">
        <f>MEDIAN(-6,AF15+(AF17-'02_KhoiTao'!$E$32)/MAX(AF17-AF18,0.000000001),6)</f>
        <v/>
      </c>
      <c r="AG19" s="5">
        <f>MEDIAN(-6,AG15+(AG17-'02_KhoiTao'!$E$33)/MAX(AG17-AG18,0.000000001),6)</f>
        <v/>
      </c>
      <c r="AH19" s="5">
        <f>MEDIAN(-6,AH15+(AH17-'02_KhoiTao'!$E$34)/MAX(AH17-AH18,0.000000001),6)</f>
        <v/>
      </c>
      <c r="AI19" s="5">
        <f>MEDIAN(-6,AI15+(AI17-'02_KhoiTao'!$E$35)/MAX(AI17-AI18,0.000000001),6)</f>
        <v/>
      </c>
      <c r="AJ19" s="5">
        <f>MEDIAN(-6,AJ15+(AJ17-'02_KhoiTao'!$E$36)/MAX(AJ17-AJ18,0.000000001),6)</f>
        <v/>
      </c>
      <c r="AK19" s="5">
        <f>MEDIAN(-6,AK15+(AK17-'02_KhoiTao'!$E$37)/MAX(AK17-AK18,0.000000001),6)</f>
        <v/>
      </c>
      <c r="AL19" s="5">
        <f>MEDIAN(-6,AL15+(AL17-'02_KhoiTao'!$E$38)/MAX(AL17-AL18,0.000000001),6)</f>
        <v/>
      </c>
      <c r="AM19" s="5">
        <f>MEDIAN(-6,AM15+(AM17-'02_KhoiTao'!$E$39)/MAX(AM17-AM18,0.000000001),6)</f>
        <v/>
      </c>
      <c r="AN19" s="5">
        <f>MEDIAN(-6,AN15+(AN17-'02_KhoiTao'!$E$40)/MAX(AN17-AN18,0.000000001),6)</f>
        <v/>
      </c>
      <c r="AO19" s="5">
        <f>MEDIAN(-6,AO15+(AO17-'02_KhoiTao'!$E$41)/MAX(AO17-AO18,0.000000001),6)</f>
        <v/>
      </c>
      <c r="AP19" s="5">
        <f>MEDIAN(-6,AP15+(AP17-'02_KhoiTao'!$E$42)/MAX(AP17-AP18,0.000000001),6)</f>
        <v/>
      </c>
      <c r="AQ19" s="5">
        <f>MEDIAN(-6,AQ15+(AQ17-'02_KhoiTao'!$E$43)/MAX(AQ17-AQ18,0.000000001),6)</f>
        <v/>
      </c>
      <c r="AR19" s="5">
        <f>MEDIAN(-6,AR15+(AR17-'02_KhoiTao'!$E$44)/MAX(AR17-AR18,0.000000001),6)</f>
        <v/>
      </c>
      <c r="AS19" s="5">
        <f>MEDIAN(-6,AS15+(AS17-'02_KhoiTao'!$E$45)/MAX(AS17-AS18,0.000000001),6)</f>
        <v/>
      </c>
      <c r="AT19" s="5">
        <f>MEDIAN(-6,AT15+(AT17-'02_KhoiTao'!$E$46)/MAX(AT17-AT18,0.000000001),6)</f>
        <v/>
      </c>
      <c r="AU19" s="5">
        <f>MEDIAN(-6,AU15+(AU17-'02_KhoiTao'!$E$47)/MAX(AU17-AU18,0.000000001),6)</f>
        <v/>
      </c>
      <c r="AV19" s="5">
        <f>MEDIAN(-6,AV15+(AV17-'02_KhoiTao'!$E$48)/MAX(AV17-AV18,0.000000001),6)</f>
        <v/>
      </c>
      <c r="AW19" s="5">
        <f>MEDIAN(-6,AW15+(AW17-'02_KhoiTao'!$E$49)/MAX(AW17-AW18,0.000000001),6)</f>
        <v/>
      </c>
    </row>
    <row r="20">
      <c r="A20" s="4" t="inlineStr">
        <is>
          <t>b3 (canh tâm)</t>
        </is>
      </c>
      <c r="B20" s="5">
        <f>B19-AVERAGE(B19:AW19)</f>
        <v/>
      </c>
      <c r="C20" s="5">
        <f>C19-AVERAGE(B19:AW19)</f>
        <v/>
      </c>
      <c r="D20" s="5">
        <f>D19-AVERAGE(B19:AW19)</f>
        <v/>
      </c>
      <c r="E20" s="5">
        <f>E19-AVERAGE(B19:AW19)</f>
        <v/>
      </c>
      <c r="F20" s="5">
        <f>F19-AVERAGE(B19:AW19)</f>
        <v/>
      </c>
      <c r="G20" s="5">
        <f>G19-AVERAGE(B19:AW19)</f>
        <v/>
      </c>
      <c r="H20" s="5">
        <f>H19-AVERAGE(B19:AW19)</f>
        <v/>
      </c>
      <c r="I20" s="5">
        <f>I19-AVERAGE(B19:AW19)</f>
        <v/>
      </c>
      <c r="J20" s="5">
        <f>J19-AVERAGE(B19:AW19)</f>
        <v/>
      </c>
      <c r="K20" s="5">
        <f>K19-AVERAGE(B19:AW19)</f>
        <v/>
      </c>
      <c r="L20" s="5">
        <f>L19-AVERAGE(B19:AW19)</f>
        <v/>
      </c>
      <c r="M20" s="5">
        <f>M19-AVERAGE(B19:AW19)</f>
        <v/>
      </c>
      <c r="N20" s="5">
        <f>N19-AVERAGE(B19:AW19)</f>
        <v/>
      </c>
      <c r="O20" s="5">
        <f>O19-AVERAGE(B19:AW19)</f>
        <v/>
      </c>
      <c r="P20" s="5">
        <f>P19-AVERAGE(B19:AW19)</f>
        <v/>
      </c>
      <c r="Q20" s="5">
        <f>Q19-AVERAGE(B19:AW19)</f>
        <v/>
      </c>
      <c r="R20" s="5">
        <f>R19-AVERAGE(B19:AW19)</f>
        <v/>
      </c>
      <c r="S20" s="5">
        <f>S19-AVERAGE(B19:AW19)</f>
        <v/>
      </c>
      <c r="T20" s="5">
        <f>T19-AVERAGE(B19:AW19)</f>
        <v/>
      </c>
      <c r="U20" s="5">
        <f>U19-AVERAGE(B19:AW19)</f>
        <v/>
      </c>
      <c r="V20" s="5">
        <f>V19-AVERAGE(B19:AW19)</f>
        <v/>
      </c>
      <c r="W20" s="5">
        <f>W19-AVERAGE(B19:AW19)</f>
        <v/>
      </c>
      <c r="X20" s="5">
        <f>X19-AVERAGE(B19:AW19)</f>
        <v/>
      </c>
      <c r="Y20" s="5">
        <f>Y19-AVERAGE(B19:AW19)</f>
        <v/>
      </c>
      <c r="Z20" s="5">
        <f>Z19-AVERAGE(B19:AW19)</f>
        <v/>
      </c>
      <c r="AA20" s="5">
        <f>AA19-AVERAGE(B19:AW19)</f>
        <v/>
      </c>
      <c r="AB20" s="5">
        <f>AB19-AVERAGE(B19:AW19)</f>
        <v/>
      </c>
      <c r="AC20" s="5">
        <f>AC19-AVERAGE(B19:AW19)</f>
        <v/>
      </c>
      <c r="AD20" s="5">
        <f>AD19-AVERAGE(B19:AW19)</f>
        <v/>
      </c>
      <c r="AE20" s="5">
        <f>AE19-AVERAGE(B19:AW19)</f>
        <v/>
      </c>
      <c r="AF20" s="5">
        <f>AF19-AVERAGE(B19:AW19)</f>
        <v/>
      </c>
      <c r="AG20" s="5">
        <f>AG19-AVERAGE(B19:AW19)</f>
        <v/>
      </c>
      <c r="AH20" s="5">
        <f>AH19-AVERAGE(B19:AW19)</f>
        <v/>
      </c>
      <c r="AI20" s="5">
        <f>AI19-AVERAGE(B19:AW19)</f>
        <v/>
      </c>
      <c r="AJ20" s="5">
        <f>AJ19-AVERAGE(B19:AW19)</f>
        <v/>
      </c>
      <c r="AK20" s="5">
        <f>AK19-AVERAGE(B19:AW19)</f>
        <v/>
      </c>
      <c r="AL20" s="5">
        <f>AL19-AVERAGE(B19:AW19)</f>
        <v/>
      </c>
      <c r="AM20" s="5">
        <f>AM19-AVERAGE(B19:AW19)</f>
        <v/>
      </c>
      <c r="AN20" s="5">
        <f>AN19-AVERAGE(B19:AW19)</f>
        <v/>
      </c>
      <c r="AO20" s="5">
        <f>AO19-AVERAGE(B19:AW19)</f>
        <v/>
      </c>
      <c r="AP20" s="5">
        <f>AP19-AVERAGE(B19:AW19)</f>
        <v/>
      </c>
      <c r="AQ20" s="5">
        <f>AQ19-AVERAGE(B19:AW19)</f>
        <v/>
      </c>
      <c r="AR20" s="5">
        <f>AR19-AVERAGE(B19:AW19)</f>
        <v/>
      </c>
      <c r="AS20" s="5">
        <f>AS19-AVERAGE(B19:AW19)</f>
        <v/>
      </c>
      <c r="AT20" s="5">
        <f>AT19-AVERAGE(B19:AW19)</f>
        <v/>
      </c>
      <c r="AU20" s="5">
        <f>AU19-AVERAGE(B19:AW19)</f>
        <v/>
      </c>
      <c r="AV20" s="5">
        <f>AV19-AVERAGE(B19:AW19)</f>
        <v/>
      </c>
      <c r="AW20" s="5">
        <f>AW19-AVERAGE(B19:AW19)</f>
        <v/>
      </c>
      <c r="AX20" s="8" t="inlineStr">
        <is>
          <t>max|Δb|</t>
        </is>
      </c>
      <c r="AY20" s="9">
        <f t="array" ref="AY20">MAX(ABS(B20:AW20-B15:AW15))</f>
        <v/>
      </c>
    </row>
    <row r="22">
      <c r="A22" s="8" t="inlineStr">
        <is>
          <t>ΣP vòng 4</t>
        </is>
      </c>
      <c r="B22" s="5">
        <f>SUMPRODUCT(('01_Data'!B2:B1038&lt;&gt;"")*(1/(1+EXP(-('03_Lap_Theta'!$Q$2:$Q$1038-B20)))))</f>
        <v/>
      </c>
      <c r="C22" s="5">
        <f>SUMPRODUCT(('01_Data'!C2:C1038&lt;&gt;"")*(1/(1+EXP(-('03_Lap_Theta'!$Q$2:$Q$1038-C20)))))</f>
        <v/>
      </c>
      <c r="D22" s="5">
        <f>SUMPRODUCT(('01_Data'!D2:D1038&lt;&gt;"")*(1/(1+EXP(-('03_Lap_Theta'!$Q$2:$Q$1038-D20)))))</f>
        <v/>
      </c>
      <c r="E22" s="5">
        <f>SUMPRODUCT(('01_Data'!E2:E1038&lt;&gt;"")*(1/(1+EXP(-('03_Lap_Theta'!$Q$2:$Q$1038-E20)))))</f>
        <v/>
      </c>
      <c r="F22" s="5">
        <f>SUMPRODUCT(('01_Data'!F2:F1038&lt;&gt;"")*(1/(1+EXP(-('03_Lap_Theta'!$Q$2:$Q$1038-F20)))))</f>
        <v/>
      </c>
      <c r="G22" s="5">
        <f>SUMPRODUCT(('01_Data'!G2:G1038&lt;&gt;"")*(1/(1+EXP(-('03_Lap_Theta'!$Q$2:$Q$1038-G20)))))</f>
        <v/>
      </c>
      <c r="H22" s="5">
        <f>SUMPRODUCT(('01_Data'!H2:H1038&lt;&gt;"")*(1/(1+EXP(-('03_Lap_Theta'!$Q$2:$Q$1038-H20)))))</f>
        <v/>
      </c>
      <c r="I22" s="5">
        <f>SUMPRODUCT(('01_Data'!I2:I1038&lt;&gt;"")*(1/(1+EXP(-('03_Lap_Theta'!$Q$2:$Q$1038-I20)))))</f>
        <v/>
      </c>
      <c r="J22" s="5">
        <f>SUMPRODUCT(('01_Data'!J2:J1038&lt;&gt;"")*(1/(1+EXP(-('03_Lap_Theta'!$Q$2:$Q$1038-J20)))))</f>
        <v/>
      </c>
      <c r="K22" s="5">
        <f>SUMPRODUCT(('01_Data'!K2:K1038&lt;&gt;"")*(1/(1+EXP(-('03_Lap_Theta'!$Q$2:$Q$1038-K20)))))</f>
        <v/>
      </c>
      <c r="L22" s="5">
        <f>SUMPRODUCT(('01_Data'!L2:L1038&lt;&gt;"")*(1/(1+EXP(-('03_Lap_Theta'!$Q$2:$Q$1038-L20)))))</f>
        <v/>
      </c>
      <c r="M22" s="5">
        <f>SUMPRODUCT(('01_Data'!M2:M1038&lt;&gt;"")*(1/(1+EXP(-('03_Lap_Theta'!$Q$2:$Q$1038-M20)))))</f>
        <v/>
      </c>
      <c r="N22" s="5">
        <f>SUMPRODUCT(('01_Data'!N2:N1038&lt;&gt;"")*(1/(1+EXP(-('03_Lap_Theta'!$Q$2:$Q$1038-N20)))))</f>
        <v/>
      </c>
      <c r="O22" s="5">
        <f>SUMPRODUCT(('01_Data'!O2:O1038&lt;&gt;"")*(1/(1+EXP(-('03_Lap_Theta'!$Q$2:$Q$1038-O20)))))</f>
        <v/>
      </c>
      <c r="P22" s="5">
        <f>SUMPRODUCT(('01_Data'!P2:P1038&lt;&gt;"")*(1/(1+EXP(-('03_Lap_Theta'!$Q$2:$Q$1038-P20)))))</f>
        <v/>
      </c>
      <c r="Q22" s="5">
        <f>SUMPRODUCT(('01_Data'!Q2:Q1038&lt;&gt;"")*(1/(1+EXP(-('03_Lap_Theta'!$Q$2:$Q$1038-Q20)))))</f>
        <v/>
      </c>
      <c r="R22" s="5">
        <f>SUMPRODUCT(('01_Data'!R2:R1038&lt;&gt;"")*(1/(1+EXP(-('03_Lap_Theta'!$Q$2:$Q$1038-R20)))))</f>
        <v/>
      </c>
      <c r="S22" s="5">
        <f>SUMPRODUCT(('01_Data'!S2:S1038&lt;&gt;"")*(1/(1+EXP(-('03_Lap_Theta'!$Q$2:$Q$1038-S20)))))</f>
        <v/>
      </c>
      <c r="T22" s="5">
        <f>SUMPRODUCT(('01_Data'!T2:T1038&lt;&gt;"")*(1/(1+EXP(-('03_Lap_Theta'!$Q$2:$Q$1038-T20)))))</f>
        <v/>
      </c>
      <c r="U22" s="5">
        <f>SUMPRODUCT(('01_Data'!U2:U1038&lt;&gt;"")*(1/(1+EXP(-('03_Lap_Theta'!$Q$2:$Q$1038-U20)))))</f>
        <v/>
      </c>
      <c r="V22" s="5">
        <f>SUMPRODUCT(('01_Data'!V2:V1038&lt;&gt;"")*(1/(1+EXP(-('03_Lap_Theta'!$Q$2:$Q$1038-V20)))))</f>
        <v/>
      </c>
      <c r="W22" s="5">
        <f>SUMPRODUCT(('01_Data'!W2:W1038&lt;&gt;"")*(1/(1+EXP(-('03_Lap_Theta'!$Q$2:$Q$1038-W20)))))</f>
        <v/>
      </c>
      <c r="X22" s="5">
        <f>SUMPRODUCT(('01_Data'!X2:X1038&lt;&gt;"")*(1/(1+EXP(-('03_Lap_Theta'!$Q$2:$Q$1038-X20)))))</f>
        <v/>
      </c>
      <c r="Y22" s="5">
        <f>SUMPRODUCT(('01_Data'!Y2:Y1038&lt;&gt;"")*(1/(1+EXP(-('03_Lap_Theta'!$Q$2:$Q$1038-Y20)))))</f>
        <v/>
      </c>
      <c r="Z22" s="5">
        <f>SUMPRODUCT(('01_Data'!Z2:Z1038&lt;&gt;"")*(1/(1+EXP(-('03_Lap_Theta'!$Q$2:$Q$1038-Z20)))))</f>
        <v/>
      </c>
      <c r="AA22" s="5">
        <f>SUMPRODUCT(('01_Data'!AA2:AA1038&lt;&gt;"")*(1/(1+EXP(-('03_Lap_Theta'!$Q$2:$Q$1038-AA20)))))</f>
        <v/>
      </c>
      <c r="AB22" s="5">
        <f>SUMPRODUCT(('01_Data'!AB2:AB1038&lt;&gt;"")*(1/(1+EXP(-('03_Lap_Theta'!$Q$2:$Q$1038-AB20)))))</f>
        <v/>
      </c>
      <c r="AC22" s="5">
        <f>SUMPRODUCT(('01_Data'!AC2:AC1038&lt;&gt;"")*(1/(1+EXP(-('03_Lap_Theta'!$Q$2:$Q$1038-AC20)))))</f>
        <v/>
      </c>
      <c r="AD22" s="5">
        <f>SUMPRODUCT(('01_Data'!AD2:AD1038&lt;&gt;"")*(1/(1+EXP(-('03_Lap_Theta'!$Q$2:$Q$1038-AD20)))))</f>
        <v/>
      </c>
      <c r="AE22" s="5">
        <f>SUMPRODUCT(('01_Data'!AE2:AE1038&lt;&gt;"")*(1/(1+EXP(-('03_Lap_Theta'!$Q$2:$Q$1038-AE20)))))</f>
        <v/>
      </c>
      <c r="AF22" s="5">
        <f>SUMPRODUCT(('01_Data'!AF2:AF1038&lt;&gt;"")*(1/(1+EXP(-('03_Lap_Theta'!$Q$2:$Q$1038-AF20)))))</f>
        <v/>
      </c>
      <c r="AG22" s="5">
        <f>SUMPRODUCT(('01_Data'!AG2:AG1038&lt;&gt;"")*(1/(1+EXP(-('03_Lap_Theta'!$Q$2:$Q$1038-AG20)))))</f>
        <v/>
      </c>
      <c r="AH22" s="5">
        <f>SUMPRODUCT(('01_Data'!AH2:AH1038&lt;&gt;"")*(1/(1+EXP(-('03_Lap_Theta'!$Q$2:$Q$1038-AH20)))))</f>
        <v/>
      </c>
      <c r="AI22" s="5">
        <f>SUMPRODUCT(('01_Data'!AI2:AI1038&lt;&gt;"")*(1/(1+EXP(-('03_Lap_Theta'!$Q$2:$Q$1038-AI20)))))</f>
        <v/>
      </c>
      <c r="AJ22" s="5">
        <f>SUMPRODUCT(('01_Data'!AJ2:AJ1038&lt;&gt;"")*(1/(1+EXP(-('03_Lap_Theta'!$Q$2:$Q$1038-AJ20)))))</f>
        <v/>
      </c>
      <c r="AK22" s="5">
        <f>SUMPRODUCT(('01_Data'!AK2:AK1038&lt;&gt;"")*(1/(1+EXP(-('03_Lap_Theta'!$Q$2:$Q$1038-AK20)))))</f>
        <v/>
      </c>
      <c r="AL22" s="5">
        <f>SUMPRODUCT(('01_Data'!AL2:AL1038&lt;&gt;"")*(1/(1+EXP(-('03_Lap_Theta'!$Q$2:$Q$1038-AL20)))))</f>
        <v/>
      </c>
      <c r="AM22" s="5">
        <f>SUMPRODUCT(('01_Data'!AM2:AM1038&lt;&gt;"")*(1/(1+EXP(-('03_Lap_Theta'!$Q$2:$Q$1038-AM20)))))</f>
        <v/>
      </c>
      <c r="AN22" s="5">
        <f>SUMPRODUCT(('01_Data'!AN2:AN1038&lt;&gt;"")*(1/(1+EXP(-('03_Lap_Theta'!$Q$2:$Q$1038-AN20)))))</f>
        <v/>
      </c>
      <c r="AO22" s="5">
        <f>SUMPRODUCT(('01_Data'!AO2:AO1038&lt;&gt;"")*(1/(1+EXP(-('03_Lap_Theta'!$Q$2:$Q$1038-AO20)))))</f>
        <v/>
      </c>
      <c r="AP22" s="5">
        <f>SUMPRODUCT(('01_Data'!AP2:AP1038&lt;&gt;"")*(1/(1+EXP(-('03_Lap_Theta'!$Q$2:$Q$1038-AP20)))))</f>
        <v/>
      </c>
      <c r="AQ22" s="5">
        <f>SUMPRODUCT(('01_Data'!AQ2:AQ1038&lt;&gt;"")*(1/(1+EXP(-('03_Lap_Theta'!$Q$2:$Q$1038-AQ20)))))</f>
        <v/>
      </c>
      <c r="AR22" s="5">
        <f>SUMPRODUCT(('01_Data'!AR2:AR1038&lt;&gt;"")*(1/(1+EXP(-('03_Lap_Theta'!$Q$2:$Q$1038-AR20)))))</f>
        <v/>
      </c>
      <c r="AS22" s="5">
        <f>SUMPRODUCT(('01_Data'!AS2:AS1038&lt;&gt;"")*(1/(1+EXP(-('03_Lap_Theta'!$Q$2:$Q$1038-AS20)))))</f>
        <v/>
      </c>
      <c r="AT22" s="5">
        <f>SUMPRODUCT(('01_Data'!AT2:AT1038&lt;&gt;"")*(1/(1+EXP(-('03_Lap_Theta'!$Q$2:$Q$1038-AT20)))))</f>
        <v/>
      </c>
      <c r="AU22" s="5">
        <f>SUMPRODUCT(('01_Data'!AU2:AU1038&lt;&gt;"")*(1/(1+EXP(-('03_Lap_Theta'!$Q$2:$Q$1038-AU20)))))</f>
        <v/>
      </c>
      <c r="AV22" s="5">
        <f>SUMPRODUCT(('01_Data'!AV2:AV1038&lt;&gt;"")*(1/(1+EXP(-('03_Lap_Theta'!$Q$2:$Q$1038-AV20)))))</f>
        <v/>
      </c>
      <c r="AW22" s="5">
        <f>SUMPRODUCT(('01_Data'!AW2:AW1038&lt;&gt;"")*(1/(1+EXP(-('03_Lap_Theta'!$Q$2:$Q$1038-AW20)))))</f>
        <v/>
      </c>
    </row>
    <row r="23">
      <c r="A23" s="8" t="inlineStr">
        <is>
          <t>ΣP² vòng 4</t>
        </is>
      </c>
      <c r="B23" s="5">
        <f>SUMPRODUCT(('01_Data'!B2:B1038&lt;&gt;"")*(1/(1+EXP(-('03_Lap_Theta'!$Q$2:$Q$1038-B20))))^2)</f>
        <v/>
      </c>
      <c r="C23" s="5">
        <f>SUMPRODUCT(('01_Data'!C2:C1038&lt;&gt;"")*(1/(1+EXP(-('03_Lap_Theta'!$Q$2:$Q$1038-C20))))^2)</f>
        <v/>
      </c>
      <c r="D23" s="5">
        <f>SUMPRODUCT(('01_Data'!D2:D1038&lt;&gt;"")*(1/(1+EXP(-('03_Lap_Theta'!$Q$2:$Q$1038-D20))))^2)</f>
        <v/>
      </c>
      <c r="E23" s="5">
        <f>SUMPRODUCT(('01_Data'!E2:E1038&lt;&gt;"")*(1/(1+EXP(-('03_Lap_Theta'!$Q$2:$Q$1038-E20))))^2)</f>
        <v/>
      </c>
      <c r="F23" s="5">
        <f>SUMPRODUCT(('01_Data'!F2:F1038&lt;&gt;"")*(1/(1+EXP(-('03_Lap_Theta'!$Q$2:$Q$1038-F20))))^2)</f>
        <v/>
      </c>
      <c r="G23" s="5">
        <f>SUMPRODUCT(('01_Data'!G2:G1038&lt;&gt;"")*(1/(1+EXP(-('03_Lap_Theta'!$Q$2:$Q$1038-G20))))^2)</f>
        <v/>
      </c>
      <c r="H23" s="5">
        <f>SUMPRODUCT(('01_Data'!H2:H1038&lt;&gt;"")*(1/(1+EXP(-('03_Lap_Theta'!$Q$2:$Q$1038-H20))))^2)</f>
        <v/>
      </c>
      <c r="I23" s="5">
        <f>SUMPRODUCT(('01_Data'!I2:I1038&lt;&gt;"")*(1/(1+EXP(-('03_Lap_Theta'!$Q$2:$Q$1038-I20))))^2)</f>
        <v/>
      </c>
      <c r="J23" s="5">
        <f>SUMPRODUCT(('01_Data'!J2:J1038&lt;&gt;"")*(1/(1+EXP(-('03_Lap_Theta'!$Q$2:$Q$1038-J20))))^2)</f>
        <v/>
      </c>
      <c r="K23" s="5">
        <f>SUMPRODUCT(('01_Data'!K2:K1038&lt;&gt;"")*(1/(1+EXP(-('03_Lap_Theta'!$Q$2:$Q$1038-K20))))^2)</f>
        <v/>
      </c>
      <c r="L23" s="5">
        <f>SUMPRODUCT(('01_Data'!L2:L1038&lt;&gt;"")*(1/(1+EXP(-('03_Lap_Theta'!$Q$2:$Q$1038-L20))))^2)</f>
        <v/>
      </c>
      <c r="M23" s="5">
        <f>SUMPRODUCT(('01_Data'!M2:M1038&lt;&gt;"")*(1/(1+EXP(-('03_Lap_Theta'!$Q$2:$Q$1038-M20))))^2)</f>
        <v/>
      </c>
      <c r="N23" s="5">
        <f>SUMPRODUCT(('01_Data'!N2:N1038&lt;&gt;"")*(1/(1+EXP(-('03_Lap_Theta'!$Q$2:$Q$1038-N20))))^2)</f>
        <v/>
      </c>
      <c r="O23" s="5">
        <f>SUMPRODUCT(('01_Data'!O2:O1038&lt;&gt;"")*(1/(1+EXP(-('03_Lap_Theta'!$Q$2:$Q$1038-O20))))^2)</f>
        <v/>
      </c>
      <c r="P23" s="5">
        <f>SUMPRODUCT(('01_Data'!P2:P1038&lt;&gt;"")*(1/(1+EXP(-('03_Lap_Theta'!$Q$2:$Q$1038-P20))))^2)</f>
        <v/>
      </c>
      <c r="Q23" s="5">
        <f>SUMPRODUCT(('01_Data'!Q2:Q1038&lt;&gt;"")*(1/(1+EXP(-('03_Lap_Theta'!$Q$2:$Q$1038-Q20))))^2)</f>
        <v/>
      </c>
      <c r="R23" s="5">
        <f>SUMPRODUCT(('01_Data'!R2:R1038&lt;&gt;"")*(1/(1+EXP(-('03_Lap_Theta'!$Q$2:$Q$1038-R20))))^2)</f>
        <v/>
      </c>
      <c r="S23" s="5">
        <f>SUMPRODUCT(('01_Data'!S2:S1038&lt;&gt;"")*(1/(1+EXP(-('03_Lap_Theta'!$Q$2:$Q$1038-S20))))^2)</f>
        <v/>
      </c>
      <c r="T23" s="5">
        <f>SUMPRODUCT(('01_Data'!T2:T1038&lt;&gt;"")*(1/(1+EXP(-('03_Lap_Theta'!$Q$2:$Q$1038-T20))))^2)</f>
        <v/>
      </c>
      <c r="U23" s="5">
        <f>SUMPRODUCT(('01_Data'!U2:U1038&lt;&gt;"")*(1/(1+EXP(-('03_Lap_Theta'!$Q$2:$Q$1038-U20))))^2)</f>
        <v/>
      </c>
      <c r="V23" s="5">
        <f>SUMPRODUCT(('01_Data'!V2:V1038&lt;&gt;"")*(1/(1+EXP(-('03_Lap_Theta'!$Q$2:$Q$1038-V20))))^2)</f>
        <v/>
      </c>
      <c r="W23" s="5">
        <f>SUMPRODUCT(('01_Data'!W2:W1038&lt;&gt;"")*(1/(1+EXP(-('03_Lap_Theta'!$Q$2:$Q$1038-W20))))^2)</f>
        <v/>
      </c>
      <c r="X23" s="5">
        <f>SUMPRODUCT(('01_Data'!X2:X1038&lt;&gt;"")*(1/(1+EXP(-('03_Lap_Theta'!$Q$2:$Q$1038-X20))))^2)</f>
        <v/>
      </c>
      <c r="Y23" s="5">
        <f>SUMPRODUCT(('01_Data'!Y2:Y1038&lt;&gt;"")*(1/(1+EXP(-('03_Lap_Theta'!$Q$2:$Q$1038-Y20))))^2)</f>
        <v/>
      </c>
      <c r="Z23" s="5">
        <f>SUMPRODUCT(('01_Data'!Z2:Z1038&lt;&gt;"")*(1/(1+EXP(-('03_Lap_Theta'!$Q$2:$Q$1038-Z20))))^2)</f>
        <v/>
      </c>
      <c r="AA23" s="5">
        <f>SUMPRODUCT(('01_Data'!AA2:AA1038&lt;&gt;"")*(1/(1+EXP(-('03_Lap_Theta'!$Q$2:$Q$1038-AA20))))^2)</f>
        <v/>
      </c>
      <c r="AB23" s="5">
        <f>SUMPRODUCT(('01_Data'!AB2:AB1038&lt;&gt;"")*(1/(1+EXP(-('03_Lap_Theta'!$Q$2:$Q$1038-AB20))))^2)</f>
        <v/>
      </c>
      <c r="AC23" s="5">
        <f>SUMPRODUCT(('01_Data'!AC2:AC1038&lt;&gt;"")*(1/(1+EXP(-('03_Lap_Theta'!$Q$2:$Q$1038-AC20))))^2)</f>
        <v/>
      </c>
      <c r="AD23" s="5">
        <f>SUMPRODUCT(('01_Data'!AD2:AD1038&lt;&gt;"")*(1/(1+EXP(-('03_Lap_Theta'!$Q$2:$Q$1038-AD20))))^2)</f>
        <v/>
      </c>
      <c r="AE23" s="5">
        <f>SUMPRODUCT(('01_Data'!AE2:AE1038&lt;&gt;"")*(1/(1+EXP(-('03_Lap_Theta'!$Q$2:$Q$1038-AE20))))^2)</f>
        <v/>
      </c>
      <c r="AF23" s="5">
        <f>SUMPRODUCT(('01_Data'!AF2:AF1038&lt;&gt;"")*(1/(1+EXP(-('03_Lap_Theta'!$Q$2:$Q$1038-AF20))))^2)</f>
        <v/>
      </c>
      <c r="AG23" s="5">
        <f>SUMPRODUCT(('01_Data'!AG2:AG1038&lt;&gt;"")*(1/(1+EXP(-('03_Lap_Theta'!$Q$2:$Q$1038-AG20))))^2)</f>
        <v/>
      </c>
      <c r="AH23" s="5">
        <f>SUMPRODUCT(('01_Data'!AH2:AH1038&lt;&gt;"")*(1/(1+EXP(-('03_Lap_Theta'!$Q$2:$Q$1038-AH20))))^2)</f>
        <v/>
      </c>
      <c r="AI23" s="5">
        <f>SUMPRODUCT(('01_Data'!AI2:AI1038&lt;&gt;"")*(1/(1+EXP(-('03_Lap_Theta'!$Q$2:$Q$1038-AI20))))^2)</f>
        <v/>
      </c>
      <c r="AJ23" s="5">
        <f>SUMPRODUCT(('01_Data'!AJ2:AJ1038&lt;&gt;"")*(1/(1+EXP(-('03_Lap_Theta'!$Q$2:$Q$1038-AJ20))))^2)</f>
        <v/>
      </c>
      <c r="AK23" s="5">
        <f>SUMPRODUCT(('01_Data'!AK2:AK1038&lt;&gt;"")*(1/(1+EXP(-('03_Lap_Theta'!$Q$2:$Q$1038-AK20))))^2)</f>
        <v/>
      </c>
      <c r="AL23" s="5">
        <f>SUMPRODUCT(('01_Data'!AL2:AL1038&lt;&gt;"")*(1/(1+EXP(-('03_Lap_Theta'!$Q$2:$Q$1038-AL20))))^2)</f>
        <v/>
      </c>
      <c r="AM23" s="5">
        <f>SUMPRODUCT(('01_Data'!AM2:AM1038&lt;&gt;"")*(1/(1+EXP(-('03_Lap_Theta'!$Q$2:$Q$1038-AM20))))^2)</f>
        <v/>
      </c>
      <c r="AN23" s="5">
        <f>SUMPRODUCT(('01_Data'!AN2:AN1038&lt;&gt;"")*(1/(1+EXP(-('03_Lap_Theta'!$Q$2:$Q$1038-AN20))))^2)</f>
        <v/>
      </c>
      <c r="AO23" s="5">
        <f>SUMPRODUCT(('01_Data'!AO2:AO1038&lt;&gt;"")*(1/(1+EXP(-('03_Lap_Theta'!$Q$2:$Q$1038-AO20))))^2)</f>
        <v/>
      </c>
      <c r="AP23" s="5">
        <f>SUMPRODUCT(('01_Data'!AP2:AP1038&lt;&gt;"")*(1/(1+EXP(-('03_Lap_Theta'!$Q$2:$Q$1038-AP20))))^2)</f>
        <v/>
      </c>
      <c r="AQ23" s="5">
        <f>SUMPRODUCT(('01_Data'!AQ2:AQ1038&lt;&gt;"")*(1/(1+EXP(-('03_Lap_Theta'!$Q$2:$Q$1038-AQ20))))^2)</f>
        <v/>
      </c>
      <c r="AR23" s="5">
        <f>SUMPRODUCT(('01_Data'!AR2:AR1038&lt;&gt;"")*(1/(1+EXP(-('03_Lap_Theta'!$Q$2:$Q$1038-AR20))))^2)</f>
        <v/>
      </c>
      <c r="AS23" s="5">
        <f>SUMPRODUCT(('01_Data'!AS2:AS1038&lt;&gt;"")*(1/(1+EXP(-('03_Lap_Theta'!$Q$2:$Q$1038-AS20))))^2)</f>
        <v/>
      </c>
      <c r="AT23" s="5">
        <f>SUMPRODUCT(('01_Data'!AT2:AT1038&lt;&gt;"")*(1/(1+EXP(-('03_Lap_Theta'!$Q$2:$Q$1038-AT20))))^2)</f>
        <v/>
      </c>
      <c r="AU23" s="5">
        <f>SUMPRODUCT(('01_Data'!AU2:AU1038&lt;&gt;"")*(1/(1+EXP(-('03_Lap_Theta'!$Q$2:$Q$1038-AU20))))^2)</f>
        <v/>
      </c>
      <c r="AV23" s="5">
        <f>SUMPRODUCT(('01_Data'!AV2:AV1038&lt;&gt;"")*(1/(1+EXP(-('03_Lap_Theta'!$Q$2:$Q$1038-AV20))))^2)</f>
        <v/>
      </c>
      <c r="AW23" s="5">
        <f>SUMPRODUCT(('01_Data'!AW2:AW1038&lt;&gt;"")*(1/(1+EXP(-('03_Lap_Theta'!$Q$2:$Q$1038-AW20))))^2)</f>
        <v/>
      </c>
    </row>
    <row r="24">
      <c r="A24" s="8" t="inlineStr">
        <is>
          <t>b4_raw</t>
        </is>
      </c>
      <c r="B24" s="5">
        <f>MEDIAN(-6,B20+(B22-'02_KhoiTao'!$E$2)/MAX(B22-B23,0.000000001),6)</f>
        <v/>
      </c>
      <c r="C24" s="5">
        <f>MEDIAN(-6,C20+(C22-'02_KhoiTao'!$E$3)/MAX(C22-C23,0.000000001),6)</f>
        <v/>
      </c>
      <c r="D24" s="5">
        <f>MEDIAN(-6,D20+(D22-'02_KhoiTao'!$E$4)/MAX(D22-D23,0.000000001),6)</f>
        <v/>
      </c>
      <c r="E24" s="5">
        <f>MEDIAN(-6,E20+(E22-'02_KhoiTao'!$E$5)/MAX(E22-E23,0.000000001),6)</f>
        <v/>
      </c>
      <c r="F24" s="5">
        <f>MEDIAN(-6,F20+(F22-'02_KhoiTao'!$E$6)/MAX(F22-F23,0.000000001),6)</f>
        <v/>
      </c>
      <c r="G24" s="5">
        <f>MEDIAN(-6,G20+(G22-'02_KhoiTao'!$E$7)/MAX(G22-G23,0.000000001),6)</f>
        <v/>
      </c>
      <c r="H24" s="5">
        <f>MEDIAN(-6,H20+(H22-'02_KhoiTao'!$E$8)/MAX(H22-H23,0.000000001),6)</f>
        <v/>
      </c>
      <c r="I24" s="5">
        <f>MEDIAN(-6,I20+(I22-'02_KhoiTao'!$E$9)/MAX(I22-I23,0.000000001),6)</f>
        <v/>
      </c>
      <c r="J24" s="5">
        <f>MEDIAN(-6,J20+(J22-'02_KhoiTao'!$E$10)/MAX(J22-J23,0.000000001),6)</f>
        <v/>
      </c>
      <c r="K24" s="5">
        <f>MEDIAN(-6,K20+(K22-'02_KhoiTao'!$E$11)/MAX(K22-K23,0.000000001),6)</f>
        <v/>
      </c>
      <c r="L24" s="5">
        <f>MEDIAN(-6,L20+(L22-'02_KhoiTao'!$E$12)/MAX(L22-L23,0.000000001),6)</f>
        <v/>
      </c>
      <c r="M24" s="5">
        <f>MEDIAN(-6,M20+(M22-'02_KhoiTao'!$E$13)/MAX(M22-M23,0.000000001),6)</f>
        <v/>
      </c>
      <c r="N24" s="5">
        <f>MEDIAN(-6,N20+(N22-'02_KhoiTao'!$E$14)/MAX(N22-N23,0.000000001),6)</f>
        <v/>
      </c>
      <c r="O24" s="5">
        <f>MEDIAN(-6,O20+(O22-'02_KhoiTao'!$E$15)/MAX(O22-O23,0.000000001),6)</f>
        <v/>
      </c>
      <c r="P24" s="5">
        <f>MEDIAN(-6,P20+(P22-'02_KhoiTao'!$E$16)/MAX(P22-P23,0.000000001),6)</f>
        <v/>
      </c>
      <c r="Q24" s="5">
        <f>MEDIAN(-6,Q20+(Q22-'02_KhoiTao'!$E$17)/MAX(Q22-Q23,0.000000001),6)</f>
        <v/>
      </c>
      <c r="R24" s="5">
        <f>MEDIAN(-6,R20+(R22-'02_KhoiTao'!$E$18)/MAX(R22-R23,0.000000001),6)</f>
        <v/>
      </c>
      <c r="S24" s="5">
        <f>MEDIAN(-6,S20+(S22-'02_KhoiTao'!$E$19)/MAX(S22-S23,0.000000001),6)</f>
        <v/>
      </c>
      <c r="T24" s="5">
        <f>MEDIAN(-6,T20+(T22-'02_KhoiTao'!$E$20)/MAX(T22-T23,0.000000001),6)</f>
        <v/>
      </c>
      <c r="U24" s="5">
        <f>MEDIAN(-6,U20+(U22-'02_KhoiTao'!$E$21)/MAX(U22-U23,0.000000001),6)</f>
        <v/>
      </c>
      <c r="V24" s="5">
        <f>MEDIAN(-6,V20+(V22-'02_KhoiTao'!$E$22)/MAX(V22-V23,0.000000001),6)</f>
        <v/>
      </c>
      <c r="W24" s="5">
        <f>MEDIAN(-6,W20+(W22-'02_KhoiTao'!$E$23)/MAX(W22-W23,0.000000001),6)</f>
        <v/>
      </c>
      <c r="X24" s="5">
        <f>MEDIAN(-6,X20+(X22-'02_KhoiTao'!$E$24)/MAX(X22-X23,0.000000001),6)</f>
        <v/>
      </c>
      <c r="Y24" s="5">
        <f>MEDIAN(-6,Y20+(Y22-'02_KhoiTao'!$E$25)/MAX(Y22-Y23,0.000000001),6)</f>
        <v/>
      </c>
      <c r="Z24" s="5">
        <f>MEDIAN(-6,Z20+(Z22-'02_KhoiTao'!$E$26)/MAX(Z22-Z23,0.000000001),6)</f>
        <v/>
      </c>
      <c r="AA24" s="5">
        <f>MEDIAN(-6,AA20+(AA22-'02_KhoiTao'!$E$27)/MAX(AA22-AA23,0.000000001),6)</f>
        <v/>
      </c>
      <c r="AB24" s="5">
        <f>MEDIAN(-6,AB20+(AB22-'02_KhoiTao'!$E$28)/MAX(AB22-AB23,0.000000001),6)</f>
        <v/>
      </c>
      <c r="AC24" s="5">
        <f>MEDIAN(-6,AC20+(AC22-'02_KhoiTao'!$E$29)/MAX(AC22-AC23,0.000000001),6)</f>
        <v/>
      </c>
      <c r="AD24" s="5">
        <f>MEDIAN(-6,AD20+(AD22-'02_KhoiTao'!$E$30)/MAX(AD22-AD23,0.000000001),6)</f>
        <v/>
      </c>
      <c r="AE24" s="5">
        <f>MEDIAN(-6,AE20+(AE22-'02_KhoiTao'!$E$31)/MAX(AE22-AE23,0.000000001),6)</f>
        <v/>
      </c>
      <c r="AF24" s="5">
        <f>MEDIAN(-6,AF20+(AF22-'02_KhoiTao'!$E$32)/MAX(AF22-AF23,0.000000001),6)</f>
        <v/>
      </c>
      <c r="AG24" s="5">
        <f>MEDIAN(-6,AG20+(AG22-'02_KhoiTao'!$E$33)/MAX(AG22-AG23,0.000000001),6)</f>
        <v/>
      </c>
      <c r="AH24" s="5">
        <f>MEDIAN(-6,AH20+(AH22-'02_KhoiTao'!$E$34)/MAX(AH22-AH23,0.000000001),6)</f>
        <v/>
      </c>
      <c r="AI24" s="5">
        <f>MEDIAN(-6,AI20+(AI22-'02_KhoiTao'!$E$35)/MAX(AI22-AI23,0.000000001),6)</f>
        <v/>
      </c>
      <c r="AJ24" s="5">
        <f>MEDIAN(-6,AJ20+(AJ22-'02_KhoiTao'!$E$36)/MAX(AJ22-AJ23,0.000000001),6)</f>
        <v/>
      </c>
      <c r="AK24" s="5">
        <f>MEDIAN(-6,AK20+(AK22-'02_KhoiTao'!$E$37)/MAX(AK22-AK23,0.000000001),6)</f>
        <v/>
      </c>
      <c r="AL24" s="5">
        <f>MEDIAN(-6,AL20+(AL22-'02_KhoiTao'!$E$38)/MAX(AL22-AL23,0.000000001),6)</f>
        <v/>
      </c>
      <c r="AM24" s="5">
        <f>MEDIAN(-6,AM20+(AM22-'02_KhoiTao'!$E$39)/MAX(AM22-AM23,0.000000001),6)</f>
        <v/>
      </c>
      <c r="AN24" s="5">
        <f>MEDIAN(-6,AN20+(AN22-'02_KhoiTao'!$E$40)/MAX(AN22-AN23,0.000000001),6)</f>
        <v/>
      </c>
      <c r="AO24" s="5">
        <f>MEDIAN(-6,AO20+(AO22-'02_KhoiTao'!$E$41)/MAX(AO22-AO23,0.000000001),6)</f>
        <v/>
      </c>
      <c r="AP24" s="5">
        <f>MEDIAN(-6,AP20+(AP22-'02_KhoiTao'!$E$42)/MAX(AP22-AP23,0.000000001),6)</f>
        <v/>
      </c>
      <c r="AQ24" s="5">
        <f>MEDIAN(-6,AQ20+(AQ22-'02_KhoiTao'!$E$43)/MAX(AQ22-AQ23,0.000000001),6)</f>
        <v/>
      </c>
      <c r="AR24" s="5">
        <f>MEDIAN(-6,AR20+(AR22-'02_KhoiTao'!$E$44)/MAX(AR22-AR23,0.000000001),6)</f>
        <v/>
      </c>
      <c r="AS24" s="5">
        <f>MEDIAN(-6,AS20+(AS22-'02_KhoiTao'!$E$45)/MAX(AS22-AS23,0.000000001),6)</f>
        <v/>
      </c>
      <c r="AT24" s="5">
        <f>MEDIAN(-6,AT20+(AT22-'02_KhoiTao'!$E$46)/MAX(AT22-AT23,0.000000001),6)</f>
        <v/>
      </c>
      <c r="AU24" s="5">
        <f>MEDIAN(-6,AU20+(AU22-'02_KhoiTao'!$E$47)/MAX(AU22-AU23,0.000000001),6)</f>
        <v/>
      </c>
      <c r="AV24" s="5">
        <f>MEDIAN(-6,AV20+(AV22-'02_KhoiTao'!$E$48)/MAX(AV22-AV23,0.000000001),6)</f>
        <v/>
      </c>
      <c r="AW24" s="5">
        <f>MEDIAN(-6,AW20+(AW22-'02_KhoiTao'!$E$49)/MAX(AW22-AW23,0.000000001),6)</f>
        <v/>
      </c>
    </row>
    <row r="25">
      <c r="A25" s="4" t="inlineStr">
        <is>
          <t>b4 (canh tâm)</t>
        </is>
      </c>
      <c r="B25" s="5">
        <f>B24-AVERAGE(B24:AW24)</f>
        <v/>
      </c>
      <c r="C25" s="5">
        <f>C24-AVERAGE(B24:AW24)</f>
        <v/>
      </c>
      <c r="D25" s="5">
        <f>D24-AVERAGE(B24:AW24)</f>
        <v/>
      </c>
      <c r="E25" s="5">
        <f>E24-AVERAGE(B24:AW24)</f>
        <v/>
      </c>
      <c r="F25" s="5">
        <f>F24-AVERAGE(B24:AW24)</f>
        <v/>
      </c>
      <c r="G25" s="5">
        <f>G24-AVERAGE(B24:AW24)</f>
        <v/>
      </c>
      <c r="H25" s="5">
        <f>H24-AVERAGE(B24:AW24)</f>
        <v/>
      </c>
      <c r="I25" s="5">
        <f>I24-AVERAGE(B24:AW24)</f>
        <v/>
      </c>
      <c r="J25" s="5">
        <f>J24-AVERAGE(B24:AW24)</f>
        <v/>
      </c>
      <c r="K25" s="5">
        <f>K24-AVERAGE(B24:AW24)</f>
        <v/>
      </c>
      <c r="L25" s="5">
        <f>L24-AVERAGE(B24:AW24)</f>
        <v/>
      </c>
      <c r="M25" s="5">
        <f>M24-AVERAGE(B24:AW24)</f>
        <v/>
      </c>
      <c r="N25" s="5">
        <f>N24-AVERAGE(B24:AW24)</f>
        <v/>
      </c>
      <c r="O25" s="5">
        <f>O24-AVERAGE(B24:AW24)</f>
        <v/>
      </c>
      <c r="P25" s="5">
        <f>P24-AVERAGE(B24:AW24)</f>
        <v/>
      </c>
      <c r="Q25" s="5">
        <f>Q24-AVERAGE(B24:AW24)</f>
        <v/>
      </c>
      <c r="R25" s="5">
        <f>R24-AVERAGE(B24:AW24)</f>
        <v/>
      </c>
      <c r="S25" s="5">
        <f>S24-AVERAGE(B24:AW24)</f>
        <v/>
      </c>
      <c r="T25" s="5">
        <f>T24-AVERAGE(B24:AW24)</f>
        <v/>
      </c>
      <c r="U25" s="5">
        <f>U24-AVERAGE(B24:AW24)</f>
        <v/>
      </c>
      <c r="V25" s="5">
        <f>V24-AVERAGE(B24:AW24)</f>
        <v/>
      </c>
      <c r="W25" s="5">
        <f>W24-AVERAGE(B24:AW24)</f>
        <v/>
      </c>
      <c r="X25" s="5">
        <f>X24-AVERAGE(B24:AW24)</f>
        <v/>
      </c>
      <c r="Y25" s="5">
        <f>Y24-AVERAGE(B24:AW24)</f>
        <v/>
      </c>
      <c r="Z25" s="5">
        <f>Z24-AVERAGE(B24:AW24)</f>
        <v/>
      </c>
      <c r="AA25" s="5">
        <f>AA24-AVERAGE(B24:AW24)</f>
        <v/>
      </c>
      <c r="AB25" s="5">
        <f>AB24-AVERAGE(B24:AW24)</f>
        <v/>
      </c>
      <c r="AC25" s="5">
        <f>AC24-AVERAGE(B24:AW24)</f>
        <v/>
      </c>
      <c r="AD25" s="5">
        <f>AD24-AVERAGE(B24:AW24)</f>
        <v/>
      </c>
      <c r="AE25" s="5">
        <f>AE24-AVERAGE(B24:AW24)</f>
        <v/>
      </c>
      <c r="AF25" s="5">
        <f>AF24-AVERAGE(B24:AW24)</f>
        <v/>
      </c>
      <c r="AG25" s="5">
        <f>AG24-AVERAGE(B24:AW24)</f>
        <v/>
      </c>
      <c r="AH25" s="5">
        <f>AH24-AVERAGE(B24:AW24)</f>
        <v/>
      </c>
      <c r="AI25" s="5">
        <f>AI24-AVERAGE(B24:AW24)</f>
        <v/>
      </c>
      <c r="AJ25" s="5">
        <f>AJ24-AVERAGE(B24:AW24)</f>
        <v/>
      </c>
      <c r="AK25" s="5">
        <f>AK24-AVERAGE(B24:AW24)</f>
        <v/>
      </c>
      <c r="AL25" s="5">
        <f>AL24-AVERAGE(B24:AW24)</f>
        <v/>
      </c>
      <c r="AM25" s="5">
        <f>AM24-AVERAGE(B24:AW24)</f>
        <v/>
      </c>
      <c r="AN25" s="5">
        <f>AN24-AVERAGE(B24:AW24)</f>
        <v/>
      </c>
      <c r="AO25" s="5">
        <f>AO24-AVERAGE(B24:AW24)</f>
        <v/>
      </c>
      <c r="AP25" s="5">
        <f>AP24-AVERAGE(B24:AW24)</f>
        <v/>
      </c>
      <c r="AQ25" s="5">
        <f>AQ24-AVERAGE(B24:AW24)</f>
        <v/>
      </c>
      <c r="AR25" s="5">
        <f>AR24-AVERAGE(B24:AW24)</f>
        <v/>
      </c>
      <c r="AS25" s="5">
        <f>AS24-AVERAGE(B24:AW24)</f>
        <v/>
      </c>
      <c r="AT25" s="5">
        <f>AT24-AVERAGE(B24:AW24)</f>
        <v/>
      </c>
      <c r="AU25" s="5">
        <f>AU24-AVERAGE(B24:AW24)</f>
        <v/>
      </c>
      <c r="AV25" s="5">
        <f>AV24-AVERAGE(B24:AW24)</f>
        <v/>
      </c>
      <c r="AW25" s="5">
        <f>AW24-AVERAGE(B24:AW24)</f>
        <v/>
      </c>
      <c r="AX25" s="8" t="inlineStr">
        <is>
          <t>max|Δb|</t>
        </is>
      </c>
      <c r="AY25" s="9">
        <f t="array" ref="AY25">MAX(ABS(B25:AW25-B20:AW20))</f>
        <v/>
      </c>
    </row>
    <row r="27">
      <c r="A27" s="8" t="inlineStr">
        <is>
          <t>ΣP vòng 5</t>
        </is>
      </c>
      <c r="B27" s="5">
        <f>SUMPRODUCT(('01_Data'!B2:B1038&lt;&gt;"")*(1/(1+EXP(-('03_Lap_Theta'!$T$2:$T$1038-B25)))))</f>
        <v/>
      </c>
      <c r="C27" s="5">
        <f>SUMPRODUCT(('01_Data'!C2:C1038&lt;&gt;"")*(1/(1+EXP(-('03_Lap_Theta'!$T$2:$T$1038-C25)))))</f>
        <v/>
      </c>
      <c r="D27" s="5">
        <f>SUMPRODUCT(('01_Data'!D2:D1038&lt;&gt;"")*(1/(1+EXP(-('03_Lap_Theta'!$T$2:$T$1038-D25)))))</f>
        <v/>
      </c>
      <c r="E27" s="5">
        <f>SUMPRODUCT(('01_Data'!E2:E1038&lt;&gt;"")*(1/(1+EXP(-('03_Lap_Theta'!$T$2:$T$1038-E25)))))</f>
        <v/>
      </c>
      <c r="F27" s="5">
        <f>SUMPRODUCT(('01_Data'!F2:F1038&lt;&gt;"")*(1/(1+EXP(-('03_Lap_Theta'!$T$2:$T$1038-F25)))))</f>
        <v/>
      </c>
      <c r="G27" s="5">
        <f>SUMPRODUCT(('01_Data'!G2:G1038&lt;&gt;"")*(1/(1+EXP(-('03_Lap_Theta'!$T$2:$T$1038-G25)))))</f>
        <v/>
      </c>
      <c r="H27" s="5">
        <f>SUMPRODUCT(('01_Data'!H2:H1038&lt;&gt;"")*(1/(1+EXP(-('03_Lap_Theta'!$T$2:$T$1038-H25)))))</f>
        <v/>
      </c>
      <c r="I27" s="5">
        <f>SUMPRODUCT(('01_Data'!I2:I1038&lt;&gt;"")*(1/(1+EXP(-('03_Lap_Theta'!$T$2:$T$1038-I25)))))</f>
        <v/>
      </c>
      <c r="J27" s="5">
        <f>SUMPRODUCT(('01_Data'!J2:J1038&lt;&gt;"")*(1/(1+EXP(-('03_Lap_Theta'!$T$2:$T$1038-J25)))))</f>
        <v/>
      </c>
      <c r="K27" s="5">
        <f>SUMPRODUCT(('01_Data'!K2:K1038&lt;&gt;"")*(1/(1+EXP(-('03_Lap_Theta'!$T$2:$T$1038-K25)))))</f>
        <v/>
      </c>
      <c r="L27" s="5">
        <f>SUMPRODUCT(('01_Data'!L2:L1038&lt;&gt;"")*(1/(1+EXP(-('03_Lap_Theta'!$T$2:$T$1038-L25)))))</f>
        <v/>
      </c>
      <c r="M27" s="5">
        <f>SUMPRODUCT(('01_Data'!M2:M1038&lt;&gt;"")*(1/(1+EXP(-('03_Lap_Theta'!$T$2:$T$1038-M25)))))</f>
        <v/>
      </c>
      <c r="N27" s="5">
        <f>SUMPRODUCT(('01_Data'!N2:N1038&lt;&gt;"")*(1/(1+EXP(-('03_Lap_Theta'!$T$2:$T$1038-N25)))))</f>
        <v/>
      </c>
      <c r="O27" s="5">
        <f>SUMPRODUCT(('01_Data'!O2:O1038&lt;&gt;"")*(1/(1+EXP(-('03_Lap_Theta'!$T$2:$T$1038-O25)))))</f>
        <v/>
      </c>
      <c r="P27" s="5">
        <f>SUMPRODUCT(('01_Data'!P2:P1038&lt;&gt;"")*(1/(1+EXP(-('03_Lap_Theta'!$T$2:$T$1038-P25)))))</f>
        <v/>
      </c>
      <c r="Q27" s="5">
        <f>SUMPRODUCT(('01_Data'!Q2:Q1038&lt;&gt;"")*(1/(1+EXP(-('03_Lap_Theta'!$T$2:$T$1038-Q25)))))</f>
        <v/>
      </c>
      <c r="R27" s="5">
        <f>SUMPRODUCT(('01_Data'!R2:R1038&lt;&gt;"")*(1/(1+EXP(-('03_Lap_Theta'!$T$2:$T$1038-R25)))))</f>
        <v/>
      </c>
      <c r="S27" s="5">
        <f>SUMPRODUCT(('01_Data'!S2:S1038&lt;&gt;"")*(1/(1+EXP(-('03_Lap_Theta'!$T$2:$T$1038-S25)))))</f>
        <v/>
      </c>
      <c r="T27" s="5">
        <f>SUMPRODUCT(('01_Data'!T2:T1038&lt;&gt;"")*(1/(1+EXP(-('03_Lap_Theta'!$T$2:$T$1038-T25)))))</f>
        <v/>
      </c>
      <c r="U27" s="5">
        <f>SUMPRODUCT(('01_Data'!U2:U1038&lt;&gt;"")*(1/(1+EXP(-('03_Lap_Theta'!$T$2:$T$1038-U25)))))</f>
        <v/>
      </c>
      <c r="V27" s="5">
        <f>SUMPRODUCT(('01_Data'!V2:V1038&lt;&gt;"")*(1/(1+EXP(-('03_Lap_Theta'!$T$2:$T$1038-V25)))))</f>
        <v/>
      </c>
      <c r="W27" s="5">
        <f>SUMPRODUCT(('01_Data'!W2:W1038&lt;&gt;"")*(1/(1+EXP(-('03_Lap_Theta'!$T$2:$T$1038-W25)))))</f>
        <v/>
      </c>
      <c r="X27" s="5">
        <f>SUMPRODUCT(('01_Data'!X2:X1038&lt;&gt;"")*(1/(1+EXP(-('03_Lap_Theta'!$T$2:$T$1038-X25)))))</f>
        <v/>
      </c>
      <c r="Y27" s="5">
        <f>SUMPRODUCT(('01_Data'!Y2:Y1038&lt;&gt;"")*(1/(1+EXP(-('03_Lap_Theta'!$T$2:$T$1038-Y25)))))</f>
        <v/>
      </c>
      <c r="Z27" s="5">
        <f>SUMPRODUCT(('01_Data'!Z2:Z1038&lt;&gt;"")*(1/(1+EXP(-('03_Lap_Theta'!$T$2:$T$1038-Z25)))))</f>
        <v/>
      </c>
      <c r="AA27" s="5">
        <f>SUMPRODUCT(('01_Data'!AA2:AA1038&lt;&gt;"")*(1/(1+EXP(-('03_Lap_Theta'!$T$2:$T$1038-AA25)))))</f>
        <v/>
      </c>
      <c r="AB27" s="5">
        <f>SUMPRODUCT(('01_Data'!AB2:AB1038&lt;&gt;"")*(1/(1+EXP(-('03_Lap_Theta'!$T$2:$T$1038-AB25)))))</f>
        <v/>
      </c>
      <c r="AC27" s="5">
        <f>SUMPRODUCT(('01_Data'!AC2:AC1038&lt;&gt;"")*(1/(1+EXP(-('03_Lap_Theta'!$T$2:$T$1038-AC25)))))</f>
        <v/>
      </c>
      <c r="AD27" s="5">
        <f>SUMPRODUCT(('01_Data'!AD2:AD1038&lt;&gt;"")*(1/(1+EXP(-('03_Lap_Theta'!$T$2:$T$1038-AD25)))))</f>
        <v/>
      </c>
      <c r="AE27" s="5">
        <f>SUMPRODUCT(('01_Data'!AE2:AE1038&lt;&gt;"")*(1/(1+EXP(-('03_Lap_Theta'!$T$2:$T$1038-AE25)))))</f>
        <v/>
      </c>
      <c r="AF27" s="5">
        <f>SUMPRODUCT(('01_Data'!AF2:AF1038&lt;&gt;"")*(1/(1+EXP(-('03_Lap_Theta'!$T$2:$T$1038-AF25)))))</f>
        <v/>
      </c>
      <c r="AG27" s="5">
        <f>SUMPRODUCT(('01_Data'!AG2:AG1038&lt;&gt;"")*(1/(1+EXP(-('03_Lap_Theta'!$T$2:$T$1038-AG25)))))</f>
        <v/>
      </c>
      <c r="AH27" s="5">
        <f>SUMPRODUCT(('01_Data'!AH2:AH1038&lt;&gt;"")*(1/(1+EXP(-('03_Lap_Theta'!$T$2:$T$1038-AH25)))))</f>
        <v/>
      </c>
      <c r="AI27" s="5">
        <f>SUMPRODUCT(('01_Data'!AI2:AI1038&lt;&gt;"")*(1/(1+EXP(-('03_Lap_Theta'!$T$2:$T$1038-AI25)))))</f>
        <v/>
      </c>
      <c r="AJ27" s="5">
        <f>SUMPRODUCT(('01_Data'!AJ2:AJ1038&lt;&gt;"")*(1/(1+EXP(-('03_Lap_Theta'!$T$2:$T$1038-AJ25)))))</f>
        <v/>
      </c>
      <c r="AK27" s="5">
        <f>SUMPRODUCT(('01_Data'!AK2:AK1038&lt;&gt;"")*(1/(1+EXP(-('03_Lap_Theta'!$T$2:$T$1038-AK25)))))</f>
        <v/>
      </c>
      <c r="AL27" s="5">
        <f>SUMPRODUCT(('01_Data'!AL2:AL1038&lt;&gt;"")*(1/(1+EXP(-('03_Lap_Theta'!$T$2:$T$1038-AL25)))))</f>
        <v/>
      </c>
      <c r="AM27" s="5">
        <f>SUMPRODUCT(('01_Data'!AM2:AM1038&lt;&gt;"")*(1/(1+EXP(-('03_Lap_Theta'!$T$2:$T$1038-AM25)))))</f>
        <v/>
      </c>
      <c r="AN27" s="5">
        <f>SUMPRODUCT(('01_Data'!AN2:AN1038&lt;&gt;"")*(1/(1+EXP(-('03_Lap_Theta'!$T$2:$T$1038-AN25)))))</f>
        <v/>
      </c>
      <c r="AO27" s="5">
        <f>SUMPRODUCT(('01_Data'!AO2:AO1038&lt;&gt;"")*(1/(1+EXP(-('03_Lap_Theta'!$T$2:$T$1038-AO25)))))</f>
        <v/>
      </c>
      <c r="AP27" s="5">
        <f>SUMPRODUCT(('01_Data'!AP2:AP1038&lt;&gt;"")*(1/(1+EXP(-('03_Lap_Theta'!$T$2:$T$1038-AP25)))))</f>
        <v/>
      </c>
      <c r="AQ27" s="5">
        <f>SUMPRODUCT(('01_Data'!AQ2:AQ1038&lt;&gt;"")*(1/(1+EXP(-('03_Lap_Theta'!$T$2:$T$1038-AQ25)))))</f>
        <v/>
      </c>
      <c r="AR27" s="5">
        <f>SUMPRODUCT(('01_Data'!AR2:AR1038&lt;&gt;"")*(1/(1+EXP(-('03_Lap_Theta'!$T$2:$T$1038-AR25)))))</f>
        <v/>
      </c>
      <c r="AS27" s="5">
        <f>SUMPRODUCT(('01_Data'!AS2:AS1038&lt;&gt;"")*(1/(1+EXP(-('03_Lap_Theta'!$T$2:$T$1038-AS25)))))</f>
        <v/>
      </c>
      <c r="AT27" s="5">
        <f>SUMPRODUCT(('01_Data'!AT2:AT1038&lt;&gt;"")*(1/(1+EXP(-('03_Lap_Theta'!$T$2:$T$1038-AT25)))))</f>
        <v/>
      </c>
      <c r="AU27" s="5">
        <f>SUMPRODUCT(('01_Data'!AU2:AU1038&lt;&gt;"")*(1/(1+EXP(-('03_Lap_Theta'!$T$2:$T$1038-AU25)))))</f>
        <v/>
      </c>
      <c r="AV27" s="5">
        <f>SUMPRODUCT(('01_Data'!AV2:AV1038&lt;&gt;"")*(1/(1+EXP(-('03_Lap_Theta'!$T$2:$T$1038-AV25)))))</f>
        <v/>
      </c>
      <c r="AW27" s="5">
        <f>SUMPRODUCT(('01_Data'!AW2:AW1038&lt;&gt;"")*(1/(1+EXP(-('03_Lap_Theta'!$T$2:$T$1038-AW25)))))</f>
        <v/>
      </c>
    </row>
    <row r="28">
      <c r="A28" s="8" t="inlineStr">
        <is>
          <t>ΣP² vòng 5</t>
        </is>
      </c>
      <c r="B28" s="5">
        <f>SUMPRODUCT(('01_Data'!B2:B1038&lt;&gt;"")*(1/(1+EXP(-('03_Lap_Theta'!$T$2:$T$1038-B25))))^2)</f>
        <v/>
      </c>
      <c r="C28" s="5">
        <f>SUMPRODUCT(('01_Data'!C2:C1038&lt;&gt;"")*(1/(1+EXP(-('03_Lap_Theta'!$T$2:$T$1038-C25))))^2)</f>
        <v/>
      </c>
      <c r="D28" s="5">
        <f>SUMPRODUCT(('01_Data'!D2:D1038&lt;&gt;"")*(1/(1+EXP(-('03_Lap_Theta'!$T$2:$T$1038-D25))))^2)</f>
        <v/>
      </c>
      <c r="E28" s="5">
        <f>SUMPRODUCT(('01_Data'!E2:E1038&lt;&gt;"")*(1/(1+EXP(-('03_Lap_Theta'!$T$2:$T$1038-E25))))^2)</f>
        <v/>
      </c>
      <c r="F28" s="5">
        <f>SUMPRODUCT(('01_Data'!F2:F1038&lt;&gt;"")*(1/(1+EXP(-('03_Lap_Theta'!$T$2:$T$1038-F25))))^2)</f>
        <v/>
      </c>
      <c r="G28" s="5">
        <f>SUMPRODUCT(('01_Data'!G2:G1038&lt;&gt;"")*(1/(1+EXP(-('03_Lap_Theta'!$T$2:$T$1038-G25))))^2)</f>
        <v/>
      </c>
      <c r="H28" s="5">
        <f>SUMPRODUCT(('01_Data'!H2:H1038&lt;&gt;"")*(1/(1+EXP(-('03_Lap_Theta'!$T$2:$T$1038-H25))))^2)</f>
        <v/>
      </c>
      <c r="I28" s="5">
        <f>SUMPRODUCT(('01_Data'!I2:I1038&lt;&gt;"")*(1/(1+EXP(-('03_Lap_Theta'!$T$2:$T$1038-I25))))^2)</f>
        <v/>
      </c>
      <c r="J28" s="5">
        <f>SUMPRODUCT(('01_Data'!J2:J1038&lt;&gt;"")*(1/(1+EXP(-('03_Lap_Theta'!$T$2:$T$1038-J25))))^2)</f>
        <v/>
      </c>
      <c r="K28" s="5">
        <f>SUMPRODUCT(('01_Data'!K2:K1038&lt;&gt;"")*(1/(1+EXP(-('03_Lap_Theta'!$T$2:$T$1038-K25))))^2)</f>
        <v/>
      </c>
      <c r="L28" s="5">
        <f>SUMPRODUCT(('01_Data'!L2:L1038&lt;&gt;"")*(1/(1+EXP(-('03_Lap_Theta'!$T$2:$T$1038-L25))))^2)</f>
        <v/>
      </c>
      <c r="M28" s="5">
        <f>SUMPRODUCT(('01_Data'!M2:M1038&lt;&gt;"")*(1/(1+EXP(-('03_Lap_Theta'!$T$2:$T$1038-M25))))^2)</f>
        <v/>
      </c>
      <c r="N28" s="5">
        <f>SUMPRODUCT(('01_Data'!N2:N1038&lt;&gt;"")*(1/(1+EXP(-('03_Lap_Theta'!$T$2:$T$1038-N25))))^2)</f>
        <v/>
      </c>
      <c r="O28" s="5">
        <f>SUMPRODUCT(('01_Data'!O2:O1038&lt;&gt;"")*(1/(1+EXP(-('03_Lap_Theta'!$T$2:$T$1038-O25))))^2)</f>
        <v/>
      </c>
      <c r="P28" s="5">
        <f>SUMPRODUCT(('01_Data'!P2:P1038&lt;&gt;"")*(1/(1+EXP(-('03_Lap_Theta'!$T$2:$T$1038-P25))))^2)</f>
        <v/>
      </c>
      <c r="Q28" s="5">
        <f>SUMPRODUCT(('01_Data'!Q2:Q1038&lt;&gt;"")*(1/(1+EXP(-('03_Lap_Theta'!$T$2:$T$1038-Q25))))^2)</f>
        <v/>
      </c>
      <c r="R28" s="5">
        <f>SUMPRODUCT(('01_Data'!R2:R1038&lt;&gt;"")*(1/(1+EXP(-('03_Lap_Theta'!$T$2:$T$1038-R25))))^2)</f>
        <v/>
      </c>
      <c r="S28" s="5">
        <f>SUMPRODUCT(('01_Data'!S2:S1038&lt;&gt;"")*(1/(1+EXP(-('03_Lap_Theta'!$T$2:$T$1038-S25))))^2)</f>
        <v/>
      </c>
      <c r="T28" s="5">
        <f>SUMPRODUCT(('01_Data'!T2:T1038&lt;&gt;"")*(1/(1+EXP(-('03_Lap_Theta'!$T$2:$T$1038-T25))))^2)</f>
        <v/>
      </c>
      <c r="U28" s="5">
        <f>SUMPRODUCT(('01_Data'!U2:U1038&lt;&gt;"")*(1/(1+EXP(-('03_Lap_Theta'!$T$2:$T$1038-U25))))^2)</f>
        <v/>
      </c>
      <c r="V28" s="5">
        <f>SUMPRODUCT(('01_Data'!V2:V1038&lt;&gt;"")*(1/(1+EXP(-('03_Lap_Theta'!$T$2:$T$1038-V25))))^2)</f>
        <v/>
      </c>
      <c r="W28" s="5">
        <f>SUMPRODUCT(('01_Data'!W2:W1038&lt;&gt;"")*(1/(1+EXP(-('03_Lap_Theta'!$T$2:$T$1038-W25))))^2)</f>
        <v/>
      </c>
      <c r="X28" s="5">
        <f>SUMPRODUCT(('01_Data'!X2:X1038&lt;&gt;"")*(1/(1+EXP(-('03_Lap_Theta'!$T$2:$T$1038-X25))))^2)</f>
        <v/>
      </c>
      <c r="Y28" s="5">
        <f>SUMPRODUCT(('01_Data'!Y2:Y1038&lt;&gt;"")*(1/(1+EXP(-('03_Lap_Theta'!$T$2:$T$1038-Y25))))^2)</f>
        <v/>
      </c>
      <c r="Z28" s="5">
        <f>SUMPRODUCT(('01_Data'!Z2:Z1038&lt;&gt;"")*(1/(1+EXP(-('03_Lap_Theta'!$T$2:$T$1038-Z25))))^2)</f>
        <v/>
      </c>
      <c r="AA28" s="5">
        <f>SUMPRODUCT(('01_Data'!AA2:AA1038&lt;&gt;"")*(1/(1+EXP(-('03_Lap_Theta'!$T$2:$T$1038-AA25))))^2)</f>
        <v/>
      </c>
      <c r="AB28" s="5">
        <f>SUMPRODUCT(('01_Data'!AB2:AB1038&lt;&gt;"")*(1/(1+EXP(-('03_Lap_Theta'!$T$2:$T$1038-AB25))))^2)</f>
        <v/>
      </c>
      <c r="AC28" s="5">
        <f>SUMPRODUCT(('01_Data'!AC2:AC1038&lt;&gt;"")*(1/(1+EXP(-('03_Lap_Theta'!$T$2:$T$1038-AC25))))^2)</f>
        <v/>
      </c>
      <c r="AD28" s="5">
        <f>SUMPRODUCT(('01_Data'!AD2:AD1038&lt;&gt;"")*(1/(1+EXP(-('03_Lap_Theta'!$T$2:$T$1038-AD25))))^2)</f>
        <v/>
      </c>
      <c r="AE28" s="5">
        <f>SUMPRODUCT(('01_Data'!AE2:AE1038&lt;&gt;"")*(1/(1+EXP(-('03_Lap_Theta'!$T$2:$T$1038-AE25))))^2)</f>
        <v/>
      </c>
      <c r="AF28" s="5">
        <f>SUMPRODUCT(('01_Data'!AF2:AF1038&lt;&gt;"")*(1/(1+EXP(-('03_Lap_Theta'!$T$2:$T$1038-AF25))))^2)</f>
        <v/>
      </c>
      <c r="AG28" s="5">
        <f>SUMPRODUCT(('01_Data'!AG2:AG1038&lt;&gt;"")*(1/(1+EXP(-('03_Lap_Theta'!$T$2:$T$1038-AG25))))^2)</f>
        <v/>
      </c>
      <c r="AH28" s="5">
        <f>SUMPRODUCT(('01_Data'!AH2:AH1038&lt;&gt;"")*(1/(1+EXP(-('03_Lap_Theta'!$T$2:$T$1038-AH25))))^2)</f>
        <v/>
      </c>
      <c r="AI28" s="5">
        <f>SUMPRODUCT(('01_Data'!AI2:AI1038&lt;&gt;"")*(1/(1+EXP(-('03_Lap_Theta'!$T$2:$T$1038-AI25))))^2)</f>
        <v/>
      </c>
      <c r="AJ28" s="5">
        <f>SUMPRODUCT(('01_Data'!AJ2:AJ1038&lt;&gt;"")*(1/(1+EXP(-('03_Lap_Theta'!$T$2:$T$1038-AJ25))))^2)</f>
        <v/>
      </c>
      <c r="AK28" s="5">
        <f>SUMPRODUCT(('01_Data'!AK2:AK1038&lt;&gt;"")*(1/(1+EXP(-('03_Lap_Theta'!$T$2:$T$1038-AK25))))^2)</f>
        <v/>
      </c>
      <c r="AL28" s="5">
        <f>SUMPRODUCT(('01_Data'!AL2:AL1038&lt;&gt;"")*(1/(1+EXP(-('03_Lap_Theta'!$T$2:$T$1038-AL25))))^2)</f>
        <v/>
      </c>
      <c r="AM28" s="5">
        <f>SUMPRODUCT(('01_Data'!AM2:AM1038&lt;&gt;"")*(1/(1+EXP(-('03_Lap_Theta'!$T$2:$T$1038-AM25))))^2)</f>
        <v/>
      </c>
      <c r="AN28" s="5">
        <f>SUMPRODUCT(('01_Data'!AN2:AN1038&lt;&gt;"")*(1/(1+EXP(-('03_Lap_Theta'!$T$2:$T$1038-AN25))))^2)</f>
        <v/>
      </c>
      <c r="AO28" s="5">
        <f>SUMPRODUCT(('01_Data'!AO2:AO1038&lt;&gt;"")*(1/(1+EXP(-('03_Lap_Theta'!$T$2:$T$1038-AO25))))^2)</f>
        <v/>
      </c>
      <c r="AP28" s="5">
        <f>SUMPRODUCT(('01_Data'!AP2:AP1038&lt;&gt;"")*(1/(1+EXP(-('03_Lap_Theta'!$T$2:$T$1038-AP25))))^2)</f>
        <v/>
      </c>
      <c r="AQ28" s="5">
        <f>SUMPRODUCT(('01_Data'!AQ2:AQ1038&lt;&gt;"")*(1/(1+EXP(-('03_Lap_Theta'!$T$2:$T$1038-AQ25))))^2)</f>
        <v/>
      </c>
      <c r="AR28" s="5">
        <f>SUMPRODUCT(('01_Data'!AR2:AR1038&lt;&gt;"")*(1/(1+EXP(-('03_Lap_Theta'!$T$2:$T$1038-AR25))))^2)</f>
        <v/>
      </c>
      <c r="AS28" s="5">
        <f>SUMPRODUCT(('01_Data'!AS2:AS1038&lt;&gt;"")*(1/(1+EXP(-('03_Lap_Theta'!$T$2:$T$1038-AS25))))^2)</f>
        <v/>
      </c>
      <c r="AT28" s="5">
        <f>SUMPRODUCT(('01_Data'!AT2:AT1038&lt;&gt;"")*(1/(1+EXP(-('03_Lap_Theta'!$T$2:$T$1038-AT25))))^2)</f>
        <v/>
      </c>
      <c r="AU28" s="5">
        <f>SUMPRODUCT(('01_Data'!AU2:AU1038&lt;&gt;"")*(1/(1+EXP(-('03_Lap_Theta'!$T$2:$T$1038-AU25))))^2)</f>
        <v/>
      </c>
      <c r="AV28" s="5">
        <f>SUMPRODUCT(('01_Data'!AV2:AV1038&lt;&gt;"")*(1/(1+EXP(-('03_Lap_Theta'!$T$2:$T$1038-AV25))))^2)</f>
        <v/>
      </c>
      <c r="AW28" s="5">
        <f>SUMPRODUCT(('01_Data'!AW2:AW1038&lt;&gt;"")*(1/(1+EXP(-('03_Lap_Theta'!$T$2:$T$1038-AW25))))^2)</f>
        <v/>
      </c>
    </row>
    <row r="29">
      <c r="A29" s="8" t="inlineStr">
        <is>
          <t>b5_raw</t>
        </is>
      </c>
      <c r="B29" s="5">
        <f>MEDIAN(-6,B25+(B27-'02_KhoiTao'!$E$2)/MAX(B27-B28,0.000000001),6)</f>
        <v/>
      </c>
      <c r="C29" s="5">
        <f>MEDIAN(-6,C25+(C27-'02_KhoiTao'!$E$3)/MAX(C27-C28,0.000000001),6)</f>
        <v/>
      </c>
      <c r="D29" s="5">
        <f>MEDIAN(-6,D25+(D27-'02_KhoiTao'!$E$4)/MAX(D27-D28,0.000000001),6)</f>
        <v/>
      </c>
      <c r="E29" s="5">
        <f>MEDIAN(-6,E25+(E27-'02_KhoiTao'!$E$5)/MAX(E27-E28,0.000000001),6)</f>
        <v/>
      </c>
      <c r="F29" s="5">
        <f>MEDIAN(-6,F25+(F27-'02_KhoiTao'!$E$6)/MAX(F27-F28,0.000000001),6)</f>
        <v/>
      </c>
      <c r="G29" s="5">
        <f>MEDIAN(-6,G25+(G27-'02_KhoiTao'!$E$7)/MAX(G27-G28,0.000000001),6)</f>
        <v/>
      </c>
      <c r="H29" s="5">
        <f>MEDIAN(-6,H25+(H27-'02_KhoiTao'!$E$8)/MAX(H27-H28,0.000000001),6)</f>
        <v/>
      </c>
      <c r="I29" s="5">
        <f>MEDIAN(-6,I25+(I27-'02_KhoiTao'!$E$9)/MAX(I27-I28,0.000000001),6)</f>
        <v/>
      </c>
      <c r="J29" s="5">
        <f>MEDIAN(-6,J25+(J27-'02_KhoiTao'!$E$10)/MAX(J27-J28,0.000000001),6)</f>
        <v/>
      </c>
      <c r="K29" s="5">
        <f>MEDIAN(-6,K25+(K27-'02_KhoiTao'!$E$11)/MAX(K27-K28,0.000000001),6)</f>
        <v/>
      </c>
      <c r="L29" s="5">
        <f>MEDIAN(-6,L25+(L27-'02_KhoiTao'!$E$12)/MAX(L27-L28,0.000000001),6)</f>
        <v/>
      </c>
      <c r="M29" s="5">
        <f>MEDIAN(-6,M25+(M27-'02_KhoiTao'!$E$13)/MAX(M27-M28,0.000000001),6)</f>
        <v/>
      </c>
      <c r="N29" s="5">
        <f>MEDIAN(-6,N25+(N27-'02_KhoiTao'!$E$14)/MAX(N27-N28,0.000000001),6)</f>
        <v/>
      </c>
      <c r="O29" s="5">
        <f>MEDIAN(-6,O25+(O27-'02_KhoiTao'!$E$15)/MAX(O27-O28,0.000000001),6)</f>
        <v/>
      </c>
      <c r="P29" s="5">
        <f>MEDIAN(-6,P25+(P27-'02_KhoiTao'!$E$16)/MAX(P27-P28,0.000000001),6)</f>
        <v/>
      </c>
      <c r="Q29" s="5">
        <f>MEDIAN(-6,Q25+(Q27-'02_KhoiTao'!$E$17)/MAX(Q27-Q28,0.000000001),6)</f>
        <v/>
      </c>
      <c r="R29" s="5">
        <f>MEDIAN(-6,R25+(R27-'02_KhoiTao'!$E$18)/MAX(R27-R28,0.000000001),6)</f>
        <v/>
      </c>
      <c r="S29" s="5">
        <f>MEDIAN(-6,S25+(S27-'02_KhoiTao'!$E$19)/MAX(S27-S28,0.000000001),6)</f>
        <v/>
      </c>
      <c r="T29" s="5">
        <f>MEDIAN(-6,T25+(T27-'02_KhoiTao'!$E$20)/MAX(T27-T28,0.000000001),6)</f>
        <v/>
      </c>
      <c r="U29" s="5">
        <f>MEDIAN(-6,U25+(U27-'02_KhoiTao'!$E$21)/MAX(U27-U28,0.000000001),6)</f>
        <v/>
      </c>
      <c r="V29" s="5">
        <f>MEDIAN(-6,V25+(V27-'02_KhoiTao'!$E$22)/MAX(V27-V28,0.000000001),6)</f>
        <v/>
      </c>
      <c r="W29" s="5">
        <f>MEDIAN(-6,W25+(W27-'02_KhoiTao'!$E$23)/MAX(W27-W28,0.000000001),6)</f>
        <v/>
      </c>
      <c r="X29" s="5">
        <f>MEDIAN(-6,X25+(X27-'02_KhoiTao'!$E$24)/MAX(X27-X28,0.000000001),6)</f>
        <v/>
      </c>
      <c r="Y29" s="5">
        <f>MEDIAN(-6,Y25+(Y27-'02_KhoiTao'!$E$25)/MAX(Y27-Y28,0.000000001),6)</f>
        <v/>
      </c>
      <c r="Z29" s="5">
        <f>MEDIAN(-6,Z25+(Z27-'02_KhoiTao'!$E$26)/MAX(Z27-Z28,0.000000001),6)</f>
        <v/>
      </c>
      <c r="AA29" s="5">
        <f>MEDIAN(-6,AA25+(AA27-'02_KhoiTao'!$E$27)/MAX(AA27-AA28,0.000000001),6)</f>
        <v/>
      </c>
      <c r="AB29" s="5">
        <f>MEDIAN(-6,AB25+(AB27-'02_KhoiTao'!$E$28)/MAX(AB27-AB28,0.000000001),6)</f>
        <v/>
      </c>
      <c r="AC29" s="5">
        <f>MEDIAN(-6,AC25+(AC27-'02_KhoiTao'!$E$29)/MAX(AC27-AC28,0.000000001),6)</f>
        <v/>
      </c>
      <c r="AD29" s="5">
        <f>MEDIAN(-6,AD25+(AD27-'02_KhoiTao'!$E$30)/MAX(AD27-AD28,0.000000001),6)</f>
        <v/>
      </c>
      <c r="AE29" s="5">
        <f>MEDIAN(-6,AE25+(AE27-'02_KhoiTao'!$E$31)/MAX(AE27-AE28,0.000000001),6)</f>
        <v/>
      </c>
      <c r="AF29" s="5">
        <f>MEDIAN(-6,AF25+(AF27-'02_KhoiTao'!$E$32)/MAX(AF27-AF28,0.000000001),6)</f>
        <v/>
      </c>
      <c r="AG29" s="5">
        <f>MEDIAN(-6,AG25+(AG27-'02_KhoiTao'!$E$33)/MAX(AG27-AG28,0.000000001),6)</f>
        <v/>
      </c>
      <c r="AH29" s="5">
        <f>MEDIAN(-6,AH25+(AH27-'02_KhoiTao'!$E$34)/MAX(AH27-AH28,0.000000001),6)</f>
        <v/>
      </c>
      <c r="AI29" s="5">
        <f>MEDIAN(-6,AI25+(AI27-'02_KhoiTao'!$E$35)/MAX(AI27-AI28,0.000000001),6)</f>
        <v/>
      </c>
      <c r="AJ29" s="5">
        <f>MEDIAN(-6,AJ25+(AJ27-'02_KhoiTao'!$E$36)/MAX(AJ27-AJ28,0.000000001),6)</f>
        <v/>
      </c>
      <c r="AK29" s="5">
        <f>MEDIAN(-6,AK25+(AK27-'02_KhoiTao'!$E$37)/MAX(AK27-AK28,0.000000001),6)</f>
        <v/>
      </c>
      <c r="AL29" s="5">
        <f>MEDIAN(-6,AL25+(AL27-'02_KhoiTao'!$E$38)/MAX(AL27-AL28,0.000000001),6)</f>
        <v/>
      </c>
      <c r="AM29" s="5">
        <f>MEDIAN(-6,AM25+(AM27-'02_KhoiTao'!$E$39)/MAX(AM27-AM28,0.000000001),6)</f>
        <v/>
      </c>
      <c r="AN29" s="5">
        <f>MEDIAN(-6,AN25+(AN27-'02_KhoiTao'!$E$40)/MAX(AN27-AN28,0.000000001),6)</f>
        <v/>
      </c>
      <c r="AO29" s="5">
        <f>MEDIAN(-6,AO25+(AO27-'02_KhoiTao'!$E$41)/MAX(AO27-AO28,0.000000001),6)</f>
        <v/>
      </c>
      <c r="AP29" s="5">
        <f>MEDIAN(-6,AP25+(AP27-'02_KhoiTao'!$E$42)/MAX(AP27-AP28,0.000000001),6)</f>
        <v/>
      </c>
      <c r="AQ29" s="5">
        <f>MEDIAN(-6,AQ25+(AQ27-'02_KhoiTao'!$E$43)/MAX(AQ27-AQ28,0.000000001),6)</f>
        <v/>
      </c>
      <c r="AR29" s="5">
        <f>MEDIAN(-6,AR25+(AR27-'02_KhoiTao'!$E$44)/MAX(AR27-AR28,0.000000001),6)</f>
        <v/>
      </c>
      <c r="AS29" s="5">
        <f>MEDIAN(-6,AS25+(AS27-'02_KhoiTao'!$E$45)/MAX(AS27-AS28,0.000000001),6)</f>
        <v/>
      </c>
      <c r="AT29" s="5">
        <f>MEDIAN(-6,AT25+(AT27-'02_KhoiTao'!$E$46)/MAX(AT27-AT28,0.000000001),6)</f>
        <v/>
      </c>
      <c r="AU29" s="5">
        <f>MEDIAN(-6,AU25+(AU27-'02_KhoiTao'!$E$47)/MAX(AU27-AU28,0.000000001),6)</f>
        <v/>
      </c>
      <c r="AV29" s="5">
        <f>MEDIAN(-6,AV25+(AV27-'02_KhoiTao'!$E$48)/MAX(AV27-AV28,0.000000001),6)</f>
        <v/>
      </c>
      <c r="AW29" s="5">
        <f>MEDIAN(-6,AW25+(AW27-'02_KhoiTao'!$E$49)/MAX(AW27-AW28,0.000000001),6)</f>
        <v/>
      </c>
    </row>
    <row r="30">
      <c r="A30" s="4" t="inlineStr">
        <is>
          <t>b5 (canh tâm)</t>
        </is>
      </c>
      <c r="B30" s="5">
        <f>B29-AVERAGE(B29:AW29)</f>
        <v/>
      </c>
      <c r="C30" s="5">
        <f>C29-AVERAGE(B29:AW29)</f>
        <v/>
      </c>
      <c r="D30" s="5">
        <f>D29-AVERAGE(B29:AW29)</f>
        <v/>
      </c>
      <c r="E30" s="5">
        <f>E29-AVERAGE(B29:AW29)</f>
        <v/>
      </c>
      <c r="F30" s="5">
        <f>F29-AVERAGE(B29:AW29)</f>
        <v/>
      </c>
      <c r="G30" s="5">
        <f>G29-AVERAGE(B29:AW29)</f>
        <v/>
      </c>
      <c r="H30" s="5">
        <f>H29-AVERAGE(B29:AW29)</f>
        <v/>
      </c>
      <c r="I30" s="5">
        <f>I29-AVERAGE(B29:AW29)</f>
        <v/>
      </c>
      <c r="J30" s="5">
        <f>J29-AVERAGE(B29:AW29)</f>
        <v/>
      </c>
      <c r="K30" s="5">
        <f>K29-AVERAGE(B29:AW29)</f>
        <v/>
      </c>
      <c r="L30" s="5">
        <f>L29-AVERAGE(B29:AW29)</f>
        <v/>
      </c>
      <c r="M30" s="5">
        <f>M29-AVERAGE(B29:AW29)</f>
        <v/>
      </c>
      <c r="N30" s="5">
        <f>N29-AVERAGE(B29:AW29)</f>
        <v/>
      </c>
      <c r="O30" s="5">
        <f>O29-AVERAGE(B29:AW29)</f>
        <v/>
      </c>
      <c r="P30" s="5">
        <f>P29-AVERAGE(B29:AW29)</f>
        <v/>
      </c>
      <c r="Q30" s="5">
        <f>Q29-AVERAGE(B29:AW29)</f>
        <v/>
      </c>
      <c r="R30" s="5">
        <f>R29-AVERAGE(B29:AW29)</f>
        <v/>
      </c>
      <c r="S30" s="5">
        <f>S29-AVERAGE(B29:AW29)</f>
        <v/>
      </c>
      <c r="T30" s="5">
        <f>T29-AVERAGE(B29:AW29)</f>
        <v/>
      </c>
      <c r="U30" s="5">
        <f>U29-AVERAGE(B29:AW29)</f>
        <v/>
      </c>
      <c r="V30" s="5">
        <f>V29-AVERAGE(B29:AW29)</f>
        <v/>
      </c>
      <c r="W30" s="5">
        <f>W29-AVERAGE(B29:AW29)</f>
        <v/>
      </c>
      <c r="X30" s="5">
        <f>X29-AVERAGE(B29:AW29)</f>
        <v/>
      </c>
      <c r="Y30" s="5">
        <f>Y29-AVERAGE(B29:AW29)</f>
        <v/>
      </c>
      <c r="Z30" s="5">
        <f>Z29-AVERAGE(B29:AW29)</f>
        <v/>
      </c>
      <c r="AA30" s="5">
        <f>AA29-AVERAGE(B29:AW29)</f>
        <v/>
      </c>
      <c r="AB30" s="5">
        <f>AB29-AVERAGE(B29:AW29)</f>
        <v/>
      </c>
      <c r="AC30" s="5">
        <f>AC29-AVERAGE(B29:AW29)</f>
        <v/>
      </c>
      <c r="AD30" s="5">
        <f>AD29-AVERAGE(B29:AW29)</f>
        <v/>
      </c>
      <c r="AE30" s="5">
        <f>AE29-AVERAGE(B29:AW29)</f>
        <v/>
      </c>
      <c r="AF30" s="5">
        <f>AF29-AVERAGE(B29:AW29)</f>
        <v/>
      </c>
      <c r="AG30" s="5">
        <f>AG29-AVERAGE(B29:AW29)</f>
        <v/>
      </c>
      <c r="AH30" s="5">
        <f>AH29-AVERAGE(B29:AW29)</f>
        <v/>
      </c>
      <c r="AI30" s="5">
        <f>AI29-AVERAGE(B29:AW29)</f>
        <v/>
      </c>
      <c r="AJ30" s="5">
        <f>AJ29-AVERAGE(B29:AW29)</f>
        <v/>
      </c>
      <c r="AK30" s="5">
        <f>AK29-AVERAGE(B29:AW29)</f>
        <v/>
      </c>
      <c r="AL30" s="5">
        <f>AL29-AVERAGE(B29:AW29)</f>
        <v/>
      </c>
      <c r="AM30" s="5">
        <f>AM29-AVERAGE(B29:AW29)</f>
        <v/>
      </c>
      <c r="AN30" s="5">
        <f>AN29-AVERAGE(B29:AW29)</f>
        <v/>
      </c>
      <c r="AO30" s="5">
        <f>AO29-AVERAGE(B29:AW29)</f>
        <v/>
      </c>
      <c r="AP30" s="5">
        <f>AP29-AVERAGE(B29:AW29)</f>
        <v/>
      </c>
      <c r="AQ30" s="5">
        <f>AQ29-AVERAGE(B29:AW29)</f>
        <v/>
      </c>
      <c r="AR30" s="5">
        <f>AR29-AVERAGE(B29:AW29)</f>
        <v/>
      </c>
      <c r="AS30" s="5">
        <f>AS29-AVERAGE(B29:AW29)</f>
        <v/>
      </c>
      <c r="AT30" s="5">
        <f>AT29-AVERAGE(B29:AW29)</f>
        <v/>
      </c>
      <c r="AU30" s="5">
        <f>AU29-AVERAGE(B29:AW29)</f>
        <v/>
      </c>
      <c r="AV30" s="5">
        <f>AV29-AVERAGE(B29:AW29)</f>
        <v/>
      </c>
      <c r="AW30" s="5">
        <f>AW29-AVERAGE(B29:AW29)</f>
        <v/>
      </c>
      <c r="AX30" s="8" t="inlineStr">
        <is>
          <t>max|Δb|</t>
        </is>
      </c>
      <c r="AY30" s="9">
        <f t="array" ref="AY30">MAX(ABS(B30:AW30-B25:AW25))</f>
        <v/>
      </c>
    </row>
    <row r="32">
      <c r="A32" s="8" t="inlineStr">
        <is>
          <t>ΣP vòng 6</t>
        </is>
      </c>
      <c r="B32" s="5">
        <f>SUMPRODUCT(('01_Data'!B2:B1038&lt;&gt;"")*(1/(1+EXP(-('03_Lap_Theta'!$W$2:$W$1038-B30)))))</f>
        <v/>
      </c>
      <c r="C32" s="5">
        <f>SUMPRODUCT(('01_Data'!C2:C1038&lt;&gt;"")*(1/(1+EXP(-('03_Lap_Theta'!$W$2:$W$1038-C30)))))</f>
        <v/>
      </c>
      <c r="D32" s="5">
        <f>SUMPRODUCT(('01_Data'!D2:D1038&lt;&gt;"")*(1/(1+EXP(-('03_Lap_Theta'!$W$2:$W$1038-D30)))))</f>
        <v/>
      </c>
      <c r="E32" s="5">
        <f>SUMPRODUCT(('01_Data'!E2:E1038&lt;&gt;"")*(1/(1+EXP(-('03_Lap_Theta'!$W$2:$W$1038-E30)))))</f>
        <v/>
      </c>
      <c r="F32" s="5">
        <f>SUMPRODUCT(('01_Data'!F2:F1038&lt;&gt;"")*(1/(1+EXP(-('03_Lap_Theta'!$W$2:$W$1038-F30)))))</f>
        <v/>
      </c>
      <c r="G32" s="5">
        <f>SUMPRODUCT(('01_Data'!G2:G1038&lt;&gt;"")*(1/(1+EXP(-('03_Lap_Theta'!$W$2:$W$1038-G30)))))</f>
        <v/>
      </c>
      <c r="H32" s="5">
        <f>SUMPRODUCT(('01_Data'!H2:H1038&lt;&gt;"")*(1/(1+EXP(-('03_Lap_Theta'!$W$2:$W$1038-H30)))))</f>
        <v/>
      </c>
      <c r="I32" s="5">
        <f>SUMPRODUCT(('01_Data'!I2:I1038&lt;&gt;"")*(1/(1+EXP(-('03_Lap_Theta'!$W$2:$W$1038-I30)))))</f>
        <v/>
      </c>
      <c r="J32" s="5">
        <f>SUMPRODUCT(('01_Data'!J2:J1038&lt;&gt;"")*(1/(1+EXP(-('03_Lap_Theta'!$W$2:$W$1038-J30)))))</f>
        <v/>
      </c>
      <c r="K32" s="5">
        <f>SUMPRODUCT(('01_Data'!K2:K1038&lt;&gt;"")*(1/(1+EXP(-('03_Lap_Theta'!$W$2:$W$1038-K30)))))</f>
        <v/>
      </c>
      <c r="L32" s="5">
        <f>SUMPRODUCT(('01_Data'!L2:L1038&lt;&gt;"")*(1/(1+EXP(-('03_Lap_Theta'!$W$2:$W$1038-L30)))))</f>
        <v/>
      </c>
      <c r="M32" s="5">
        <f>SUMPRODUCT(('01_Data'!M2:M1038&lt;&gt;"")*(1/(1+EXP(-('03_Lap_Theta'!$W$2:$W$1038-M30)))))</f>
        <v/>
      </c>
      <c r="N32" s="5">
        <f>SUMPRODUCT(('01_Data'!N2:N1038&lt;&gt;"")*(1/(1+EXP(-('03_Lap_Theta'!$W$2:$W$1038-N30)))))</f>
        <v/>
      </c>
      <c r="O32" s="5">
        <f>SUMPRODUCT(('01_Data'!O2:O1038&lt;&gt;"")*(1/(1+EXP(-('03_Lap_Theta'!$W$2:$W$1038-O30)))))</f>
        <v/>
      </c>
      <c r="P32" s="5">
        <f>SUMPRODUCT(('01_Data'!P2:P1038&lt;&gt;"")*(1/(1+EXP(-('03_Lap_Theta'!$W$2:$W$1038-P30)))))</f>
        <v/>
      </c>
      <c r="Q32" s="5">
        <f>SUMPRODUCT(('01_Data'!Q2:Q1038&lt;&gt;"")*(1/(1+EXP(-('03_Lap_Theta'!$W$2:$W$1038-Q30)))))</f>
        <v/>
      </c>
      <c r="R32" s="5">
        <f>SUMPRODUCT(('01_Data'!R2:R1038&lt;&gt;"")*(1/(1+EXP(-('03_Lap_Theta'!$W$2:$W$1038-R30)))))</f>
        <v/>
      </c>
      <c r="S32" s="5">
        <f>SUMPRODUCT(('01_Data'!S2:S1038&lt;&gt;"")*(1/(1+EXP(-('03_Lap_Theta'!$W$2:$W$1038-S30)))))</f>
        <v/>
      </c>
      <c r="T32" s="5">
        <f>SUMPRODUCT(('01_Data'!T2:T1038&lt;&gt;"")*(1/(1+EXP(-('03_Lap_Theta'!$W$2:$W$1038-T30)))))</f>
        <v/>
      </c>
      <c r="U32" s="5">
        <f>SUMPRODUCT(('01_Data'!U2:U1038&lt;&gt;"")*(1/(1+EXP(-('03_Lap_Theta'!$W$2:$W$1038-U30)))))</f>
        <v/>
      </c>
      <c r="V32" s="5">
        <f>SUMPRODUCT(('01_Data'!V2:V1038&lt;&gt;"")*(1/(1+EXP(-('03_Lap_Theta'!$W$2:$W$1038-V30)))))</f>
        <v/>
      </c>
      <c r="W32" s="5">
        <f>SUMPRODUCT(('01_Data'!W2:W1038&lt;&gt;"")*(1/(1+EXP(-('03_Lap_Theta'!$W$2:$W$1038-W30)))))</f>
        <v/>
      </c>
      <c r="X32" s="5">
        <f>SUMPRODUCT(('01_Data'!X2:X1038&lt;&gt;"")*(1/(1+EXP(-('03_Lap_Theta'!$W$2:$W$1038-X30)))))</f>
        <v/>
      </c>
      <c r="Y32" s="5">
        <f>SUMPRODUCT(('01_Data'!Y2:Y1038&lt;&gt;"")*(1/(1+EXP(-('03_Lap_Theta'!$W$2:$W$1038-Y30)))))</f>
        <v/>
      </c>
      <c r="Z32" s="5">
        <f>SUMPRODUCT(('01_Data'!Z2:Z1038&lt;&gt;"")*(1/(1+EXP(-('03_Lap_Theta'!$W$2:$W$1038-Z30)))))</f>
        <v/>
      </c>
      <c r="AA32" s="5">
        <f>SUMPRODUCT(('01_Data'!AA2:AA1038&lt;&gt;"")*(1/(1+EXP(-('03_Lap_Theta'!$W$2:$W$1038-AA30)))))</f>
        <v/>
      </c>
      <c r="AB32" s="5">
        <f>SUMPRODUCT(('01_Data'!AB2:AB1038&lt;&gt;"")*(1/(1+EXP(-('03_Lap_Theta'!$W$2:$W$1038-AB30)))))</f>
        <v/>
      </c>
      <c r="AC32" s="5">
        <f>SUMPRODUCT(('01_Data'!AC2:AC1038&lt;&gt;"")*(1/(1+EXP(-('03_Lap_Theta'!$W$2:$W$1038-AC30)))))</f>
        <v/>
      </c>
      <c r="AD32" s="5">
        <f>SUMPRODUCT(('01_Data'!AD2:AD1038&lt;&gt;"")*(1/(1+EXP(-('03_Lap_Theta'!$W$2:$W$1038-AD30)))))</f>
        <v/>
      </c>
      <c r="AE32" s="5">
        <f>SUMPRODUCT(('01_Data'!AE2:AE1038&lt;&gt;"")*(1/(1+EXP(-('03_Lap_Theta'!$W$2:$W$1038-AE30)))))</f>
        <v/>
      </c>
      <c r="AF32" s="5">
        <f>SUMPRODUCT(('01_Data'!AF2:AF1038&lt;&gt;"")*(1/(1+EXP(-('03_Lap_Theta'!$W$2:$W$1038-AF30)))))</f>
        <v/>
      </c>
      <c r="AG32" s="5">
        <f>SUMPRODUCT(('01_Data'!AG2:AG1038&lt;&gt;"")*(1/(1+EXP(-('03_Lap_Theta'!$W$2:$W$1038-AG30)))))</f>
        <v/>
      </c>
      <c r="AH32" s="5">
        <f>SUMPRODUCT(('01_Data'!AH2:AH1038&lt;&gt;"")*(1/(1+EXP(-('03_Lap_Theta'!$W$2:$W$1038-AH30)))))</f>
        <v/>
      </c>
      <c r="AI32" s="5">
        <f>SUMPRODUCT(('01_Data'!AI2:AI1038&lt;&gt;"")*(1/(1+EXP(-('03_Lap_Theta'!$W$2:$W$1038-AI30)))))</f>
        <v/>
      </c>
      <c r="AJ32" s="5">
        <f>SUMPRODUCT(('01_Data'!AJ2:AJ1038&lt;&gt;"")*(1/(1+EXP(-('03_Lap_Theta'!$W$2:$W$1038-AJ30)))))</f>
        <v/>
      </c>
      <c r="AK32" s="5">
        <f>SUMPRODUCT(('01_Data'!AK2:AK1038&lt;&gt;"")*(1/(1+EXP(-('03_Lap_Theta'!$W$2:$W$1038-AK30)))))</f>
        <v/>
      </c>
      <c r="AL32" s="5">
        <f>SUMPRODUCT(('01_Data'!AL2:AL1038&lt;&gt;"")*(1/(1+EXP(-('03_Lap_Theta'!$W$2:$W$1038-AL30)))))</f>
        <v/>
      </c>
      <c r="AM32" s="5">
        <f>SUMPRODUCT(('01_Data'!AM2:AM1038&lt;&gt;"")*(1/(1+EXP(-('03_Lap_Theta'!$W$2:$W$1038-AM30)))))</f>
        <v/>
      </c>
      <c r="AN32" s="5">
        <f>SUMPRODUCT(('01_Data'!AN2:AN1038&lt;&gt;"")*(1/(1+EXP(-('03_Lap_Theta'!$W$2:$W$1038-AN30)))))</f>
        <v/>
      </c>
      <c r="AO32" s="5">
        <f>SUMPRODUCT(('01_Data'!AO2:AO1038&lt;&gt;"")*(1/(1+EXP(-('03_Lap_Theta'!$W$2:$W$1038-AO30)))))</f>
        <v/>
      </c>
      <c r="AP32" s="5">
        <f>SUMPRODUCT(('01_Data'!AP2:AP1038&lt;&gt;"")*(1/(1+EXP(-('03_Lap_Theta'!$W$2:$W$1038-AP30)))))</f>
        <v/>
      </c>
      <c r="AQ32" s="5">
        <f>SUMPRODUCT(('01_Data'!AQ2:AQ1038&lt;&gt;"")*(1/(1+EXP(-('03_Lap_Theta'!$W$2:$W$1038-AQ30)))))</f>
        <v/>
      </c>
      <c r="AR32" s="5">
        <f>SUMPRODUCT(('01_Data'!AR2:AR1038&lt;&gt;"")*(1/(1+EXP(-('03_Lap_Theta'!$W$2:$W$1038-AR30)))))</f>
        <v/>
      </c>
      <c r="AS32" s="5">
        <f>SUMPRODUCT(('01_Data'!AS2:AS1038&lt;&gt;"")*(1/(1+EXP(-('03_Lap_Theta'!$W$2:$W$1038-AS30)))))</f>
        <v/>
      </c>
      <c r="AT32" s="5">
        <f>SUMPRODUCT(('01_Data'!AT2:AT1038&lt;&gt;"")*(1/(1+EXP(-('03_Lap_Theta'!$W$2:$W$1038-AT30)))))</f>
        <v/>
      </c>
      <c r="AU32" s="5">
        <f>SUMPRODUCT(('01_Data'!AU2:AU1038&lt;&gt;"")*(1/(1+EXP(-('03_Lap_Theta'!$W$2:$W$1038-AU30)))))</f>
        <v/>
      </c>
      <c r="AV32" s="5">
        <f>SUMPRODUCT(('01_Data'!AV2:AV1038&lt;&gt;"")*(1/(1+EXP(-('03_Lap_Theta'!$W$2:$W$1038-AV30)))))</f>
        <v/>
      </c>
      <c r="AW32" s="5">
        <f>SUMPRODUCT(('01_Data'!AW2:AW1038&lt;&gt;"")*(1/(1+EXP(-('03_Lap_Theta'!$W$2:$W$1038-AW30)))))</f>
        <v/>
      </c>
    </row>
    <row r="33">
      <c r="A33" s="8" t="inlineStr">
        <is>
          <t>ΣP² vòng 6</t>
        </is>
      </c>
      <c r="B33" s="5">
        <f>SUMPRODUCT(('01_Data'!B2:B1038&lt;&gt;"")*(1/(1+EXP(-('03_Lap_Theta'!$W$2:$W$1038-B30))))^2)</f>
        <v/>
      </c>
      <c r="C33" s="5">
        <f>SUMPRODUCT(('01_Data'!C2:C1038&lt;&gt;"")*(1/(1+EXP(-('03_Lap_Theta'!$W$2:$W$1038-C30))))^2)</f>
        <v/>
      </c>
      <c r="D33" s="5">
        <f>SUMPRODUCT(('01_Data'!D2:D1038&lt;&gt;"")*(1/(1+EXP(-('03_Lap_Theta'!$W$2:$W$1038-D30))))^2)</f>
        <v/>
      </c>
      <c r="E33" s="5">
        <f>SUMPRODUCT(('01_Data'!E2:E1038&lt;&gt;"")*(1/(1+EXP(-('03_Lap_Theta'!$W$2:$W$1038-E30))))^2)</f>
        <v/>
      </c>
      <c r="F33" s="5">
        <f>SUMPRODUCT(('01_Data'!F2:F1038&lt;&gt;"")*(1/(1+EXP(-('03_Lap_Theta'!$W$2:$W$1038-F30))))^2)</f>
        <v/>
      </c>
      <c r="G33" s="5">
        <f>SUMPRODUCT(('01_Data'!G2:G1038&lt;&gt;"")*(1/(1+EXP(-('03_Lap_Theta'!$W$2:$W$1038-G30))))^2)</f>
        <v/>
      </c>
      <c r="H33" s="5">
        <f>SUMPRODUCT(('01_Data'!H2:H1038&lt;&gt;"")*(1/(1+EXP(-('03_Lap_Theta'!$W$2:$W$1038-H30))))^2)</f>
        <v/>
      </c>
      <c r="I33" s="5">
        <f>SUMPRODUCT(('01_Data'!I2:I1038&lt;&gt;"")*(1/(1+EXP(-('03_Lap_Theta'!$W$2:$W$1038-I30))))^2)</f>
        <v/>
      </c>
      <c r="J33" s="5">
        <f>SUMPRODUCT(('01_Data'!J2:J1038&lt;&gt;"")*(1/(1+EXP(-('03_Lap_Theta'!$W$2:$W$1038-J30))))^2)</f>
        <v/>
      </c>
      <c r="K33" s="5">
        <f>SUMPRODUCT(('01_Data'!K2:K1038&lt;&gt;"")*(1/(1+EXP(-('03_Lap_Theta'!$W$2:$W$1038-K30))))^2)</f>
        <v/>
      </c>
      <c r="L33" s="5">
        <f>SUMPRODUCT(('01_Data'!L2:L1038&lt;&gt;"")*(1/(1+EXP(-('03_Lap_Theta'!$W$2:$W$1038-L30))))^2)</f>
        <v/>
      </c>
      <c r="M33" s="5">
        <f>SUMPRODUCT(('01_Data'!M2:M1038&lt;&gt;"")*(1/(1+EXP(-('03_Lap_Theta'!$W$2:$W$1038-M30))))^2)</f>
        <v/>
      </c>
      <c r="N33" s="5">
        <f>SUMPRODUCT(('01_Data'!N2:N1038&lt;&gt;"")*(1/(1+EXP(-('03_Lap_Theta'!$W$2:$W$1038-N30))))^2)</f>
        <v/>
      </c>
      <c r="O33" s="5">
        <f>SUMPRODUCT(('01_Data'!O2:O1038&lt;&gt;"")*(1/(1+EXP(-('03_Lap_Theta'!$W$2:$W$1038-O30))))^2)</f>
        <v/>
      </c>
      <c r="P33" s="5">
        <f>SUMPRODUCT(('01_Data'!P2:P1038&lt;&gt;"")*(1/(1+EXP(-('03_Lap_Theta'!$W$2:$W$1038-P30))))^2)</f>
        <v/>
      </c>
      <c r="Q33" s="5">
        <f>SUMPRODUCT(('01_Data'!Q2:Q1038&lt;&gt;"")*(1/(1+EXP(-('03_Lap_Theta'!$W$2:$W$1038-Q30))))^2)</f>
        <v/>
      </c>
      <c r="R33" s="5">
        <f>SUMPRODUCT(('01_Data'!R2:R1038&lt;&gt;"")*(1/(1+EXP(-('03_Lap_Theta'!$W$2:$W$1038-R30))))^2)</f>
        <v/>
      </c>
      <c r="S33" s="5">
        <f>SUMPRODUCT(('01_Data'!S2:S1038&lt;&gt;"")*(1/(1+EXP(-('03_Lap_Theta'!$W$2:$W$1038-S30))))^2)</f>
        <v/>
      </c>
      <c r="T33" s="5">
        <f>SUMPRODUCT(('01_Data'!T2:T1038&lt;&gt;"")*(1/(1+EXP(-('03_Lap_Theta'!$W$2:$W$1038-T30))))^2)</f>
        <v/>
      </c>
      <c r="U33" s="5">
        <f>SUMPRODUCT(('01_Data'!U2:U1038&lt;&gt;"")*(1/(1+EXP(-('03_Lap_Theta'!$W$2:$W$1038-U30))))^2)</f>
        <v/>
      </c>
      <c r="V33" s="5">
        <f>SUMPRODUCT(('01_Data'!V2:V1038&lt;&gt;"")*(1/(1+EXP(-('03_Lap_Theta'!$W$2:$W$1038-V30))))^2)</f>
        <v/>
      </c>
      <c r="W33" s="5">
        <f>SUMPRODUCT(('01_Data'!W2:W1038&lt;&gt;"")*(1/(1+EXP(-('03_Lap_Theta'!$W$2:$W$1038-W30))))^2)</f>
        <v/>
      </c>
      <c r="X33" s="5">
        <f>SUMPRODUCT(('01_Data'!X2:X1038&lt;&gt;"")*(1/(1+EXP(-('03_Lap_Theta'!$W$2:$W$1038-X30))))^2)</f>
        <v/>
      </c>
      <c r="Y33" s="5">
        <f>SUMPRODUCT(('01_Data'!Y2:Y1038&lt;&gt;"")*(1/(1+EXP(-('03_Lap_Theta'!$W$2:$W$1038-Y30))))^2)</f>
        <v/>
      </c>
      <c r="Z33" s="5">
        <f>SUMPRODUCT(('01_Data'!Z2:Z1038&lt;&gt;"")*(1/(1+EXP(-('03_Lap_Theta'!$W$2:$W$1038-Z30))))^2)</f>
        <v/>
      </c>
      <c r="AA33" s="5">
        <f>SUMPRODUCT(('01_Data'!AA2:AA1038&lt;&gt;"")*(1/(1+EXP(-('03_Lap_Theta'!$W$2:$W$1038-AA30))))^2)</f>
        <v/>
      </c>
      <c r="AB33" s="5">
        <f>SUMPRODUCT(('01_Data'!AB2:AB1038&lt;&gt;"")*(1/(1+EXP(-('03_Lap_Theta'!$W$2:$W$1038-AB30))))^2)</f>
        <v/>
      </c>
      <c r="AC33" s="5">
        <f>SUMPRODUCT(('01_Data'!AC2:AC1038&lt;&gt;"")*(1/(1+EXP(-('03_Lap_Theta'!$W$2:$W$1038-AC30))))^2)</f>
        <v/>
      </c>
      <c r="AD33" s="5">
        <f>SUMPRODUCT(('01_Data'!AD2:AD1038&lt;&gt;"")*(1/(1+EXP(-('03_Lap_Theta'!$W$2:$W$1038-AD30))))^2)</f>
        <v/>
      </c>
      <c r="AE33" s="5">
        <f>SUMPRODUCT(('01_Data'!AE2:AE1038&lt;&gt;"")*(1/(1+EXP(-('03_Lap_Theta'!$W$2:$W$1038-AE30))))^2)</f>
        <v/>
      </c>
      <c r="AF33" s="5">
        <f>SUMPRODUCT(('01_Data'!AF2:AF1038&lt;&gt;"")*(1/(1+EXP(-('03_Lap_Theta'!$W$2:$W$1038-AF30))))^2)</f>
        <v/>
      </c>
      <c r="AG33" s="5">
        <f>SUMPRODUCT(('01_Data'!AG2:AG1038&lt;&gt;"")*(1/(1+EXP(-('03_Lap_Theta'!$W$2:$W$1038-AG30))))^2)</f>
        <v/>
      </c>
      <c r="AH33" s="5">
        <f>SUMPRODUCT(('01_Data'!AH2:AH1038&lt;&gt;"")*(1/(1+EXP(-('03_Lap_Theta'!$W$2:$W$1038-AH30))))^2)</f>
        <v/>
      </c>
      <c r="AI33" s="5">
        <f>SUMPRODUCT(('01_Data'!AI2:AI1038&lt;&gt;"")*(1/(1+EXP(-('03_Lap_Theta'!$W$2:$W$1038-AI30))))^2)</f>
        <v/>
      </c>
      <c r="AJ33" s="5">
        <f>SUMPRODUCT(('01_Data'!AJ2:AJ1038&lt;&gt;"")*(1/(1+EXP(-('03_Lap_Theta'!$W$2:$W$1038-AJ30))))^2)</f>
        <v/>
      </c>
      <c r="AK33" s="5">
        <f>SUMPRODUCT(('01_Data'!AK2:AK1038&lt;&gt;"")*(1/(1+EXP(-('03_Lap_Theta'!$W$2:$W$1038-AK30))))^2)</f>
        <v/>
      </c>
      <c r="AL33" s="5">
        <f>SUMPRODUCT(('01_Data'!AL2:AL1038&lt;&gt;"")*(1/(1+EXP(-('03_Lap_Theta'!$W$2:$W$1038-AL30))))^2)</f>
        <v/>
      </c>
      <c r="AM33" s="5">
        <f>SUMPRODUCT(('01_Data'!AM2:AM1038&lt;&gt;"")*(1/(1+EXP(-('03_Lap_Theta'!$W$2:$W$1038-AM30))))^2)</f>
        <v/>
      </c>
      <c r="AN33" s="5">
        <f>SUMPRODUCT(('01_Data'!AN2:AN1038&lt;&gt;"")*(1/(1+EXP(-('03_Lap_Theta'!$W$2:$W$1038-AN30))))^2)</f>
        <v/>
      </c>
      <c r="AO33" s="5">
        <f>SUMPRODUCT(('01_Data'!AO2:AO1038&lt;&gt;"")*(1/(1+EXP(-('03_Lap_Theta'!$W$2:$W$1038-AO30))))^2)</f>
        <v/>
      </c>
      <c r="AP33" s="5">
        <f>SUMPRODUCT(('01_Data'!AP2:AP1038&lt;&gt;"")*(1/(1+EXP(-('03_Lap_Theta'!$W$2:$W$1038-AP30))))^2)</f>
        <v/>
      </c>
      <c r="AQ33" s="5">
        <f>SUMPRODUCT(('01_Data'!AQ2:AQ1038&lt;&gt;"")*(1/(1+EXP(-('03_Lap_Theta'!$W$2:$W$1038-AQ30))))^2)</f>
        <v/>
      </c>
      <c r="AR33" s="5">
        <f>SUMPRODUCT(('01_Data'!AR2:AR1038&lt;&gt;"")*(1/(1+EXP(-('03_Lap_Theta'!$W$2:$W$1038-AR30))))^2)</f>
        <v/>
      </c>
      <c r="AS33" s="5">
        <f>SUMPRODUCT(('01_Data'!AS2:AS1038&lt;&gt;"")*(1/(1+EXP(-('03_Lap_Theta'!$W$2:$W$1038-AS30))))^2)</f>
        <v/>
      </c>
      <c r="AT33" s="5">
        <f>SUMPRODUCT(('01_Data'!AT2:AT1038&lt;&gt;"")*(1/(1+EXP(-('03_Lap_Theta'!$W$2:$W$1038-AT30))))^2)</f>
        <v/>
      </c>
      <c r="AU33" s="5">
        <f>SUMPRODUCT(('01_Data'!AU2:AU1038&lt;&gt;"")*(1/(1+EXP(-('03_Lap_Theta'!$W$2:$W$1038-AU30))))^2)</f>
        <v/>
      </c>
      <c r="AV33" s="5">
        <f>SUMPRODUCT(('01_Data'!AV2:AV1038&lt;&gt;"")*(1/(1+EXP(-('03_Lap_Theta'!$W$2:$W$1038-AV30))))^2)</f>
        <v/>
      </c>
      <c r="AW33" s="5">
        <f>SUMPRODUCT(('01_Data'!AW2:AW1038&lt;&gt;"")*(1/(1+EXP(-('03_Lap_Theta'!$W$2:$W$1038-AW30))))^2)</f>
        <v/>
      </c>
    </row>
    <row r="34">
      <c r="A34" s="8" t="inlineStr">
        <is>
          <t>b6_raw</t>
        </is>
      </c>
      <c r="B34" s="5">
        <f>MEDIAN(-6,B30+(B32-'02_KhoiTao'!$E$2)/MAX(B32-B33,0.000000001),6)</f>
        <v/>
      </c>
      <c r="C34" s="5">
        <f>MEDIAN(-6,C30+(C32-'02_KhoiTao'!$E$3)/MAX(C32-C33,0.000000001),6)</f>
        <v/>
      </c>
      <c r="D34" s="5">
        <f>MEDIAN(-6,D30+(D32-'02_KhoiTao'!$E$4)/MAX(D32-D33,0.000000001),6)</f>
        <v/>
      </c>
      <c r="E34" s="5">
        <f>MEDIAN(-6,E30+(E32-'02_KhoiTao'!$E$5)/MAX(E32-E33,0.000000001),6)</f>
        <v/>
      </c>
      <c r="F34" s="5">
        <f>MEDIAN(-6,F30+(F32-'02_KhoiTao'!$E$6)/MAX(F32-F33,0.000000001),6)</f>
        <v/>
      </c>
      <c r="G34" s="5">
        <f>MEDIAN(-6,G30+(G32-'02_KhoiTao'!$E$7)/MAX(G32-G33,0.000000001),6)</f>
        <v/>
      </c>
      <c r="H34" s="5">
        <f>MEDIAN(-6,H30+(H32-'02_KhoiTao'!$E$8)/MAX(H32-H33,0.000000001),6)</f>
        <v/>
      </c>
      <c r="I34" s="5">
        <f>MEDIAN(-6,I30+(I32-'02_KhoiTao'!$E$9)/MAX(I32-I33,0.000000001),6)</f>
        <v/>
      </c>
      <c r="J34" s="5">
        <f>MEDIAN(-6,J30+(J32-'02_KhoiTao'!$E$10)/MAX(J32-J33,0.000000001),6)</f>
        <v/>
      </c>
      <c r="K34" s="5">
        <f>MEDIAN(-6,K30+(K32-'02_KhoiTao'!$E$11)/MAX(K32-K33,0.000000001),6)</f>
        <v/>
      </c>
      <c r="L34" s="5">
        <f>MEDIAN(-6,L30+(L32-'02_KhoiTao'!$E$12)/MAX(L32-L33,0.000000001),6)</f>
        <v/>
      </c>
      <c r="M34" s="5">
        <f>MEDIAN(-6,M30+(M32-'02_KhoiTao'!$E$13)/MAX(M32-M33,0.000000001),6)</f>
        <v/>
      </c>
      <c r="N34" s="5">
        <f>MEDIAN(-6,N30+(N32-'02_KhoiTao'!$E$14)/MAX(N32-N33,0.000000001),6)</f>
        <v/>
      </c>
      <c r="O34" s="5">
        <f>MEDIAN(-6,O30+(O32-'02_KhoiTao'!$E$15)/MAX(O32-O33,0.000000001),6)</f>
        <v/>
      </c>
      <c r="P34" s="5">
        <f>MEDIAN(-6,P30+(P32-'02_KhoiTao'!$E$16)/MAX(P32-P33,0.000000001),6)</f>
        <v/>
      </c>
      <c r="Q34" s="5">
        <f>MEDIAN(-6,Q30+(Q32-'02_KhoiTao'!$E$17)/MAX(Q32-Q33,0.000000001),6)</f>
        <v/>
      </c>
      <c r="R34" s="5">
        <f>MEDIAN(-6,R30+(R32-'02_KhoiTao'!$E$18)/MAX(R32-R33,0.000000001),6)</f>
        <v/>
      </c>
      <c r="S34" s="5">
        <f>MEDIAN(-6,S30+(S32-'02_KhoiTao'!$E$19)/MAX(S32-S33,0.000000001),6)</f>
        <v/>
      </c>
      <c r="T34" s="5">
        <f>MEDIAN(-6,T30+(T32-'02_KhoiTao'!$E$20)/MAX(T32-T33,0.000000001),6)</f>
        <v/>
      </c>
      <c r="U34" s="5">
        <f>MEDIAN(-6,U30+(U32-'02_KhoiTao'!$E$21)/MAX(U32-U33,0.000000001),6)</f>
        <v/>
      </c>
      <c r="V34" s="5">
        <f>MEDIAN(-6,V30+(V32-'02_KhoiTao'!$E$22)/MAX(V32-V33,0.000000001),6)</f>
        <v/>
      </c>
      <c r="W34" s="5">
        <f>MEDIAN(-6,W30+(W32-'02_KhoiTao'!$E$23)/MAX(W32-W33,0.000000001),6)</f>
        <v/>
      </c>
      <c r="X34" s="5">
        <f>MEDIAN(-6,X30+(X32-'02_KhoiTao'!$E$24)/MAX(X32-X33,0.000000001),6)</f>
        <v/>
      </c>
      <c r="Y34" s="5">
        <f>MEDIAN(-6,Y30+(Y32-'02_KhoiTao'!$E$25)/MAX(Y32-Y33,0.000000001),6)</f>
        <v/>
      </c>
      <c r="Z34" s="5">
        <f>MEDIAN(-6,Z30+(Z32-'02_KhoiTao'!$E$26)/MAX(Z32-Z33,0.000000001),6)</f>
        <v/>
      </c>
      <c r="AA34" s="5">
        <f>MEDIAN(-6,AA30+(AA32-'02_KhoiTao'!$E$27)/MAX(AA32-AA33,0.000000001),6)</f>
        <v/>
      </c>
      <c r="AB34" s="5">
        <f>MEDIAN(-6,AB30+(AB32-'02_KhoiTao'!$E$28)/MAX(AB32-AB33,0.000000001),6)</f>
        <v/>
      </c>
      <c r="AC34" s="5">
        <f>MEDIAN(-6,AC30+(AC32-'02_KhoiTao'!$E$29)/MAX(AC32-AC33,0.000000001),6)</f>
        <v/>
      </c>
      <c r="AD34" s="5">
        <f>MEDIAN(-6,AD30+(AD32-'02_KhoiTao'!$E$30)/MAX(AD32-AD33,0.000000001),6)</f>
        <v/>
      </c>
      <c r="AE34" s="5">
        <f>MEDIAN(-6,AE30+(AE32-'02_KhoiTao'!$E$31)/MAX(AE32-AE33,0.000000001),6)</f>
        <v/>
      </c>
      <c r="AF34" s="5">
        <f>MEDIAN(-6,AF30+(AF32-'02_KhoiTao'!$E$32)/MAX(AF32-AF33,0.000000001),6)</f>
        <v/>
      </c>
      <c r="AG34" s="5">
        <f>MEDIAN(-6,AG30+(AG32-'02_KhoiTao'!$E$33)/MAX(AG32-AG33,0.000000001),6)</f>
        <v/>
      </c>
      <c r="AH34" s="5">
        <f>MEDIAN(-6,AH30+(AH32-'02_KhoiTao'!$E$34)/MAX(AH32-AH33,0.000000001),6)</f>
        <v/>
      </c>
      <c r="AI34" s="5">
        <f>MEDIAN(-6,AI30+(AI32-'02_KhoiTao'!$E$35)/MAX(AI32-AI33,0.000000001),6)</f>
        <v/>
      </c>
      <c r="AJ34" s="5">
        <f>MEDIAN(-6,AJ30+(AJ32-'02_KhoiTao'!$E$36)/MAX(AJ32-AJ33,0.000000001),6)</f>
        <v/>
      </c>
      <c r="AK34" s="5">
        <f>MEDIAN(-6,AK30+(AK32-'02_KhoiTao'!$E$37)/MAX(AK32-AK33,0.000000001),6)</f>
        <v/>
      </c>
      <c r="AL34" s="5">
        <f>MEDIAN(-6,AL30+(AL32-'02_KhoiTao'!$E$38)/MAX(AL32-AL33,0.000000001),6)</f>
        <v/>
      </c>
      <c r="AM34" s="5">
        <f>MEDIAN(-6,AM30+(AM32-'02_KhoiTao'!$E$39)/MAX(AM32-AM33,0.000000001),6)</f>
        <v/>
      </c>
      <c r="AN34" s="5">
        <f>MEDIAN(-6,AN30+(AN32-'02_KhoiTao'!$E$40)/MAX(AN32-AN33,0.000000001),6)</f>
        <v/>
      </c>
      <c r="AO34" s="5">
        <f>MEDIAN(-6,AO30+(AO32-'02_KhoiTao'!$E$41)/MAX(AO32-AO33,0.000000001),6)</f>
        <v/>
      </c>
      <c r="AP34" s="5">
        <f>MEDIAN(-6,AP30+(AP32-'02_KhoiTao'!$E$42)/MAX(AP32-AP33,0.000000001),6)</f>
        <v/>
      </c>
      <c r="AQ34" s="5">
        <f>MEDIAN(-6,AQ30+(AQ32-'02_KhoiTao'!$E$43)/MAX(AQ32-AQ33,0.000000001),6)</f>
        <v/>
      </c>
      <c r="AR34" s="5">
        <f>MEDIAN(-6,AR30+(AR32-'02_KhoiTao'!$E$44)/MAX(AR32-AR33,0.000000001),6)</f>
        <v/>
      </c>
      <c r="AS34" s="5">
        <f>MEDIAN(-6,AS30+(AS32-'02_KhoiTao'!$E$45)/MAX(AS32-AS33,0.000000001),6)</f>
        <v/>
      </c>
      <c r="AT34" s="5">
        <f>MEDIAN(-6,AT30+(AT32-'02_KhoiTao'!$E$46)/MAX(AT32-AT33,0.000000001),6)</f>
        <v/>
      </c>
      <c r="AU34" s="5">
        <f>MEDIAN(-6,AU30+(AU32-'02_KhoiTao'!$E$47)/MAX(AU32-AU33,0.000000001),6)</f>
        <v/>
      </c>
      <c r="AV34" s="5">
        <f>MEDIAN(-6,AV30+(AV32-'02_KhoiTao'!$E$48)/MAX(AV32-AV33,0.000000001),6)</f>
        <v/>
      </c>
      <c r="AW34" s="5">
        <f>MEDIAN(-6,AW30+(AW32-'02_KhoiTao'!$E$49)/MAX(AW32-AW33,0.000000001),6)</f>
        <v/>
      </c>
    </row>
    <row r="35">
      <c r="A35" s="4" t="inlineStr">
        <is>
          <t>b6 (canh tâm)</t>
        </is>
      </c>
      <c r="B35" s="5">
        <f>B34-AVERAGE(B34:AW34)</f>
        <v/>
      </c>
      <c r="C35" s="5">
        <f>C34-AVERAGE(B34:AW34)</f>
        <v/>
      </c>
      <c r="D35" s="5">
        <f>D34-AVERAGE(B34:AW34)</f>
        <v/>
      </c>
      <c r="E35" s="5">
        <f>E34-AVERAGE(B34:AW34)</f>
        <v/>
      </c>
      <c r="F35" s="5">
        <f>F34-AVERAGE(B34:AW34)</f>
        <v/>
      </c>
      <c r="G35" s="5">
        <f>G34-AVERAGE(B34:AW34)</f>
        <v/>
      </c>
      <c r="H35" s="5">
        <f>H34-AVERAGE(B34:AW34)</f>
        <v/>
      </c>
      <c r="I35" s="5">
        <f>I34-AVERAGE(B34:AW34)</f>
        <v/>
      </c>
      <c r="J35" s="5">
        <f>J34-AVERAGE(B34:AW34)</f>
        <v/>
      </c>
      <c r="K35" s="5">
        <f>K34-AVERAGE(B34:AW34)</f>
        <v/>
      </c>
      <c r="L35" s="5">
        <f>L34-AVERAGE(B34:AW34)</f>
        <v/>
      </c>
      <c r="M35" s="5">
        <f>M34-AVERAGE(B34:AW34)</f>
        <v/>
      </c>
      <c r="N35" s="5">
        <f>N34-AVERAGE(B34:AW34)</f>
        <v/>
      </c>
      <c r="O35" s="5">
        <f>O34-AVERAGE(B34:AW34)</f>
        <v/>
      </c>
      <c r="P35" s="5">
        <f>P34-AVERAGE(B34:AW34)</f>
        <v/>
      </c>
      <c r="Q35" s="5">
        <f>Q34-AVERAGE(B34:AW34)</f>
        <v/>
      </c>
      <c r="R35" s="5">
        <f>R34-AVERAGE(B34:AW34)</f>
        <v/>
      </c>
      <c r="S35" s="5">
        <f>S34-AVERAGE(B34:AW34)</f>
        <v/>
      </c>
      <c r="T35" s="5">
        <f>T34-AVERAGE(B34:AW34)</f>
        <v/>
      </c>
      <c r="U35" s="5">
        <f>U34-AVERAGE(B34:AW34)</f>
        <v/>
      </c>
      <c r="V35" s="5">
        <f>V34-AVERAGE(B34:AW34)</f>
        <v/>
      </c>
      <c r="W35" s="5">
        <f>W34-AVERAGE(B34:AW34)</f>
        <v/>
      </c>
      <c r="X35" s="5">
        <f>X34-AVERAGE(B34:AW34)</f>
        <v/>
      </c>
      <c r="Y35" s="5">
        <f>Y34-AVERAGE(B34:AW34)</f>
        <v/>
      </c>
      <c r="Z35" s="5">
        <f>Z34-AVERAGE(B34:AW34)</f>
        <v/>
      </c>
      <c r="AA35" s="5">
        <f>AA34-AVERAGE(B34:AW34)</f>
        <v/>
      </c>
      <c r="AB35" s="5">
        <f>AB34-AVERAGE(B34:AW34)</f>
        <v/>
      </c>
      <c r="AC35" s="5">
        <f>AC34-AVERAGE(B34:AW34)</f>
        <v/>
      </c>
      <c r="AD35" s="5">
        <f>AD34-AVERAGE(B34:AW34)</f>
        <v/>
      </c>
      <c r="AE35" s="5">
        <f>AE34-AVERAGE(B34:AW34)</f>
        <v/>
      </c>
      <c r="AF35" s="5">
        <f>AF34-AVERAGE(B34:AW34)</f>
        <v/>
      </c>
      <c r="AG35" s="5">
        <f>AG34-AVERAGE(B34:AW34)</f>
        <v/>
      </c>
      <c r="AH35" s="5">
        <f>AH34-AVERAGE(B34:AW34)</f>
        <v/>
      </c>
      <c r="AI35" s="5">
        <f>AI34-AVERAGE(B34:AW34)</f>
        <v/>
      </c>
      <c r="AJ35" s="5">
        <f>AJ34-AVERAGE(B34:AW34)</f>
        <v/>
      </c>
      <c r="AK35" s="5">
        <f>AK34-AVERAGE(B34:AW34)</f>
        <v/>
      </c>
      <c r="AL35" s="5">
        <f>AL34-AVERAGE(B34:AW34)</f>
        <v/>
      </c>
      <c r="AM35" s="5">
        <f>AM34-AVERAGE(B34:AW34)</f>
        <v/>
      </c>
      <c r="AN35" s="5">
        <f>AN34-AVERAGE(B34:AW34)</f>
        <v/>
      </c>
      <c r="AO35" s="5">
        <f>AO34-AVERAGE(B34:AW34)</f>
        <v/>
      </c>
      <c r="AP35" s="5">
        <f>AP34-AVERAGE(B34:AW34)</f>
        <v/>
      </c>
      <c r="AQ35" s="5">
        <f>AQ34-AVERAGE(B34:AW34)</f>
        <v/>
      </c>
      <c r="AR35" s="5">
        <f>AR34-AVERAGE(B34:AW34)</f>
        <v/>
      </c>
      <c r="AS35" s="5">
        <f>AS34-AVERAGE(B34:AW34)</f>
        <v/>
      </c>
      <c r="AT35" s="5">
        <f>AT34-AVERAGE(B34:AW34)</f>
        <v/>
      </c>
      <c r="AU35" s="5">
        <f>AU34-AVERAGE(B34:AW34)</f>
        <v/>
      </c>
      <c r="AV35" s="5">
        <f>AV34-AVERAGE(B34:AW34)</f>
        <v/>
      </c>
      <c r="AW35" s="5">
        <f>AW34-AVERAGE(B34:AW34)</f>
        <v/>
      </c>
      <c r="AX35" s="8" t="inlineStr">
        <is>
          <t>max|Δb|</t>
        </is>
      </c>
      <c r="AY35" s="9">
        <f t="array" ref="AY35">MAX(ABS(B35:AW35-B30:AW30))</f>
        <v/>
      </c>
    </row>
    <row r="37">
      <c r="A37" s="8" t="inlineStr">
        <is>
          <t>ΣP vòng 7</t>
        </is>
      </c>
      <c r="B37" s="5">
        <f>SUMPRODUCT(('01_Data'!B2:B1038&lt;&gt;"")*(1/(1+EXP(-('03_Lap_Theta'!$Z$2:$Z$1038-B35)))))</f>
        <v/>
      </c>
      <c r="C37" s="5">
        <f>SUMPRODUCT(('01_Data'!C2:C1038&lt;&gt;"")*(1/(1+EXP(-('03_Lap_Theta'!$Z$2:$Z$1038-C35)))))</f>
        <v/>
      </c>
      <c r="D37" s="5">
        <f>SUMPRODUCT(('01_Data'!D2:D1038&lt;&gt;"")*(1/(1+EXP(-('03_Lap_Theta'!$Z$2:$Z$1038-D35)))))</f>
        <v/>
      </c>
      <c r="E37" s="5">
        <f>SUMPRODUCT(('01_Data'!E2:E1038&lt;&gt;"")*(1/(1+EXP(-('03_Lap_Theta'!$Z$2:$Z$1038-E35)))))</f>
        <v/>
      </c>
      <c r="F37" s="5">
        <f>SUMPRODUCT(('01_Data'!F2:F1038&lt;&gt;"")*(1/(1+EXP(-('03_Lap_Theta'!$Z$2:$Z$1038-F35)))))</f>
        <v/>
      </c>
      <c r="G37" s="5">
        <f>SUMPRODUCT(('01_Data'!G2:G1038&lt;&gt;"")*(1/(1+EXP(-('03_Lap_Theta'!$Z$2:$Z$1038-G35)))))</f>
        <v/>
      </c>
      <c r="H37" s="5">
        <f>SUMPRODUCT(('01_Data'!H2:H1038&lt;&gt;"")*(1/(1+EXP(-('03_Lap_Theta'!$Z$2:$Z$1038-H35)))))</f>
        <v/>
      </c>
      <c r="I37" s="5">
        <f>SUMPRODUCT(('01_Data'!I2:I1038&lt;&gt;"")*(1/(1+EXP(-('03_Lap_Theta'!$Z$2:$Z$1038-I35)))))</f>
        <v/>
      </c>
      <c r="J37" s="5">
        <f>SUMPRODUCT(('01_Data'!J2:J1038&lt;&gt;"")*(1/(1+EXP(-('03_Lap_Theta'!$Z$2:$Z$1038-J35)))))</f>
        <v/>
      </c>
      <c r="K37" s="5">
        <f>SUMPRODUCT(('01_Data'!K2:K1038&lt;&gt;"")*(1/(1+EXP(-('03_Lap_Theta'!$Z$2:$Z$1038-K35)))))</f>
        <v/>
      </c>
      <c r="L37" s="5">
        <f>SUMPRODUCT(('01_Data'!L2:L1038&lt;&gt;"")*(1/(1+EXP(-('03_Lap_Theta'!$Z$2:$Z$1038-L35)))))</f>
        <v/>
      </c>
      <c r="M37" s="5">
        <f>SUMPRODUCT(('01_Data'!M2:M1038&lt;&gt;"")*(1/(1+EXP(-('03_Lap_Theta'!$Z$2:$Z$1038-M35)))))</f>
        <v/>
      </c>
      <c r="N37" s="5">
        <f>SUMPRODUCT(('01_Data'!N2:N1038&lt;&gt;"")*(1/(1+EXP(-('03_Lap_Theta'!$Z$2:$Z$1038-N35)))))</f>
        <v/>
      </c>
      <c r="O37" s="5">
        <f>SUMPRODUCT(('01_Data'!O2:O1038&lt;&gt;"")*(1/(1+EXP(-('03_Lap_Theta'!$Z$2:$Z$1038-O35)))))</f>
        <v/>
      </c>
      <c r="P37" s="5">
        <f>SUMPRODUCT(('01_Data'!P2:P1038&lt;&gt;"")*(1/(1+EXP(-('03_Lap_Theta'!$Z$2:$Z$1038-P35)))))</f>
        <v/>
      </c>
      <c r="Q37" s="5">
        <f>SUMPRODUCT(('01_Data'!Q2:Q1038&lt;&gt;"")*(1/(1+EXP(-('03_Lap_Theta'!$Z$2:$Z$1038-Q35)))))</f>
        <v/>
      </c>
      <c r="R37" s="5">
        <f>SUMPRODUCT(('01_Data'!R2:R1038&lt;&gt;"")*(1/(1+EXP(-('03_Lap_Theta'!$Z$2:$Z$1038-R35)))))</f>
        <v/>
      </c>
      <c r="S37" s="5">
        <f>SUMPRODUCT(('01_Data'!S2:S1038&lt;&gt;"")*(1/(1+EXP(-('03_Lap_Theta'!$Z$2:$Z$1038-S35)))))</f>
        <v/>
      </c>
      <c r="T37" s="5">
        <f>SUMPRODUCT(('01_Data'!T2:T1038&lt;&gt;"")*(1/(1+EXP(-('03_Lap_Theta'!$Z$2:$Z$1038-T35)))))</f>
        <v/>
      </c>
      <c r="U37" s="5">
        <f>SUMPRODUCT(('01_Data'!U2:U1038&lt;&gt;"")*(1/(1+EXP(-('03_Lap_Theta'!$Z$2:$Z$1038-U35)))))</f>
        <v/>
      </c>
      <c r="V37" s="5">
        <f>SUMPRODUCT(('01_Data'!V2:V1038&lt;&gt;"")*(1/(1+EXP(-('03_Lap_Theta'!$Z$2:$Z$1038-V35)))))</f>
        <v/>
      </c>
      <c r="W37" s="5">
        <f>SUMPRODUCT(('01_Data'!W2:W1038&lt;&gt;"")*(1/(1+EXP(-('03_Lap_Theta'!$Z$2:$Z$1038-W35)))))</f>
        <v/>
      </c>
      <c r="X37" s="5">
        <f>SUMPRODUCT(('01_Data'!X2:X1038&lt;&gt;"")*(1/(1+EXP(-('03_Lap_Theta'!$Z$2:$Z$1038-X35)))))</f>
        <v/>
      </c>
      <c r="Y37" s="5">
        <f>SUMPRODUCT(('01_Data'!Y2:Y1038&lt;&gt;"")*(1/(1+EXP(-('03_Lap_Theta'!$Z$2:$Z$1038-Y35)))))</f>
        <v/>
      </c>
      <c r="Z37" s="5">
        <f>SUMPRODUCT(('01_Data'!Z2:Z1038&lt;&gt;"")*(1/(1+EXP(-('03_Lap_Theta'!$Z$2:$Z$1038-Z35)))))</f>
        <v/>
      </c>
      <c r="AA37" s="5">
        <f>SUMPRODUCT(('01_Data'!AA2:AA1038&lt;&gt;"")*(1/(1+EXP(-('03_Lap_Theta'!$Z$2:$Z$1038-AA35)))))</f>
        <v/>
      </c>
      <c r="AB37" s="5">
        <f>SUMPRODUCT(('01_Data'!AB2:AB1038&lt;&gt;"")*(1/(1+EXP(-('03_Lap_Theta'!$Z$2:$Z$1038-AB35)))))</f>
        <v/>
      </c>
      <c r="AC37" s="5">
        <f>SUMPRODUCT(('01_Data'!AC2:AC1038&lt;&gt;"")*(1/(1+EXP(-('03_Lap_Theta'!$Z$2:$Z$1038-AC35)))))</f>
        <v/>
      </c>
      <c r="AD37" s="5">
        <f>SUMPRODUCT(('01_Data'!AD2:AD1038&lt;&gt;"")*(1/(1+EXP(-('03_Lap_Theta'!$Z$2:$Z$1038-AD35)))))</f>
        <v/>
      </c>
      <c r="AE37" s="5">
        <f>SUMPRODUCT(('01_Data'!AE2:AE1038&lt;&gt;"")*(1/(1+EXP(-('03_Lap_Theta'!$Z$2:$Z$1038-AE35)))))</f>
        <v/>
      </c>
      <c r="AF37" s="5">
        <f>SUMPRODUCT(('01_Data'!AF2:AF1038&lt;&gt;"")*(1/(1+EXP(-('03_Lap_Theta'!$Z$2:$Z$1038-AF35)))))</f>
        <v/>
      </c>
      <c r="AG37" s="5">
        <f>SUMPRODUCT(('01_Data'!AG2:AG1038&lt;&gt;"")*(1/(1+EXP(-('03_Lap_Theta'!$Z$2:$Z$1038-AG35)))))</f>
        <v/>
      </c>
      <c r="AH37" s="5">
        <f>SUMPRODUCT(('01_Data'!AH2:AH1038&lt;&gt;"")*(1/(1+EXP(-('03_Lap_Theta'!$Z$2:$Z$1038-AH35)))))</f>
        <v/>
      </c>
      <c r="AI37" s="5">
        <f>SUMPRODUCT(('01_Data'!AI2:AI1038&lt;&gt;"")*(1/(1+EXP(-('03_Lap_Theta'!$Z$2:$Z$1038-AI35)))))</f>
        <v/>
      </c>
      <c r="AJ37" s="5">
        <f>SUMPRODUCT(('01_Data'!AJ2:AJ1038&lt;&gt;"")*(1/(1+EXP(-('03_Lap_Theta'!$Z$2:$Z$1038-AJ35)))))</f>
        <v/>
      </c>
      <c r="AK37" s="5">
        <f>SUMPRODUCT(('01_Data'!AK2:AK1038&lt;&gt;"")*(1/(1+EXP(-('03_Lap_Theta'!$Z$2:$Z$1038-AK35)))))</f>
        <v/>
      </c>
      <c r="AL37" s="5">
        <f>SUMPRODUCT(('01_Data'!AL2:AL1038&lt;&gt;"")*(1/(1+EXP(-('03_Lap_Theta'!$Z$2:$Z$1038-AL35)))))</f>
        <v/>
      </c>
      <c r="AM37" s="5">
        <f>SUMPRODUCT(('01_Data'!AM2:AM1038&lt;&gt;"")*(1/(1+EXP(-('03_Lap_Theta'!$Z$2:$Z$1038-AM35)))))</f>
        <v/>
      </c>
      <c r="AN37" s="5">
        <f>SUMPRODUCT(('01_Data'!AN2:AN1038&lt;&gt;"")*(1/(1+EXP(-('03_Lap_Theta'!$Z$2:$Z$1038-AN35)))))</f>
        <v/>
      </c>
      <c r="AO37" s="5">
        <f>SUMPRODUCT(('01_Data'!AO2:AO1038&lt;&gt;"")*(1/(1+EXP(-('03_Lap_Theta'!$Z$2:$Z$1038-AO35)))))</f>
        <v/>
      </c>
      <c r="AP37" s="5">
        <f>SUMPRODUCT(('01_Data'!AP2:AP1038&lt;&gt;"")*(1/(1+EXP(-('03_Lap_Theta'!$Z$2:$Z$1038-AP35)))))</f>
        <v/>
      </c>
      <c r="AQ37" s="5">
        <f>SUMPRODUCT(('01_Data'!AQ2:AQ1038&lt;&gt;"")*(1/(1+EXP(-('03_Lap_Theta'!$Z$2:$Z$1038-AQ35)))))</f>
        <v/>
      </c>
      <c r="AR37" s="5">
        <f>SUMPRODUCT(('01_Data'!AR2:AR1038&lt;&gt;"")*(1/(1+EXP(-('03_Lap_Theta'!$Z$2:$Z$1038-AR35)))))</f>
        <v/>
      </c>
      <c r="AS37" s="5">
        <f>SUMPRODUCT(('01_Data'!AS2:AS1038&lt;&gt;"")*(1/(1+EXP(-('03_Lap_Theta'!$Z$2:$Z$1038-AS35)))))</f>
        <v/>
      </c>
      <c r="AT37" s="5">
        <f>SUMPRODUCT(('01_Data'!AT2:AT1038&lt;&gt;"")*(1/(1+EXP(-('03_Lap_Theta'!$Z$2:$Z$1038-AT35)))))</f>
        <v/>
      </c>
      <c r="AU37" s="5">
        <f>SUMPRODUCT(('01_Data'!AU2:AU1038&lt;&gt;"")*(1/(1+EXP(-('03_Lap_Theta'!$Z$2:$Z$1038-AU35)))))</f>
        <v/>
      </c>
      <c r="AV37" s="5">
        <f>SUMPRODUCT(('01_Data'!AV2:AV1038&lt;&gt;"")*(1/(1+EXP(-('03_Lap_Theta'!$Z$2:$Z$1038-AV35)))))</f>
        <v/>
      </c>
      <c r="AW37" s="5">
        <f>SUMPRODUCT(('01_Data'!AW2:AW1038&lt;&gt;"")*(1/(1+EXP(-('03_Lap_Theta'!$Z$2:$Z$1038-AW35)))))</f>
        <v/>
      </c>
    </row>
    <row r="38">
      <c r="A38" s="8" t="inlineStr">
        <is>
          <t>ΣP² vòng 7</t>
        </is>
      </c>
      <c r="B38" s="5">
        <f>SUMPRODUCT(('01_Data'!B2:B1038&lt;&gt;"")*(1/(1+EXP(-('03_Lap_Theta'!$Z$2:$Z$1038-B35))))^2)</f>
        <v/>
      </c>
      <c r="C38" s="5">
        <f>SUMPRODUCT(('01_Data'!C2:C1038&lt;&gt;"")*(1/(1+EXP(-('03_Lap_Theta'!$Z$2:$Z$1038-C35))))^2)</f>
        <v/>
      </c>
      <c r="D38" s="5">
        <f>SUMPRODUCT(('01_Data'!D2:D1038&lt;&gt;"")*(1/(1+EXP(-('03_Lap_Theta'!$Z$2:$Z$1038-D35))))^2)</f>
        <v/>
      </c>
      <c r="E38" s="5">
        <f>SUMPRODUCT(('01_Data'!E2:E1038&lt;&gt;"")*(1/(1+EXP(-('03_Lap_Theta'!$Z$2:$Z$1038-E35))))^2)</f>
        <v/>
      </c>
      <c r="F38" s="5">
        <f>SUMPRODUCT(('01_Data'!F2:F1038&lt;&gt;"")*(1/(1+EXP(-('03_Lap_Theta'!$Z$2:$Z$1038-F35))))^2)</f>
        <v/>
      </c>
      <c r="G38" s="5">
        <f>SUMPRODUCT(('01_Data'!G2:G1038&lt;&gt;"")*(1/(1+EXP(-('03_Lap_Theta'!$Z$2:$Z$1038-G35))))^2)</f>
        <v/>
      </c>
      <c r="H38" s="5">
        <f>SUMPRODUCT(('01_Data'!H2:H1038&lt;&gt;"")*(1/(1+EXP(-('03_Lap_Theta'!$Z$2:$Z$1038-H35))))^2)</f>
        <v/>
      </c>
      <c r="I38" s="5">
        <f>SUMPRODUCT(('01_Data'!I2:I1038&lt;&gt;"")*(1/(1+EXP(-('03_Lap_Theta'!$Z$2:$Z$1038-I35))))^2)</f>
        <v/>
      </c>
      <c r="J38" s="5">
        <f>SUMPRODUCT(('01_Data'!J2:J1038&lt;&gt;"")*(1/(1+EXP(-('03_Lap_Theta'!$Z$2:$Z$1038-J35))))^2)</f>
        <v/>
      </c>
      <c r="K38" s="5">
        <f>SUMPRODUCT(('01_Data'!K2:K1038&lt;&gt;"")*(1/(1+EXP(-('03_Lap_Theta'!$Z$2:$Z$1038-K35))))^2)</f>
        <v/>
      </c>
      <c r="L38" s="5">
        <f>SUMPRODUCT(('01_Data'!L2:L1038&lt;&gt;"")*(1/(1+EXP(-('03_Lap_Theta'!$Z$2:$Z$1038-L35))))^2)</f>
        <v/>
      </c>
      <c r="M38" s="5">
        <f>SUMPRODUCT(('01_Data'!M2:M1038&lt;&gt;"")*(1/(1+EXP(-('03_Lap_Theta'!$Z$2:$Z$1038-M35))))^2)</f>
        <v/>
      </c>
      <c r="N38" s="5">
        <f>SUMPRODUCT(('01_Data'!N2:N1038&lt;&gt;"")*(1/(1+EXP(-('03_Lap_Theta'!$Z$2:$Z$1038-N35))))^2)</f>
        <v/>
      </c>
      <c r="O38" s="5">
        <f>SUMPRODUCT(('01_Data'!O2:O1038&lt;&gt;"")*(1/(1+EXP(-('03_Lap_Theta'!$Z$2:$Z$1038-O35))))^2)</f>
        <v/>
      </c>
      <c r="P38" s="5">
        <f>SUMPRODUCT(('01_Data'!P2:P1038&lt;&gt;"")*(1/(1+EXP(-('03_Lap_Theta'!$Z$2:$Z$1038-P35))))^2)</f>
        <v/>
      </c>
      <c r="Q38" s="5">
        <f>SUMPRODUCT(('01_Data'!Q2:Q1038&lt;&gt;"")*(1/(1+EXP(-('03_Lap_Theta'!$Z$2:$Z$1038-Q35))))^2)</f>
        <v/>
      </c>
      <c r="R38" s="5">
        <f>SUMPRODUCT(('01_Data'!R2:R1038&lt;&gt;"")*(1/(1+EXP(-('03_Lap_Theta'!$Z$2:$Z$1038-R35))))^2)</f>
        <v/>
      </c>
      <c r="S38" s="5">
        <f>SUMPRODUCT(('01_Data'!S2:S1038&lt;&gt;"")*(1/(1+EXP(-('03_Lap_Theta'!$Z$2:$Z$1038-S35))))^2)</f>
        <v/>
      </c>
      <c r="T38" s="5">
        <f>SUMPRODUCT(('01_Data'!T2:T1038&lt;&gt;"")*(1/(1+EXP(-('03_Lap_Theta'!$Z$2:$Z$1038-T35))))^2)</f>
        <v/>
      </c>
      <c r="U38" s="5">
        <f>SUMPRODUCT(('01_Data'!U2:U1038&lt;&gt;"")*(1/(1+EXP(-('03_Lap_Theta'!$Z$2:$Z$1038-U35))))^2)</f>
        <v/>
      </c>
      <c r="V38" s="5">
        <f>SUMPRODUCT(('01_Data'!V2:V1038&lt;&gt;"")*(1/(1+EXP(-('03_Lap_Theta'!$Z$2:$Z$1038-V35))))^2)</f>
        <v/>
      </c>
      <c r="W38" s="5">
        <f>SUMPRODUCT(('01_Data'!W2:W1038&lt;&gt;"")*(1/(1+EXP(-('03_Lap_Theta'!$Z$2:$Z$1038-W35))))^2)</f>
        <v/>
      </c>
      <c r="X38" s="5">
        <f>SUMPRODUCT(('01_Data'!X2:X1038&lt;&gt;"")*(1/(1+EXP(-('03_Lap_Theta'!$Z$2:$Z$1038-X35))))^2)</f>
        <v/>
      </c>
      <c r="Y38" s="5">
        <f>SUMPRODUCT(('01_Data'!Y2:Y1038&lt;&gt;"")*(1/(1+EXP(-('03_Lap_Theta'!$Z$2:$Z$1038-Y35))))^2)</f>
        <v/>
      </c>
      <c r="Z38" s="5">
        <f>SUMPRODUCT(('01_Data'!Z2:Z1038&lt;&gt;"")*(1/(1+EXP(-('03_Lap_Theta'!$Z$2:$Z$1038-Z35))))^2)</f>
        <v/>
      </c>
      <c r="AA38" s="5">
        <f>SUMPRODUCT(('01_Data'!AA2:AA1038&lt;&gt;"")*(1/(1+EXP(-('03_Lap_Theta'!$Z$2:$Z$1038-AA35))))^2)</f>
        <v/>
      </c>
      <c r="AB38" s="5">
        <f>SUMPRODUCT(('01_Data'!AB2:AB1038&lt;&gt;"")*(1/(1+EXP(-('03_Lap_Theta'!$Z$2:$Z$1038-AB35))))^2)</f>
        <v/>
      </c>
      <c r="AC38" s="5">
        <f>SUMPRODUCT(('01_Data'!AC2:AC1038&lt;&gt;"")*(1/(1+EXP(-('03_Lap_Theta'!$Z$2:$Z$1038-AC35))))^2)</f>
        <v/>
      </c>
      <c r="AD38" s="5">
        <f>SUMPRODUCT(('01_Data'!AD2:AD1038&lt;&gt;"")*(1/(1+EXP(-('03_Lap_Theta'!$Z$2:$Z$1038-AD35))))^2)</f>
        <v/>
      </c>
      <c r="AE38" s="5">
        <f>SUMPRODUCT(('01_Data'!AE2:AE1038&lt;&gt;"")*(1/(1+EXP(-('03_Lap_Theta'!$Z$2:$Z$1038-AE35))))^2)</f>
        <v/>
      </c>
      <c r="AF38" s="5">
        <f>SUMPRODUCT(('01_Data'!AF2:AF1038&lt;&gt;"")*(1/(1+EXP(-('03_Lap_Theta'!$Z$2:$Z$1038-AF35))))^2)</f>
        <v/>
      </c>
      <c r="AG38" s="5">
        <f>SUMPRODUCT(('01_Data'!AG2:AG1038&lt;&gt;"")*(1/(1+EXP(-('03_Lap_Theta'!$Z$2:$Z$1038-AG35))))^2)</f>
        <v/>
      </c>
      <c r="AH38" s="5">
        <f>SUMPRODUCT(('01_Data'!AH2:AH1038&lt;&gt;"")*(1/(1+EXP(-('03_Lap_Theta'!$Z$2:$Z$1038-AH35))))^2)</f>
        <v/>
      </c>
      <c r="AI38" s="5">
        <f>SUMPRODUCT(('01_Data'!AI2:AI1038&lt;&gt;"")*(1/(1+EXP(-('03_Lap_Theta'!$Z$2:$Z$1038-AI35))))^2)</f>
        <v/>
      </c>
      <c r="AJ38" s="5">
        <f>SUMPRODUCT(('01_Data'!AJ2:AJ1038&lt;&gt;"")*(1/(1+EXP(-('03_Lap_Theta'!$Z$2:$Z$1038-AJ35))))^2)</f>
        <v/>
      </c>
      <c r="AK38" s="5">
        <f>SUMPRODUCT(('01_Data'!AK2:AK1038&lt;&gt;"")*(1/(1+EXP(-('03_Lap_Theta'!$Z$2:$Z$1038-AK35))))^2)</f>
        <v/>
      </c>
      <c r="AL38" s="5">
        <f>SUMPRODUCT(('01_Data'!AL2:AL1038&lt;&gt;"")*(1/(1+EXP(-('03_Lap_Theta'!$Z$2:$Z$1038-AL35))))^2)</f>
        <v/>
      </c>
      <c r="AM38" s="5">
        <f>SUMPRODUCT(('01_Data'!AM2:AM1038&lt;&gt;"")*(1/(1+EXP(-('03_Lap_Theta'!$Z$2:$Z$1038-AM35))))^2)</f>
        <v/>
      </c>
      <c r="AN38" s="5">
        <f>SUMPRODUCT(('01_Data'!AN2:AN1038&lt;&gt;"")*(1/(1+EXP(-('03_Lap_Theta'!$Z$2:$Z$1038-AN35))))^2)</f>
        <v/>
      </c>
      <c r="AO38" s="5">
        <f>SUMPRODUCT(('01_Data'!AO2:AO1038&lt;&gt;"")*(1/(1+EXP(-('03_Lap_Theta'!$Z$2:$Z$1038-AO35))))^2)</f>
        <v/>
      </c>
      <c r="AP38" s="5">
        <f>SUMPRODUCT(('01_Data'!AP2:AP1038&lt;&gt;"")*(1/(1+EXP(-('03_Lap_Theta'!$Z$2:$Z$1038-AP35))))^2)</f>
        <v/>
      </c>
      <c r="AQ38" s="5">
        <f>SUMPRODUCT(('01_Data'!AQ2:AQ1038&lt;&gt;"")*(1/(1+EXP(-('03_Lap_Theta'!$Z$2:$Z$1038-AQ35))))^2)</f>
        <v/>
      </c>
      <c r="AR38" s="5">
        <f>SUMPRODUCT(('01_Data'!AR2:AR1038&lt;&gt;"")*(1/(1+EXP(-('03_Lap_Theta'!$Z$2:$Z$1038-AR35))))^2)</f>
        <v/>
      </c>
      <c r="AS38" s="5">
        <f>SUMPRODUCT(('01_Data'!AS2:AS1038&lt;&gt;"")*(1/(1+EXP(-('03_Lap_Theta'!$Z$2:$Z$1038-AS35))))^2)</f>
        <v/>
      </c>
      <c r="AT38" s="5">
        <f>SUMPRODUCT(('01_Data'!AT2:AT1038&lt;&gt;"")*(1/(1+EXP(-('03_Lap_Theta'!$Z$2:$Z$1038-AT35))))^2)</f>
        <v/>
      </c>
      <c r="AU38" s="5">
        <f>SUMPRODUCT(('01_Data'!AU2:AU1038&lt;&gt;"")*(1/(1+EXP(-('03_Lap_Theta'!$Z$2:$Z$1038-AU35))))^2)</f>
        <v/>
      </c>
      <c r="AV38" s="5">
        <f>SUMPRODUCT(('01_Data'!AV2:AV1038&lt;&gt;"")*(1/(1+EXP(-('03_Lap_Theta'!$Z$2:$Z$1038-AV35))))^2)</f>
        <v/>
      </c>
      <c r="AW38" s="5">
        <f>SUMPRODUCT(('01_Data'!AW2:AW1038&lt;&gt;"")*(1/(1+EXP(-('03_Lap_Theta'!$Z$2:$Z$1038-AW35))))^2)</f>
        <v/>
      </c>
    </row>
    <row r="39">
      <c r="A39" s="8" t="inlineStr">
        <is>
          <t>b7_raw</t>
        </is>
      </c>
      <c r="B39" s="5">
        <f>MEDIAN(-6,B35+(B37-'02_KhoiTao'!$E$2)/MAX(B37-B38,0.000000001),6)</f>
        <v/>
      </c>
      <c r="C39" s="5">
        <f>MEDIAN(-6,C35+(C37-'02_KhoiTao'!$E$3)/MAX(C37-C38,0.000000001),6)</f>
        <v/>
      </c>
      <c r="D39" s="5">
        <f>MEDIAN(-6,D35+(D37-'02_KhoiTao'!$E$4)/MAX(D37-D38,0.000000001),6)</f>
        <v/>
      </c>
      <c r="E39" s="5">
        <f>MEDIAN(-6,E35+(E37-'02_KhoiTao'!$E$5)/MAX(E37-E38,0.000000001),6)</f>
        <v/>
      </c>
      <c r="F39" s="5">
        <f>MEDIAN(-6,F35+(F37-'02_KhoiTao'!$E$6)/MAX(F37-F38,0.000000001),6)</f>
        <v/>
      </c>
      <c r="G39" s="5">
        <f>MEDIAN(-6,G35+(G37-'02_KhoiTao'!$E$7)/MAX(G37-G38,0.000000001),6)</f>
        <v/>
      </c>
      <c r="H39" s="5">
        <f>MEDIAN(-6,H35+(H37-'02_KhoiTao'!$E$8)/MAX(H37-H38,0.000000001),6)</f>
        <v/>
      </c>
      <c r="I39" s="5">
        <f>MEDIAN(-6,I35+(I37-'02_KhoiTao'!$E$9)/MAX(I37-I38,0.000000001),6)</f>
        <v/>
      </c>
      <c r="J39" s="5">
        <f>MEDIAN(-6,J35+(J37-'02_KhoiTao'!$E$10)/MAX(J37-J38,0.000000001),6)</f>
        <v/>
      </c>
      <c r="K39" s="5">
        <f>MEDIAN(-6,K35+(K37-'02_KhoiTao'!$E$11)/MAX(K37-K38,0.000000001),6)</f>
        <v/>
      </c>
      <c r="L39" s="5">
        <f>MEDIAN(-6,L35+(L37-'02_KhoiTao'!$E$12)/MAX(L37-L38,0.000000001),6)</f>
        <v/>
      </c>
      <c r="M39" s="5">
        <f>MEDIAN(-6,M35+(M37-'02_KhoiTao'!$E$13)/MAX(M37-M38,0.000000001),6)</f>
        <v/>
      </c>
      <c r="N39" s="5">
        <f>MEDIAN(-6,N35+(N37-'02_KhoiTao'!$E$14)/MAX(N37-N38,0.000000001),6)</f>
        <v/>
      </c>
      <c r="O39" s="5">
        <f>MEDIAN(-6,O35+(O37-'02_KhoiTao'!$E$15)/MAX(O37-O38,0.000000001),6)</f>
        <v/>
      </c>
      <c r="P39" s="5">
        <f>MEDIAN(-6,P35+(P37-'02_KhoiTao'!$E$16)/MAX(P37-P38,0.000000001),6)</f>
        <v/>
      </c>
      <c r="Q39" s="5">
        <f>MEDIAN(-6,Q35+(Q37-'02_KhoiTao'!$E$17)/MAX(Q37-Q38,0.000000001),6)</f>
        <v/>
      </c>
      <c r="R39" s="5">
        <f>MEDIAN(-6,R35+(R37-'02_KhoiTao'!$E$18)/MAX(R37-R38,0.000000001),6)</f>
        <v/>
      </c>
      <c r="S39" s="5">
        <f>MEDIAN(-6,S35+(S37-'02_KhoiTao'!$E$19)/MAX(S37-S38,0.000000001),6)</f>
        <v/>
      </c>
      <c r="T39" s="5">
        <f>MEDIAN(-6,T35+(T37-'02_KhoiTao'!$E$20)/MAX(T37-T38,0.000000001),6)</f>
        <v/>
      </c>
      <c r="U39" s="5">
        <f>MEDIAN(-6,U35+(U37-'02_KhoiTao'!$E$21)/MAX(U37-U38,0.000000001),6)</f>
        <v/>
      </c>
      <c r="V39" s="5">
        <f>MEDIAN(-6,V35+(V37-'02_KhoiTao'!$E$22)/MAX(V37-V38,0.000000001),6)</f>
        <v/>
      </c>
      <c r="W39" s="5">
        <f>MEDIAN(-6,W35+(W37-'02_KhoiTao'!$E$23)/MAX(W37-W38,0.000000001),6)</f>
        <v/>
      </c>
      <c r="X39" s="5">
        <f>MEDIAN(-6,X35+(X37-'02_KhoiTao'!$E$24)/MAX(X37-X38,0.000000001),6)</f>
        <v/>
      </c>
      <c r="Y39" s="5">
        <f>MEDIAN(-6,Y35+(Y37-'02_KhoiTao'!$E$25)/MAX(Y37-Y38,0.000000001),6)</f>
        <v/>
      </c>
      <c r="Z39" s="5">
        <f>MEDIAN(-6,Z35+(Z37-'02_KhoiTao'!$E$26)/MAX(Z37-Z38,0.000000001),6)</f>
        <v/>
      </c>
      <c r="AA39" s="5">
        <f>MEDIAN(-6,AA35+(AA37-'02_KhoiTao'!$E$27)/MAX(AA37-AA38,0.000000001),6)</f>
        <v/>
      </c>
      <c r="AB39" s="5">
        <f>MEDIAN(-6,AB35+(AB37-'02_KhoiTao'!$E$28)/MAX(AB37-AB38,0.000000001),6)</f>
        <v/>
      </c>
      <c r="AC39" s="5">
        <f>MEDIAN(-6,AC35+(AC37-'02_KhoiTao'!$E$29)/MAX(AC37-AC38,0.000000001),6)</f>
        <v/>
      </c>
      <c r="AD39" s="5">
        <f>MEDIAN(-6,AD35+(AD37-'02_KhoiTao'!$E$30)/MAX(AD37-AD38,0.000000001),6)</f>
        <v/>
      </c>
      <c r="AE39" s="5">
        <f>MEDIAN(-6,AE35+(AE37-'02_KhoiTao'!$E$31)/MAX(AE37-AE38,0.000000001),6)</f>
        <v/>
      </c>
      <c r="AF39" s="5">
        <f>MEDIAN(-6,AF35+(AF37-'02_KhoiTao'!$E$32)/MAX(AF37-AF38,0.000000001),6)</f>
        <v/>
      </c>
      <c r="AG39" s="5">
        <f>MEDIAN(-6,AG35+(AG37-'02_KhoiTao'!$E$33)/MAX(AG37-AG38,0.000000001),6)</f>
        <v/>
      </c>
      <c r="AH39" s="5">
        <f>MEDIAN(-6,AH35+(AH37-'02_KhoiTao'!$E$34)/MAX(AH37-AH38,0.000000001),6)</f>
        <v/>
      </c>
      <c r="AI39" s="5">
        <f>MEDIAN(-6,AI35+(AI37-'02_KhoiTao'!$E$35)/MAX(AI37-AI38,0.000000001),6)</f>
        <v/>
      </c>
      <c r="AJ39" s="5">
        <f>MEDIAN(-6,AJ35+(AJ37-'02_KhoiTao'!$E$36)/MAX(AJ37-AJ38,0.000000001),6)</f>
        <v/>
      </c>
      <c r="AK39" s="5">
        <f>MEDIAN(-6,AK35+(AK37-'02_KhoiTao'!$E$37)/MAX(AK37-AK38,0.000000001),6)</f>
        <v/>
      </c>
      <c r="AL39" s="5">
        <f>MEDIAN(-6,AL35+(AL37-'02_KhoiTao'!$E$38)/MAX(AL37-AL38,0.000000001),6)</f>
        <v/>
      </c>
      <c r="AM39" s="5">
        <f>MEDIAN(-6,AM35+(AM37-'02_KhoiTao'!$E$39)/MAX(AM37-AM38,0.000000001),6)</f>
        <v/>
      </c>
      <c r="AN39" s="5">
        <f>MEDIAN(-6,AN35+(AN37-'02_KhoiTao'!$E$40)/MAX(AN37-AN38,0.000000001),6)</f>
        <v/>
      </c>
      <c r="AO39" s="5">
        <f>MEDIAN(-6,AO35+(AO37-'02_KhoiTao'!$E$41)/MAX(AO37-AO38,0.000000001),6)</f>
        <v/>
      </c>
      <c r="AP39" s="5">
        <f>MEDIAN(-6,AP35+(AP37-'02_KhoiTao'!$E$42)/MAX(AP37-AP38,0.000000001),6)</f>
        <v/>
      </c>
      <c r="AQ39" s="5">
        <f>MEDIAN(-6,AQ35+(AQ37-'02_KhoiTao'!$E$43)/MAX(AQ37-AQ38,0.000000001),6)</f>
        <v/>
      </c>
      <c r="AR39" s="5">
        <f>MEDIAN(-6,AR35+(AR37-'02_KhoiTao'!$E$44)/MAX(AR37-AR38,0.000000001),6)</f>
        <v/>
      </c>
      <c r="AS39" s="5">
        <f>MEDIAN(-6,AS35+(AS37-'02_KhoiTao'!$E$45)/MAX(AS37-AS38,0.000000001),6)</f>
        <v/>
      </c>
      <c r="AT39" s="5">
        <f>MEDIAN(-6,AT35+(AT37-'02_KhoiTao'!$E$46)/MAX(AT37-AT38,0.000000001),6)</f>
        <v/>
      </c>
      <c r="AU39" s="5">
        <f>MEDIAN(-6,AU35+(AU37-'02_KhoiTao'!$E$47)/MAX(AU37-AU38,0.000000001),6)</f>
        <v/>
      </c>
      <c r="AV39" s="5">
        <f>MEDIAN(-6,AV35+(AV37-'02_KhoiTao'!$E$48)/MAX(AV37-AV38,0.000000001),6)</f>
        <v/>
      </c>
      <c r="AW39" s="5">
        <f>MEDIAN(-6,AW35+(AW37-'02_KhoiTao'!$E$49)/MAX(AW37-AW38,0.000000001),6)</f>
        <v/>
      </c>
    </row>
    <row r="40">
      <c r="A40" s="4" t="inlineStr">
        <is>
          <t>b7 (canh tâm)</t>
        </is>
      </c>
      <c r="B40" s="5">
        <f>B39-AVERAGE(B39:AW39)</f>
        <v/>
      </c>
      <c r="C40" s="5">
        <f>C39-AVERAGE(B39:AW39)</f>
        <v/>
      </c>
      <c r="D40" s="5">
        <f>D39-AVERAGE(B39:AW39)</f>
        <v/>
      </c>
      <c r="E40" s="5">
        <f>E39-AVERAGE(B39:AW39)</f>
        <v/>
      </c>
      <c r="F40" s="5">
        <f>F39-AVERAGE(B39:AW39)</f>
        <v/>
      </c>
      <c r="G40" s="5">
        <f>G39-AVERAGE(B39:AW39)</f>
        <v/>
      </c>
      <c r="H40" s="5">
        <f>H39-AVERAGE(B39:AW39)</f>
        <v/>
      </c>
      <c r="I40" s="5">
        <f>I39-AVERAGE(B39:AW39)</f>
        <v/>
      </c>
      <c r="J40" s="5">
        <f>J39-AVERAGE(B39:AW39)</f>
        <v/>
      </c>
      <c r="K40" s="5">
        <f>K39-AVERAGE(B39:AW39)</f>
        <v/>
      </c>
      <c r="L40" s="5">
        <f>L39-AVERAGE(B39:AW39)</f>
        <v/>
      </c>
      <c r="M40" s="5">
        <f>M39-AVERAGE(B39:AW39)</f>
        <v/>
      </c>
      <c r="N40" s="5">
        <f>N39-AVERAGE(B39:AW39)</f>
        <v/>
      </c>
      <c r="O40" s="5">
        <f>O39-AVERAGE(B39:AW39)</f>
        <v/>
      </c>
      <c r="P40" s="5">
        <f>P39-AVERAGE(B39:AW39)</f>
        <v/>
      </c>
      <c r="Q40" s="5">
        <f>Q39-AVERAGE(B39:AW39)</f>
        <v/>
      </c>
      <c r="R40" s="5">
        <f>R39-AVERAGE(B39:AW39)</f>
        <v/>
      </c>
      <c r="S40" s="5">
        <f>S39-AVERAGE(B39:AW39)</f>
        <v/>
      </c>
      <c r="T40" s="5">
        <f>T39-AVERAGE(B39:AW39)</f>
        <v/>
      </c>
      <c r="U40" s="5">
        <f>U39-AVERAGE(B39:AW39)</f>
        <v/>
      </c>
      <c r="V40" s="5">
        <f>V39-AVERAGE(B39:AW39)</f>
        <v/>
      </c>
      <c r="W40" s="5">
        <f>W39-AVERAGE(B39:AW39)</f>
        <v/>
      </c>
      <c r="X40" s="5">
        <f>X39-AVERAGE(B39:AW39)</f>
        <v/>
      </c>
      <c r="Y40" s="5">
        <f>Y39-AVERAGE(B39:AW39)</f>
        <v/>
      </c>
      <c r="Z40" s="5">
        <f>Z39-AVERAGE(B39:AW39)</f>
        <v/>
      </c>
      <c r="AA40" s="5">
        <f>AA39-AVERAGE(B39:AW39)</f>
        <v/>
      </c>
      <c r="AB40" s="5">
        <f>AB39-AVERAGE(B39:AW39)</f>
        <v/>
      </c>
      <c r="AC40" s="5">
        <f>AC39-AVERAGE(B39:AW39)</f>
        <v/>
      </c>
      <c r="AD40" s="5">
        <f>AD39-AVERAGE(B39:AW39)</f>
        <v/>
      </c>
      <c r="AE40" s="5">
        <f>AE39-AVERAGE(B39:AW39)</f>
        <v/>
      </c>
      <c r="AF40" s="5">
        <f>AF39-AVERAGE(B39:AW39)</f>
        <v/>
      </c>
      <c r="AG40" s="5">
        <f>AG39-AVERAGE(B39:AW39)</f>
        <v/>
      </c>
      <c r="AH40" s="5">
        <f>AH39-AVERAGE(B39:AW39)</f>
        <v/>
      </c>
      <c r="AI40" s="5">
        <f>AI39-AVERAGE(B39:AW39)</f>
        <v/>
      </c>
      <c r="AJ40" s="5">
        <f>AJ39-AVERAGE(B39:AW39)</f>
        <v/>
      </c>
      <c r="AK40" s="5">
        <f>AK39-AVERAGE(B39:AW39)</f>
        <v/>
      </c>
      <c r="AL40" s="5">
        <f>AL39-AVERAGE(B39:AW39)</f>
        <v/>
      </c>
      <c r="AM40" s="5">
        <f>AM39-AVERAGE(B39:AW39)</f>
        <v/>
      </c>
      <c r="AN40" s="5">
        <f>AN39-AVERAGE(B39:AW39)</f>
        <v/>
      </c>
      <c r="AO40" s="5">
        <f>AO39-AVERAGE(B39:AW39)</f>
        <v/>
      </c>
      <c r="AP40" s="5">
        <f>AP39-AVERAGE(B39:AW39)</f>
        <v/>
      </c>
      <c r="AQ40" s="5">
        <f>AQ39-AVERAGE(B39:AW39)</f>
        <v/>
      </c>
      <c r="AR40" s="5">
        <f>AR39-AVERAGE(B39:AW39)</f>
        <v/>
      </c>
      <c r="AS40" s="5">
        <f>AS39-AVERAGE(B39:AW39)</f>
        <v/>
      </c>
      <c r="AT40" s="5">
        <f>AT39-AVERAGE(B39:AW39)</f>
        <v/>
      </c>
      <c r="AU40" s="5">
        <f>AU39-AVERAGE(B39:AW39)</f>
        <v/>
      </c>
      <c r="AV40" s="5">
        <f>AV39-AVERAGE(B39:AW39)</f>
        <v/>
      </c>
      <c r="AW40" s="5">
        <f>AW39-AVERAGE(B39:AW39)</f>
        <v/>
      </c>
      <c r="AX40" s="8" t="inlineStr">
        <is>
          <t>max|Δb|</t>
        </is>
      </c>
      <c r="AY40" s="9">
        <f t="array" ref="AY40">MAX(ABS(B40:AW40-B35:AW35))</f>
        <v/>
      </c>
    </row>
    <row r="42">
      <c r="A42" s="8" t="inlineStr">
        <is>
          <t>ΣP vòng 8</t>
        </is>
      </c>
      <c r="B42" s="5">
        <f>SUMPRODUCT(('01_Data'!B2:B1038&lt;&gt;"")*(1/(1+EXP(-('03_Lap_Theta'!$AC$2:$AC$1038-B40)))))</f>
        <v/>
      </c>
      <c r="C42" s="5">
        <f>SUMPRODUCT(('01_Data'!C2:C1038&lt;&gt;"")*(1/(1+EXP(-('03_Lap_Theta'!$AC$2:$AC$1038-C40)))))</f>
        <v/>
      </c>
      <c r="D42" s="5">
        <f>SUMPRODUCT(('01_Data'!D2:D1038&lt;&gt;"")*(1/(1+EXP(-('03_Lap_Theta'!$AC$2:$AC$1038-D40)))))</f>
        <v/>
      </c>
      <c r="E42" s="5">
        <f>SUMPRODUCT(('01_Data'!E2:E1038&lt;&gt;"")*(1/(1+EXP(-('03_Lap_Theta'!$AC$2:$AC$1038-E40)))))</f>
        <v/>
      </c>
      <c r="F42" s="5">
        <f>SUMPRODUCT(('01_Data'!F2:F1038&lt;&gt;"")*(1/(1+EXP(-('03_Lap_Theta'!$AC$2:$AC$1038-F40)))))</f>
        <v/>
      </c>
      <c r="G42" s="5">
        <f>SUMPRODUCT(('01_Data'!G2:G1038&lt;&gt;"")*(1/(1+EXP(-('03_Lap_Theta'!$AC$2:$AC$1038-G40)))))</f>
        <v/>
      </c>
      <c r="H42" s="5">
        <f>SUMPRODUCT(('01_Data'!H2:H1038&lt;&gt;"")*(1/(1+EXP(-('03_Lap_Theta'!$AC$2:$AC$1038-H40)))))</f>
        <v/>
      </c>
      <c r="I42" s="5">
        <f>SUMPRODUCT(('01_Data'!I2:I1038&lt;&gt;"")*(1/(1+EXP(-('03_Lap_Theta'!$AC$2:$AC$1038-I40)))))</f>
        <v/>
      </c>
      <c r="J42" s="5">
        <f>SUMPRODUCT(('01_Data'!J2:J1038&lt;&gt;"")*(1/(1+EXP(-('03_Lap_Theta'!$AC$2:$AC$1038-J40)))))</f>
        <v/>
      </c>
      <c r="K42" s="5">
        <f>SUMPRODUCT(('01_Data'!K2:K1038&lt;&gt;"")*(1/(1+EXP(-('03_Lap_Theta'!$AC$2:$AC$1038-K40)))))</f>
        <v/>
      </c>
      <c r="L42" s="5">
        <f>SUMPRODUCT(('01_Data'!L2:L1038&lt;&gt;"")*(1/(1+EXP(-('03_Lap_Theta'!$AC$2:$AC$1038-L40)))))</f>
        <v/>
      </c>
      <c r="M42" s="5">
        <f>SUMPRODUCT(('01_Data'!M2:M1038&lt;&gt;"")*(1/(1+EXP(-('03_Lap_Theta'!$AC$2:$AC$1038-M40)))))</f>
        <v/>
      </c>
      <c r="N42" s="5">
        <f>SUMPRODUCT(('01_Data'!N2:N1038&lt;&gt;"")*(1/(1+EXP(-('03_Lap_Theta'!$AC$2:$AC$1038-N40)))))</f>
        <v/>
      </c>
      <c r="O42" s="5">
        <f>SUMPRODUCT(('01_Data'!O2:O1038&lt;&gt;"")*(1/(1+EXP(-('03_Lap_Theta'!$AC$2:$AC$1038-O40)))))</f>
        <v/>
      </c>
      <c r="P42" s="5">
        <f>SUMPRODUCT(('01_Data'!P2:P1038&lt;&gt;"")*(1/(1+EXP(-('03_Lap_Theta'!$AC$2:$AC$1038-P40)))))</f>
        <v/>
      </c>
      <c r="Q42" s="5">
        <f>SUMPRODUCT(('01_Data'!Q2:Q1038&lt;&gt;"")*(1/(1+EXP(-('03_Lap_Theta'!$AC$2:$AC$1038-Q40)))))</f>
        <v/>
      </c>
      <c r="R42" s="5">
        <f>SUMPRODUCT(('01_Data'!R2:R1038&lt;&gt;"")*(1/(1+EXP(-('03_Lap_Theta'!$AC$2:$AC$1038-R40)))))</f>
        <v/>
      </c>
      <c r="S42" s="5">
        <f>SUMPRODUCT(('01_Data'!S2:S1038&lt;&gt;"")*(1/(1+EXP(-('03_Lap_Theta'!$AC$2:$AC$1038-S40)))))</f>
        <v/>
      </c>
      <c r="T42" s="5">
        <f>SUMPRODUCT(('01_Data'!T2:T1038&lt;&gt;"")*(1/(1+EXP(-('03_Lap_Theta'!$AC$2:$AC$1038-T40)))))</f>
        <v/>
      </c>
      <c r="U42" s="5">
        <f>SUMPRODUCT(('01_Data'!U2:U1038&lt;&gt;"")*(1/(1+EXP(-('03_Lap_Theta'!$AC$2:$AC$1038-U40)))))</f>
        <v/>
      </c>
      <c r="V42" s="5">
        <f>SUMPRODUCT(('01_Data'!V2:V1038&lt;&gt;"")*(1/(1+EXP(-('03_Lap_Theta'!$AC$2:$AC$1038-V40)))))</f>
        <v/>
      </c>
      <c r="W42" s="5">
        <f>SUMPRODUCT(('01_Data'!W2:W1038&lt;&gt;"")*(1/(1+EXP(-('03_Lap_Theta'!$AC$2:$AC$1038-W40)))))</f>
        <v/>
      </c>
      <c r="X42" s="5">
        <f>SUMPRODUCT(('01_Data'!X2:X1038&lt;&gt;"")*(1/(1+EXP(-('03_Lap_Theta'!$AC$2:$AC$1038-X40)))))</f>
        <v/>
      </c>
      <c r="Y42" s="5">
        <f>SUMPRODUCT(('01_Data'!Y2:Y1038&lt;&gt;"")*(1/(1+EXP(-('03_Lap_Theta'!$AC$2:$AC$1038-Y40)))))</f>
        <v/>
      </c>
      <c r="Z42" s="5">
        <f>SUMPRODUCT(('01_Data'!Z2:Z1038&lt;&gt;"")*(1/(1+EXP(-('03_Lap_Theta'!$AC$2:$AC$1038-Z40)))))</f>
        <v/>
      </c>
      <c r="AA42" s="5">
        <f>SUMPRODUCT(('01_Data'!AA2:AA1038&lt;&gt;"")*(1/(1+EXP(-('03_Lap_Theta'!$AC$2:$AC$1038-AA40)))))</f>
        <v/>
      </c>
      <c r="AB42" s="5">
        <f>SUMPRODUCT(('01_Data'!AB2:AB1038&lt;&gt;"")*(1/(1+EXP(-('03_Lap_Theta'!$AC$2:$AC$1038-AB40)))))</f>
        <v/>
      </c>
      <c r="AC42" s="5">
        <f>SUMPRODUCT(('01_Data'!AC2:AC1038&lt;&gt;"")*(1/(1+EXP(-('03_Lap_Theta'!$AC$2:$AC$1038-AC40)))))</f>
        <v/>
      </c>
      <c r="AD42" s="5">
        <f>SUMPRODUCT(('01_Data'!AD2:AD1038&lt;&gt;"")*(1/(1+EXP(-('03_Lap_Theta'!$AC$2:$AC$1038-AD40)))))</f>
        <v/>
      </c>
      <c r="AE42" s="5">
        <f>SUMPRODUCT(('01_Data'!AE2:AE1038&lt;&gt;"")*(1/(1+EXP(-('03_Lap_Theta'!$AC$2:$AC$1038-AE40)))))</f>
        <v/>
      </c>
      <c r="AF42" s="5">
        <f>SUMPRODUCT(('01_Data'!AF2:AF1038&lt;&gt;"")*(1/(1+EXP(-('03_Lap_Theta'!$AC$2:$AC$1038-AF40)))))</f>
        <v/>
      </c>
      <c r="AG42" s="5">
        <f>SUMPRODUCT(('01_Data'!AG2:AG1038&lt;&gt;"")*(1/(1+EXP(-('03_Lap_Theta'!$AC$2:$AC$1038-AG40)))))</f>
        <v/>
      </c>
      <c r="AH42" s="5">
        <f>SUMPRODUCT(('01_Data'!AH2:AH1038&lt;&gt;"")*(1/(1+EXP(-('03_Lap_Theta'!$AC$2:$AC$1038-AH40)))))</f>
        <v/>
      </c>
      <c r="AI42" s="5">
        <f>SUMPRODUCT(('01_Data'!AI2:AI1038&lt;&gt;"")*(1/(1+EXP(-('03_Lap_Theta'!$AC$2:$AC$1038-AI40)))))</f>
        <v/>
      </c>
      <c r="AJ42" s="5">
        <f>SUMPRODUCT(('01_Data'!AJ2:AJ1038&lt;&gt;"")*(1/(1+EXP(-('03_Lap_Theta'!$AC$2:$AC$1038-AJ40)))))</f>
        <v/>
      </c>
      <c r="AK42" s="5">
        <f>SUMPRODUCT(('01_Data'!AK2:AK1038&lt;&gt;"")*(1/(1+EXP(-('03_Lap_Theta'!$AC$2:$AC$1038-AK40)))))</f>
        <v/>
      </c>
      <c r="AL42" s="5">
        <f>SUMPRODUCT(('01_Data'!AL2:AL1038&lt;&gt;"")*(1/(1+EXP(-('03_Lap_Theta'!$AC$2:$AC$1038-AL40)))))</f>
        <v/>
      </c>
      <c r="AM42" s="5">
        <f>SUMPRODUCT(('01_Data'!AM2:AM1038&lt;&gt;"")*(1/(1+EXP(-('03_Lap_Theta'!$AC$2:$AC$1038-AM40)))))</f>
        <v/>
      </c>
      <c r="AN42" s="5">
        <f>SUMPRODUCT(('01_Data'!AN2:AN1038&lt;&gt;"")*(1/(1+EXP(-('03_Lap_Theta'!$AC$2:$AC$1038-AN40)))))</f>
        <v/>
      </c>
      <c r="AO42" s="5">
        <f>SUMPRODUCT(('01_Data'!AO2:AO1038&lt;&gt;"")*(1/(1+EXP(-('03_Lap_Theta'!$AC$2:$AC$1038-AO40)))))</f>
        <v/>
      </c>
      <c r="AP42" s="5">
        <f>SUMPRODUCT(('01_Data'!AP2:AP1038&lt;&gt;"")*(1/(1+EXP(-('03_Lap_Theta'!$AC$2:$AC$1038-AP40)))))</f>
        <v/>
      </c>
      <c r="AQ42" s="5">
        <f>SUMPRODUCT(('01_Data'!AQ2:AQ1038&lt;&gt;"")*(1/(1+EXP(-('03_Lap_Theta'!$AC$2:$AC$1038-AQ40)))))</f>
        <v/>
      </c>
      <c r="AR42" s="5">
        <f>SUMPRODUCT(('01_Data'!AR2:AR1038&lt;&gt;"")*(1/(1+EXP(-('03_Lap_Theta'!$AC$2:$AC$1038-AR40)))))</f>
        <v/>
      </c>
      <c r="AS42" s="5">
        <f>SUMPRODUCT(('01_Data'!AS2:AS1038&lt;&gt;"")*(1/(1+EXP(-('03_Lap_Theta'!$AC$2:$AC$1038-AS40)))))</f>
        <v/>
      </c>
      <c r="AT42" s="5">
        <f>SUMPRODUCT(('01_Data'!AT2:AT1038&lt;&gt;"")*(1/(1+EXP(-('03_Lap_Theta'!$AC$2:$AC$1038-AT40)))))</f>
        <v/>
      </c>
      <c r="AU42" s="5">
        <f>SUMPRODUCT(('01_Data'!AU2:AU1038&lt;&gt;"")*(1/(1+EXP(-('03_Lap_Theta'!$AC$2:$AC$1038-AU40)))))</f>
        <v/>
      </c>
      <c r="AV42" s="5">
        <f>SUMPRODUCT(('01_Data'!AV2:AV1038&lt;&gt;"")*(1/(1+EXP(-('03_Lap_Theta'!$AC$2:$AC$1038-AV40)))))</f>
        <v/>
      </c>
      <c r="AW42" s="5">
        <f>SUMPRODUCT(('01_Data'!AW2:AW1038&lt;&gt;"")*(1/(1+EXP(-('03_Lap_Theta'!$AC$2:$AC$1038-AW40)))))</f>
        <v/>
      </c>
    </row>
    <row r="43">
      <c r="A43" s="8" t="inlineStr">
        <is>
          <t>ΣP² vòng 8</t>
        </is>
      </c>
      <c r="B43" s="5">
        <f>SUMPRODUCT(('01_Data'!B2:B1038&lt;&gt;"")*(1/(1+EXP(-('03_Lap_Theta'!$AC$2:$AC$1038-B40))))^2)</f>
        <v/>
      </c>
      <c r="C43" s="5">
        <f>SUMPRODUCT(('01_Data'!C2:C1038&lt;&gt;"")*(1/(1+EXP(-('03_Lap_Theta'!$AC$2:$AC$1038-C40))))^2)</f>
        <v/>
      </c>
      <c r="D43" s="5">
        <f>SUMPRODUCT(('01_Data'!D2:D1038&lt;&gt;"")*(1/(1+EXP(-('03_Lap_Theta'!$AC$2:$AC$1038-D40))))^2)</f>
        <v/>
      </c>
      <c r="E43" s="5">
        <f>SUMPRODUCT(('01_Data'!E2:E1038&lt;&gt;"")*(1/(1+EXP(-('03_Lap_Theta'!$AC$2:$AC$1038-E40))))^2)</f>
        <v/>
      </c>
      <c r="F43" s="5">
        <f>SUMPRODUCT(('01_Data'!F2:F1038&lt;&gt;"")*(1/(1+EXP(-('03_Lap_Theta'!$AC$2:$AC$1038-F40))))^2)</f>
        <v/>
      </c>
      <c r="G43" s="5">
        <f>SUMPRODUCT(('01_Data'!G2:G1038&lt;&gt;"")*(1/(1+EXP(-('03_Lap_Theta'!$AC$2:$AC$1038-G40))))^2)</f>
        <v/>
      </c>
      <c r="H43" s="5">
        <f>SUMPRODUCT(('01_Data'!H2:H1038&lt;&gt;"")*(1/(1+EXP(-('03_Lap_Theta'!$AC$2:$AC$1038-H40))))^2)</f>
        <v/>
      </c>
      <c r="I43" s="5">
        <f>SUMPRODUCT(('01_Data'!I2:I1038&lt;&gt;"")*(1/(1+EXP(-('03_Lap_Theta'!$AC$2:$AC$1038-I40))))^2)</f>
        <v/>
      </c>
      <c r="J43" s="5">
        <f>SUMPRODUCT(('01_Data'!J2:J1038&lt;&gt;"")*(1/(1+EXP(-('03_Lap_Theta'!$AC$2:$AC$1038-J40))))^2)</f>
        <v/>
      </c>
      <c r="K43" s="5">
        <f>SUMPRODUCT(('01_Data'!K2:K1038&lt;&gt;"")*(1/(1+EXP(-('03_Lap_Theta'!$AC$2:$AC$1038-K40))))^2)</f>
        <v/>
      </c>
      <c r="L43" s="5">
        <f>SUMPRODUCT(('01_Data'!L2:L1038&lt;&gt;"")*(1/(1+EXP(-('03_Lap_Theta'!$AC$2:$AC$1038-L40))))^2)</f>
        <v/>
      </c>
      <c r="M43" s="5">
        <f>SUMPRODUCT(('01_Data'!M2:M1038&lt;&gt;"")*(1/(1+EXP(-('03_Lap_Theta'!$AC$2:$AC$1038-M40))))^2)</f>
        <v/>
      </c>
      <c r="N43" s="5">
        <f>SUMPRODUCT(('01_Data'!N2:N1038&lt;&gt;"")*(1/(1+EXP(-('03_Lap_Theta'!$AC$2:$AC$1038-N40))))^2)</f>
        <v/>
      </c>
      <c r="O43" s="5">
        <f>SUMPRODUCT(('01_Data'!O2:O1038&lt;&gt;"")*(1/(1+EXP(-('03_Lap_Theta'!$AC$2:$AC$1038-O40))))^2)</f>
        <v/>
      </c>
      <c r="P43" s="5">
        <f>SUMPRODUCT(('01_Data'!P2:P1038&lt;&gt;"")*(1/(1+EXP(-('03_Lap_Theta'!$AC$2:$AC$1038-P40))))^2)</f>
        <v/>
      </c>
      <c r="Q43" s="5">
        <f>SUMPRODUCT(('01_Data'!Q2:Q1038&lt;&gt;"")*(1/(1+EXP(-('03_Lap_Theta'!$AC$2:$AC$1038-Q40))))^2)</f>
        <v/>
      </c>
      <c r="R43" s="5">
        <f>SUMPRODUCT(('01_Data'!R2:R1038&lt;&gt;"")*(1/(1+EXP(-('03_Lap_Theta'!$AC$2:$AC$1038-R40))))^2)</f>
        <v/>
      </c>
      <c r="S43" s="5">
        <f>SUMPRODUCT(('01_Data'!S2:S1038&lt;&gt;"")*(1/(1+EXP(-('03_Lap_Theta'!$AC$2:$AC$1038-S40))))^2)</f>
        <v/>
      </c>
      <c r="T43" s="5">
        <f>SUMPRODUCT(('01_Data'!T2:T1038&lt;&gt;"")*(1/(1+EXP(-('03_Lap_Theta'!$AC$2:$AC$1038-T40))))^2)</f>
        <v/>
      </c>
      <c r="U43" s="5">
        <f>SUMPRODUCT(('01_Data'!U2:U1038&lt;&gt;"")*(1/(1+EXP(-('03_Lap_Theta'!$AC$2:$AC$1038-U40))))^2)</f>
        <v/>
      </c>
      <c r="V43" s="5">
        <f>SUMPRODUCT(('01_Data'!V2:V1038&lt;&gt;"")*(1/(1+EXP(-('03_Lap_Theta'!$AC$2:$AC$1038-V40))))^2)</f>
        <v/>
      </c>
      <c r="W43" s="5">
        <f>SUMPRODUCT(('01_Data'!W2:W1038&lt;&gt;"")*(1/(1+EXP(-('03_Lap_Theta'!$AC$2:$AC$1038-W40))))^2)</f>
        <v/>
      </c>
      <c r="X43" s="5">
        <f>SUMPRODUCT(('01_Data'!X2:X1038&lt;&gt;"")*(1/(1+EXP(-('03_Lap_Theta'!$AC$2:$AC$1038-X40))))^2)</f>
        <v/>
      </c>
      <c r="Y43" s="5">
        <f>SUMPRODUCT(('01_Data'!Y2:Y1038&lt;&gt;"")*(1/(1+EXP(-('03_Lap_Theta'!$AC$2:$AC$1038-Y40))))^2)</f>
        <v/>
      </c>
      <c r="Z43" s="5">
        <f>SUMPRODUCT(('01_Data'!Z2:Z1038&lt;&gt;"")*(1/(1+EXP(-('03_Lap_Theta'!$AC$2:$AC$1038-Z40))))^2)</f>
        <v/>
      </c>
      <c r="AA43" s="5">
        <f>SUMPRODUCT(('01_Data'!AA2:AA1038&lt;&gt;"")*(1/(1+EXP(-('03_Lap_Theta'!$AC$2:$AC$1038-AA40))))^2)</f>
        <v/>
      </c>
      <c r="AB43" s="5">
        <f>SUMPRODUCT(('01_Data'!AB2:AB1038&lt;&gt;"")*(1/(1+EXP(-('03_Lap_Theta'!$AC$2:$AC$1038-AB40))))^2)</f>
        <v/>
      </c>
      <c r="AC43" s="5">
        <f>SUMPRODUCT(('01_Data'!AC2:AC1038&lt;&gt;"")*(1/(1+EXP(-('03_Lap_Theta'!$AC$2:$AC$1038-AC40))))^2)</f>
        <v/>
      </c>
      <c r="AD43" s="5">
        <f>SUMPRODUCT(('01_Data'!AD2:AD1038&lt;&gt;"")*(1/(1+EXP(-('03_Lap_Theta'!$AC$2:$AC$1038-AD40))))^2)</f>
        <v/>
      </c>
      <c r="AE43" s="5">
        <f>SUMPRODUCT(('01_Data'!AE2:AE1038&lt;&gt;"")*(1/(1+EXP(-('03_Lap_Theta'!$AC$2:$AC$1038-AE40))))^2)</f>
        <v/>
      </c>
      <c r="AF43" s="5">
        <f>SUMPRODUCT(('01_Data'!AF2:AF1038&lt;&gt;"")*(1/(1+EXP(-('03_Lap_Theta'!$AC$2:$AC$1038-AF40))))^2)</f>
        <v/>
      </c>
      <c r="AG43" s="5">
        <f>SUMPRODUCT(('01_Data'!AG2:AG1038&lt;&gt;"")*(1/(1+EXP(-('03_Lap_Theta'!$AC$2:$AC$1038-AG40))))^2)</f>
        <v/>
      </c>
      <c r="AH43" s="5">
        <f>SUMPRODUCT(('01_Data'!AH2:AH1038&lt;&gt;"")*(1/(1+EXP(-('03_Lap_Theta'!$AC$2:$AC$1038-AH40))))^2)</f>
        <v/>
      </c>
      <c r="AI43" s="5">
        <f>SUMPRODUCT(('01_Data'!AI2:AI1038&lt;&gt;"")*(1/(1+EXP(-('03_Lap_Theta'!$AC$2:$AC$1038-AI40))))^2)</f>
        <v/>
      </c>
      <c r="AJ43" s="5">
        <f>SUMPRODUCT(('01_Data'!AJ2:AJ1038&lt;&gt;"")*(1/(1+EXP(-('03_Lap_Theta'!$AC$2:$AC$1038-AJ40))))^2)</f>
        <v/>
      </c>
      <c r="AK43" s="5">
        <f>SUMPRODUCT(('01_Data'!AK2:AK1038&lt;&gt;"")*(1/(1+EXP(-('03_Lap_Theta'!$AC$2:$AC$1038-AK40))))^2)</f>
        <v/>
      </c>
      <c r="AL43" s="5">
        <f>SUMPRODUCT(('01_Data'!AL2:AL1038&lt;&gt;"")*(1/(1+EXP(-('03_Lap_Theta'!$AC$2:$AC$1038-AL40))))^2)</f>
        <v/>
      </c>
      <c r="AM43" s="5">
        <f>SUMPRODUCT(('01_Data'!AM2:AM1038&lt;&gt;"")*(1/(1+EXP(-('03_Lap_Theta'!$AC$2:$AC$1038-AM40))))^2)</f>
        <v/>
      </c>
      <c r="AN43" s="5">
        <f>SUMPRODUCT(('01_Data'!AN2:AN1038&lt;&gt;"")*(1/(1+EXP(-('03_Lap_Theta'!$AC$2:$AC$1038-AN40))))^2)</f>
        <v/>
      </c>
      <c r="AO43" s="5">
        <f>SUMPRODUCT(('01_Data'!AO2:AO1038&lt;&gt;"")*(1/(1+EXP(-('03_Lap_Theta'!$AC$2:$AC$1038-AO40))))^2)</f>
        <v/>
      </c>
      <c r="AP43" s="5">
        <f>SUMPRODUCT(('01_Data'!AP2:AP1038&lt;&gt;"")*(1/(1+EXP(-('03_Lap_Theta'!$AC$2:$AC$1038-AP40))))^2)</f>
        <v/>
      </c>
      <c r="AQ43" s="5">
        <f>SUMPRODUCT(('01_Data'!AQ2:AQ1038&lt;&gt;"")*(1/(1+EXP(-('03_Lap_Theta'!$AC$2:$AC$1038-AQ40))))^2)</f>
        <v/>
      </c>
      <c r="AR43" s="5">
        <f>SUMPRODUCT(('01_Data'!AR2:AR1038&lt;&gt;"")*(1/(1+EXP(-('03_Lap_Theta'!$AC$2:$AC$1038-AR40))))^2)</f>
        <v/>
      </c>
      <c r="AS43" s="5">
        <f>SUMPRODUCT(('01_Data'!AS2:AS1038&lt;&gt;"")*(1/(1+EXP(-('03_Lap_Theta'!$AC$2:$AC$1038-AS40))))^2)</f>
        <v/>
      </c>
      <c r="AT43" s="5">
        <f>SUMPRODUCT(('01_Data'!AT2:AT1038&lt;&gt;"")*(1/(1+EXP(-('03_Lap_Theta'!$AC$2:$AC$1038-AT40))))^2)</f>
        <v/>
      </c>
      <c r="AU43" s="5">
        <f>SUMPRODUCT(('01_Data'!AU2:AU1038&lt;&gt;"")*(1/(1+EXP(-('03_Lap_Theta'!$AC$2:$AC$1038-AU40))))^2)</f>
        <v/>
      </c>
      <c r="AV43" s="5">
        <f>SUMPRODUCT(('01_Data'!AV2:AV1038&lt;&gt;"")*(1/(1+EXP(-('03_Lap_Theta'!$AC$2:$AC$1038-AV40))))^2)</f>
        <v/>
      </c>
      <c r="AW43" s="5">
        <f>SUMPRODUCT(('01_Data'!AW2:AW1038&lt;&gt;"")*(1/(1+EXP(-('03_Lap_Theta'!$AC$2:$AC$1038-AW40))))^2)</f>
        <v/>
      </c>
    </row>
    <row r="44">
      <c r="A44" s="8" t="inlineStr">
        <is>
          <t>b8_raw</t>
        </is>
      </c>
      <c r="B44" s="5">
        <f>MEDIAN(-6,B40+(B42-'02_KhoiTao'!$E$2)/MAX(B42-B43,0.000000001),6)</f>
        <v/>
      </c>
      <c r="C44" s="5">
        <f>MEDIAN(-6,C40+(C42-'02_KhoiTao'!$E$3)/MAX(C42-C43,0.000000001),6)</f>
        <v/>
      </c>
      <c r="D44" s="5">
        <f>MEDIAN(-6,D40+(D42-'02_KhoiTao'!$E$4)/MAX(D42-D43,0.000000001),6)</f>
        <v/>
      </c>
      <c r="E44" s="5">
        <f>MEDIAN(-6,E40+(E42-'02_KhoiTao'!$E$5)/MAX(E42-E43,0.000000001),6)</f>
        <v/>
      </c>
      <c r="F44" s="5">
        <f>MEDIAN(-6,F40+(F42-'02_KhoiTao'!$E$6)/MAX(F42-F43,0.000000001),6)</f>
        <v/>
      </c>
      <c r="G44" s="5">
        <f>MEDIAN(-6,G40+(G42-'02_KhoiTao'!$E$7)/MAX(G42-G43,0.000000001),6)</f>
        <v/>
      </c>
      <c r="H44" s="5">
        <f>MEDIAN(-6,H40+(H42-'02_KhoiTao'!$E$8)/MAX(H42-H43,0.000000001),6)</f>
        <v/>
      </c>
      <c r="I44" s="5">
        <f>MEDIAN(-6,I40+(I42-'02_KhoiTao'!$E$9)/MAX(I42-I43,0.000000001),6)</f>
        <v/>
      </c>
      <c r="J44" s="5">
        <f>MEDIAN(-6,J40+(J42-'02_KhoiTao'!$E$10)/MAX(J42-J43,0.000000001),6)</f>
        <v/>
      </c>
      <c r="K44" s="5">
        <f>MEDIAN(-6,K40+(K42-'02_KhoiTao'!$E$11)/MAX(K42-K43,0.000000001),6)</f>
        <v/>
      </c>
      <c r="L44" s="5">
        <f>MEDIAN(-6,L40+(L42-'02_KhoiTao'!$E$12)/MAX(L42-L43,0.000000001),6)</f>
        <v/>
      </c>
      <c r="M44" s="5">
        <f>MEDIAN(-6,M40+(M42-'02_KhoiTao'!$E$13)/MAX(M42-M43,0.000000001),6)</f>
        <v/>
      </c>
      <c r="N44" s="5">
        <f>MEDIAN(-6,N40+(N42-'02_KhoiTao'!$E$14)/MAX(N42-N43,0.000000001),6)</f>
        <v/>
      </c>
      <c r="O44" s="5">
        <f>MEDIAN(-6,O40+(O42-'02_KhoiTao'!$E$15)/MAX(O42-O43,0.000000001),6)</f>
        <v/>
      </c>
      <c r="P44" s="5">
        <f>MEDIAN(-6,P40+(P42-'02_KhoiTao'!$E$16)/MAX(P42-P43,0.000000001),6)</f>
        <v/>
      </c>
      <c r="Q44" s="5">
        <f>MEDIAN(-6,Q40+(Q42-'02_KhoiTao'!$E$17)/MAX(Q42-Q43,0.000000001),6)</f>
        <v/>
      </c>
      <c r="R44" s="5">
        <f>MEDIAN(-6,R40+(R42-'02_KhoiTao'!$E$18)/MAX(R42-R43,0.000000001),6)</f>
        <v/>
      </c>
      <c r="S44" s="5">
        <f>MEDIAN(-6,S40+(S42-'02_KhoiTao'!$E$19)/MAX(S42-S43,0.000000001),6)</f>
        <v/>
      </c>
      <c r="T44" s="5">
        <f>MEDIAN(-6,T40+(T42-'02_KhoiTao'!$E$20)/MAX(T42-T43,0.000000001),6)</f>
        <v/>
      </c>
      <c r="U44" s="5">
        <f>MEDIAN(-6,U40+(U42-'02_KhoiTao'!$E$21)/MAX(U42-U43,0.000000001),6)</f>
        <v/>
      </c>
      <c r="V44" s="5">
        <f>MEDIAN(-6,V40+(V42-'02_KhoiTao'!$E$22)/MAX(V42-V43,0.000000001),6)</f>
        <v/>
      </c>
      <c r="W44" s="5">
        <f>MEDIAN(-6,W40+(W42-'02_KhoiTao'!$E$23)/MAX(W42-W43,0.000000001),6)</f>
        <v/>
      </c>
      <c r="X44" s="5">
        <f>MEDIAN(-6,X40+(X42-'02_KhoiTao'!$E$24)/MAX(X42-X43,0.000000001),6)</f>
        <v/>
      </c>
      <c r="Y44" s="5">
        <f>MEDIAN(-6,Y40+(Y42-'02_KhoiTao'!$E$25)/MAX(Y42-Y43,0.000000001),6)</f>
        <v/>
      </c>
      <c r="Z44" s="5">
        <f>MEDIAN(-6,Z40+(Z42-'02_KhoiTao'!$E$26)/MAX(Z42-Z43,0.000000001),6)</f>
        <v/>
      </c>
      <c r="AA44" s="5">
        <f>MEDIAN(-6,AA40+(AA42-'02_KhoiTao'!$E$27)/MAX(AA42-AA43,0.000000001),6)</f>
        <v/>
      </c>
      <c r="AB44" s="5">
        <f>MEDIAN(-6,AB40+(AB42-'02_KhoiTao'!$E$28)/MAX(AB42-AB43,0.000000001),6)</f>
        <v/>
      </c>
      <c r="AC44" s="5">
        <f>MEDIAN(-6,AC40+(AC42-'02_KhoiTao'!$E$29)/MAX(AC42-AC43,0.000000001),6)</f>
        <v/>
      </c>
      <c r="AD44" s="5">
        <f>MEDIAN(-6,AD40+(AD42-'02_KhoiTao'!$E$30)/MAX(AD42-AD43,0.000000001),6)</f>
        <v/>
      </c>
      <c r="AE44" s="5">
        <f>MEDIAN(-6,AE40+(AE42-'02_KhoiTao'!$E$31)/MAX(AE42-AE43,0.000000001),6)</f>
        <v/>
      </c>
      <c r="AF44" s="5">
        <f>MEDIAN(-6,AF40+(AF42-'02_KhoiTao'!$E$32)/MAX(AF42-AF43,0.000000001),6)</f>
        <v/>
      </c>
      <c r="AG44" s="5">
        <f>MEDIAN(-6,AG40+(AG42-'02_KhoiTao'!$E$33)/MAX(AG42-AG43,0.000000001),6)</f>
        <v/>
      </c>
      <c r="AH44" s="5">
        <f>MEDIAN(-6,AH40+(AH42-'02_KhoiTao'!$E$34)/MAX(AH42-AH43,0.000000001),6)</f>
        <v/>
      </c>
      <c r="AI44" s="5">
        <f>MEDIAN(-6,AI40+(AI42-'02_KhoiTao'!$E$35)/MAX(AI42-AI43,0.000000001),6)</f>
        <v/>
      </c>
      <c r="AJ44" s="5">
        <f>MEDIAN(-6,AJ40+(AJ42-'02_KhoiTao'!$E$36)/MAX(AJ42-AJ43,0.000000001),6)</f>
        <v/>
      </c>
      <c r="AK44" s="5">
        <f>MEDIAN(-6,AK40+(AK42-'02_KhoiTao'!$E$37)/MAX(AK42-AK43,0.000000001),6)</f>
        <v/>
      </c>
      <c r="AL44" s="5">
        <f>MEDIAN(-6,AL40+(AL42-'02_KhoiTao'!$E$38)/MAX(AL42-AL43,0.000000001),6)</f>
        <v/>
      </c>
      <c r="AM44" s="5">
        <f>MEDIAN(-6,AM40+(AM42-'02_KhoiTao'!$E$39)/MAX(AM42-AM43,0.000000001),6)</f>
        <v/>
      </c>
      <c r="AN44" s="5">
        <f>MEDIAN(-6,AN40+(AN42-'02_KhoiTao'!$E$40)/MAX(AN42-AN43,0.000000001),6)</f>
        <v/>
      </c>
      <c r="AO44" s="5">
        <f>MEDIAN(-6,AO40+(AO42-'02_KhoiTao'!$E$41)/MAX(AO42-AO43,0.000000001),6)</f>
        <v/>
      </c>
      <c r="AP44" s="5">
        <f>MEDIAN(-6,AP40+(AP42-'02_KhoiTao'!$E$42)/MAX(AP42-AP43,0.000000001),6)</f>
        <v/>
      </c>
      <c r="AQ44" s="5">
        <f>MEDIAN(-6,AQ40+(AQ42-'02_KhoiTao'!$E$43)/MAX(AQ42-AQ43,0.000000001),6)</f>
        <v/>
      </c>
      <c r="AR44" s="5">
        <f>MEDIAN(-6,AR40+(AR42-'02_KhoiTao'!$E$44)/MAX(AR42-AR43,0.000000001),6)</f>
        <v/>
      </c>
      <c r="AS44" s="5">
        <f>MEDIAN(-6,AS40+(AS42-'02_KhoiTao'!$E$45)/MAX(AS42-AS43,0.000000001),6)</f>
        <v/>
      </c>
      <c r="AT44" s="5">
        <f>MEDIAN(-6,AT40+(AT42-'02_KhoiTao'!$E$46)/MAX(AT42-AT43,0.000000001),6)</f>
        <v/>
      </c>
      <c r="AU44" s="5">
        <f>MEDIAN(-6,AU40+(AU42-'02_KhoiTao'!$E$47)/MAX(AU42-AU43,0.000000001),6)</f>
        <v/>
      </c>
      <c r="AV44" s="5">
        <f>MEDIAN(-6,AV40+(AV42-'02_KhoiTao'!$E$48)/MAX(AV42-AV43,0.000000001),6)</f>
        <v/>
      </c>
      <c r="AW44" s="5">
        <f>MEDIAN(-6,AW40+(AW42-'02_KhoiTao'!$E$49)/MAX(AW42-AW43,0.000000001),6)</f>
        <v/>
      </c>
    </row>
    <row r="45">
      <c r="A45" s="4" t="inlineStr">
        <is>
          <t>b8 (canh tâm)</t>
        </is>
      </c>
      <c r="B45" s="5">
        <f>B44-AVERAGE(B44:AW44)</f>
        <v/>
      </c>
      <c r="C45" s="5">
        <f>C44-AVERAGE(B44:AW44)</f>
        <v/>
      </c>
      <c r="D45" s="5">
        <f>D44-AVERAGE(B44:AW44)</f>
        <v/>
      </c>
      <c r="E45" s="5">
        <f>E44-AVERAGE(B44:AW44)</f>
        <v/>
      </c>
      <c r="F45" s="5">
        <f>F44-AVERAGE(B44:AW44)</f>
        <v/>
      </c>
      <c r="G45" s="5">
        <f>G44-AVERAGE(B44:AW44)</f>
        <v/>
      </c>
      <c r="H45" s="5">
        <f>H44-AVERAGE(B44:AW44)</f>
        <v/>
      </c>
      <c r="I45" s="5">
        <f>I44-AVERAGE(B44:AW44)</f>
        <v/>
      </c>
      <c r="J45" s="5">
        <f>J44-AVERAGE(B44:AW44)</f>
        <v/>
      </c>
      <c r="K45" s="5">
        <f>K44-AVERAGE(B44:AW44)</f>
        <v/>
      </c>
      <c r="L45" s="5">
        <f>L44-AVERAGE(B44:AW44)</f>
        <v/>
      </c>
      <c r="M45" s="5">
        <f>M44-AVERAGE(B44:AW44)</f>
        <v/>
      </c>
      <c r="N45" s="5">
        <f>N44-AVERAGE(B44:AW44)</f>
        <v/>
      </c>
      <c r="O45" s="5">
        <f>O44-AVERAGE(B44:AW44)</f>
        <v/>
      </c>
      <c r="P45" s="5">
        <f>P44-AVERAGE(B44:AW44)</f>
        <v/>
      </c>
      <c r="Q45" s="5">
        <f>Q44-AVERAGE(B44:AW44)</f>
        <v/>
      </c>
      <c r="R45" s="5">
        <f>R44-AVERAGE(B44:AW44)</f>
        <v/>
      </c>
      <c r="S45" s="5">
        <f>S44-AVERAGE(B44:AW44)</f>
        <v/>
      </c>
      <c r="T45" s="5">
        <f>T44-AVERAGE(B44:AW44)</f>
        <v/>
      </c>
      <c r="U45" s="5">
        <f>U44-AVERAGE(B44:AW44)</f>
        <v/>
      </c>
      <c r="V45" s="5">
        <f>V44-AVERAGE(B44:AW44)</f>
        <v/>
      </c>
      <c r="W45" s="5">
        <f>W44-AVERAGE(B44:AW44)</f>
        <v/>
      </c>
      <c r="X45" s="5">
        <f>X44-AVERAGE(B44:AW44)</f>
        <v/>
      </c>
      <c r="Y45" s="5">
        <f>Y44-AVERAGE(B44:AW44)</f>
        <v/>
      </c>
      <c r="Z45" s="5">
        <f>Z44-AVERAGE(B44:AW44)</f>
        <v/>
      </c>
      <c r="AA45" s="5">
        <f>AA44-AVERAGE(B44:AW44)</f>
        <v/>
      </c>
      <c r="AB45" s="5">
        <f>AB44-AVERAGE(B44:AW44)</f>
        <v/>
      </c>
      <c r="AC45" s="5">
        <f>AC44-AVERAGE(B44:AW44)</f>
        <v/>
      </c>
      <c r="AD45" s="5">
        <f>AD44-AVERAGE(B44:AW44)</f>
        <v/>
      </c>
      <c r="AE45" s="5">
        <f>AE44-AVERAGE(B44:AW44)</f>
        <v/>
      </c>
      <c r="AF45" s="5">
        <f>AF44-AVERAGE(B44:AW44)</f>
        <v/>
      </c>
      <c r="AG45" s="5">
        <f>AG44-AVERAGE(B44:AW44)</f>
        <v/>
      </c>
      <c r="AH45" s="5">
        <f>AH44-AVERAGE(B44:AW44)</f>
        <v/>
      </c>
      <c r="AI45" s="5">
        <f>AI44-AVERAGE(B44:AW44)</f>
        <v/>
      </c>
      <c r="AJ45" s="5">
        <f>AJ44-AVERAGE(B44:AW44)</f>
        <v/>
      </c>
      <c r="AK45" s="5">
        <f>AK44-AVERAGE(B44:AW44)</f>
        <v/>
      </c>
      <c r="AL45" s="5">
        <f>AL44-AVERAGE(B44:AW44)</f>
        <v/>
      </c>
      <c r="AM45" s="5">
        <f>AM44-AVERAGE(B44:AW44)</f>
        <v/>
      </c>
      <c r="AN45" s="5">
        <f>AN44-AVERAGE(B44:AW44)</f>
        <v/>
      </c>
      <c r="AO45" s="5">
        <f>AO44-AVERAGE(B44:AW44)</f>
        <v/>
      </c>
      <c r="AP45" s="5">
        <f>AP44-AVERAGE(B44:AW44)</f>
        <v/>
      </c>
      <c r="AQ45" s="5">
        <f>AQ44-AVERAGE(B44:AW44)</f>
        <v/>
      </c>
      <c r="AR45" s="5">
        <f>AR44-AVERAGE(B44:AW44)</f>
        <v/>
      </c>
      <c r="AS45" s="5">
        <f>AS44-AVERAGE(B44:AW44)</f>
        <v/>
      </c>
      <c r="AT45" s="5">
        <f>AT44-AVERAGE(B44:AW44)</f>
        <v/>
      </c>
      <c r="AU45" s="5">
        <f>AU44-AVERAGE(B44:AW44)</f>
        <v/>
      </c>
      <c r="AV45" s="5">
        <f>AV44-AVERAGE(B44:AW44)</f>
        <v/>
      </c>
      <c r="AW45" s="5">
        <f>AW44-AVERAGE(B44:AW44)</f>
        <v/>
      </c>
      <c r="AX45" s="8" t="inlineStr">
        <is>
          <t>max|Δb|</t>
        </is>
      </c>
      <c r="AY45" s="9">
        <f t="array" ref="AY45">MAX(ABS(B45:AW45-B40:AW40))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6" customWidth="1" min="4" max="4"/>
    <col width="8" customWidth="1" min="5" max="5"/>
    <col width="10" customWidth="1" min="6" max="6"/>
    <col width="8" customWidth="1" min="7" max="7"/>
    <col width="11" customWidth="1" min="8" max="8"/>
    <col width="7" customWidth="1" min="9" max="9"/>
  </cols>
  <sheetData>
    <row r="1">
      <c r="A1" s="3" t="inlineStr">
        <is>
          <t>i</t>
        </is>
      </c>
      <c r="B1" s="3" t="inlineStr">
        <is>
          <t>qid</t>
        </is>
      </c>
      <c r="C1" s="3" t="inlineStr">
        <is>
          <t>Câu</t>
        </is>
      </c>
      <c r="D1" s="3" t="inlineStr">
        <is>
          <t>Loại</t>
        </is>
      </c>
      <c r="E1" s="3" t="inlineStr">
        <is>
          <t>p</t>
        </is>
      </c>
      <c r="F1" s="3" t="inlineStr">
        <is>
          <t>b (Excel)</t>
        </is>
      </c>
      <c r="G1" s="3" t="inlineStr">
        <is>
          <t>SE(b)</t>
        </is>
      </c>
      <c r="H1" s="3" t="inlineStr">
        <is>
          <t>Hạng độ khó</t>
        </is>
      </c>
      <c r="I1" s="3" t="inlineStr">
        <is>
          <t>Biên?</t>
        </is>
      </c>
    </row>
    <row r="2">
      <c r="A2" t="n">
        <v>1</v>
      </c>
      <c r="B2" t="inlineStr">
        <is>
          <t>208493209536</t>
        </is>
      </c>
      <c r="C2" t="inlineStr">
        <is>
          <t>Câu 1 MC</t>
        </is>
      </c>
      <c r="D2" t="inlineStr">
        <is>
          <t>MC</t>
        </is>
      </c>
      <c r="E2" s="5">
        <f>'02_KhoiTao'!G2</f>
        <v/>
      </c>
      <c r="F2" s="5">
        <f>'03_Lap_b'!B45</f>
        <v/>
      </c>
      <c r="G2" s="5">
        <f>1/SQRT(MAX('03_Lap_b'!B42-'03_Lap_b'!B43,0.000000001))</f>
        <v/>
      </c>
      <c r="H2">
        <f>RANK(F2,$F$2:$F$49,1)</f>
        <v/>
      </c>
      <c r="I2">
        <f>'02_KhoiTao'!J2</f>
        <v/>
      </c>
    </row>
    <row r="3">
      <c r="A3" t="n">
        <v>2</v>
      </c>
      <c r="B3" t="inlineStr">
        <is>
          <t>208493412207</t>
        </is>
      </c>
      <c r="C3" t="inlineStr">
        <is>
          <t>Câu 2 MC</t>
        </is>
      </c>
      <c r="D3" t="inlineStr">
        <is>
          <t>MC</t>
        </is>
      </c>
      <c r="E3" s="5">
        <f>'02_KhoiTao'!G3</f>
        <v/>
      </c>
      <c r="F3" s="5">
        <f>'03_Lap_b'!C45</f>
        <v/>
      </c>
      <c r="G3" s="5">
        <f>1/SQRT(MAX('03_Lap_b'!C42-'03_Lap_b'!C43,0.000000001))</f>
        <v/>
      </c>
      <c r="H3">
        <f>RANK(F3,$F$2:$F$49,1)</f>
        <v/>
      </c>
      <c r="I3">
        <f>'02_KhoiTao'!J3</f>
        <v/>
      </c>
    </row>
    <row r="4">
      <c r="A4" t="n">
        <v>3</v>
      </c>
      <c r="B4" t="inlineStr">
        <is>
          <t>208493634375</t>
        </is>
      </c>
      <c r="C4" t="inlineStr">
        <is>
          <t>Câu 3 MC</t>
        </is>
      </c>
      <c r="D4" t="inlineStr">
        <is>
          <t>MC</t>
        </is>
      </c>
      <c r="E4" s="5">
        <f>'02_KhoiTao'!G4</f>
        <v/>
      </c>
      <c r="F4" s="5">
        <f>'03_Lap_b'!D45</f>
        <v/>
      </c>
      <c r="G4" s="5">
        <f>1/SQRT(MAX('03_Lap_b'!D42-'03_Lap_b'!D43,0.000000001))</f>
        <v/>
      </c>
      <c r="H4">
        <f>RANK(F4,$F$2:$F$49,1)</f>
        <v/>
      </c>
      <c r="I4">
        <f>'02_KhoiTao'!J4</f>
        <v/>
      </c>
    </row>
    <row r="5">
      <c r="A5" t="n">
        <v>4</v>
      </c>
      <c r="B5" t="inlineStr">
        <is>
          <t>208493806712</t>
        </is>
      </c>
      <c r="C5" t="inlineStr">
        <is>
          <t>Câu 4 MC</t>
        </is>
      </c>
      <c r="D5" t="inlineStr">
        <is>
          <t>MC</t>
        </is>
      </c>
      <c r="E5" s="5">
        <f>'02_KhoiTao'!G5</f>
        <v/>
      </c>
      <c r="F5" s="5">
        <f>'03_Lap_b'!E45</f>
        <v/>
      </c>
      <c r="G5" s="5">
        <f>1/SQRT(MAX('03_Lap_b'!E42-'03_Lap_b'!E43,0.000000001))</f>
        <v/>
      </c>
      <c r="H5">
        <f>RANK(F5,$F$2:$F$49,1)</f>
        <v/>
      </c>
      <c r="I5">
        <f>'02_KhoiTao'!J5</f>
        <v/>
      </c>
    </row>
    <row r="6">
      <c r="A6" t="n">
        <v>5</v>
      </c>
      <c r="B6" t="inlineStr">
        <is>
          <t>208494503646</t>
        </is>
      </c>
      <c r="C6" t="inlineStr">
        <is>
          <t>Câu 5 MC</t>
        </is>
      </c>
      <c r="D6" t="inlineStr">
        <is>
          <t>MC</t>
        </is>
      </c>
      <c r="E6" s="5">
        <f>'02_KhoiTao'!G6</f>
        <v/>
      </c>
      <c r="F6" s="5">
        <f>'03_Lap_b'!F45</f>
        <v/>
      </c>
      <c r="G6" s="5">
        <f>1/SQRT(MAX('03_Lap_b'!F42-'03_Lap_b'!F43,0.000000001))</f>
        <v/>
      </c>
      <c r="H6">
        <f>RANK(F6,$F$2:$F$49,1)</f>
        <v/>
      </c>
      <c r="I6">
        <f>'02_KhoiTao'!J6</f>
        <v/>
      </c>
    </row>
    <row r="7">
      <c r="A7" t="n">
        <v>6</v>
      </c>
      <c r="B7" t="inlineStr">
        <is>
          <t>208495066643</t>
        </is>
      </c>
      <c r="C7" t="inlineStr">
        <is>
          <t>Câu 6 MC</t>
        </is>
      </c>
      <c r="D7" t="inlineStr">
        <is>
          <t>MC</t>
        </is>
      </c>
      <c r="E7" s="5">
        <f>'02_KhoiTao'!G7</f>
        <v/>
      </c>
      <c r="F7" s="5">
        <f>'03_Lap_b'!G45</f>
        <v/>
      </c>
      <c r="G7" s="5">
        <f>1/SQRT(MAX('03_Lap_b'!G42-'03_Lap_b'!G43,0.000000001))</f>
        <v/>
      </c>
      <c r="H7">
        <f>RANK(F7,$F$2:$F$49,1)</f>
        <v/>
      </c>
      <c r="I7">
        <f>'02_KhoiTao'!J7</f>
        <v/>
      </c>
    </row>
    <row r="8">
      <c r="A8" t="n">
        <v>7</v>
      </c>
      <c r="B8" t="inlineStr">
        <is>
          <t>208495459130</t>
        </is>
      </c>
      <c r="C8" t="inlineStr">
        <is>
          <t>Câu 7 MC</t>
        </is>
      </c>
      <c r="D8" t="inlineStr">
        <is>
          <t>MC</t>
        </is>
      </c>
      <c r="E8" s="5">
        <f>'02_KhoiTao'!G8</f>
        <v/>
      </c>
      <c r="F8" s="5">
        <f>'03_Lap_b'!H45</f>
        <v/>
      </c>
      <c r="G8" s="5">
        <f>1/SQRT(MAX('03_Lap_b'!H42-'03_Lap_b'!H43,0.000000001))</f>
        <v/>
      </c>
      <c r="H8">
        <f>RANK(F8,$F$2:$F$49,1)</f>
        <v/>
      </c>
      <c r="I8">
        <f>'02_KhoiTao'!J8</f>
        <v/>
      </c>
    </row>
    <row r="9">
      <c r="A9" t="n">
        <v>8</v>
      </c>
      <c r="B9" t="inlineStr">
        <is>
          <t>208495984573</t>
        </is>
      </c>
      <c r="C9" t="inlineStr">
        <is>
          <t>Câu 8 MC</t>
        </is>
      </c>
      <c r="D9" t="inlineStr">
        <is>
          <t>MC</t>
        </is>
      </c>
      <c r="E9" s="5">
        <f>'02_KhoiTao'!G9</f>
        <v/>
      </c>
      <c r="F9" s="5">
        <f>'03_Lap_b'!I45</f>
        <v/>
      </c>
      <c r="G9" s="5">
        <f>1/SQRT(MAX('03_Lap_b'!I42-'03_Lap_b'!I43,0.000000001))</f>
        <v/>
      </c>
      <c r="H9">
        <f>RANK(F9,$F$2:$F$49,1)</f>
        <v/>
      </c>
      <c r="I9">
        <f>'02_KhoiTao'!J9</f>
        <v/>
      </c>
    </row>
    <row r="10">
      <c r="A10" t="n">
        <v>9</v>
      </c>
      <c r="B10" t="inlineStr">
        <is>
          <t>208496326564</t>
        </is>
      </c>
      <c r="C10" t="inlineStr">
        <is>
          <t>Câu 9 MC</t>
        </is>
      </c>
      <c r="D10" t="inlineStr">
        <is>
          <t>MC</t>
        </is>
      </c>
      <c r="E10" s="5">
        <f>'02_KhoiTao'!G10</f>
        <v/>
      </c>
      <c r="F10" s="5">
        <f>'03_Lap_b'!J45</f>
        <v/>
      </c>
      <c r="G10" s="5">
        <f>1/SQRT(MAX('03_Lap_b'!J42-'03_Lap_b'!J43,0.000000001))</f>
        <v/>
      </c>
      <c r="H10">
        <f>RANK(F10,$F$2:$F$49,1)</f>
        <v/>
      </c>
      <c r="I10">
        <f>'02_KhoiTao'!J10</f>
        <v/>
      </c>
    </row>
    <row r="11">
      <c r="A11" t="n">
        <v>10</v>
      </c>
      <c r="B11" t="inlineStr">
        <is>
          <t>208497043631</t>
        </is>
      </c>
      <c r="C11" t="inlineStr">
        <is>
          <t>Câu 10 MC</t>
        </is>
      </c>
      <c r="D11" t="inlineStr">
        <is>
          <t>MC</t>
        </is>
      </c>
      <c r="E11" s="5">
        <f>'02_KhoiTao'!G11</f>
        <v/>
      </c>
      <c r="F11" s="5">
        <f>'03_Lap_b'!K45</f>
        <v/>
      </c>
      <c r="G11" s="5">
        <f>1/SQRT(MAX('03_Lap_b'!K42-'03_Lap_b'!K43,0.000000001))</f>
        <v/>
      </c>
      <c r="H11">
        <f>RANK(F11,$F$2:$F$49,1)</f>
        <v/>
      </c>
      <c r="I11">
        <f>'02_KhoiTao'!J11</f>
        <v/>
      </c>
    </row>
    <row r="12">
      <c r="A12" t="n">
        <v>11</v>
      </c>
      <c r="B12" t="inlineStr">
        <is>
          <t>208497697530</t>
        </is>
      </c>
      <c r="C12" t="inlineStr">
        <is>
          <t>Câu 24 MC</t>
        </is>
      </c>
      <c r="D12" t="inlineStr">
        <is>
          <t>MC</t>
        </is>
      </c>
      <c r="E12" s="5">
        <f>'02_KhoiTao'!G12</f>
        <v/>
      </c>
      <c r="F12" s="5">
        <f>'03_Lap_b'!L45</f>
        <v/>
      </c>
      <c r="G12" s="5">
        <f>1/SQRT(MAX('03_Lap_b'!L42-'03_Lap_b'!L43,0.000000001))</f>
        <v/>
      </c>
      <c r="H12">
        <f>RANK(F12,$F$2:$F$49,1)</f>
        <v/>
      </c>
      <c r="I12">
        <f>'02_KhoiTao'!J12</f>
        <v/>
      </c>
    </row>
    <row r="13">
      <c r="A13" t="n">
        <v>12</v>
      </c>
      <c r="B13" t="inlineStr">
        <is>
          <t>208497947837</t>
        </is>
      </c>
      <c r="C13" t="inlineStr">
        <is>
          <t>Câu 23 MC</t>
        </is>
      </c>
      <c r="D13" t="inlineStr">
        <is>
          <t>MC</t>
        </is>
      </c>
      <c r="E13" s="5">
        <f>'02_KhoiTao'!G13</f>
        <v/>
      </c>
      <c r="F13" s="5">
        <f>'03_Lap_b'!M45</f>
        <v/>
      </c>
      <c r="G13" s="5">
        <f>1/SQRT(MAX('03_Lap_b'!M42-'03_Lap_b'!M43,0.000000001))</f>
        <v/>
      </c>
      <c r="H13">
        <f>RANK(F13,$F$2:$F$49,1)</f>
        <v/>
      </c>
      <c r="I13">
        <f>'02_KhoiTao'!J13</f>
        <v/>
      </c>
    </row>
    <row r="14">
      <c r="A14" t="n">
        <v>13</v>
      </c>
      <c r="B14" t="inlineStr">
        <is>
          <t>208498680706</t>
        </is>
      </c>
      <c r="C14" t="inlineStr">
        <is>
          <t>Câu 11 MC</t>
        </is>
      </c>
      <c r="D14" t="inlineStr">
        <is>
          <t>MC</t>
        </is>
      </c>
      <c r="E14" s="5">
        <f>'02_KhoiTao'!G14</f>
        <v/>
      </c>
      <c r="F14" s="5">
        <f>'03_Lap_b'!N45</f>
        <v/>
      </c>
      <c r="G14" s="5">
        <f>1/SQRT(MAX('03_Lap_b'!N42-'03_Lap_b'!N43,0.000000001))</f>
        <v/>
      </c>
      <c r="H14">
        <f>RANK(F14,$F$2:$F$49,1)</f>
        <v/>
      </c>
      <c r="I14">
        <f>'02_KhoiTao'!J14</f>
        <v/>
      </c>
    </row>
    <row r="15">
      <c r="A15" t="n">
        <v>14</v>
      </c>
      <c r="B15" t="inlineStr">
        <is>
          <t>208498750254</t>
        </is>
      </c>
      <c r="C15" t="inlineStr">
        <is>
          <t>Câu 12 MC</t>
        </is>
      </c>
      <c r="D15" t="inlineStr">
        <is>
          <t>MC</t>
        </is>
      </c>
      <c r="E15" s="5">
        <f>'02_KhoiTao'!G15</f>
        <v/>
      </c>
      <c r="F15" s="5">
        <f>'03_Lap_b'!O45</f>
        <v/>
      </c>
      <c r="G15" s="5">
        <f>1/SQRT(MAX('03_Lap_b'!O42-'03_Lap_b'!O43,0.000000001))</f>
        <v/>
      </c>
      <c r="H15">
        <f>RANK(F15,$F$2:$F$49,1)</f>
        <v/>
      </c>
      <c r="I15">
        <f>'02_KhoiTao'!J15</f>
        <v/>
      </c>
    </row>
    <row r="16">
      <c r="A16" t="n">
        <v>15</v>
      </c>
      <c r="B16" t="inlineStr">
        <is>
          <t>208500103341</t>
        </is>
      </c>
      <c r="C16" t="inlineStr">
        <is>
          <t>Câu 13 MC</t>
        </is>
      </c>
      <c r="D16" t="inlineStr">
        <is>
          <t>MC</t>
        </is>
      </c>
      <c r="E16" s="5">
        <f>'02_KhoiTao'!G16</f>
        <v/>
      </c>
      <c r="F16" s="5">
        <f>'03_Lap_b'!P45</f>
        <v/>
      </c>
      <c r="G16" s="5">
        <f>1/SQRT(MAX('03_Lap_b'!P42-'03_Lap_b'!P43,0.000000001))</f>
        <v/>
      </c>
      <c r="H16">
        <f>RANK(F16,$F$2:$F$49,1)</f>
        <v/>
      </c>
      <c r="I16">
        <f>'02_KhoiTao'!J16</f>
        <v/>
      </c>
    </row>
    <row r="17">
      <c r="A17" t="n">
        <v>16</v>
      </c>
      <c r="B17" t="inlineStr">
        <is>
          <t>208500538567</t>
        </is>
      </c>
      <c r="C17" t="inlineStr">
        <is>
          <t>Câu 22 MC</t>
        </is>
      </c>
      <c r="D17" t="inlineStr">
        <is>
          <t>MC</t>
        </is>
      </c>
      <c r="E17" s="5">
        <f>'02_KhoiTao'!G17</f>
        <v/>
      </c>
      <c r="F17" s="5">
        <f>'03_Lap_b'!Q45</f>
        <v/>
      </c>
      <c r="G17" s="5">
        <f>1/SQRT(MAX('03_Lap_b'!Q42-'03_Lap_b'!Q43,0.000000001))</f>
        <v/>
      </c>
      <c r="H17">
        <f>RANK(F17,$F$2:$F$49,1)</f>
        <v/>
      </c>
      <c r="I17">
        <f>'02_KhoiTao'!J17</f>
        <v/>
      </c>
    </row>
    <row r="18">
      <c r="A18" t="n">
        <v>17</v>
      </c>
      <c r="B18" t="inlineStr">
        <is>
          <t>208501397853</t>
        </is>
      </c>
      <c r="C18" t="inlineStr">
        <is>
          <t>Câu 16 MC</t>
        </is>
      </c>
      <c r="D18" t="inlineStr">
        <is>
          <t>MC</t>
        </is>
      </c>
      <c r="E18" s="5">
        <f>'02_KhoiTao'!G18</f>
        <v/>
      </c>
      <c r="F18" s="5">
        <f>'03_Lap_b'!R45</f>
        <v/>
      </c>
      <c r="G18" s="5">
        <f>1/SQRT(MAX('03_Lap_b'!R42-'03_Lap_b'!R43,0.000000001))</f>
        <v/>
      </c>
      <c r="H18">
        <f>RANK(F18,$F$2:$F$49,1)</f>
        <v/>
      </c>
      <c r="I18">
        <f>'02_KhoiTao'!J18</f>
        <v/>
      </c>
    </row>
    <row r="19">
      <c r="A19" t="n">
        <v>18</v>
      </c>
      <c r="B19" t="inlineStr">
        <is>
          <t>208501882621</t>
        </is>
      </c>
      <c r="C19" t="inlineStr">
        <is>
          <t>Câu 17 MC</t>
        </is>
      </c>
      <c r="D19" t="inlineStr">
        <is>
          <t>MC</t>
        </is>
      </c>
      <c r="E19" s="5">
        <f>'02_KhoiTao'!G19</f>
        <v/>
      </c>
      <c r="F19" s="5">
        <f>'03_Lap_b'!S45</f>
        <v/>
      </c>
      <c r="G19" s="5">
        <f>1/SQRT(MAX('03_Lap_b'!S42-'03_Lap_b'!S43,0.000000001))</f>
        <v/>
      </c>
      <c r="H19">
        <f>RANK(F19,$F$2:$F$49,1)</f>
        <v/>
      </c>
      <c r="I19">
        <f>'02_KhoiTao'!J19</f>
        <v/>
      </c>
    </row>
    <row r="20">
      <c r="A20" t="n">
        <v>19</v>
      </c>
      <c r="B20" t="inlineStr">
        <is>
          <t>208502464537</t>
        </is>
      </c>
      <c r="C20" t="inlineStr">
        <is>
          <t>Câu 18 MC</t>
        </is>
      </c>
      <c r="D20" t="inlineStr">
        <is>
          <t>MC</t>
        </is>
      </c>
      <c r="E20" s="5">
        <f>'02_KhoiTao'!G20</f>
        <v/>
      </c>
      <c r="F20" s="5">
        <f>'03_Lap_b'!T45</f>
        <v/>
      </c>
      <c r="G20" s="5">
        <f>1/SQRT(MAX('03_Lap_b'!T42-'03_Lap_b'!T43,0.000000001))</f>
        <v/>
      </c>
      <c r="H20">
        <f>RANK(F20,$F$2:$F$49,1)</f>
        <v/>
      </c>
      <c r="I20">
        <f>'02_KhoiTao'!J20</f>
        <v/>
      </c>
    </row>
    <row r="21">
      <c r="A21" t="n">
        <v>20</v>
      </c>
      <c r="B21" t="inlineStr">
        <is>
          <t>208518915377</t>
        </is>
      </c>
      <c r="C21" t="inlineStr">
        <is>
          <t>Câu 14 MC</t>
        </is>
      </c>
      <c r="D21" t="inlineStr">
        <is>
          <t>MC</t>
        </is>
      </c>
      <c r="E21" s="5">
        <f>'02_KhoiTao'!G21</f>
        <v/>
      </c>
      <c r="F21" s="5">
        <f>'03_Lap_b'!U45</f>
        <v/>
      </c>
      <c r="G21" s="5">
        <f>1/SQRT(MAX('03_Lap_b'!U42-'03_Lap_b'!U43,0.000000001))</f>
        <v/>
      </c>
      <c r="H21">
        <f>RANK(F21,$F$2:$F$49,1)</f>
        <v/>
      </c>
      <c r="I21">
        <f>'02_KhoiTao'!J21</f>
        <v/>
      </c>
    </row>
    <row r="22">
      <c r="A22" t="n">
        <v>21</v>
      </c>
      <c r="B22" t="inlineStr">
        <is>
          <t>208519541200</t>
        </is>
      </c>
      <c r="C22" t="inlineStr">
        <is>
          <t>Câu 15 MC</t>
        </is>
      </c>
      <c r="D22" t="inlineStr">
        <is>
          <t>MC</t>
        </is>
      </c>
      <c r="E22" s="5">
        <f>'02_KhoiTao'!G22</f>
        <v/>
      </c>
      <c r="F22" s="5">
        <f>'03_Lap_b'!V45</f>
        <v/>
      </c>
      <c r="G22" s="5">
        <f>1/SQRT(MAX('03_Lap_b'!V42-'03_Lap_b'!V43,0.000000001))</f>
        <v/>
      </c>
      <c r="H22">
        <f>RANK(F22,$F$2:$F$49,1)</f>
        <v/>
      </c>
      <c r="I22">
        <f>'02_KhoiTao'!J22</f>
        <v/>
      </c>
    </row>
    <row r="23">
      <c r="A23" t="n">
        <v>22</v>
      </c>
      <c r="B23" t="inlineStr">
        <is>
          <t>208519949207</t>
        </is>
      </c>
      <c r="C23" t="inlineStr">
        <is>
          <t>Câu 19 MC</t>
        </is>
      </c>
      <c r="D23" t="inlineStr">
        <is>
          <t>MC</t>
        </is>
      </c>
      <c r="E23" s="5">
        <f>'02_KhoiTao'!G23</f>
        <v/>
      </c>
      <c r="F23" s="5">
        <f>'03_Lap_b'!W45</f>
        <v/>
      </c>
      <c r="G23" s="5">
        <f>1/SQRT(MAX('03_Lap_b'!W42-'03_Lap_b'!W43,0.000000001))</f>
        <v/>
      </c>
      <c r="H23">
        <f>RANK(F23,$F$2:$F$49,1)</f>
        <v/>
      </c>
      <c r="I23">
        <f>'02_KhoiTao'!J23</f>
        <v/>
      </c>
    </row>
    <row r="24">
      <c r="A24" t="n">
        <v>23</v>
      </c>
      <c r="B24" t="inlineStr">
        <is>
          <t>208520832930</t>
        </is>
      </c>
      <c r="C24" t="inlineStr">
        <is>
          <t>Câu 20 MC</t>
        </is>
      </c>
      <c r="D24" t="inlineStr">
        <is>
          <t>MC</t>
        </is>
      </c>
      <c r="E24" s="5">
        <f>'02_KhoiTao'!G24</f>
        <v/>
      </c>
      <c r="F24" s="5">
        <f>'03_Lap_b'!X45</f>
        <v/>
      </c>
      <c r="G24" s="5">
        <f>1/SQRT(MAX('03_Lap_b'!X42-'03_Lap_b'!X43,0.000000001))</f>
        <v/>
      </c>
      <c r="H24">
        <f>RANK(F24,$F$2:$F$49,1)</f>
        <v/>
      </c>
      <c r="I24">
        <f>'02_KhoiTao'!J24</f>
        <v/>
      </c>
    </row>
    <row r="25">
      <c r="A25" t="n">
        <v>24</v>
      </c>
      <c r="B25" t="inlineStr">
        <is>
          <t>208521276474</t>
        </is>
      </c>
      <c r="C25" t="inlineStr">
        <is>
          <t>Câu 21 MC</t>
        </is>
      </c>
      <c r="D25" t="inlineStr">
        <is>
          <t>MC</t>
        </is>
      </c>
      <c r="E25" s="5">
        <f>'02_KhoiTao'!G25</f>
        <v/>
      </c>
      <c r="F25" s="5">
        <f>'03_Lap_b'!Y45</f>
        <v/>
      </c>
      <c r="G25" s="5">
        <f>1/SQRT(MAX('03_Lap_b'!Y42-'03_Lap_b'!Y43,0.000000001))</f>
        <v/>
      </c>
      <c r="H25">
        <f>RANK(F25,$F$2:$F$49,1)</f>
        <v/>
      </c>
      <c r="I25">
        <f>'02_KhoiTao'!J25</f>
        <v/>
      </c>
    </row>
    <row r="26">
      <c r="A26" t="n">
        <v>25</v>
      </c>
      <c r="B26" t="inlineStr">
        <is>
          <t>208529022568_a</t>
        </is>
      </c>
      <c r="C26" t="inlineStr">
        <is>
          <t>Câu 25.a TF</t>
        </is>
      </c>
      <c r="D26" t="inlineStr">
        <is>
          <t>TF</t>
        </is>
      </c>
      <c r="E26" s="5">
        <f>'02_KhoiTao'!G26</f>
        <v/>
      </c>
      <c r="F26" s="5">
        <f>'03_Lap_b'!Z45</f>
        <v/>
      </c>
      <c r="G26" s="5">
        <f>1/SQRT(MAX('03_Lap_b'!Z42-'03_Lap_b'!Z43,0.000000001))</f>
        <v/>
      </c>
      <c r="H26">
        <f>RANK(F26,$F$2:$F$49,1)</f>
        <v/>
      </c>
      <c r="I26">
        <f>'02_KhoiTao'!J26</f>
        <v/>
      </c>
    </row>
    <row r="27">
      <c r="A27" t="n">
        <v>26</v>
      </c>
      <c r="B27" t="inlineStr">
        <is>
          <t>208529022568_b</t>
        </is>
      </c>
      <c r="C27" t="inlineStr">
        <is>
          <t>Câu 25.b TF</t>
        </is>
      </c>
      <c r="D27" t="inlineStr">
        <is>
          <t>TF</t>
        </is>
      </c>
      <c r="E27" s="5">
        <f>'02_KhoiTao'!G27</f>
        <v/>
      </c>
      <c r="F27" s="5">
        <f>'03_Lap_b'!AA45</f>
        <v/>
      </c>
      <c r="G27" s="5">
        <f>1/SQRT(MAX('03_Lap_b'!AA42-'03_Lap_b'!AA43,0.000000001))</f>
        <v/>
      </c>
      <c r="H27">
        <f>RANK(F27,$F$2:$F$49,1)</f>
        <v/>
      </c>
      <c r="I27">
        <f>'02_KhoiTao'!J27</f>
        <v/>
      </c>
    </row>
    <row r="28">
      <c r="A28" t="n">
        <v>27</v>
      </c>
      <c r="B28" t="inlineStr">
        <is>
          <t>208529022568_c</t>
        </is>
      </c>
      <c r="C28" t="inlineStr">
        <is>
          <t>Câu 25.c TF</t>
        </is>
      </c>
      <c r="D28" t="inlineStr">
        <is>
          <t>TF</t>
        </is>
      </c>
      <c r="E28" s="5">
        <f>'02_KhoiTao'!G28</f>
        <v/>
      </c>
      <c r="F28" s="5">
        <f>'03_Lap_b'!AB45</f>
        <v/>
      </c>
      <c r="G28" s="5">
        <f>1/SQRT(MAX('03_Lap_b'!AB42-'03_Lap_b'!AB43,0.000000001))</f>
        <v/>
      </c>
      <c r="H28">
        <f>RANK(F28,$F$2:$F$49,1)</f>
        <v/>
      </c>
      <c r="I28">
        <f>'02_KhoiTao'!J28</f>
        <v/>
      </c>
    </row>
    <row r="29">
      <c r="A29" t="n">
        <v>28</v>
      </c>
      <c r="B29" t="inlineStr">
        <is>
          <t>208529022568_d</t>
        </is>
      </c>
      <c r="C29" t="inlineStr">
        <is>
          <t>Câu 25.d TF</t>
        </is>
      </c>
      <c r="D29" t="inlineStr">
        <is>
          <t>TF</t>
        </is>
      </c>
      <c r="E29" s="5">
        <f>'02_KhoiTao'!G29</f>
        <v/>
      </c>
      <c r="F29" s="5">
        <f>'03_Lap_b'!AC45</f>
        <v/>
      </c>
      <c r="G29" s="5">
        <f>1/SQRT(MAX('03_Lap_b'!AC42-'03_Lap_b'!AC43,0.000000001))</f>
        <v/>
      </c>
      <c r="H29">
        <f>RANK(F29,$F$2:$F$49,1)</f>
        <v/>
      </c>
      <c r="I29">
        <f>'02_KhoiTao'!J29</f>
        <v/>
      </c>
    </row>
    <row r="30">
      <c r="A30" t="n">
        <v>29</v>
      </c>
      <c r="B30" t="inlineStr">
        <is>
          <t>208560377855_a</t>
        </is>
      </c>
      <c r="C30" t="inlineStr">
        <is>
          <t>Câu 27.a TF</t>
        </is>
      </c>
      <c r="D30" t="inlineStr">
        <is>
          <t>TF</t>
        </is>
      </c>
      <c r="E30" s="5">
        <f>'02_KhoiTao'!G30</f>
        <v/>
      </c>
      <c r="F30" s="5">
        <f>'03_Lap_b'!AD45</f>
        <v/>
      </c>
      <c r="G30" s="5">
        <f>1/SQRT(MAX('03_Lap_b'!AD42-'03_Lap_b'!AD43,0.000000001))</f>
        <v/>
      </c>
      <c r="H30">
        <f>RANK(F30,$F$2:$F$49,1)</f>
        <v/>
      </c>
      <c r="I30">
        <f>'02_KhoiTao'!J30</f>
        <v/>
      </c>
    </row>
    <row r="31">
      <c r="A31" t="n">
        <v>30</v>
      </c>
      <c r="B31" t="inlineStr">
        <is>
          <t>208560377855_b</t>
        </is>
      </c>
      <c r="C31" t="inlineStr">
        <is>
          <t>Câu 27.b TF</t>
        </is>
      </c>
      <c r="D31" t="inlineStr">
        <is>
          <t>TF</t>
        </is>
      </c>
      <c r="E31" s="5">
        <f>'02_KhoiTao'!G31</f>
        <v/>
      </c>
      <c r="F31" s="5">
        <f>'03_Lap_b'!AE45</f>
        <v/>
      </c>
      <c r="G31" s="5">
        <f>1/SQRT(MAX('03_Lap_b'!AE42-'03_Lap_b'!AE43,0.000000001))</f>
        <v/>
      </c>
      <c r="H31">
        <f>RANK(F31,$F$2:$F$49,1)</f>
        <v/>
      </c>
      <c r="I31">
        <f>'02_KhoiTao'!J31</f>
        <v/>
      </c>
    </row>
    <row r="32">
      <c r="A32" t="n">
        <v>31</v>
      </c>
      <c r="B32" t="inlineStr">
        <is>
          <t>208560377855_c</t>
        </is>
      </c>
      <c r="C32" t="inlineStr">
        <is>
          <t>Câu 27.c TF</t>
        </is>
      </c>
      <c r="D32" t="inlineStr">
        <is>
          <t>TF</t>
        </is>
      </c>
      <c r="E32" s="5">
        <f>'02_KhoiTao'!G32</f>
        <v/>
      </c>
      <c r="F32" s="5">
        <f>'03_Lap_b'!AF45</f>
        <v/>
      </c>
      <c r="G32" s="5">
        <f>1/SQRT(MAX('03_Lap_b'!AF42-'03_Lap_b'!AF43,0.000000001))</f>
        <v/>
      </c>
      <c r="H32">
        <f>RANK(F32,$F$2:$F$49,1)</f>
        <v/>
      </c>
      <c r="I32">
        <f>'02_KhoiTao'!J32</f>
        <v/>
      </c>
    </row>
    <row r="33">
      <c r="A33" t="n">
        <v>32</v>
      </c>
      <c r="B33" t="inlineStr">
        <is>
          <t>208560377855_d</t>
        </is>
      </c>
      <c r="C33" t="inlineStr">
        <is>
          <t>Câu 27.d TF</t>
        </is>
      </c>
      <c r="D33" t="inlineStr">
        <is>
          <t>TF</t>
        </is>
      </c>
      <c r="E33" s="5">
        <f>'02_KhoiTao'!G33</f>
        <v/>
      </c>
      <c r="F33" s="5">
        <f>'03_Lap_b'!AG45</f>
        <v/>
      </c>
      <c r="G33" s="5">
        <f>1/SQRT(MAX('03_Lap_b'!AG42-'03_Lap_b'!AG43,0.000000001))</f>
        <v/>
      </c>
      <c r="H33">
        <f>RANK(F33,$F$2:$F$49,1)</f>
        <v/>
      </c>
      <c r="I33">
        <f>'02_KhoiTao'!J33</f>
        <v/>
      </c>
    </row>
    <row r="34">
      <c r="A34" t="n">
        <v>33</v>
      </c>
      <c r="B34" t="inlineStr">
        <is>
          <t>208572448723_a</t>
        </is>
      </c>
      <c r="C34" t="inlineStr">
        <is>
          <t>Câu 26.a TF</t>
        </is>
      </c>
      <c r="D34" t="inlineStr">
        <is>
          <t>TF</t>
        </is>
      </c>
      <c r="E34" s="5">
        <f>'02_KhoiTao'!G34</f>
        <v/>
      </c>
      <c r="F34" s="5">
        <f>'03_Lap_b'!AH45</f>
        <v/>
      </c>
      <c r="G34" s="5">
        <f>1/SQRT(MAX('03_Lap_b'!AH42-'03_Lap_b'!AH43,0.000000001))</f>
        <v/>
      </c>
      <c r="H34">
        <f>RANK(F34,$F$2:$F$49,1)</f>
        <v/>
      </c>
      <c r="I34">
        <f>'02_KhoiTao'!J34</f>
        <v/>
      </c>
    </row>
    <row r="35">
      <c r="A35" t="n">
        <v>34</v>
      </c>
      <c r="B35" t="inlineStr">
        <is>
          <t>208572448723_b</t>
        </is>
      </c>
      <c r="C35" t="inlineStr">
        <is>
          <t>Câu 26.b TF</t>
        </is>
      </c>
      <c r="D35" t="inlineStr">
        <is>
          <t>TF</t>
        </is>
      </c>
      <c r="E35" s="5">
        <f>'02_KhoiTao'!G35</f>
        <v/>
      </c>
      <c r="F35" s="5">
        <f>'03_Lap_b'!AI45</f>
        <v/>
      </c>
      <c r="G35" s="5">
        <f>1/SQRT(MAX('03_Lap_b'!AI42-'03_Lap_b'!AI43,0.000000001))</f>
        <v/>
      </c>
      <c r="H35">
        <f>RANK(F35,$F$2:$F$49,1)</f>
        <v/>
      </c>
      <c r="I35">
        <f>'02_KhoiTao'!J35</f>
        <v/>
      </c>
    </row>
    <row r="36">
      <c r="A36" t="n">
        <v>35</v>
      </c>
      <c r="B36" t="inlineStr">
        <is>
          <t>208572448723_c</t>
        </is>
      </c>
      <c r="C36" t="inlineStr">
        <is>
          <t>Câu 26.c TF</t>
        </is>
      </c>
      <c r="D36" t="inlineStr">
        <is>
          <t>TF</t>
        </is>
      </c>
      <c r="E36" s="5">
        <f>'02_KhoiTao'!G36</f>
        <v/>
      </c>
      <c r="F36" s="5">
        <f>'03_Lap_b'!AJ45</f>
        <v/>
      </c>
      <c r="G36" s="5">
        <f>1/SQRT(MAX('03_Lap_b'!AJ42-'03_Lap_b'!AJ43,0.000000001))</f>
        <v/>
      </c>
      <c r="H36">
        <f>RANK(F36,$F$2:$F$49,1)</f>
        <v/>
      </c>
      <c r="I36">
        <f>'02_KhoiTao'!J36</f>
        <v/>
      </c>
    </row>
    <row r="37">
      <c r="A37" t="n">
        <v>36</v>
      </c>
      <c r="B37" t="inlineStr">
        <is>
          <t>208572448723_d</t>
        </is>
      </c>
      <c r="C37" t="inlineStr">
        <is>
          <t>Câu 26.d TF</t>
        </is>
      </c>
      <c r="D37" t="inlineStr">
        <is>
          <t>TF</t>
        </is>
      </c>
      <c r="E37" s="5">
        <f>'02_KhoiTao'!G37</f>
        <v/>
      </c>
      <c r="F37" s="5">
        <f>'03_Lap_b'!AK45</f>
        <v/>
      </c>
      <c r="G37" s="5">
        <f>1/SQRT(MAX('03_Lap_b'!AK42-'03_Lap_b'!AK43,0.000000001))</f>
        <v/>
      </c>
      <c r="H37">
        <f>RANK(F37,$F$2:$F$49,1)</f>
        <v/>
      </c>
      <c r="I37">
        <f>'02_KhoiTao'!J37</f>
        <v/>
      </c>
    </row>
    <row r="38">
      <c r="A38" t="n">
        <v>37</v>
      </c>
      <c r="B38" t="inlineStr">
        <is>
          <t>208572588199_a</t>
        </is>
      </c>
      <c r="C38" t="inlineStr">
        <is>
          <t>Câu 28.a TF</t>
        </is>
      </c>
      <c r="D38" t="inlineStr">
        <is>
          <t>TF</t>
        </is>
      </c>
      <c r="E38" s="5">
        <f>'02_KhoiTao'!G38</f>
        <v/>
      </c>
      <c r="F38" s="5">
        <f>'03_Lap_b'!AL45</f>
        <v/>
      </c>
      <c r="G38" s="5">
        <f>1/SQRT(MAX('03_Lap_b'!AL42-'03_Lap_b'!AL43,0.000000001))</f>
        <v/>
      </c>
      <c r="H38">
        <f>RANK(F38,$F$2:$F$49,1)</f>
        <v/>
      </c>
      <c r="I38">
        <f>'02_KhoiTao'!J38</f>
        <v/>
      </c>
    </row>
    <row r="39">
      <c r="A39" t="n">
        <v>38</v>
      </c>
      <c r="B39" t="inlineStr">
        <is>
          <t>208572588199_b</t>
        </is>
      </c>
      <c r="C39" t="inlineStr">
        <is>
          <t>Câu 28.b TF</t>
        </is>
      </c>
      <c r="D39" t="inlineStr">
        <is>
          <t>TF</t>
        </is>
      </c>
      <c r="E39" s="5">
        <f>'02_KhoiTao'!G39</f>
        <v/>
      </c>
      <c r="F39" s="5">
        <f>'03_Lap_b'!AM45</f>
        <v/>
      </c>
      <c r="G39" s="5">
        <f>1/SQRT(MAX('03_Lap_b'!AM42-'03_Lap_b'!AM43,0.000000001))</f>
        <v/>
      </c>
      <c r="H39">
        <f>RANK(F39,$F$2:$F$49,1)</f>
        <v/>
      </c>
      <c r="I39">
        <f>'02_KhoiTao'!J39</f>
        <v/>
      </c>
    </row>
    <row r="40">
      <c r="A40" t="n">
        <v>39</v>
      </c>
      <c r="B40" t="inlineStr">
        <is>
          <t>208572588199_c</t>
        </is>
      </c>
      <c r="C40" t="inlineStr">
        <is>
          <t>Câu 28.c TF</t>
        </is>
      </c>
      <c r="D40" t="inlineStr">
        <is>
          <t>TF</t>
        </is>
      </c>
      <c r="E40" s="5">
        <f>'02_KhoiTao'!G40</f>
        <v/>
      </c>
      <c r="F40" s="5">
        <f>'03_Lap_b'!AN45</f>
        <v/>
      </c>
      <c r="G40" s="5">
        <f>1/SQRT(MAX('03_Lap_b'!AN42-'03_Lap_b'!AN43,0.000000001))</f>
        <v/>
      </c>
      <c r="H40">
        <f>RANK(F40,$F$2:$F$49,1)</f>
        <v/>
      </c>
      <c r="I40">
        <f>'02_KhoiTao'!J40</f>
        <v/>
      </c>
    </row>
    <row r="41">
      <c r="A41" t="n">
        <v>40</v>
      </c>
      <c r="B41" t="inlineStr">
        <is>
          <t>208572588199_d</t>
        </is>
      </c>
      <c r="C41" t="inlineStr">
        <is>
          <t>Câu 28.d TF</t>
        </is>
      </c>
      <c r="D41" t="inlineStr">
        <is>
          <t>TF</t>
        </is>
      </c>
      <c r="E41" s="5">
        <f>'02_KhoiTao'!G41</f>
        <v/>
      </c>
      <c r="F41" s="5">
        <f>'03_Lap_b'!AO45</f>
        <v/>
      </c>
      <c r="G41" s="5">
        <f>1/SQRT(MAX('03_Lap_b'!AO42-'03_Lap_b'!AO43,0.000000001))</f>
        <v/>
      </c>
      <c r="H41">
        <f>RANK(F41,$F$2:$F$49,1)</f>
        <v/>
      </c>
      <c r="I41">
        <f>'02_KhoiTao'!J41</f>
        <v/>
      </c>
    </row>
    <row r="42">
      <c r="A42" t="n">
        <v>41</v>
      </c>
      <c r="B42" t="inlineStr">
        <is>
          <t>208572673790_a</t>
        </is>
      </c>
      <c r="C42" t="inlineStr">
        <is>
          <t>Câu 29.a TF</t>
        </is>
      </c>
      <c r="D42" t="inlineStr">
        <is>
          <t>TF</t>
        </is>
      </c>
      <c r="E42" s="5">
        <f>'02_KhoiTao'!G42</f>
        <v/>
      </c>
      <c r="F42" s="5">
        <f>'03_Lap_b'!AP45</f>
        <v/>
      </c>
      <c r="G42" s="5">
        <f>1/SQRT(MAX('03_Lap_b'!AP42-'03_Lap_b'!AP43,0.000000001))</f>
        <v/>
      </c>
      <c r="H42">
        <f>RANK(F42,$F$2:$F$49,1)</f>
        <v/>
      </c>
      <c r="I42">
        <f>'02_KhoiTao'!J42</f>
        <v/>
      </c>
    </row>
    <row r="43">
      <c r="A43" t="n">
        <v>42</v>
      </c>
      <c r="B43" t="inlineStr">
        <is>
          <t>208572673790_b</t>
        </is>
      </c>
      <c r="C43" t="inlineStr">
        <is>
          <t>Câu 29.b TF</t>
        </is>
      </c>
      <c r="D43" t="inlineStr">
        <is>
          <t>TF</t>
        </is>
      </c>
      <c r="E43" s="5">
        <f>'02_KhoiTao'!G43</f>
        <v/>
      </c>
      <c r="F43" s="5">
        <f>'03_Lap_b'!AQ45</f>
        <v/>
      </c>
      <c r="G43" s="5">
        <f>1/SQRT(MAX('03_Lap_b'!AQ42-'03_Lap_b'!AQ43,0.000000001))</f>
        <v/>
      </c>
      <c r="H43">
        <f>RANK(F43,$F$2:$F$49,1)</f>
        <v/>
      </c>
      <c r="I43">
        <f>'02_KhoiTao'!J43</f>
        <v/>
      </c>
    </row>
    <row r="44">
      <c r="A44" t="n">
        <v>43</v>
      </c>
      <c r="B44" t="inlineStr">
        <is>
          <t>208572673790_c</t>
        </is>
      </c>
      <c r="C44" t="inlineStr">
        <is>
          <t>Câu 29.c TF</t>
        </is>
      </c>
      <c r="D44" t="inlineStr">
        <is>
          <t>TF</t>
        </is>
      </c>
      <c r="E44" s="5">
        <f>'02_KhoiTao'!G44</f>
        <v/>
      </c>
      <c r="F44" s="5">
        <f>'03_Lap_b'!AR45</f>
        <v/>
      </c>
      <c r="G44" s="5">
        <f>1/SQRT(MAX('03_Lap_b'!AR42-'03_Lap_b'!AR43,0.000000001))</f>
        <v/>
      </c>
      <c r="H44">
        <f>RANK(F44,$F$2:$F$49,1)</f>
        <v/>
      </c>
      <c r="I44">
        <f>'02_KhoiTao'!J44</f>
        <v/>
      </c>
    </row>
    <row r="45">
      <c r="A45" t="n">
        <v>44</v>
      </c>
      <c r="B45" t="inlineStr">
        <is>
          <t>208572673790_d</t>
        </is>
      </c>
      <c r="C45" t="inlineStr">
        <is>
          <t>Câu 29.d TF</t>
        </is>
      </c>
      <c r="D45" t="inlineStr">
        <is>
          <t>TF</t>
        </is>
      </c>
      <c r="E45" s="5">
        <f>'02_KhoiTao'!G45</f>
        <v/>
      </c>
      <c r="F45" s="5">
        <f>'03_Lap_b'!AS45</f>
        <v/>
      </c>
      <c r="G45" s="5">
        <f>1/SQRT(MAX('03_Lap_b'!AS42-'03_Lap_b'!AS43,0.000000001))</f>
        <v/>
      </c>
      <c r="H45">
        <f>RANK(F45,$F$2:$F$49,1)</f>
        <v/>
      </c>
      <c r="I45">
        <f>'02_KhoiTao'!J45</f>
        <v/>
      </c>
    </row>
    <row r="46">
      <c r="A46" t="n">
        <v>45</v>
      </c>
      <c r="B46" t="inlineStr">
        <is>
          <t>208576851532_a</t>
        </is>
      </c>
      <c r="C46" t="inlineStr">
        <is>
          <t>Câu 30.a TF</t>
        </is>
      </c>
      <c r="D46" t="inlineStr">
        <is>
          <t>TF</t>
        </is>
      </c>
      <c r="E46" s="5">
        <f>'02_KhoiTao'!G46</f>
        <v/>
      </c>
      <c r="F46" s="5">
        <f>'03_Lap_b'!AT45</f>
        <v/>
      </c>
      <c r="G46" s="5">
        <f>1/SQRT(MAX('03_Lap_b'!AT42-'03_Lap_b'!AT43,0.000000001))</f>
        <v/>
      </c>
      <c r="H46">
        <f>RANK(F46,$F$2:$F$49,1)</f>
        <v/>
      </c>
      <c r="I46">
        <f>'02_KhoiTao'!J46</f>
        <v/>
      </c>
    </row>
    <row r="47">
      <c r="A47" t="n">
        <v>46</v>
      </c>
      <c r="B47" t="inlineStr">
        <is>
          <t>208576851532_b</t>
        </is>
      </c>
      <c r="C47" t="inlineStr">
        <is>
          <t>Câu 30.b TF</t>
        </is>
      </c>
      <c r="D47" t="inlineStr">
        <is>
          <t>TF</t>
        </is>
      </c>
      <c r="E47" s="5">
        <f>'02_KhoiTao'!G47</f>
        <v/>
      </c>
      <c r="F47" s="5">
        <f>'03_Lap_b'!AU45</f>
        <v/>
      </c>
      <c r="G47" s="5">
        <f>1/SQRT(MAX('03_Lap_b'!AU42-'03_Lap_b'!AU43,0.000000001))</f>
        <v/>
      </c>
      <c r="H47">
        <f>RANK(F47,$F$2:$F$49,1)</f>
        <v/>
      </c>
      <c r="I47">
        <f>'02_KhoiTao'!J47</f>
        <v/>
      </c>
    </row>
    <row r="48">
      <c r="A48" t="n">
        <v>47</v>
      </c>
      <c r="B48" t="inlineStr">
        <is>
          <t>208576851532_c</t>
        </is>
      </c>
      <c r="C48" t="inlineStr">
        <is>
          <t>Câu 30.c TF</t>
        </is>
      </c>
      <c r="D48" t="inlineStr">
        <is>
          <t>TF</t>
        </is>
      </c>
      <c r="E48" s="5">
        <f>'02_KhoiTao'!G48</f>
        <v/>
      </c>
      <c r="F48" s="5">
        <f>'03_Lap_b'!AV45</f>
        <v/>
      </c>
      <c r="G48" s="5">
        <f>1/SQRT(MAX('03_Lap_b'!AV42-'03_Lap_b'!AV43,0.000000001))</f>
        <v/>
      </c>
      <c r="H48">
        <f>RANK(F48,$F$2:$F$49,1)</f>
        <v/>
      </c>
      <c r="I48">
        <f>'02_KhoiTao'!J48</f>
        <v/>
      </c>
    </row>
    <row r="49">
      <c r="A49" t="n">
        <v>48</v>
      </c>
      <c r="B49" t="inlineStr">
        <is>
          <t>208576851532_d</t>
        </is>
      </c>
      <c r="C49" t="inlineStr">
        <is>
          <t>Câu 30.d TF</t>
        </is>
      </c>
      <c r="D49" t="inlineStr">
        <is>
          <t>TF</t>
        </is>
      </c>
      <c r="E49" s="5">
        <f>'02_KhoiTao'!G49</f>
        <v/>
      </c>
      <c r="F49" s="5">
        <f>'03_Lap_b'!AW45</f>
        <v/>
      </c>
      <c r="G49" s="5">
        <f>1/SQRT(MAX('03_Lap_b'!AW42-'03_Lap_b'!AW43,0.000000001))</f>
        <v/>
      </c>
      <c r="H49">
        <f>RANK(F49,$F$2:$F$49,1)</f>
        <v/>
      </c>
      <c r="I49">
        <f>'02_KhoiTao'!J49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3" t="inlineStr">
        <is>
          <t>i</t>
        </is>
      </c>
      <c r="B1" s="3" t="inlineStr">
        <is>
          <t>iduser</t>
        </is>
      </c>
      <c r="C1" s="3" t="inlineStr">
        <is>
          <t>R (điểm)</t>
        </is>
      </c>
      <c r="D1" s="3" t="inlineStr">
        <is>
          <t>M (làm)</t>
        </is>
      </c>
      <c r="E1" s="3" t="inlineStr">
        <is>
          <t>θ (Excel)</t>
        </is>
      </c>
      <c r="F1" s="3" t="inlineStr">
        <is>
          <t>I(θ) thông tin</t>
        </is>
      </c>
      <c r="G1" s="3" t="inlineStr">
        <is>
          <t>SE(θ)</t>
        </is>
      </c>
      <c r="H1" s="3" t="inlineStr">
        <is>
          <t>Biên?</t>
        </is>
      </c>
    </row>
    <row r="2">
      <c r="A2" t="n">
        <v>1</v>
      </c>
      <c r="B2">
        <f>'01_Data'!A2</f>
        <v/>
      </c>
      <c r="C2">
        <f>'03_Lap_Theta'!C2</f>
        <v/>
      </c>
      <c r="D2">
        <f>'03_Lap_Theta'!D2</f>
        <v/>
      </c>
      <c r="E2" s="5">
        <f>'03_Lap_Theta'!$AC2</f>
        <v/>
      </c>
      <c r="F2" s="5">
        <f>SUMPRODUCT(('01_Data'!$B2:$AW2&lt;&gt;"")*(1/(1+EXP(-('03_Lap_Theta'!$AC2-'03_Lap_b'!$B$45:$AW$45))))*(1-(1/(1+EXP(-('03_Lap_Theta'!$AC2-'03_Lap_b'!$B$45:$AW$45))))))</f>
        <v/>
      </c>
      <c r="G2" s="5">
        <f>IF(F2&lt;=0.000000001,"",1/SQRT(F2))</f>
        <v/>
      </c>
      <c r="H2">
        <f>IF(OR(C2=0,C2=D2),"BIÊN","")</f>
        <v/>
      </c>
    </row>
    <row r="3">
      <c r="A3" t="n">
        <v>2</v>
      </c>
      <c r="B3">
        <f>'01_Data'!A3</f>
        <v/>
      </c>
      <c r="C3">
        <f>'03_Lap_Theta'!C3</f>
        <v/>
      </c>
      <c r="D3">
        <f>'03_Lap_Theta'!D3</f>
        <v/>
      </c>
      <c r="E3" s="5">
        <f>'03_Lap_Theta'!$AC3</f>
        <v/>
      </c>
      <c r="F3" s="5">
        <f>SUMPRODUCT(('01_Data'!$B3:$AW3&lt;&gt;"")*(1/(1+EXP(-('03_Lap_Theta'!$AC3-'03_Lap_b'!$B$45:$AW$45))))*(1-(1/(1+EXP(-('03_Lap_Theta'!$AC3-'03_Lap_b'!$B$45:$AW$45))))))</f>
        <v/>
      </c>
      <c r="G3" s="5">
        <f>IF(F3&lt;=0.000000001,"",1/SQRT(F3))</f>
        <v/>
      </c>
      <c r="H3">
        <f>IF(OR(C3=0,C3=D3),"BIÊN","")</f>
        <v/>
      </c>
    </row>
    <row r="4">
      <c r="A4" t="n">
        <v>3</v>
      </c>
      <c r="B4">
        <f>'01_Data'!A4</f>
        <v/>
      </c>
      <c r="C4">
        <f>'03_Lap_Theta'!C4</f>
        <v/>
      </c>
      <c r="D4">
        <f>'03_Lap_Theta'!D4</f>
        <v/>
      </c>
      <c r="E4" s="5">
        <f>'03_Lap_Theta'!$AC4</f>
        <v/>
      </c>
      <c r="F4" s="5">
        <f>SUMPRODUCT(('01_Data'!$B4:$AW4&lt;&gt;"")*(1/(1+EXP(-('03_Lap_Theta'!$AC4-'03_Lap_b'!$B$45:$AW$45))))*(1-(1/(1+EXP(-('03_Lap_Theta'!$AC4-'03_Lap_b'!$B$45:$AW$45))))))</f>
        <v/>
      </c>
      <c r="G4" s="5">
        <f>IF(F4&lt;=0.000000001,"",1/SQRT(F4))</f>
        <v/>
      </c>
      <c r="H4">
        <f>IF(OR(C4=0,C4=D4),"BIÊN","")</f>
        <v/>
      </c>
    </row>
    <row r="5">
      <c r="A5" t="n">
        <v>4</v>
      </c>
      <c r="B5">
        <f>'01_Data'!A5</f>
        <v/>
      </c>
      <c r="C5">
        <f>'03_Lap_Theta'!C5</f>
        <v/>
      </c>
      <c r="D5">
        <f>'03_Lap_Theta'!D5</f>
        <v/>
      </c>
      <c r="E5" s="5">
        <f>'03_Lap_Theta'!$AC5</f>
        <v/>
      </c>
      <c r="F5" s="5">
        <f>SUMPRODUCT(('01_Data'!$B5:$AW5&lt;&gt;"")*(1/(1+EXP(-('03_Lap_Theta'!$AC5-'03_Lap_b'!$B$45:$AW$45))))*(1-(1/(1+EXP(-('03_Lap_Theta'!$AC5-'03_Lap_b'!$B$45:$AW$45))))))</f>
        <v/>
      </c>
      <c r="G5" s="5">
        <f>IF(F5&lt;=0.000000001,"",1/SQRT(F5))</f>
        <v/>
      </c>
      <c r="H5">
        <f>IF(OR(C5=0,C5=D5),"BIÊN","")</f>
        <v/>
      </c>
    </row>
    <row r="6">
      <c r="A6" t="n">
        <v>5</v>
      </c>
      <c r="B6">
        <f>'01_Data'!A6</f>
        <v/>
      </c>
      <c r="C6">
        <f>'03_Lap_Theta'!C6</f>
        <v/>
      </c>
      <c r="D6">
        <f>'03_Lap_Theta'!D6</f>
        <v/>
      </c>
      <c r="E6" s="5">
        <f>'03_Lap_Theta'!$AC6</f>
        <v/>
      </c>
      <c r="F6" s="5">
        <f>SUMPRODUCT(('01_Data'!$B6:$AW6&lt;&gt;"")*(1/(1+EXP(-('03_Lap_Theta'!$AC6-'03_Lap_b'!$B$45:$AW$45))))*(1-(1/(1+EXP(-('03_Lap_Theta'!$AC6-'03_Lap_b'!$B$45:$AW$45))))))</f>
        <v/>
      </c>
      <c r="G6" s="5">
        <f>IF(F6&lt;=0.000000001,"",1/SQRT(F6))</f>
        <v/>
      </c>
      <c r="H6">
        <f>IF(OR(C6=0,C6=D6),"BIÊN","")</f>
        <v/>
      </c>
    </row>
    <row r="7">
      <c r="A7" t="n">
        <v>6</v>
      </c>
      <c r="B7">
        <f>'01_Data'!A7</f>
        <v/>
      </c>
      <c r="C7">
        <f>'03_Lap_Theta'!C7</f>
        <v/>
      </c>
      <c r="D7">
        <f>'03_Lap_Theta'!D7</f>
        <v/>
      </c>
      <c r="E7" s="5">
        <f>'03_Lap_Theta'!$AC7</f>
        <v/>
      </c>
      <c r="F7" s="5">
        <f>SUMPRODUCT(('01_Data'!$B7:$AW7&lt;&gt;"")*(1/(1+EXP(-('03_Lap_Theta'!$AC7-'03_Lap_b'!$B$45:$AW$45))))*(1-(1/(1+EXP(-('03_Lap_Theta'!$AC7-'03_Lap_b'!$B$45:$AW$45))))))</f>
        <v/>
      </c>
      <c r="G7" s="5">
        <f>IF(F7&lt;=0.000000001,"",1/SQRT(F7))</f>
        <v/>
      </c>
      <c r="H7">
        <f>IF(OR(C7=0,C7=D7),"BIÊN","")</f>
        <v/>
      </c>
    </row>
    <row r="8">
      <c r="A8" t="n">
        <v>7</v>
      </c>
      <c r="B8">
        <f>'01_Data'!A8</f>
        <v/>
      </c>
      <c r="C8">
        <f>'03_Lap_Theta'!C8</f>
        <v/>
      </c>
      <c r="D8">
        <f>'03_Lap_Theta'!D8</f>
        <v/>
      </c>
      <c r="E8" s="5">
        <f>'03_Lap_Theta'!$AC8</f>
        <v/>
      </c>
      <c r="F8" s="5">
        <f>SUMPRODUCT(('01_Data'!$B8:$AW8&lt;&gt;"")*(1/(1+EXP(-('03_Lap_Theta'!$AC8-'03_Lap_b'!$B$45:$AW$45))))*(1-(1/(1+EXP(-('03_Lap_Theta'!$AC8-'03_Lap_b'!$B$45:$AW$45))))))</f>
        <v/>
      </c>
      <c r="G8" s="5">
        <f>IF(F8&lt;=0.000000001,"",1/SQRT(F8))</f>
        <v/>
      </c>
      <c r="H8">
        <f>IF(OR(C8=0,C8=D8),"BIÊN","")</f>
        <v/>
      </c>
    </row>
    <row r="9">
      <c r="A9" t="n">
        <v>8</v>
      </c>
      <c r="B9">
        <f>'01_Data'!A9</f>
        <v/>
      </c>
      <c r="C9">
        <f>'03_Lap_Theta'!C9</f>
        <v/>
      </c>
      <c r="D9">
        <f>'03_Lap_Theta'!D9</f>
        <v/>
      </c>
      <c r="E9" s="5">
        <f>'03_Lap_Theta'!$AC9</f>
        <v/>
      </c>
      <c r="F9" s="5">
        <f>SUMPRODUCT(('01_Data'!$B9:$AW9&lt;&gt;"")*(1/(1+EXP(-('03_Lap_Theta'!$AC9-'03_Lap_b'!$B$45:$AW$45))))*(1-(1/(1+EXP(-('03_Lap_Theta'!$AC9-'03_Lap_b'!$B$45:$AW$45))))))</f>
        <v/>
      </c>
      <c r="G9" s="5">
        <f>IF(F9&lt;=0.000000001,"",1/SQRT(F9))</f>
        <v/>
      </c>
      <c r="H9">
        <f>IF(OR(C9=0,C9=D9),"BIÊN","")</f>
        <v/>
      </c>
    </row>
    <row r="10">
      <c r="A10" t="n">
        <v>9</v>
      </c>
      <c r="B10">
        <f>'01_Data'!A10</f>
        <v/>
      </c>
      <c r="C10">
        <f>'03_Lap_Theta'!C10</f>
        <v/>
      </c>
      <c r="D10">
        <f>'03_Lap_Theta'!D10</f>
        <v/>
      </c>
      <c r="E10" s="5">
        <f>'03_Lap_Theta'!$AC10</f>
        <v/>
      </c>
      <c r="F10" s="5">
        <f>SUMPRODUCT(('01_Data'!$B10:$AW10&lt;&gt;"")*(1/(1+EXP(-('03_Lap_Theta'!$AC10-'03_Lap_b'!$B$45:$AW$45))))*(1-(1/(1+EXP(-('03_Lap_Theta'!$AC10-'03_Lap_b'!$B$45:$AW$45))))))</f>
        <v/>
      </c>
      <c r="G10" s="5">
        <f>IF(F10&lt;=0.000000001,"",1/SQRT(F10))</f>
        <v/>
      </c>
      <c r="H10">
        <f>IF(OR(C10=0,C10=D10),"BIÊN","")</f>
        <v/>
      </c>
    </row>
    <row r="11">
      <c r="A11" t="n">
        <v>10</v>
      </c>
      <c r="B11">
        <f>'01_Data'!A11</f>
        <v/>
      </c>
      <c r="C11">
        <f>'03_Lap_Theta'!C11</f>
        <v/>
      </c>
      <c r="D11">
        <f>'03_Lap_Theta'!D11</f>
        <v/>
      </c>
      <c r="E11" s="5">
        <f>'03_Lap_Theta'!$AC11</f>
        <v/>
      </c>
      <c r="F11" s="5">
        <f>SUMPRODUCT(('01_Data'!$B11:$AW11&lt;&gt;"")*(1/(1+EXP(-('03_Lap_Theta'!$AC11-'03_Lap_b'!$B$45:$AW$45))))*(1-(1/(1+EXP(-('03_Lap_Theta'!$AC11-'03_Lap_b'!$B$45:$AW$45))))))</f>
        <v/>
      </c>
      <c r="G11" s="5">
        <f>IF(F11&lt;=0.000000001,"",1/SQRT(F11))</f>
        <v/>
      </c>
      <c r="H11">
        <f>IF(OR(C11=0,C11=D11),"BIÊN","")</f>
        <v/>
      </c>
    </row>
    <row r="12">
      <c r="A12" t="n">
        <v>11</v>
      </c>
      <c r="B12">
        <f>'01_Data'!A12</f>
        <v/>
      </c>
      <c r="C12">
        <f>'03_Lap_Theta'!C12</f>
        <v/>
      </c>
      <c r="D12">
        <f>'03_Lap_Theta'!D12</f>
        <v/>
      </c>
      <c r="E12" s="5">
        <f>'03_Lap_Theta'!$AC12</f>
        <v/>
      </c>
      <c r="F12" s="5">
        <f>SUMPRODUCT(('01_Data'!$B12:$AW12&lt;&gt;"")*(1/(1+EXP(-('03_Lap_Theta'!$AC12-'03_Lap_b'!$B$45:$AW$45))))*(1-(1/(1+EXP(-('03_Lap_Theta'!$AC12-'03_Lap_b'!$B$45:$AW$45))))))</f>
        <v/>
      </c>
      <c r="G12" s="5">
        <f>IF(F12&lt;=0.000000001,"",1/SQRT(F12))</f>
        <v/>
      </c>
      <c r="H12">
        <f>IF(OR(C12=0,C12=D12),"BIÊN","")</f>
        <v/>
      </c>
    </row>
    <row r="13">
      <c r="A13" t="n">
        <v>12</v>
      </c>
      <c r="B13">
        <f>'01_Data'!A13</f>
        <v/>
      </c>
      <c r="C13">
        <f>'03_Lap_Theta'!C13</f>
        <v/>
      </c>
      <c r="D13">
        <f>'03_Lap_Theta'!D13</f>
        <v/>
      </c>
      <c r="E13" s="5">
        <f>'03_Lap_Theta'!$AC13</f>
        <v/>
      </c>
      <c r="F13" s="5">
        <f>SUMPRODUCT(('01_Data'!$B13:$AW13&lt;&gt;"")*(1/(1+EXP(-('03_Lap_Theta'!$AC13-'03_Lap_b'!$B$45:$AW$45))))*(1-(1/(1+EXP(-('03_Lap_Theta'!$AC13-'03_Lap_b'!$B$45:$AW$45))))))</f>
        <v/>
      </c>
      <c r="G13" s="5">
        <f>IF(F13&lt;=0.000000001,"",1/SQRT(F13))</f>
        <v/>
      </c>
      <c r="H13">
        <f>IF(OR(C13=0,C13=D13),"BIÊN","")</f>
        <v/>
      </c>
    </row>
    <row r="14">
      <c r="A14" t="n">
        <v>13</v>
      </c>
      <c r="B14">
        <f>'01_Data'!A14</f>
        <v/>
      </c>
      <c r="C14">
        <f>'03_Lap_Theta'!C14</f>
        <v/>
      </c>
      <c r="D14">
        <f>'03_Lap_Theta'!D14</f>
        <v/>
      </c>
      <c r="E14" s="5">
        <f>'03_Lap_Theta'!$AC14</f>
        <v/>
      </c>
      <c r="F14" s="5">
        <f>SUMPRODUCT(('01_Data'!$B14:$AW14&lt;&gt;"")*(1/(1+EXP(-('03_Lap_Theta'!$AC14-'03_Lap_b'!$B$45:$AW$45))))*(1-(1/(1+EXP(-('03_Lap_Theta'!$AC14-'03_Lap_b'!$B$45:$AW$45))))))</f>
        <v/>
      </c>
      <c r="G14" s="5">
        <f>IF(F14&lt;=0.000000001,"",1/SQRT(F14))</f>
        <v/>
      </c>
      <c r="H14">
        <f>IF(OR(C14=0,C14=D14),"BIÊN","")</f>
        <v/>
      </c>
    </row>
    <row r="15">
      <c r="A15" t="n">
        <v>14</v>
      </c>
      <c r="B15">
        <f>'01_Data'!A15</f>
        <v/>
      </c>
      <c r="C15">
        <f>'03_Lap_Theta'!C15</f>
        <v/>
      </c>
      <c r="D15">
        <f>'03_Lap_Theta'!D15</f>
        <v/>
      </c>
      <c r="E15" s="5">
        <f>'03_Lap_Theta'!$AC15</f>
        <v/>
      </c>
      <c r="F15" s="5">
        <f>SUMPRODUCT(('01_Data'!$B15:$AW15&lt;&gt;"")*(1/(1+EXP(-('03_Lap_Theta'!$AC15-'03_Lap_b'!$B$45:$AW$45))))*(1-(1/(1+EXP(-('03_Lap_Theta'!$AC15-'03_Lap_b'!$B$45:$AW$45))))))</f>
        <v/>
      </c>
      <c r="G15" s="5">
        <f>IF(F15&lt;=0.000000001,"",1/SQRT(F15))</f>
        <v/>
      </c>
      <c r="H15">
        <f>IF(OR(C15=0,C15=D15),"BIÊN","")</f>
        <v/>
      </c>
    </row>
    <row r="16">
      <c r="A16" t="n">
        <v>15</v>
      </c>
      <c r="B16">
        <f>'01_Data'!A16</f>
        <v/>
      </c>
      <c r="C16">
        <f>'03_Lap_Theta'!C16</f>
        <v/>
      </c>
      <c r="D16">
        <f>'03_Lap_Theta'!D16</f>
        <v/>
      </c>
      <c r="E16" s="5">
        <f>'03_Lap_Theta'!$AC16</f>
        <v/>
      </c>
      <c r="F16" s="5">
        <f>SUMPRODUCT(('01_Data'!$B16:$AW16&lt;&gt;"")*(1/(1+EXP(-('03_Lap_Theta'!$AC16-'03_Lap_b'!$B$45:$AW$45))))*(1-(1/(1+EXP(-('03_Lap_Theta'!$AC16-'03_Lap_b'!$B$45:$AW$45))))))</f>
        <v/>
      </c>
      <c r="G16" s="5">
        <f>IF(F16&lt;=0.000000001,"",1/SQRT(F16))</f>
        <v/>
      </c>
      <c r="H16">
        <f>IF(OR(C16=0,C16=D16),"BIÊN","")</f>
        <v/>
      </c>
    </row>
    <row r="17">
      <c r="A17" t="n">
        <v>16</v>
      </c>
      <c r="B17">
        <f>'01_Data'!A17</f>
        <v/>
      </c>
      <c r="C17">
        <f>'03_Lap_Theta'!C17</f>
        <v/>
      </c>
      <c r="D17">
        <f>'03_Lap_Theta'!D17</f>
        <v/>
      </c>
      <c r="E17" s="5">
        <f>'03_Lap_Theta'!$AC17</f>
        <v/>
      </c>
      <c r="F17" s="5">
        <f>SUMPRODUCT(('01_Data'!$B17:$AW17&lt;&gt;"")*(1/(1+EXP(-('03_Lap_Theta'!$AC17-'03_Lap_b'!$B$45:$AW$45))))*(1-(1/(1+EXP(-('03_Lap_Theta'!$AC17-'03_Lap_b'!$B$45:$AW$45))))))</f>
        <v/>
      </c>
      <c r="G17" s="5">
        <f>IF(F17&lt;=0.000000001,"",1/SQRT(F17))</f>
        <v/>
      </c>
      <c r="H17">
        <f>IF(OR(C17=0,C17=D17),"BIÊN","")</f>
        <v/>
      </c>
    </row>
    <row r="18">
      <c r="A18" t="n">
        <v>17</v>
      </c>
      <c r="B18">
        <f>'01_Data'!A18</f>
        <v/>
      </c>
      <c r="C18">
        <f>'03_Lap_Theta'!C18</f>
        <v/>
      </c>
      <c r="D18">
        <f>'03_Lap_Theta'!D18</f>
        <v/>
      </c>
      <c r="E18" s="5">
        <f>'03_Lap_Theta'!$AC18</f>
        <v/>
      </c>
      <c r="F18" s="5">
        <f>SUMPRODUCT(('01_Data'!$B18:$AW18&lt;&gt;"")*(1/(1+EXP(-('03_Lap_Theta'!$AC18-'03_Lap_b'!$B$45:$AW$45))))*(1-(1/(1+EXP(-('03_Lap_Theta'!$AC18-'03_Lap_b'!$B$45:$AW$45))))))</f>
        <v/>
      </c>
      <c r="G18" s="5">
        <f>IF(F18&lt;=0.000000001,"",1/SQRT(F18))</f>
        <v/>
      </c>
      <c r="H18">
        <f>IF(OR(C18=0,C18=D18),"BIÊN","")</f>
        <v/>
      </c>
    </row>
    <row r="19">
      <c r="A19" t="n">
        <v>18</v>
      </c>
      <c r="B19">
        <f>'01_Data'!A19</f>
        <v/>
      </c>
      <c r="C19">
        <f>'03_Lap_Theta'!C19</f>
        <v/>
      </c>
      <c r="D19">
        <f>'03_Lap_Theta'!D19</f>
        <v/>
      </c>
      <c r="E19" s="5">
        <f>'03_Lap_Theta'!$AC19</f>
        <v/>
      </c>
      <c r="F19" s="5">
        <f>SUMPRODUCT(('01_Data'!$B19:$AW19&lt;&gt;"")*(1/(1+EXP(-('03_Lap_Theta'!$AC19-'03_Lap_b'!$B$45:$AW$45))))*(1-(1/(1+EXP(-('03_Lap_Theta'!$AC19-'03_Lap_b'!$B$45:$AW$45))))))</f>
        <v/>
      </c>
      <c r="G19" s="5">
        <f>IF(F19&lt;=0.000000001,"",1/SQRT(F19))</f>
        <v/>
      </c>
      <c r="H19">
        <f>IF(OR(C19=0,C19=D19),"BIÊN","")</f>
        <v/>
      </c>
    </row>
    <row r="20">
      <c r="A20" t="n">
        <v>19</v>
      </c>
      <c r="B20">
        <f>'01_Data'!A20</f>
        <v/>
      </c>
      <c r="C20">
        <f>'03_Lap_Theta'!C20</f>
        <v/>
      </c>
      <c r="D20">
        <f>'03_Lap_Theta'!D20</f>
        <v/>
      </c>
      <c r="E20" s="5">
        <f>'03_Lap_Theta'!$AC20</f>
        <v/>
      </c>
      <c r="F20" s="5">
        <f>SUMPRODUCT(('01_Data'!$B20:$AW20&lt;&gt;"")*(1/(1+EXP(-('03_Lap_Theta'!$AC20-'03_Lap_b'!$B$45:$AW$45))))*(1-(1/(1+EXP(-('03_Lap_Theta'!$AC20-'03_Lap_b'!$B$45:$AW$45))))))</f>
        <v/>
      </c>
      <c r="G20" s="5">
        <f>IF(F20&lt;=0.000000001,"",1/SQRT(F20))</f>
        <v/>
      </c>
      <c r="H20">
        <f>IF(OR(C20=0,C20=D20),"BIÊN","")</f>
        <v/>
      </c>
    </row>
    <row r="21">
      <c r="A21" t="n">
        <v>20</v>
      </c>
      <c r="B21">
        <f>'01_Data'!A21</f>
        <v/>
      </c>
      <c r="C21">
        <f>'03_Lap_Theta'!C21</f>
        <v/>
      </c>
      <c r="D21">
        <f>'03_Lap_Theta'!D21</f>
        <v/>
      </c>
      <c r="E21" s="5">
        <f>'03_Lap_Theta'!$AC21</f>
        <v/>
      </c>
      <c r="F21" s="5">
        <f>SUMPRODUCT(('01_Data'!$B21:$AW21&lt;&gt;"")*(1/(1+EXP(-('03_Lap_Theta'!$AC21-'03_Lap_b'!$B$45:$AW$45))))*(1-(1/(1+EXP(-('03_Lap_Theta'!$AC21-'03_Lap_b'!$B$45:$AW$45))))))</f>
        <v/>
      </c>
      <c r="G21" s="5">
        <f>IF(F21&lt;=0.000000001,"",1/SQRT(F21))</f>
        <v/>
      </c>
      <c r="H21">
        <f>IF(OR(C21=0,C21=D21),"BIÊN","")</f>
        <v/>
      </c>
    </row>
    <row r="22">
      <c r="A22" t="n">
        <v>21</v>
      </c>
      <c r="B22">
        <f>'01_Data'!A22</f>
        <v/>
      </c>
      <c r="C22">
        <f>'03_Lap_Theta'!C22</f>
        <v/>
      </c>
      <c r="D22">
        <f>'03_Lap_Theta'!D22</f>
        <v/>
      </c>
      <c r="E22" s="5">
        <f>'03_Lap_Theta'!$AC22</f>
        <v/>
      </c>
      <c r="F22" s="5">
        <f>SUMPRODUCT(('01_Data'!$B22:$AW22&lt;&gt;"")*(1/(1+EXP(-('03_Lap_Theta'!$AC22-'03_Lap_b'!$B$45:$AW$45))))*(1-(1/(1+EXP(-('03_Lap_Theta'!$AC22-'03_Lap_b'!$B$45:$AW$45))))))</f>
        <v/>
      </c>
      <c r="G22" s="5">
        <f>IF(F22&lt;=0.000000001,"",1/SQRT(F22))</f>
        <v/>
      </c>
      <c r="H22">
        <f>IF(OR(C22=0,C22=D22),"BIÊN","")</f>
        <v/>
      </c>
    </row>
    <row r="23">
      <c r="A23" t="n">
        <v>22</v>
      </c>
      <c r="B23">
        <f>'01_Data'!A23</f>
        <v/>
      </c>
      <c r="C23">
        <f>'03_Lap_Theta'!C23</f>
        <v/>
      </c>
      <c r="D23">
        <f>'03_Lap_Theta'!D23</f>
        <v/>
      </c>
      <c r="E23" s="5">
        <f>'03_Lap_Theta'!$AC23</f>
        <v/>
      </c>
      <c r="F23" s="5">
        <f>SUMPRODUCT(('01_Data'!$B23:$AW23&lt;&gt;"")*(1/(1+EXP(-('03_Lap_Theta'!$AC23-'03_Lap_b'!$B$45:$AW$45))))*(1-(1/(1+EXP(-('03_Lap_Theta'!$AC23-'03_Lap_b'!$B$45:$AW$45))))))</f>
        <v/>
      </c>
      <c r="G23" s="5">
        <f>IF(F23&lt;=0.000000001,"",1/SQRT(F23))</f>
        <v/>
      </c>
      <c r="H23">
        <f>IF(OR(C23=0,C23=D23),"BIÊN","")</f>
        <v/>
      </c>
    </row>
    <row r="24">
      <c r="A24" t="n">
        <v>23</v>
      </c>
      <c r="B24">
        <f>'01_Data'!A24</f>
        <v/>
      </c>
      <c r="C24">
        <f>'03_Lap_Theta'!C24</f>
        <v/>
      </c>
      <c r="D24">
        <f>'03_Lap_Theta'!D24</f>
        <v/>
      </c>
      <c r="E24" s="5">
        <f>'03_Lap_Theta'!$AC24</f>
        <v/>
      </c>
      <c r="F24" s="5">
        <f>SUMPRODUCT(('01_Data'!$B24:$AW24&lt;&gt;"")*(1/(1+EXP(-('03_Lap_Theta'!$AC24-'03_Lap_b'!$B$45:$AW$45))))*(1-(1/(1+EXP(-('03_Lap_Theta'!$AC24-'03_Lap_b'!$B$45:$AW$45))))))</f>
        <v/>
      </c>
      <c r="G24" s="5">
        <f>IF(F24&lt;=0.000000001,"",1/SQRT(F24))</f>
        <v/>
      </c>
      <c r="H24">
        <f>IF(OR(C24=0,C24=D24),"BIÊN","")</f>
        <v/>
      </c>
    </row>
    <row r="25">
      <c r="A25" t="n">
        <v>24</v>
      </c>
      <c r="B25">
        <f>'01_Data'!A25</f>
        <v/>
      </c>
      <c r="C25">
        <f>'03_Lap_Theta'!C25</f>
        <v/>
      </c>
      <c r="D25">
        <f>'03_Lap_Theta'!D25</f>
        <v/>
      </c>
      <c r="E25" s="5">
        <f>'03_Lap_Theta'!$AC25</f>
        <v/>
      </c>
      <c r="F25" s="5">
        <f>SUMPRODUCT(('01_Data'!$B25:$AW25&lt;&gt;"")*(1/(1+EXP(-('03_Lap_Theta'!$AC25-'03_Lap_b'!$B$45:$AW$45))))*(1-(1/(1+EXP(-('03_Lap_Theta'!$AC25-'03_Lap_b'!$B$45:$AW$45))))))</f>
        <v/>
      </c>
      <c r="G25" s="5">
        <f>IF(F25&lt;=0.000000001,"",1/SQRT(F25))</f>
        <v/>
      </c>
      <c r="H25">
        <f>IF(OR(C25=0,C25=D25),"BIÊN","")</f>
        <v/>
      </c>
    </row>
    <row r="26">
      <c r="A26" t="n">
        <v>25</v>
      </c>
      <c r="B26">
        <f>'01_Data'!A26</f>
        <v/>
      </c>
      <c r="C26">
        <f>'03_Lap_Theta'!C26</f>
        <v/>
      </c>
      <c r="D26">
        <f>'03_Lap_Theta'!D26</f>
        <v/>
      </c>
      <c r="E26" s="5">
        <f>'03_Lap_Theta'!$AC26</f>
        <v/>
      </c>
      <c r="F26" s="5">
        <f>SUMPRODUCT(('01_Data'!$B26:$AW26&lt;&gt;"")*(1/(1+EXP(-('03_Lap_Theta'!$AC26-'03_Lap_b'!$B$45:$AW$45))))*(1-(1/(1+EXP(-('03_Lap_Theta'!$AC26-'03_Lap_b'!$B$45:$AW$45))))))</f>
        <v/>
      </c>
      <c r="G26" s="5">
        <f>IF(F26&lt;=0.000000001,"",1/SQRT(F26))</f>
        <v/>
      </c>
      <c r="H26">
        <f>IF(OR(C26=0,C26=D26),"BIÊN","")</f>
        <v/>
      </c>
    </row>
    <row r="27">
      <c r="A27" t="n">
        <v>26</v>
      </c>
      <c r="B27">
        <f>'01_Data'!A27</f>
        <v/>
      </c>
      <c r="C27">
        <f>'03_Lap_Theta'!C27</f>
        <v/>
      </c>
      <c r="D27">
        <f>'03_Lap_Theta'!D27</f>
        <v/>
      </c>
      <c r="E27" s="5">
        <f>'03_Lap_Theta'!$AC27</f>
        <v/>
      </c>
      <c r="F27" s="5">
        <f>SUMPRODUCT(('01_Data'!$B27:$AW27&lt;&gt;"")*(1/(1+EXP(-('03_Lap_Theta'!$AC27-'03_Lap_b'!$B$45:$AW$45))))*(1-(1/(1+EXP(-('03_Lap_Theta'!$AC27-'03_Lap_b'!$B$45:$AW$45))))))</f>
        <v/>
      </c>
      <c r="G27" s="5">
        <f>IF(F27&lt;=0.000000001,"",1/SQRT(F27))</f>
        <v/>
      </c>
      <c r="H27">
        <f>IF(OR(C27=0,C27=D27),"BIÊN","")</f>
        <v/>
      </c>
    </row>
    <row r="28">
      <c r="A28" t="n">
        <v>27</v>
      </c>
      <c r="B28">
        <f>'01_Data'!A28</f>
        <v/>
      </c>
      <c r="C28">
        <f>'03_Lap_Theta'!C28</f>
        <v/>
      </c>
      <c r="D28">
        <f>'03_Lap_Theta'!D28</f>
        <v/>
      </c>
      <c r="E28" s="5">
        <f>'03_Lap_Theta'!$AC28</f>
        <v/>
      </c>
      <c r="F28" s="5">
        <f>SUMPRODUCT(('01_Data'!$B28:$AW28&lt;&gt;"")*(1/(1+EXP(-('03_Lap_Theta'!$AC28-'03_Lap_b'!$B$45:$AW$45))))*(1-(1/(1+EXP(-('03_Lap_Theta'!$AC28-'03_Lap_b'!$B$45:$AW$45))))))</f>
        <v/>
      </c>
      <c r="G28" s="5">
        <f>IF(F28&lt;=0.000000001,"",1/SQRT(F28))</f>
        <v/>
      </c>
      <c r="H28">
        <f>IF(OR(C28=0,C28=D28),"BIÊN","")</f>
        <v/>
      </c>
    </row>
    <row r="29">
      <c r="A29" t="n">
        <v>28</v>
      </c>
      <c r="B29">
        <f>'01_Data'!A29</f>
        <v/>
      </c>
      <c r="C29">
        <f>'03_Lap_Theta'!C29</f>
        <v/>
      </c>
      <c r="D29">
        <f>'03_Lap_Theta'!D29</f>
        <v/>
      </c>
      <c r="E29" s="5">
        <f>'03_Lap_Theta'!$AC29</f>
        <v/>
      </c>
      <c r="F29" s="5">
        <f>SUMPRODUCT(('01_Data'!$B29:$AW29&lt;&gt;"")*(1/(1+EXP(-('03_Lap_Theta'!$AC29-'03_Lap_b'!$B$45:$AW$45))))*(1-(1/(1+EXP(-('03_Lap_Theta'!$AC29-'03_Lap_b'!$B$45:$AW$45))))))</f>
        <v/>
      </c>
      <c r="G29" s="5">
        <f>IF(F29&lt;=0.000000001,"",1/SQRT(F29))</f>
        <v/>
      </c>
      <c r="H29">
        <f>IF(OR(C29=0,C29=D29),"BIÊN","")</f>
        <v/>
      </c>
    </row>
    <row r="30">
      <c r="A30" t="n">
        <v>29</v>
      </c>
      <c r="B30">
        <f>'01_Data'!A30</f>
        <v/>
      </c>
      <c r="C30">
        <f>'03_Lap_Theta'!C30</f>
        <v/>
      </c>
      <c r="D30">
        <f>'03_Lap_Theta'!D30</f>
        <v/>
      </c>
      <c r="E30" s="5">
        <f>'03_Lap_Theta'!$AC30</f>
        <v/>
      </c>
      <c r="F30" s="5">
        <f>SUMPRODUCT(('01_Data'!$B30:$AW30&lt;&gt;"")*(1/(1+EXP(-('03_Lap_Theta'!$AC30-'03_Lap_b'!$B$45:$AW$45))))*(1-(1/(1+EXP(-('03_Lap_Theta'!$AC30-'03_Lap_b'!$B$45:$AW$45))))))</f>
        <v/>
      </c>
      <c r="G30" s="5">
        <f>IF(F30&lt;=0.000000001,"",1/SQRT(F30))</f>
        <v/>
      </c>
      <c r="H30">
        <f>IF(OR(C30=0,C30=D30),"BIÊN","")</f>
        <v/>
      </c>
    </row>
    <row r="31">
      <c r="A31" t="n">
        <v>30</v>
      </c>
      <c r="B31">
        <f>'01_Data'!A31</f>
        <v/>
      </c>
      <c r="C31">
        <f>'03_Lap_Theta'!C31</f>
        <v/>
      </c>
      <c r="D31">
        <f>'03_Lap_Theta'!D31</f>
        <v/>
      </c>
      <c r="E31" s="5">
        <f>'03_Lap_Theta'!$AC31</f>
        <v/>
      </c>
      <c r="F31" s="5">
        <f>SUMPRODUCT(('01_Data'!$B31:$AW31&lt;&gt;"")*(1/(1+EXP(-('03_Lap_Theta'!$AC31-'03_Lap_b'!$B$45:$AW$45))))*(1-(1/(1+EXP(-('03_Lap_Theta'!$AC31-'03_Lap_b'!$B$45:$AW$45))))))</f>
        <v/>
      </c>
      <c r="G31" s="5">
        <f>IF(F31&lt;=0.000000001,"",1/SQRT(F31))</f>
        <v/>
      </c>
      <c r="H31">
        <f>IF(OR(C31=0,C31=D31),"BIÊN","")</f>
        <v/>
      </c>
    </row>
    <row r="32">
      <c r="A32" t="n">
        <v>31</v>
      </c>
      <c r="B32">
        <f>'01_Data'!A32</f>
        <v/>
      </c>
      <c r="C32">
        <f>'03_Lap_Theta'!C32</f>
        <v/>
      </c>
      <c r="D32">
        <f>'03_Lap_Theta'!D32</f>
        <v/>
      </c>
      <c r="E32" s="5">
        <f>'03_Lap_Theta'!$AC32</f>
        <v/>
      </c>
      <c r="F32" s="5">
        <f>SUMPRODUCT(('01_Data'!$B32:$AW32&lt;&gt;"")*(1/(1+EXP(-('03_Lap_Theta'!$AC32-'03_Lap_b'!$B$45:$AW$45))))*(1-(1/(1+EXP(-('03_Lap_Theta'!$AC32-'03_Lap_b'!$B$45:$AW$45))))))</f>
        <v/>
      </c>
      <c r="G32" s="5">
        <f>IF(F32&lt;=0.000000001,"",1/SQRT(F32))</f>
        <v/>
      </c>
      <c r="H32">
        <f>IF(OR(C32=0,C32=D32),"BIÊN","")</f>
        <v/>
      </c>
    </row>
    <row r="33">
      <c r="A33" t="n">
        <v>32</v>
      </c>
      <c r="B33">
        <f>'01_Data'!A33</f>
        <v/>
      </c>
      <c r="C33">
        <f>'03_Lap_Theta'!C33</f>
        <v/>
      </c>
      <c r="D33">
        <f>'03_Lap_Theta'!D33</f>
        <v/>
      </c>
      <c r="E33" s="5">
        <f>'03_Lap_Theta'!$AC33</f>
        <v/>
      </c>
      <c r="F33" s="5">
        <f>SUMPRODUCT(('01_Data'!$B33:$AW33&lt;&gt;"")*(1/(1+EXP(-('03_Lap_Theta'!$AC33-'03_Lap_b'!$B$45:$AW$45))))*(1-(1/(1+EXP(-('03_Lap_Theta'!$AC33-'03_Lap_b'!$B$45:$AW$45))))))</f>
        <v/>
      </c>
      <c r="G33" s="5">
        <f>IF(F33&lt;=0.000000001,"",1/SQRT(F33))</f>
        <v/>
      </c>
      <c r="H33">
        <f>IF(OR(C33=0,C33=D33),"BIÊN","")</f>
        <v/>
      </c>
    </row>
    <row r="34">
      <c r="A34" t="n">
        <v>33</v>
      </c>
      <c r="B34">
        <f>'01_Data'!A34</f>
        <v/>
      </c>
      <c r="C34">
        <f>'03_Lap_Theta'!C34</f>
        <v/>
      </c>
      <c r="D34">
        <f>'03_Lap_Theta'!D34</f>
        <v/>
      </c>
      <c r="E34" s="5">
        <f>'03_Lap_Theta'!$AC34</f>
        <v/>
      </c>
      <c r="F34" s="5">
        <f>SUMPRODUCT(('01_Data'!$B34:$AW34&lt;&gt;"")*(1/(1+EXP(-('03_Lap_Theta'!$AC34-'03_Lap_b'!$B$45:$AW$45))))*(1-(1/(1+EXP(-('03_Lap_Theta'!$AC34-'03_Lap_b'!$B$45:$AW$45))))))</f>
        <v/>
      </c>
      <c r="G34" s="5">
        <f>IF(F34&lt;=0.000000001,"",1/SQRT(F34))</f>
        <v/>
      </c>
      <c r="H34">
        <f>IF(OR(C34=0,C34=D34),"BIÊN","")</f>
        <v/>
      </c>
    </row>
    <row r="35">
      <c r="A35" t="n">
        <v>34</v>
      </c>
      <c r="B35">
        <f>'01_Data'!A35</f>
        <v/>
      </c>
      <c r="C35">
        <f>'03_Lap_Theta'!C35</f>
        <v/>
      </c>
      <c r="D35">
        <f>'03_Lap_Theta'!D35</f>
        <v/>
      </c>
      <c r="E35" s="5">
        <f>'03_Lap_Theta'!$AC35</f>
        <v/>
      </c>
      <c r="F35" s="5">
        <f>SUMPRODUCT(('01_Data'!$B35:$AW35&lt;&gt;"")*(1/(1+EXP(-('03_Lap_Theta'!$AC35-'03_Lap_b'!$B$45:$AW$45))))*(1-(1/(1+EXP(-('03_Lap_Theta'!$AC35-'03_Lap_b'!$B$45:$AW$45))))))</f>
        <v/>
      </c>
      <c r="G35" s="5">
        <f>IF(F35&lt;=0.000000001,"",1/SQRT(F35))</f>
        <v/>
      </c>
      <c r="H35">
        <f>IF(OR(C35=0,C35=D35),"BIÊN","")</f>
        <v/>
      </c>
    </row>
    <row r="36">
      <c r="A36" t="n">
        <v>35</v>
      </c>
      <c r="B36">
        <f>'01_Data'!A36</f>
        <v/>
      </c>
      <c r="C36">
        <f>'03_Lap_Theta'!C36</f>
        <v/>
      </c>
      <c r="D36">
        <f>'03_Lap_Theta'!D36</f>
        <v/>
      </c>
      <c r="E36" s="5">
        <f>'03_Lap_Theta'!$AC36</f>
        <v/>
      </c>
      <c r="F36" s="5">
        <f>SUMPRODUCT(('01_Data'!$B36:$AW36&lt;&gt;"")*(1/(1+EXP(-('03_Lap_Theta'!$AC36-'03_Lap_b'!$B$45:$AW$45))))*(1-(1/(1+EXP(-('03_Lap_Theta'!$AC36-'03_Lap_b'!$B$45:$AW$45))))))</f>
        <v/>
      </c>
      <c r="G36" s="5">
        <f>IF(F36&lt;=0.000000001,"",1/SQRT(F36))</f>
        <v/>
      </c>
      <c r="H36">
        <f>IF(OR(C36=0,C36=D36),"BIÊN","")</f>
        <v/>
      </c>
    </row>
    <row r="37">
      <c r="A37" t="n">
        <v>36</v>
      </c>
      <c r="B37">
        <f>'01_Data'!A37</f>
        <v/>
      </c>
      <c r="C37">
        <f>'03_Lap_Theta'!C37</f>
        <v/>
      </c>
      <c r="D37">
        <f>'03_Lap_Theta'!D37</f>
        <v/>
      </c>
      <c r="E37" s="5">
        <f>'03_Lap_Theta'!$AC37</f>
        <v/>
      </c>
      <c r="F37" s="5">
        <f>SUMPRODUCT(('01_Data'!$B37:$AW37&lt;&gt;"")*(1/(1+EXP(-('03_Lap_Theta'!$AC37-'03_Lap_b'!$B$45:$AW$45))))*(1-(1/(1+EXP(-('03_Lap_Theta'!$AC37-'03_Lap_b'!$B$45:$AW$45))))))</f>
        <v/>
      </c>
      <c r="G37" s="5">
        <f>IF(F37&lt;=0.000000001,"",1/SQRT(F37))</f>
        <v/>
      </c>
      <c r="H37">
        <f>IF(OR(C37=0,C37=D37),"BIÊN","")</f>
        <v/>
      </c>
    </row>
    <row r="38">
      <c r="A38" t="n">
        <v>37</v>
      </c>
      <c r="B38">
        <f>'01_Data'!A38</f>
        <v/>
      </c>
      <c r="C38">
        <f>'03_Lap_Theta'!C38</f>
        <v/>
      </c>
      <c r="D38">
        <f>'03_Lap_Theta'!D38</f>
        <v/>
      </c>
      <c r="E38" s="5">
        <f>'03_Lap_Theta'!$AC38</f>
        <v/>
      </c>
      <c r="F38" s="5">
        <f>SUMPRODUCT(('01_Data'!$B38:$AW38&lt;&gt;"")*(1/(1+EXP(-('03_Lap_Theta'!$AC38-'03_Lap_b'!$B$45:$AW$45))))*(1-(1/(1+EXP(-('03_Lap_Theta'!$AC38-'03_Lap_b'!$B$45:$AW$45))))))</f>
        <v/>
      </c>
      <c r="G38" s="5">
        <f>IF(F38&lt;=0.000000001,"",1/SQRT(F38))</f>
        <v/>
      </c>
      <c r="H38">
        <f>IF(OR(C38=0,C38=D38),"BIÊN","")</f>
        <v/>
      </c>
    </row>
    <row r="39">
      <c r="A39" t="n">
        <v>38</v>
      </c>
      <c r="B39">
        <f>'01_Data'!A39</f>
        <v/>
      </c>
      <c r="C39">
        <f>'03_Lap_Theta'!C39</f>
        <v/>
      </c>
      <c r="D39">
        <f>'03_Lap_Theta'!D39</f>
        <v/>
      </c>
      <c r="E39" s="5">
        <f>'03_Lap_Theta'!$AC39</f>
        <v/>
      </c>
      <c r="F39" s="5">
        <f>SUMPRODUCT(('01_Data'!$B39:$AW39&lt;&gt;"")*(1/(1+EXP(-('03_Lap_Theta'!$AC39-'03_Lap_b'!$B$45:$AW$45))))*(1-(1/(1+EXP(-('03_Lap_Theta'!$AC39-'03_Lap_b'!$B$45:$AW$45))))))</f>
        <v/>
      </c>
      <c r="G39" s="5">
        <f>IF(F39&lt;=0.000000001,"",1/SQRT(F39))</f>
        <v/>
      </c>
      <c r="H39">
        <f>IF(OR(C39=0,C39=D39),"BIÊN","")</f>
        <v/>
      </c>
    </row>
    <row r="40">
      <c r="A40" t="n">
        <v>39</v>
      </c>
      <c r="B40">
        <f>'01_Data'!A40</f>
        <v/>
      </c>
      <c r="C40">
        <f>'03_Lap_Theta'!C40</f>
        <v/>
      </c>
      <c r="D40">
        <f>'03_Lap_Theta'!D40</f>
        <v/>
      </c>
      <c r="E40" s="5">
        <f>'03_Lap_Theta'!$AC40</f>
        <v/>
      </c>
      <c r="F40" s="5">
        <f>SUMPRODUCT(('01_Data'!$B40:$AW40&lt;&gt;"")*(1/(1+EXP(-('03_Lap_Theta'!$AC40-'03_Lap_b'!$B$45:$AW$45))))*(1-(1/(1+EXP(-('03_Lap_Theta'!$AC40-'03_Lap_b'!$B$45:$AW$45))))))</f>
        <v/>
      </c>
      <c r="G40" s="5">
        <f>IF(F40&lt;=0.000000001,"",1/SQRT(F40))</f>
        <v/>
      </c>
      <c r="H40">
        <f>IF(OR(C40=0,C40=D40),"BIÊN","")</f>
        <v/>
      </c>
    </row>
    <row r="41">
      <c r="A41" t="n">
        <v>40</v>
      </c>
      <c r="B41">
        <f>'01_Data'!A41</f>
        <v/>
      </c>
      <c r="C41">
        <f>'03_Lap_Theta'!C41</f>
        <v/>
      </c>
      <c r="D41">
        <f>'03_Lap_Theta'!D41</f>
        <v/>
      </c>
      <c r="E41" s="5">
        <f>'03_Lap_Theta'!$AC41</f>
        <v/>
      </c>
      <c r="F41" s="5">
        <f>SUMPRODUCT(('01_Data'!$B41:$AW41&lt;&gt;"")*(1/(1+EXP(-('03_Lap_Theta'!$AC41-'03_Lap_b'!$B$45:$AW$45))))*(1-(1/(1+EXP(-('03_Lap_Theta'!$AC41-'03_Lap_b'!$B$45:$AW$45))))))</f>
        <v/>
      </c>
      <c r="G41" s="5">
        <f>IF(F41&lt;=0.000000001,"",1/SQRT(F41))</f>
        <v/>
      </c>
      <c r="H41">
        <f>IF(OR(C41=0,C41=D41),"BIÊN","")</f>
        <v/>
      </c>
    </row>
    <row r="42">
      <c r="A42" t="n">
        <v>41</v>
      </c>
      <c r="B42">
        <f>'01_Data'!A42</f>
        <v/>
      </c>
      <c r="C42">
        <f>'03_Lap_Theta'!C42</f>
        <v/>
      </c>
      <c r="D42">
        <f>'03_Lap_Theta'!D42</f>
        <v/>
      </c>
      <c r="E42" s="5">
        <f>'03_Lap_Theta'!$AC42</f>
        <v/>
      </c>
      <c r="F42" s="5">
        <f>SUMPRODUCT(('01_Data'!$B42:$AW42&lt;&gt;"")*(1/(1+EXP(-('03_Lap_Theta'!$AC42-'03_Lap_b'!$B$45:$AW$45))))*(1-(1/(1+EXP(-('03_Lap_Theta'!$AC42-'03_Lap_b'!$B$45:$AW$45))))))</f>
        <v/>
      </c>
      <c r="G42" s="5">
        <f>IF(F42&lt;=0.000000001,"",1/SQRT(F42))</f>
        <v/>
      </c>
      <c r="H42">
        <f>IF(OR(C42=0,C42=D42),"BIÊN","")</f>
        <v/>
      </c>
    </row>
    <row r="43">
      <c r="A43" t="n">
        <v>42</v>
      </c>
      <c r="B43">
        <f>'01_Data'!A43</f>
        <v/>
      </c>
      <c r="C43">
        <f>'03_Lap_Theta'!C43</f>
        <v/>
      </c>
      <c r="D43">
        <f>'03_Lap_Theta'!D43</f>
        <v/>
      </c>
      <c r="E43" s="5">
        <f>'03_Lap_Theta'!$AC43</f>
        <v/>
      </c>
      <c r="F43" s="5">
        <f>SUMPRODUCT(('01_Data'!$B43:$AW43&lt;&gt;"")*(1/(1+EXP(-('03_Lap_Theta'!$AC43-'03_Lap_b'!$B$45:$AW$45))))*(1-(1/(1+EXP(-('03_Lap_Theta'!$AC43-'03_Lap_b'!$B$45:$AW$45))))))</f>
        <v/>
      </c>
      <c r="G43" s="5">
        <f>IF(F43&lt;=0.000000001,"",1/SQRT(F43))</f>
        <v/>
      </c>
      <c r="H43">
        <f>IF(OR(C43=0,C43=D43),"BIÊN","")</f>
        <v/>
      </c>
    </row>
    <row r="44">
      <c r="A44" t="n">
        <v>43</v>
      </c>
      <c r="B44">
        <f>'01_Data'!A44</f>
        <v/>
      </c>
      <c r="C44">
        <f>'03_Lap_Theta'!C44</f>
        <v/>
      </c>
      <c r="D44">
        <f>'03_Lap_Theta'!D44</f>
        <v/>
      </c>
      <c r="E44" s="5">
        <f>'03_Lap_Theta'!$AC44</f>
        <v/>
      </c>
      <c r="F44" s="5">
        <f>SUMPRODUCT(('01_Data'!$B44:$AW44&lt;&gt;"")*(1/(1+EXP(-('03_Lap_Theta'!$AC44-'03_Lap_b'!$B$45:$AW$45))))*(1-(1/(1+EXP(-('03_Lap_Theta'!$AC44-'03_Lap_b'!$B$45:$AW$45))))))</f>
        <v/>
      </c>
      <c r="G44" s="5">
        <f>IF(F44&lt;=0.000000001,"",1/SQRT(F44))</f>
        <v/>
      </c>
      <c r="H44">
        <f>IF(OR(C44=0,C44=D44),"BIÊN","")</f>
        <v/>
      </c>
    </row>
    <row r="45">
      <c r="A45" t="n">
        <v>44</v>
      </c>
      <c r="B45">
        <f>'01_Data'!A45</f>
        <v/>
      </c>
      <c r="C45">
        <f>'03_Lap_Theta'!C45</f>
        <v/>
      </c>
      <c r="D45">
        <f>'03_Lap_Theta'!D45</f>
        <v/>
      </c>
      <c r="E45" s="5">
        <f>'03_Lap_Theta'!$AC45</f>
        <v/>
      </c>
      <c r="F45" s="5">
        <f>SUMPRODUCT(('01_Data'!$B45:$AW45&lt;&gt;"")*(1/(1+EXP(-('03_Lap_Theta'!$AC45-'03_Lap_b'!$B$45:$AW$45))))*(1-(1/(1+EXP(-('03_Lap_Theta'!$AC45-'03_Lap_b'!$B$45:$AW$45))))))</f>
        <v/>
      </c>
      <c r="G45" s="5">
        <f>IF(F45&lt;=0.000000001,"",1/SQRT(F45))</f>
        <v/>
      </c>
      <c r="H45">
        <f>IF(OR(C45=0,C45=D45),"BIÊN","")</f>
        <v/>
      </c>
    </row>
    <row r="46">
      <c r="A46" t="n">
        <v>45</v>
      </c>
      <c r="B46">
        <f>'01_Data'!A46</f>
        <v/>
      </c>
      <c r="C46">
        <f>'03_Lap_Theta'!C46</f>
        <v/>
      </c>
      <c r="D46">
        <f>'03_Lap_Theta'!D46</f>
        <v/>
      </c>
      <c r="E46" s="5">
        <f>'03_Lap_Theta'!$AC46</f>
        <v/>
      </c>
      <c r="F46" s="5">
        <f>SUMPRODUCT(('01_Data'!$B46:$AW46&lt;&gt;"")*(1/(1+EXP(-('03_Lap_Theta'!$AC46-'03_Lap_b'!$B$45:$AW$45))))*(1-(1/(1+EXP(-('03_Lap_Theta'!$AC46-'03_Lap_b'!$B$45:$AW$45))))))</f>
        <v/>
      </c>
      <c r="G46" s="5">
        <f>IF(F46&lt;=0.000000001,"",1/SQRT(F46))</f>
        <v/>
      </c>
      <c r="H46">
        <f>IF(OR(C46=0,C46=D46),"BIÊN","")</f>
        <v/>
      </c>
    </row>
    <row r="47">
      <c r="A47" t="n">
        <v>46</v>
      </c>
      <c r="B47">
        <f>'01_Data'!A47</f>
        <v/>
      </c>
      <c r="C47">
        <f>'03_Lap_Theta'!C47</f>
        <v/>
      </c>
      <c r="D47">
        <f>'03_Lap_Theta'!D47</f>
        <v/>
      </c>
      <c r="E47" s="5">
        <f>'03_Lap_Theta'!$AC47</f>
        <v/>
      </c>
      <c r="F47" s="5">
        <f>SUMPRODUCT(('01_Data'!$B47:$AW47&lt;&gt;"")*(1/(1+EXP(-('03_Lap_Theta'!$AC47-'03_Lap_b'!$B$45:$AW$45))))*(1-(1/(1+EXP(-('03_Lap_Theta'!$AC47-'03_Lap_b'!$B$45:$AW$45))))))</f>
        <v/>
      </c>
      <c r="G47" s="5">
        <f>IF(F47&lt;=0.000000001,"",1/SQRT(F47))</f>
        <v/>
      </c>
      <c r="H47">
        <f>IF(OR(C47=0,C47=D47),"BIÊN","")</f>
        <v/>
      </c>
    </row>
    <row r="48">
      <c r="A48" t="n">
        <v>47</v>
      </c>
      <c r="B48">
        <f>'01_Data'!A48</f>
        <v/>
      </c>
      <c r="C48">
        <f>'03_Lap_Theta'!C48</f>
        <v/>
      </c>
      <c r="D48">
        <f>'03_Lap_Theta'!D48</f>
        <v/>
      </c>
      <c r="E48" s="5">
        <f>'03_Lap_Theta'!$AC48</f>
        <v/>
      </c>
      <c r="F48" s="5">
        <f>SUMPRODUCT(('01_Data'!$B48:$AW48&lt;&gt;"")*(1/(1+EXP(-('03_Lap_Theta'!$AC48-'03_Lap_b'!$B$45:$AW$45))))*(1-(1/(1+EXP(-('03_Lap_Theta'!$AC48-'03_Lap_b'!$B$45:$AW$45))))))</f>
        <v/>
      </c>
      <c r="G48" s="5">
        <f>IF(F48&lt;=0.000000001,"",1/SQRT(F48))</f>
        <v/>
      </c>
      <c r="H48">
        <f>IF(OR(C48=0,C48=D48),"BIÊN","")</f>
        <v/>
      </c>
    </row>
    <row r="49">
      <c r="A49" t="n">
        <v>48</v>
      </c>
      <c r="B49">
        <f>'01_Data'!A49</f>
        <v/>
      </c>
      <c r="C49">
        <f>'03_Lap_Theta'!C49</f>
        <v/>
      </c>
      <c r="D49">
        <f>'03_Lap_Theta'!D49</f>
        <v/>
      </c>
      <c r="E49" s="5">
        <f>'03_Lap_Theta'!$AC49</f>
        <v/>
      </c>
      <c r="F49" s="5">
        <f>SUMPRODUCT(('01_Data'!$B49:$AW49&lt;&gt;"")*(1/(1+EXP(-('03_Lap_Theta'!$AC49-'03_Lap_b'!$B$45:$AW$45))))*(1-(1/(1+EXP(-('03_Lap_Theta'!$AC49-'03_Lap_b'!$B$45:$AW$45))))))</f>
        <v/>
      </c>
      <c r="G49" s="5">
        <f>IF(F49&lt;=0.000000001,"",1/SQRT(F49))</f>
        <v/>
      </c>
      <c r="H49">
        <f>IF(OR(C49=0,C49=D49),"BIÊN","")</f>
        <v/>
      </c>
    </row>
    <row r="50">
      <c r="A50" t="n">
        <v>49</v>
      </c>
      <c r="B50">
        <f>'01_Data'!A50</f>
        <v/>
      </c>
      <c r="C50">
        <f>'03_Lap_Theta'!C50</f>
        <v/>
      </c>
      <c r="D50">
        <f>'03_Lap_Theta'!D50</f>
        <v/>
      </c>
      <c r="E50" s="5">
        <f>'03_Lap_Theta'!$AC50</f>
        <v/>
      </c>
      <c r="F50" s="5">
        <f>SUMPRODUCT(('01_Data'!$B50:$AW50&lt;&gt;"")*(1/(1+EXP(-('03_Lap_Theta'!$AC50-'03_Lap_b'!$B$45:$AW$45))))*(1-(1/(1+EXP(-('03_Lap_Theta'!$AC50-'03_Lap_b'!$B$45:$AW$45))))))</f>
        <v/>
      </c>
      <c r="G50" s="5">
        <f>IF(F50&lt;=0.000000001,"",1/SQRT(F50))</f>
        <v/>
      </c>
      <c r="H50">
        <f>IF(OR(C50=0,C50=D50),"BIÊN","")</f>
        <v/>
      </c>
    </row>
    <row r="51">
      <c r="A51" t="n">
        <v>50</v>
      </c>
      <c r="B51">
        <f>'01_Data'!A51</f>
        <v/>
      </c>
      <c r="C51">
        <f>'03_Lap_Theta'!C51</f>
        <v/>
      </c>
      <c r="D51">
        <f>'03_Lap_Theta'!D51</f>
        <v/>
      </c>
      <c r="E51" s="5">
        <f>'03_Lap_Theta'!$AC51</f>
        <v/>
      </c>
      <c r="F51" s="5">
        <f>SUMPRODUCT(('01_Data'!$B51:$AW51&lt;&gt;"")*(1/(1+EXP(-('03_Lap_Theta'!$AC51-'03_Lap_b'!$B$45:$AW$45))))*(1-(1/(1+EXP(-('03_Lap_Theta'!$AC51-'03_Lap_b'!$B$45:$AW$45))))))</f>
        <v/>
      </c>
      <c r="G51" s="5">
        <f>IF(F51&lt;=0.000000001,"",1/SQRT(F51))</f>
        <v/>
      </c>
      <c r="H51">
        <f>IF(OR(C51=0,C51=D51),"BIÊN","")</f>
        <v/>
      </c>
    </row>
    <row r="52">
      <c r="A52" t="n">
        <v>51</v>
      </c>
      <c r="B52">
        <f>'01_Data'!A52</f>
        <v/>
      </c>
      <c r="C52">
        <f>'03_Lap_Theta'!C52</f>
        <v/>
      </c>
      <c r="D52">
        <f>'03_Lap_Theta'!D52</f>
        <v/>
      </c>
      <c r="E52" s="5">
        <f>'03_Lap_Theta'!$AC52</f>
        <v/>
      </c>
      <c r="F52" s="5">
        <f>SUMPRODUCT(('01_Data'!$B52:$AW52&lt;&gt;"")*(1/(1+EXP(-('03_Lap_Theta'!$AC52-'03_Lap_b'!$B$45:$AW$45))))*(1-(1/(1+EXP(-('03_Lap_Theta'!$AC52-'03_Lap_b'!$B$45:$AW$45))))))</f>
        <v/>
      </c>
      <c r="G52" s="5">
        <f>IF(F52&lt;=0.000000001,"",1/SQRT(F52))</f>
        <v/>
      </c>
      <c r="H52">
        <f>IF(OR(C52=0,C52=D52),"BIÊN","")</f>
        <v/>
      </c>
    </row>
    <row r="53">
      <c r="A53" t="n">
        <v>52</v>
      </c>
      <c r="B53">
        <f>'01_Data'!A53</f>
        <v/>
      </c>
      <c r="C53">
        <f>'03_Lap_Theta'!C53</f>
        <v/>
      </c>
      <c r="D53">
        <f>'03_Lap_Theta'!D53</f>
        <v/>
      </c>
      <c r="E53" s="5">
        <f>'03_Lap_Theta'!$AC53</f>
        <v/>
      </c>
      <c r="F53" s="5">
        <f>SUMPRODUCT(('01_Data'!$B53:$AW53&lt;&gt;"")*(1/(1+EXP(-('03_Lap_Theta'!$AC53-'03_Lap_b'!$B$45:$AW$45))))*(1-(1/(1+EXP(-('03_Lap_Theta'!$AC53-'03_Lap_b'!$B$45:$AW$45))))))</f>
        <v/>
      </c>
      <c r="G53" s="5">
        <f>IF(F53&lt;=0.000000001,"",1/SQRT(F53))</f>
        <v/>
      </c>
      <c r="H53">
        <f>IF(OR(C53=0,C53=D53),"BIÊN","")</f>
        <v/>
      </c>
    </row>
    <row r="54">
      <c r="A54" t="n">
        <v>53</v>
      </c>
      <c r="B54">
        <f>'01_Data'!A54</f>
        <v/>
      </c>
      <c r="C54">
        <f>'03_Lap_Theta'!C54</f>
        <v/>
      </c>
      <c r="D54">
        <f>'03_Lap_Theta'!D54</f>
        <v/>
      </c>
      <c r="E54" s="5">
        <f>'03_Lap_Theta'!$AC54</f>
        <v/>
      </c>
      <c r="F54" s="5">
        <f>SUMPRODUCT(('01_Data'!$B54:$AW54&lt;&gt;"")*(1/(1+EXP(-('03_Lap_Theta'!$AC54-'03_Lap_b'!$B$45:$AW$45))))*(1-(1/(1+EXP(-('03_Lap_Theta'!$AC54-'03_Lap_b'!$B$45:$AW$45))))))</f>
        <v/>
      </c>
      <c r="G54" s="5">
        <f>IF(F54&lt;=0.000000001,"",1/SQRT(F54))</f>
        <v/>
      </c>
      <c r="H54">
        <f>IF(OR(C54=0,C54=D54),"BIÊN","")</f>
        <v/>
      </c>
    </row>
    <row r="55">
      <c r="A55" t="n">
        <v>54</v>
      </c>
      <c r="B55">
        <f>'01_Data'!A55</f>
        <v/>
      </c>
      <c r="C55">
        <f>'03_Lap_Theta'!C55</f>
        <v/>
      </c>
      <c r="D55">
        <f>'03_Lap_Theta'!D55</f>
        <v/>
      </c>
      <c r="E55" s="5">
        <f>'03_Lap_Theta'!$AC55</f>
        <v/>
      </c>
      <c r="F55" s="5">
        <f>SUMPRODUCT(('01_Data'!$B55:$AW55&lt;&gt;"")*(1/(1+EXP(-('03_Lap_Theta'!$AC55-'03_Lap_b'!$B$45:$AW$45))))*(1-(1/(1+EXP(-('03_Lap_Theta'!$AC55-'03_Lap_b'!$B$45:$AW$45))))))</f>
        <v/>
      </c>
      <c r="G55" s="5">
        <f>IF(F55&lt;=0.000000001,"",1/SQRT(F55))</f>
        <v/>
      </c>
      <c r="H55">
        <f>IF(OR(C55=0,C55=D55),"BIÊN","")</f>
        <v/>
      </c>
    </row>
    <row r="56">
      <c r="A56" t="n">
        <v>55</v>
      </c>
      <c r="B56">
        <f>'01_Data'!A56</f>
        <v/>
      </c>
      <c r="C56">
        <f>'03_Lap_Theta'!C56</f>
        <v/>
      </c>
      <c r="D56">
        <f>'03_Lap_Theta'!D56</f>
        <v/>
      </c>
      <c r="E56" s="5">
        <f>'03_Lap_Theta'!$AC56</f>
        <v/>
      </c>
      <c r="F56" s="5">
        <f>SUMPRODUCT(('01_Data'!$B56:$AW56&lt;&gt;"")*(1/(1+EXP(-('03_Lap_Theta'!$AC56-'03_Lap_b'!$B$45:$AW$45))))*(1-(1/(1+EXP(-('03_Lap_Theta'!$AC56-'03_Lap_b'!$B$45:$AW$45))))))</f>
        <v/>
      </c>
      <c r="G56" s="5">
        <f>IF(F56&lt;=0.000000001,"",1/SQRT(F56))</f>
        <v/>
      </c>
      <c r="H56">
        <f>IF(OR(C56=0,C56=D56),"BIÊN","")</f>
        <v/>
      </c>
    </row>
    <row r="57">
      <c r="A57" t="n">
        <v>56</v>
      </c>
      <c r="B57">
        <f>'01_Data'!A57</f>
        <v/>
      </c>
      <c r="C57">
        <f>'03_Lap_Theta'!C57</f>
        <v/>
      </c>
      <c r="D57">
        <f>'03_Lap_Theta'!D57</f>
        <v/>
      </c>
      <c r="E57" s="5">
        <f>'03_Lap_Theta'!$AC57</f>
        <v/>
      </c>
      <c r="F57" s="5">
        <f>SUMPRODUCT(('01_Data'!$B57:$AW57&lt;&gt;"")*(1/(1+EXP(-('03_Lap_Theta'!$AC57-'03_Lap_b'!$B$45:$AW$45))))*(1-(1/(1+EXP(-('03_Lap_Theta'!$AC57-'03_Lap_b'!$B$45:$AW$45))))))</f>
        <v/>
      </c>
      <c r="G57" s="5">
        <f>IF(F57&lt;=0.000000001,"",1/SQRT(F57))</f>
        <v/>
      </c>
      <c r="H57">
        <f>IF(OR(C57=0,C57=D57),"BIÊN","")</f>
        <v/>
      </c>
    </row>
    <row r="58">
      <c r="A58" t="n">
        <v>57</v>
      </c>
      <c r="B58">
        <f>'01_Data'!A58</f>
        <v/>
      </c>
      <c r="C58">
        <f>'03_Lap_Theta'!C58</f>
        <v/>
      </c>
      <c r="D58">
        <f>'03_Lap_Theta'!D58</f>
        <v/>
      </c>
      <c r="E58" s="5">
        <f>'03_Lap_Theta'!$AC58</f>
        <v/>
      </c>
      <c r="F58" s="5">
        <f>SUMPRODUCT(('01_Data'!$B58:$AW58&lt;&gt;"")*(1/(1+EXP(-('03_Lap_Theta'!$AC58-'03_Lap_b'!$B$45:$AW$45))))*(1-(1/(1+EXP(-('03_Lap_Theta'!$AC58-'03_Lap_b'!$B$45:$AW$45))))))</f>
        <v/>
      </c>
      <c r="G58" s="5">
        <f>IF(F58&lt;=0.000000001,"",1/SQRT(F58))</f>
        <v/>
      </c>
      <c r="H58">
        <f>IF(OR(C58=0,C58=D58),"BIÊN","")</f>
        <v/>
      </c>
    </row>
    <row r="59">
      <c r="A59" t="n">
        <v>58</v>
      </c>
      <c r="B59">
        <f>'01_Data'!A59</f>
        <v/>
      </c>
      <c r="C59">
        <f>'03_Lap_Theta'!C59</f>
        <v/>
      </c>
      <c r="D59">
        <f>'03_Lap_Theta'!D59</f>
        <v/>
      </c>
      <c r="E59" s="5">
        <f>'03_Lap_Theta'!$AC59</f>
        <v/>
      </c>
      <c r="F59" s="5">
        <f>SUMPRODUCT(('01_Data'!$B59:$AW59&lt;&gt;"")*(1/(1+EXP(-('03_Lap_Theta'!$AC59-'03_Lap_b'!$B$45:$AW$45))))*(1-(1/(1+EXP(-('03_Lap_Theta'!$AC59-'03_Lap_b'!$B$45:$AW$45))))))</f>
        <v/>
      </c>
      <c r="G59" s="5">
        <f>IF(F59&lt;=0.000000001,"",1/SQRT(F59))</f>
        <v/>
      </c>
      <c r="H59">
        <f>IF(OR(C59=0,C59=D59),"BIÊN","")</f>
        <v/>
      </c>
    </row>
    <row r="60">
      <c r="A60" t="n">
        <v>59</v>
      </c>
      <c r="B60">
        <f>'01_Data'!A60</f>
        <v/>
      </c>
      <c r="C60">
        <f>'03_Lap_Theta'!C60</f>
        <v/>
      </c>
      <c r="D60">
        <f>'03_Lap_Theta'!D60</f>
        <v/>
      </c>
      <c r="E60" s="5">
        <f>'03_Lap_Theta'!$AC60</f>
        <v/>
      </c>
      <c r="F60" s="5">
        <f>SUMPRODUCT(('01_Data'!$B60:$AW60&lt;&gt;"")*(1/(1+EXP(-('03_Lap_Theta'!$AC60-'03_Lap_b'!$B$45:$AW$45))))*(1-(1/(1+EXP(-('03_Lap_Theta'!$AC60-'03_Lap_b'!$B$45:$AW$45))))))</f>
        <v/>
      </c>
      <c r="G60" s="5">
        <f>IF(F60&lt;=0.000000001,"",1/SQRT(F60))</f>
        <v/>
      </c>
      <c r="H60">
        <f>IF(OR(C60=0,C60=D60),"BIÊN","")</f>
        <v/>
      </c>
    </row>
    <row r="61">
      <c r="A61" t="n">
        <v>60</v>
      </c>
      <c r="B61">
        <f>'01_Data'!A61</f>
        <v/>
      </c>
      <c r="C61">
        <f>'03_Lap_Theta'!C61</f>
        <v/>
      </c>
      <c r="D61">
        <f>'03_Lap_Theta'!D61</f>
        <v/>
      </c>
      <c r="E61" s="5">
        <f>'03_Lap_Theta'!$AC61</f>
        <v/>
      </c>
      <c r="F61" s="5">
        <f>SUMPRODUCT(('01_Data'!$B61:$AW61&lt;&gt;"")*(1/(1+EXP(-('03_Lap_Theta'!$AC61-'03_Lap_b'!$B$45:$AW$45))))*(1-(1/(1+EXP(-('03_Lap_Theta'!$AC61-'03_Lap_b'!$B$45:$AW$45))))))</f>
        <v/>
      </c>
      <c r="G61" s="5">
        <f>IF(F61&lt;=0.000000001,"",1/SQRT(F61))</f>
        <v/>
      </c>
      <c r="H61">
        <f>IF(OR(C61=0,C61=D61),"BIÊN","")</f>
        <v/>
      </c>
    </row>
    <row r="62">
      <c r="A62" t="n">
        <v>61</v>
      </c>
      <c r="B62">
        <f>'01_Data'!A62</f>
        <v/>
      </c>
      <c r="C62">
        <f>'03_Lap_Theta'!C62</f>
        <v/>
      </c>
      <c r="D62">
        <f>'03_Lap_Theta'!D62</f>
        <v/>
      </c>
      <c r="E62" s="5">
        <f>'03_Lap_Theta'!$AC62</f>
        <v/>
      </c>
      <c r="F62" s="5">
        <f>SUMPRODUCT(('01_Data'!$B62:$AW62&lt;&gt;"")*(1/(1+EXP(-('03_Lap_Theta'!$AC62-'03_Lap_b'!$B$45:$AW$45))))*(1-(1/(1+EXP(-('03_Lap_Theta'!$AC62-'03_Lap_b'!$B$45:$AW$45))))))</f>
        <v/>
      </c>
      <c r="G62" s="5">
        <f>IF(F62&lt;=0.000000001,"",1/SQRT(F62))</f>
        <v/>
      </c>
      <c r="H62">
        <f>IF(OR(C62=0,C62=D62),"BIÊN","")</f>
        <v/>
      </c>
    </row>
    <row r="63">
      <c r="A63" t="n">
        <v>62</v>
      </c>
      <c r="B63">
        <f>'01_Data'!A63</f>
        <v/>
      </c>
      <c r="C63">
        <f>'03_Lap_Theta'!C63</f>
        <v/>
      </c>
      <c r="D63">
        <f>'03_Lap_Theta'!D63</f>
        <v/>
      </c>
      <c r="E63" s="5">
        <f>'03_Lap_Theta'!$AC63</f>
        <v/>
      </c>
      <c r="F63" s="5">
        <f>SUMPRODUCT(('01_Data'!$B63:$AW63&lt;&gt;"")*(1/(1+EXP(-('03_Lap_Theta'!$AC63-'03_Lap_b'!$B$45:$AW$45))))*(1-(1/(1+EXP(-('03_Lap_Theta'!$AC63-'03_Lap_b'!$B$45:$AW$45))))))</f>
        <v/>
      </c>
      <c r="G63" s="5">
        <f>IF(F63&lt;=0.000000001,"",1/SQRT(F63))</f>
        <v/>
      </c>
      <c r="H63">
        <f>IF(OR(C63=0,C63=D63),"BIÊN","")</f>
        <v/>
      </c>
    </row>
    <row r="64">
      <c r="A64" t="n">
        <v>63</v>
      </c>
      <c r="B64">
        <f>'01_Data'!A64</f>
        <v/>
      </c>
      <c r="C64">
        <f>'03_Lap_Theta'!C64</f>
        <v/>
      </c>
      <c r="D64">
        <f>'03_Lap_Theta'!D64</f>
        <v/>
      </c>
      <c r="E64" s="5">
        <f>'03_Lap_Theta'!$AC64</f>
        <v/>
      </c>
      <c r="F64" s="5">
        <f>SUMPRODUCT(('01_Data'!$B64:$AW64&lt;&gt;"")*(1/(1+EXP(-('03_Lap_Theta'!$AC64-'03_Lap_b'!$B$45:$AW$45))))*(1-(1/(1+EXP(-('03_Lap_Theta'!$AC64-'03_Lap_b'!$B$45:$AW$45))))))</f>
        <v/>
      </c>
      <c r="G64" s="5">
        <f>IF(F64&lt;=0.000000001,"",1/SQRT(F64))</f>
        <v/>
      </c>
      <c r="H64">
        <f>IF(OR(C64=0,C64=D64),"BIÊN","")</f>
        <v/>
      </c>
    </row>
    <row r="65">
      <c r="A65" t="n">
        <v>64</v>
      </c>
      <c r="B65">
        <f>'01_Data'!A65</f>
        <v/>
      </c>
      <c r="C65">
        <f>'03_Lap_Theta'!C65</f>
        <v/>
      </c>
      <c r="D65">
        <f>'03_Lap_Theta'!D65</f>
        <v/>
      </c>
      <c r="E65" s="5">
        <f>'03_Lap_Theta'!$AC65</f>
        <v/>
      </c>
      <c r="F65" s="5">
        <f>SUMPRODUCT(('01_Data'!$B65:$AW65&lt;&gt;"")*(1/(1+EXP(-('03_Lap_Theta'!$AC65-'03_Lap_b'!$B$45:$AW$45))))*(1-(1/(1+EXP(-('03_Lap_Theta'!$AC65-'03_Lap_b'!$B$45:$AW$45))))))</f>
        <v/>
      </c>
      <c r="G65" s="5">
        <f>IF(F65&lt;=0.000000001,"",1/SQRT(F65))</f>
        <v/>
      </c>
      <c r="H65">
        <f>IF(OR(C65=0,C65=D65),"BIÊN","")</f>
        <v/>
      </c>
    </row>
    <row r="66">
      <c r="A66" t="n">
        <v>65</v>
      </c>
      <c r="B66">
        <f>'01_Data'!A66</f>
        <v/>
      </c>
      <c r="C66">
        <f>'03_Lap_Theta'!C66</f>
        <v/>
      </c>
      <c r="D66">
        <f>'03_Lap_Theta'!D66</f>
        <v/>
      </c>
      <c r="E66" s="5">
        <f>'03_Lap_Theta'!$AC66</f>
        <v/>
      </c>
      <c r="F66" s="5">
        <f>SUMPRODUCT(('01_Data'!$B66:$AW66&lt;&gt;"")*(1/(1+EXP(-('03_Lap_Theta'!$AC66-'03_Lap_b'!$B$45:$AW$45))))*(1-(1/(1+EXP(-('03_Lap_Theta'!$AC66-'03_Lap_b'!$B$45:$AW$45))))))</f>
        <v/>
      </c>
      <c r="G66" s="5">
        <f>IF(F66&lt;=0.000000001,"",1/SQRT(F66))</f>
        <v/>
      </c>
      <c r="H66">
        <f>IF(OR(C66=0,C66=D66),"BIÊN","")</f>
        <v/>
      </c>
    </row>
    <row r="67">
      <c r="A67" t="n">
        <v>66</v>
      </c>
      <c r="B67">
        <f>'01_Data'!A67</f>
        <v/>
      </c>
      <c r="C67">
        <f>'03_Lap_Theta'!C67</f>
        <v/>
      </c>
      <c r="D67">
        <f>'03_Lap_Theta'!D67</f>
        <v/>
      </c>
      <c r="E67" s="5">
        <f>'03_Lap_Theta'!$AC67</f>
        <v/>
      </c>
      <c r="F67" s="5">
        <f>SUMPRODUCT(('01_Data'!$B67:$AW67&lt;&gt;"")*(1/(1+EXP(-('03_Lap_Theta'!$AC67-'03_Lap_b'!$B$45:$AW$45))))*(1-(1/(1+EXP(-('03_Lap_Theta'!$AC67-'03_Lap_b'!$B$45:$AW$45))))))</f>
        <v/>
      </c>
      <c r="G67" s="5">
        <f>IF(F67&lt;=0.000000001,"",1/SQRT(F67))</f>
        <v/>
      </c>
      <c r="H67">
        <f>IF(OR(C67=0,C67=D67),"BIÊN","")</f>
        <v/>
      </c>
    </row>
    <row r="68">
      <c r="A68" t="n">
        <v>67</v>
      </c>
      <c r="B68">
        <f>'01_Data'!A68</f>
        <v/>
      </c>
      <c r="C68">
        <f>'03_Lap_Theta'!C68</f>
        <v/>
      </c>
      <c r="D68">
        <f>'03_Lap_Theta'!D68</f>
        <v/>
      </c>
      <c r="E68" s="5">
        <f>'03_Lap_Theta'!$AC68</f>
        <v/>
      </c>
      <c r="F68" s="5">
        <f>SUMPRODUCT(('01_Data'!$B68:$AW68&lt;&gt;"")*(1/(1+EXP(-('03_Lap_Theta'!$AC68-'03_Lap_b'!$B$45:$AW$45))))*(1-(1/(1+EXP(-('03_Lap_Theta'!$AC68-'03_Lap_b'!$B$45:$AW$45))))))</f>
        <v/>
      </c>
      <c r="G68" s="5">
        <f>IF(F68&lt;=0.000000001,"",1/SQRT(F68))</f>
        <v/>
      </c>
      <c r="H68">
        <f>IF(OR(C68=0,C68=D68),"BIÊN","")</f>
        <v/>
      </c>
    </row>
    <row r="69">
      <c r="A69" t="n">
        <v>68</v>
      </c>
      <c r="B69">
        <f>'01_Data'!A69</f>
        <v/>
      </c>
      <c r="C69">
        <f>'03_Lap_Theta'!C69</f>
        <v/>
      </c>
      <c r="D69">
        <f>'03_Lap_Theta'!D69</f>
        <v/>
      </c>
      <c r="E69" s="5">
        <f>'03_Lap_Theta'!$AC69</f>
        <v/>
      </c>
      <c r="F69" s="5">
        <f>SUMPRODUCT(('01_Data'!$B69:$AW69&lt;&gt;"")*(1/(1+EXP(-('03_Lap_Theta'!$AC69-'03_Lap_b'!$B$45:$AW$45))))*(1-(1/(1+EXP(-('03_Lap_Theta'!$AC69-'03_Lap_b'!$B$45:$AW$45))))))</f>
        <v/>
      </c>
      <c r="G69" s="5">
        <f>IF(F69&lt;=0.000000001,"",1/SQRT(F69))</f>
        <v/>
      </c>
      <c r="H69">
        <f>IF(OR(C69=0,C69=D69),"BIÊN","")</f>
        <v/>
      </c>
    </row>
    <row r="70">
      <c r="A70" t="n">
        <v>69</v>
      </c>
      <c r="B70">
        <f>'01_Data'!A70</f>
        <v/>
      </c>
      <c r="C70">
        <f>'03_Lap_Theta'!C70</f>
        <v/>
      </c>
      <c r="D70">
        <f>'03_Lap_Theta'!D70</f>
        <v/>
      </c>
      <c r="E70" s="5">
        <f>'03_Lap_Theta'!$AC70</f>
        <v/>
      </c>
      <c r="F70" s="5">
        <f>SUMPRODUCT(('01_Data'!$B70:$AW70&lt;&gt;"")*(1/(1+EXP(-('03_Lap_Theta'!$AC70-'03_Lap_b'!$B$45:$AW$45))))*(1-(1/(1+EXP(-('03_Lap_Theta'!$AC70-'03_Lap_b'!$B$45:$AW$45))))))</f>
        <v/>
      </c>
      <c r="G70" s="5">
        <f>IF(F70&lt;=0.000000001,"",1/SQRT(F70))</f>
        <v/>
      </c>
      <c r="H70">
        <f>IF(OR(C70=0,C70=D70),"BIÊN","")</f>
        <v/>
      </c>
    </row>
    <row r="71">
      <c r="A71" t="n">
        <v>70</v>
      </c>
      <c r="B71">
        <f>'01_Data'!A71</f>
        <v/>
      </c>
      <c r="C71">
        <f>'03_Lap_Theta'!C71</f>
        <v/>
      </c>
      <c r="D71">
        <f>'03_Lap_Theta'!D71</f>
        <v/>
      </c>
      <c r="E71" s="5">
        <f>'03_Lap_Theta'!$AC71</f>
        <v/>
      </c>
      <c r="F71" s="5">
        <f>SUMPRODUCT(('01_Data'!$B71:$AW71&lt;&gt;"")*(1/(1+EXP(-('03_Lap_Theta'!$AC71-'03_Lap_b'!$B$45:$AW$45))))*(1-(1/(1+EXP(-('03_Lap_Theta'!$AC71-'03_Lap_b'!$B$45:$AW$45))))))</f>
        <v/>
      </c>
      <c r="G71" s="5">
        <f>IF(F71&lt;=0.000000001,"",1/SQRT(F71))</f>
        <v/>
      </c>
      <c r="H71">
        <f>IF(OR(C71=0,C71=D71),"BIÊN","")</f>
        <v/>
      </c>
    </row>
    <row r="72">
      <c r="A72" t="n">
        <v>71</v>
      </c>
      <c r="B72">
        <f>'01_Data'!A72</f>
        <v/>
      </c>
      <c r="C72">
        <f>'03_Lap_Theta'!C72</f>
        <v/>
      </c>
      <c r="D72">
        <f>'03_Lap_Theta'!D72</f>
        <v/>
      </c>
      <c r="E72" s="5">
        <f>'03_Lap_Theta'!$AC72</f>
        <v/>
      </c>
      <c r="F72" s="5">
        <f>SUMPRODUCT(('01_Data'!$B72:$AW72&lt;&gt;"")*(1/(1+EXP(-('03_Lap_Theta'!$AC72-'03_Lap_b'!$B$45:$AW$45))))*(1-(1/(1+EXP(-('03_Lap_Theta'!$AC72-'03_Lap_b'!$B$45:$AW$45))))))</f>
        <v/>
      </c>
      <c r="G72" s="5">
        <f>IF(F72&lt;=0.000000001,"",1/SQRT(F72))</f>
        <v/>
      </c>
      <c r="H72">
        <f>IF(OR(C72=0,C72=D72),"BIÊN","")</f>
        <v/>
      </c>
    </row>
    <row r="73">
      <c r="A73" t="n">
        <v>72</v>
      </c>
      <c r="B73">
        <f>'01_Data'!A73</f>
        <v/>
      </c>
      <c r="C73">
        <f>'03_Lap_Theta'!C73</f>
        <v/>
      </c>
      <c r="D73">
        <f>'03_Lap_Theta'!D73</f>
        <v/>
      </c>
      <c r="E73" s="5">
        <f>'03_Lap_Theta'!$AC73</f>
        <v/>
      </c>
      <c r="F73" s="5">
        <f>SUMPRODUCT(('01_Data'!$B73:$AW73&lt;&gt;"")*(1/(1+EXP(-('03_Lap_Theta'!$AC73-'03_Lap_b'!$B$45:$AW$45))))*(1-(1/(1+EXP(-('03_Lap_Theta'!$AC73-'03_Lap_b'!$B$45:$AW$45))))))</f>
        <v/>
      </c>
      <c r="G73" s="5">
        <f>IF(F73&lt;=0.000000001,"",1/SQRT(F73))</f>
        <v/>
      </c>
      <c r="H73">
        <f>IF(OR(C73=0,C73=D73),"BIÊN","")</f>
        <v/>
      </c>
    </row>
    <row r="74">
      <c r="A74" t="n">
        <v>73</v>
      </c>
      <c r="B74">
        <f>'01_Data'!A74</f>
        <v/>
      </c>
      <c r="C74">
        <f>'03_Lap_Theta'!C74</f>
        <v/>
      </c>
      <c r="D74">
        <f>'03_Lap_Theta'!D74</f>
        <v/>
      </c>
      <c r="E74" s="5">
        <f>'03_Lap_Theta'!$AC74</f>
        <v/>
      </c>
      <c r="F74" s="5">
        <f>SUMPRODUCT(('01_Data'!$B74:$AW74&lt;&gt;"")*(1/(1+EXP(-('03_Lap_Theta'!$AC74-'03_Lap_b'!$B$45:$AW$45))))*(1-(1/(1+EXP(-('03_Lap_Theta'!$AC74-'03_Lap_b'!$B$45:$AW$45))))))</f>
        <v/>
      </c>
      <c r="G74" s="5">
        <f>IF(F74&lt;=0.000000001,"",1/SQRT(F74))</f>
        <v/>
      </c>
      <c r="H74">
        <f>IF(OR(C74=0,C74=D74),"BIÊN","")</f>
        <v/>
      </c>
    </row>
    <row r="75">
      <c r="A75" t="n">
        <v>74</v>
      </c>
      <c r="B75">
        <f>'01_Data'!A75</f>
        <v/>
      </c>
      <c r="C75">
        <f>'03_Lap_Theta'!C75</f>
        <v/>
      </c>
      <c r="D75">
        <f>'03_Lap_Theta'!D75</f>
        <v/>
      </c>
      <c r="E75" s="5">
        <f>'03_Lap_Theta'!$AC75</f>
        <v/>
      </c>
      <c r="F75" s="5">
        <f>SUMPRODUCT(('01_Data'!$B75:$AW75&lt;&gt;"")*(1/(1+EXP(-('03_Lap_Theta'!$AC75-'03_Lap_b'!$B$45:$AW$45))))*(1-(1/(1+EXP(-('03_Lap_Theta'!$AC75-'03_Lap_b'!$B$45:$AW$45))))))</f>
        <v/>
      </c>
      <c r="G75" s="5">
        <f>IF(F75&lt;=0.000000001,"",1/SQRT(F75))</f>
        <v/>
      </c>
      <c r="H75">
        <f>IF(OR(C75=0,C75=D75),"BIÊN","")</f>
        <v/>
      </c>
    </row>
    <row r="76">
      <c r="A76" t="n">
        <v>75</v>
      </c>
      <c r="B76">
        <f>'01_Data'!A76</f>
        <v/>
      </c>
      <c r="C76">
        <f>'03_Lap_Theta'!C76</f>
        <v/>
      </c>
      <c r="D76">
        <f>'03_Lap_Theta'!D76</f>
        <v/>
      </c>
      <c r="E76" s="5">
        <f>'03_Lap_Theta'!$AC76</f>
        <v/>
      </c>
      <c r="F76" s="5">
        <f>SUMPRODUCT(('01_Data'!$B76:$AW76&lt;&gt;"")*(1/(1+EXP(-('03_Lap_Theta'!$AC76-'03_Lap_b'!$B$45:$AW$45))))*(1-(1/(1+EXP(-('03_Lap_Theta'!$AC76-'03_Lap_b'!$B$45:$AW$45))))))</f>
        <v/>
      </c>
      <c r="G76" s="5">
        <f>IF(F76&lt;=0.000000001,"",1/SQRT(F76))</f>
        <v/>
      </c>
      <c r="H76">
        <f>IF(OR(C76=0,C76=D76),"BIÊN","")</f>
        <v/>
      </c>
    </row>
    <row r="77">
      <c r="A77" t="n">
        <v>76</v>
      </c>
      <c r="B77">
        <f>'01_Data'!A77</f>
        <v/>
      </c>
      <c r="C77">
        <f>'03_Lap_Theta'!C77</f>
        <v/>
      </c>
      <c r="D77">
        <f>'03_Lap_Theta'!D77</f>
        <v/>
      </c>
      <c r="E77" s="5">
        <f>'03_Lap_Theta'!$AC77</f>
        <v/>
      </c>
      <c r="F77" s="5">
        <f>SUMPRODUCT(('01_Data'!$B77:$AW77&lt;&gt;"")*(1/(1+EXP(-('03_Lap_Theta'!$AC77-'03_Lap_b'!$B$45:$AW$45))))*(1-(1/(1+EXP(-('03_Lap_Theta'!$AC77-'03_Lap_b'!$B$45:$AW$45))))))</f>
        <v/>
      </c>
      <c r="G77" s="5">
        <f>IF(F77&lt;=0.000000001,"",1/SQRT(F77))</f>
        <v/>
      </c>
      <c r="H77">
        <f>IF(OR(C77=0,C77=D77),"BIÊN","")</f>
        <v/>
      </c>
    </row>
    <row r="78">
      <c r="A78" t="n">
        <v>77</v>
      </c>
      <c r="B78">
        <f>'01_Data'!A78</f>
        <v/>
      </c>
      <c r="C78">
        <f>'03_Lap_Theta'!C78</f>
        <v/>
      </c>
      <c r="D78">
        <f>'03_Lap_Theta'!D78</f>
        <v/>
      </c>
      <c r="E78" s="5">
        <f>'03_Lap_Theta'!$AC78</f>
        <v/>
      </c>
      <c r="F78" s="5">
        <f>SUMPRODUCT(('01_Data'!$B78:$AW78&lt;&gt;"")*(1/(1+EXP(-('03_Lap_Theta'!$AC78-'03_Lap_b'!$B$45:$AW$45))))*(1-(1/(1+EXP(-('03_Lap_Theta'!$AC78-'03_Lap_b'!$B$45:$AW$45))))))</f>
        <v/>
      </c>
      <c r="G78" s="5">
        <f>IF(F78&lt;=0.000000001,"",1/SQRT(F78))</f>
        <v/>
      </c>
      <c r="H78">
        <f>IF(OR(C78=0,C78=D78),"BIÊN","")</f>
        <v/>
      </c>
    </row>
    <row r="79">
      <c r="A79" t="n">
        <v>78</v>
      </c>
      <c r="B79">
        <f>'01_Data'!A79</f>
        <v/>
      </c>
      <c r="C79">
        <f>'03_Lap_Theta'!C79</f>
        <v/>
      </c>
      <c r="D79">
        <f>'03_Lap_Theta'!D79</f>
        <v/>
      </c>
      <c r="E79" s="5">
        <f>'03_Lap_Theta'!$AC79</f>
        <v/>
      </c>
      <c r="F79" s="5">
        <f>SUMPRODUCT(('01_Data'!$B79:$AW79&lt;&gt;"")*(1/(1+EXP(-('03_Lap_Theta'!$AC79-'03_Lap_b'!$B$45:$AW$45))))*(1-(1/(1+EXP(-('03_Lap_Theta'!$AC79-'03_Lap_b'!$B$45:$AW$45))))))</f>
        <v/>
      </c>
      <c r="G79" s="5">
        <f>IF(F79&lt;=0.000000001,"",1/SQRT(F79))</f>
        <v/>
      </c>
      <c r="H79">
        <f>IF(OR(C79=0,C79=D79),"BIÊN","")</f>
        <v/>
      </c>
    </row>
    <row r="80">
      <c r="A80" t="n">
        <v>79</v>
      </c>
      <c r="B80">
        <f>'01_Data'!A80</f>
        <v/>
      </c>
      <c r="C80">
        <f>'03_Lap_Theta'!C80</f>
        <v/>
      </c>
      <c r="D80">
        <f>'03_Lap_Theta'!D80</f>
        <v/>
      </c>
      <c r="E80" s="5">
        <f>'03_Lap_Theta'!$AC80</f>
        <v/>
      </c>
      <c r="F80" s="5">
        <f>SUMPRODUCT(('01_Data'!$B80:$AW80&lt;&gt;"")*(1/(1+EXP(-('03_Lap_Theta'!$AC80-'03_Lap_b'!$B$45:$AW$45))))*(1-(1/(1+EXP(-('03_Lap_Theta'!$AC80-'03_Lap_b'!$B$45:$AW$45))))))</f>
        <v/>
      </c>
      <c r="G80" s="5">
        <f>IF(F80&lt;=0.000000001,"",1/SQRT(F80))</f>
        <v/>
      </c>
      <c r="H80">
        <f>IF(OR(C80=0,C80=D80),"BIÊN","")</f>
        <v/>
      </c>
    </row>
    <row r="81">
      <c r="A81" t="n">
        <v>80</v>
      </c>
      <c r="B81">
        <f>'01_Data'!A81</f>
        <v/>
      </c>
      <c r="C81">
        <f>'03_Lap_Theta'!C81</f>
        <v/>
      </c>
      <c r="D81">
        <f>'03_Lap_Theta'!D81</f>
        <v/>
      </c>
      <c r="E81" s="5">
        <f>'03_Lap_Theta'!$AC81</f>
        <v/>
      </c>
      <c r="F81" s="5">
        <f>SUMPRODUCT(('01_Data'!$B81:$AW81&lt;&gt;"")*(1/(1+EXP(-('03_Lap_Theta'!$AC81-'03_Lap_b'!$B$45:$AW$45))))*(1-(1/(1+EXP(-('03_Lap_Theta'!$AC81-'03_Lap_b'!$B$45:$AW$45))))))</f>
        <v/>
      </c>
      <c r="G81" s="5">
        <f>IF(F81&lt;=0.000000001,"",1/SQRT(F81))</f>
        <v/>
      </c>
      <c r="H81">
        <f>IF(OR(C81=0,C81=D81),"BIÊN","")</f>
        <v/>
      </c>
    </row>
    <row r="82">
      <c r="A82" t="n">
        <v>81</v>
      </c>
      <c r="B82">
        <f>'01_Data'!A82</f>
        <v/>
      </c>
      <c r="C82">
        <f>'03_Lap_Theta'!C82</f>
        <v/>
      </c>
      <c r="D82">
        <f>'03_Lap_Theta'!D82</f>
        <v/>
      </c>
      <c r="E82" s="5">
        <f>'03_Lap_Theta'!$AC82</f>
        <v/>
      </c>
      <c r="F82" s="5">
        <f>SUMPRODUCT(('01_Data'!$B82:$AW82&lt;&gt;"")*(1/(1+EXP(-('03_Lap_Theta'!$AC82-'03_Lap_b'!$B$45:$AW$45))))*(1-(1/(1+EXP(-('03_Lap_Theta'!$AC82-'03_Lap_b'!$B$45:$AW$45))))))</f>
        <v/>
      </c>
      <c r="G82" s="5">
        <f>IF(F82&lt;=0.000000001,"",1/SQRT(F82))</f>
        <v/>
      </c>
      <c r="H82">
        <f>IF(OR(C82=0,C82=D82),"BIÊN","")</f>
        <v/>
      </c>
    </row>
    <row r="83">
      <c r="A83" t="n">
        <v>82</v>
      </c>
      <c r="B83">
        <f>'01_Data'!A83</f>
        <v/>
      </c>
      <c r="C83">
        <f>'03_Lap_Theta'!C83</f>
        <v/>
      </c>
      <c r="D83">
        <f>'03_Lap_Theta'!D83</f>
        <v/>
      </c>
      <c r="E83" s="5">
        <f>'03_Lap_Theta'!$AC83</f>
        <v/>
      </c>
      <c r="F83" s="5">
        <f>SUMPRODUCT(('01_Data'!$B83:$AW83&lt;&gt;"")*(1/(1+EXP(-('03_Lap_Theta'!$AC83-'03_Lap_b'!$B$45:$AW$45))))*(1-(1/(1+EXP(-('03_Lap_Theta'!$AC83-'03_Lap_b'!$B$45:$AW$45))))))</f>
        <v/>
      </c>
      <c r="G83" s="5">
        <f>IF(F83&lt;=0.000000001,"",1/SQRT(F83))</f>
        <v/>
      </c>
      <c r="H83">
        <f>IF(OR(C83=0,C83=D83),"BIÊN","")</f>
        <v/>
      </c>
    </row>
    <row r="84">
      <c r="A84" t="n">
        <v>83</v>
      </c>
      <c r="B84">
        <f>'01_Data'!A84</f>
        <v/>
      </c>
      <c r="C84">
        <f>'03_Lap_Theta'!C84</f>
        <v/>
      </c>
      <c r="D84">
        <f>'03_Lap_Theta'!D84</f>
        <v/>
      </c>
      <c r="E84" s="5">
        <f>'03_Lap_Theta'!$AC84</f>
        <v/>
      </c>
      <c r="F84" s="5">
        <f>SUMPRODUCT(('01_Data'!$B84:$AW84&lt;&gt;"")*(1/(1+EXP(-('03_Lap_Theta'!$AC84-'03_Lap_b'!$B$45:$AW$45))))*(1-(1/(1+EXP(-('03_Lap_Theta'!$AC84-'03_Lap_b'!$B$45:$AW$45))))))</f>
        <v/>
      </c>
      <c r="G84" s="5">
        <f>IF(F84&lt;=0.000000001,"",1/SQRT(F84))</f>
        <v/>
      </c>
      <c r="H84">
        <f>IF(OR(C84=0,C84=D84),"BIÊN","")</f>
        <v/>
      </c>
    </row>
    <row r="85">
      <c r="A85" t="n">
        <v>84</v>
      </c>
      <c r="B85">
        <f>'01_Data'!A85</f>
        <v/>
      </c>
      <c r="C85">
        <f>'03_Lap_Theta'!C85</f>
        <v/>
      </c>
      <c r="D85">
        <f>'03_Lap_Theta'!D85</f>
        <v/>
      </c>
      <c r="E85" s="5">
        <f>'03_Lap_Theta'!$AC85</f>
        <v/>
      </c>
      <c r="F85" s="5">
        <f>SUMPRODUCT(('01_Data'!$B85:$AW85&lt;&gt;"")*(1/(1+EXP(-('03_Lap_Theta'!$AC85-'03_Lap_b'!$B$45:$AW$45))))*(1-(1/(1+EXP(-('03_Lap_Theta'!$AC85-'03_Lap_b'!$B$45:$AW$45))))))</f>
        <v/>
      </c>
      <c r="G85" s="5">
        <f>IF(F85&lt;=0.000000001,"",1/SQRT(F85))</f>
        <v/>
      </c>
      <c r="H85">
        <f>IF(OR(C85=0,C85=D85),"BIÊN","")</f>
        <v/>
      </c>
    </row>
    <row r="86">
      <c r="A86" t="n">
        <v>85</v>
      </c>
      <c r="B86">
        <f>'01_Data'!A86</f>
        <v/>
      </c>
      <c r="C86">
        <f>'03_Lap_Theta'!C86</f>
        <v/>
      </c>
      <c r="D86">
        <f>'03_Lap_Theta'!D86</f>
        <v/>
      </c>
      <c r="E86" s="5">
        <f>'03_Lap_Theta'!$AC86</f>
        <v/>
      </c>
      <c r="F86" s="5">
        <f>SUMPRODUCT(('01_Data'!$B86:$AW86&lt;&gt;"")*(1/(1+EXP(-('03_Lap_Theta'!$AC86-'03_Lap_b'!$B$45:$AW$45))))*(1-(1/(1+EXP(-('03_Lap_Theta'!$AC86-'03_Lap_b'!$B$45:$AW$45))))))</f>
        <v/>
      </c>
      <c r="G86" s="5">
        <f>IF(F86&lt;=0.000000001,"",1/SQRT(F86))</f>
        <v/>
      </c>
      <c r="H86">
        <f>IF(OR(C86=0,C86=D86),"BIÊN","")</f>
        <v/>
      </c>
    </row>
    <row r="87">
      <c r="A87" t="n">
        <v>86</v>
      </c>
      <c r="B87">
        <f>'01_Data'!A87</f>
        <v/>
      </c>
      <c r="C87">
        <f>'03_Lap_Theta'!C87</f>
        <v/>
      </c>
      <c r="D87">
        <f>'03_Lap_Theta'!D87</f>
        <v/>
      </c>
      <c r="E87" s="5">
        <f>'03_Lap_Theta'!$AC87</f>
        <v/>
      </c>
      <c r="F87" s="5">
        <f>SUMPRODUCT(('01_Data'!$B87:$AW87&lt;&gt;"")*(1/(1+EXP(-('03_Lap_Theta'!$AC87-'03_Lap_b'!$B$45:$AW$45))))*(1-(1/(1+EXP(-('03_Lap_Theta'!$AC87-'03_Lap_b'!$B$45:$AW$45))))))</f>
        <v/>
      </c>
      <c r="G87" s="5">
        <f>IF(F87&lt;=0.000000001,"",1/SQRT(F87))</f>
        <v/>
      </c>
      <c r="H87">
        <f>IF(OR(C87=0,C87=D87),"BIÊN","")</f>
        <v/>
      </c>
    </row>
    <row r="88">
      <c r="A88" t="n">
        <v>87</v>
      </c>
      <c r="B88">
        <f>'01_Data'!A88</f>
        <v/>
      </c>
      <c r="C88">
        <f>'03_Lap_Theta'!C88</f>
        <v/>
      </c>
      <c r="D88">
        <f>'03_Lap_Theta'!D88</f>
        <v/>
      </c>
      <c r="E88" s="5">
        <f>'03_Lap_Theta'!$AC88</f>
        <v/>
      </c>
      <c r="F88" s="5">
        <f>SUMPRODUCT(('01_Data'!$B88:$AW88&lt;&gt;"")*(1/(1+EXP(-('03_Lap_Theta'!$AC88-'03_Lap_b'!$B$45:$AW$45))))*(1-(1/(1+EXP(-('03_Lap_Theta'!$AC88-'03_Lap_b'!$B$45:$AW$45))))))</f>
        <v/>
      </c>
      <c r="G88" s="5">
        <f>IF(F88&lt;=0.000000001,"",1/SQRT(F88))</f>
        <v/>
      </c>
      <c r="H88">
        <f>IF(OR(C88=0,C88=D88),"BIÊN","")</f>
        <v/>
      </c>
    </row>
    <row r="89">
      <c r="A89" t="n">
        <v>88</v>
      </c>
      <c r="B89">
        <f>'01_Data'!A89</f>
        <v/>
      </c>
      <c r="C89">
        <f>'03_Lap_Theta'!C89</f>
        <v/>
      </c>
      <c r="D89">
        <f>'03_Lap_Theta'!D89</f>
        <v/>
      </c>
      <c r="E89" s="5">
        <f>'03_Lap_Theta'!$AC89</f>
        <v/>
      </c>
      <c r="F89" s="5">
        <f>SUMPRODUCT(('01_Data'!$B89:$AW89&lt;&gt;"")*(1/(1+EXP(-('03_Lap_Theta'!$AC89-'03_Lap_b'!$B$45:$AW$45))))*(1-(1/(1+EXP(-('03_Lap_Theta'!$AC89-'03_Lap_b'!$B$45:$AW$45))))))</f>
        <v/>
      </c>
      <c r="G89" s="5">
        <f>IF(F89&lt;=0.000000001,"",1/SQRT(F89))</f>
        <v/>
      </c>
      <c r="H89">
        <f>IF(OR(C89=0,C89=D89),"BIÊN","")</f>
        <v/>
      </c>
    </row>
    <row r="90">
      <c r="A90" t="n">
        <v>89</v>
      </c>
      <c r="B90">
        <f>'01_Data'!A90</f>
        <v/>
      </c>
      <c r="C90">
        <f>'03_Lap_Theta'!C90</f>
        <v/>
      </c>
      <c r="D90">
        <f>'03_Lap_Theta'!D90</f>
        <v/>
      </c>
      <c r="E90" s="5">
        <f>'03_Lap_Theta'!$AC90</f>
        <v/>
      </c>
      <c r="F90" s="5">
        <f>SUMPRODUCT(('01_Data'!$B90:$AW90&lt;&gt;"")*(1/(1+EXP(-('03_Lap_Theta'!$AC90-'03_Lap_b'!$B$45:$AW$45))))*(1-(1/(1+EXP(-('03_Lap_Theta'!$AC90-'03_Lap_b'!$B$45:$AW$45))))))</f>
        <v/>
      </c>
      <c r="G90" s="5">
        <f>IF(F90&lt;=0.000000001,"",1/SQRT(F90))</f>
        <v/>
      </c>
      <c r="H90">
        <f>IF(OR(C90=0,C90=D90),"BIÊN","")</f>
        <v/>
      </c>
    </row>
    <row r="91">
      <c r="A91" t="n">
        <v>90</v>
      </c>
      <c r="B91">
        <f>'01_Data'!A91</f>
        <v/>
      </c>
      <c r="C91">
        <f>'03_Lap_Theta'!C91</f>
        <v/>
      </c>
      <c r="D91">
        <f>'03_Lap_Theta'!D91</f>
        <v/>
      </c>
      <c r="E91" s="5">
        <f>'03_Lap_Theta'!$AC91</f>
        <v/>
      </c>
      <c r="F91" s="5">
        <f>SUMPRODUCT(('01_Data'!$B91:$AW91&lt;&gt;"")*(1/(1+EXP(-('03_Lap_Theta'!$AC91-'03_Lap_b'!$B$45:$AW$45))))*(1-(1/(1+EXP(-('03_Lap_Theta'!$AC91-'03_Lap_b'!$B$45:$AW$45))))))</f>
        <v/>
      </c>
      <c r="G91" s="5">
        <f>IF(F91&lt;=0.000000001,"",1/SQRT(F91))</f>
        <v/>
      </c>
      <c r="H91">
        <f>IF(OR(C91=0,C91=D91),"BIÊN","")</f>
        <v/>
      </c>
    </row>
    <row r="92">
      <c r="A92" t="n">
        <v>91</v>
      </c>
      <c r="B92">
        <f>'01_Data'!A92</f>
        <v/>
      </c>
      <c r="C92">
        <f>'03_Lap_Theta'!C92</f>
        <v/>
      </c>
      <c r="D92">
        <f>'03_Lap_Theta'!D92</f>
        <v/>
      </c>
      <c r="E92" s="5">
        <f>'03_Lap_Theta'!$AC92</f>
        <v/>
      </c>
      <c r="F92" s="5">
        <f>SUMPRODUCT(('01_Data'!$B92:$AW92&lt;&gt;"")*(1/(1+EXP(-('03_Lap_Theta'!$AC92-'03_Lap_b'!$B$45:$AW$45))))*(1-(1/(1+EXP(-('03_Lap_Theta'!$AC92-'03_Lap_b'!$B$45:$AW$45))))))</f>
        <v/>
      </c>
      <c r="G92" s="5">
        <f>IF(F92&lt;=0.000000001,"",1/SQRT(F92))</f>
        <v/>
      </c>
      <c r="H92">
        <f>IF(OR(C92=0,C92=D92),"BIÊN","")</f>
        <v/>
      </c>
    </row>
    <row r="93">
      <c r="A93" t="n">
        <v>92</v>
      </c>
      <c r="B93">
        <f>'01_Data'!A93</f>
        <v/>
      </c>
      <c r="C93">
        <f>'03_Lap_Theta'!C93</f>
        <v/>
      </c>
      <c r="D93">
        <f>'03_Lap_Theta'!D93</f>
        <v/>
      </c>
      <c r="E93" s="5">
        <f>'03_Lap_Theta'!$AC93</f>
        <v/>
      </c>
      <c r="F93" s="5">
        <f>SUMPRODUCT(('01_Data'!$B93:$AW93&lt;&gt;"")*(1/(1+EXP(-('03_Lap_Theta'!$AC93-'03_Lap_b'!$B$45:$AW$45))))*(1-(1/(1+EXP(-('03_Lap_Theta'!$AC93-'03_Lap_b'!$B$45:$AW$45))))))</f>
        <v/>
      </c>
      <c r="G93" s="5">
        <f>IF(F93&lt;=0.000000001,"",1/SQRT(F93))</f>
        <v/>
      </c>
      <c r="H93">
        <f>IF(OR(C93=0,C93=D93),"BIÊN","")</f>
        <v/>
      </c>
    </row>
    <row r="94">
      <c r="A94" t="n">
        <v>93</v>
      </c>
      <c r="B94">
        <f>'01_Data'!A94</f>
        <v/>
      </c>
      <c r="C94">
        <f>'03_Lap_Theta'!C94</f>
        <v/>
      </c>
      <c r="D94">
        <f>'03_Lap_Theta'!D94</f>
        <v/>
      </c>
      <c r="E94" s="5">
        <f>'03_Lap_Theta'!$AC94</f>
        <v/>
      </c>
      <c r="F94" s="5">
        <f>SUMPRODUCT(('01_Data'!$B94:$AW94&lt;&gt;"")*(1/(1+EXP(-('03_Lap_Theta'!$AC94-'03_Lap_b'!$B$45:$AW$45))))*(1-(1/(1+EXP(-('03_Lap_Theta'!$AC94-'03_Lap_b'!$B$45:$AW$45))))))</f>
        <v/>
      </c>
      <c r="G94" s="5">
        <f>IF(F94&lt;=0.000000001,"",1/SQRT(F94))</f>
        <v/>
      </c>
      <c r="H94">
        <f>IF(OR(C94=0,C94=D94),"BIÊN","")</f>
        <v/>
      </c>
    </row>
    <row r="95">
      <c r="A95" t="n">
        <v>94</v>
      </c>
      <c r="B95">
        <f>'01_Data'!A95</f>
        <v/>
      </c>
      <c r="C95">
        <f>'03_Lap_Theta'!C95</f>
        <v/>
      </c>
      <c r="D95">
        <f>'03_Lap_Theta'!D95</f>
        <v/>
      </c>
      <c r="E95" s="5">
        <f>'03_Lap_Theta'!$AC95</f>
        <v/>
      </c>
      <c r="F95" s="5">
        <f>SUMPRODUCT(('01_Data'!$B95:$AW95&lt;&gt;"")*(1/(1+EXP(-('03_Lap_Theta'!$AC95-'03_Lap_b'!$B$45:$AW$45))))*(1-(1/(1+EXP(-('03_Lap_Theta'!$AC95-'03_Lap_b'!$B$45:$AW$45))))))</f>
        <v/>
      </c>
      <c r="G95" s="5">
        <f>IF(F95&lt;=0.000000001,"",1/SQRT(F95))</f>
        <v/>
      </c>
      <c r="H95">
        <f>IF(OR(C95=0,C95=D95),"BIÊN","")</f>
        <v/>
      </c>
    </row>
    <row r="96">
      <c r="A96" t="n">
        <v>95</v>
      </c>
      <c r="B96">
        <f>'01_Data'!A96</f>
        <v/>
      </c>
      <c r="C96">
        <f>'03_Lap_Theta'!C96</f>
        <v/>
      </c>
      <c r="D96">
        <f>'03_Lap_Theta'!D96</f>
        <v/>
      </c>
      <c r="E96" s="5">
        <f>'03_Lap_Theta'!$AC96</f>
        <v/>
      </c>
      <c r="F96" s="5">
        <f>SUMPRODUCT(('01_Data'!$B96:$AW96&lt;&gt;"")*(1/(1+EXP(-('03_Lap_Theta'!$AC96-'03_Lap_b'!$B$45:$AW$45))))*(1-(1/(1+EXP(-('03_Lap_Theta'!$AC96-'03_Lap_b'!$B$45:$AW$45))))))</f>
        <v/>
      </c>
      <c r="G96" s="5">
        <f>IF(F96&lt;=0.000000001,"",1/SQRT(F96))</f>
        <v/>
      </c>
      <c r="H96">
        <f>IF(OR(C96=0,C96=D96),"BIÊN","")</f>
        <v/>
      </c>
    </row>
    <row r="97">
      <c r="A97" t="n">
        <v>96</v>
      </c>
      <c r="B97">
        <f>'01_Data'!A97</f>
        <v/>
      </c>
      <c r="C97">
        <f>'03_Lap_Theta'!C97</f>
        <v/>
      </c>
      <c r="D97">
        <f>'03_Lap_Theta'!D97</f>
        <v/>
      </c>
      <c r="E97" s="5">
        <f>'03_Lap_Theta'!$AC97</f>
        <v/>
      </c>
      <c r="F97" s="5">
        <f>SUMPRODUCT(('01_Data'!$B97:$AW97&lt;&gt;"")*(1/(1+EXP(-('03_Lap_Theta'!$AC97-'03_Lap_b'!$B$45:$AW$45))))*(1-(1/(1+EXP(-('03_Lap_Theta'!$AC97-'03_Lap_b'!$B$45:$AW$45))))))</f>
        <v/>
      </c>
      <c r="G97" s="5">
        <f>IF(F97&lt;=0.000000001,"",1/SQRT(F97))</f>
        <v/>
      </c>
      <c r="H97">
        <f>IF(OR(C97=0,C97=D97),"BIÊN","")</f>
        <v/>
      </c>
    </row>
    <row r="98">
      <c r="A98" t="n">
        <v>97</v>
      </c>
      <c r="B98">
        <f>'01_Data'!A98</f>
        <v/>
      </c>
      <c r="C98">
        <f>'03_Lap_Theta'!C98</f>
        <v/>
      </c>
      <c r="D98">
        <f>'03_Lap_Theta'!D98</f>
        <v/>
      </c>
      <c r="E98" s="5">
        <f>'03_Lap_Theta'!$AC98</f>
        <v/>
      </c>
      <c r="F98" s="5">
        <f>SUMPRODUCT(('01_Data'!$B98:$AW98&lt;&gt;"")*(1/(1+EXP(-('03_Lap_Theta'!$AC98-'03_Lap_b'!$B$45:$AW$45))))*(1-(1/(1+EXP(-('03_Lap_Theta'!$AC98-'03_Lap_b'!$B$45:$AW$45))))))</f>
        <v/>
      </c>
      <c r="G98" s="5">
        <f>IF(F98&lt;=0.000000001,"",1/SQRT(F98))</f>
        <v/>
      </c>
      <c r="H98">
        <f>IF(OR(C98=0,C98=D98),"BIÊN","")</f>
        <v/>
      </c>
    </row>
    <row r="99">
      <c r="A99" t="n">
        <v>98</v>
      </c>
      <c r="B99">
        <f>'01_Data'!A99</f>
        <v/>
      </c>
      <c r="C99">
        <f>'03_Lap_Theta'!C99</f>
        <v/>
      </c>
      <c r="D99">
        <f>'03_Lap_Theta'!D99</f>
        <v/>
      </c>
      <c r="E99" s="5">
        <f>'03_Lap_Theta'!$AC99</f>
        <v/>
      </c>
      <c r="F99" s="5">
        <f>SUMPRODUCT(('01_Data'!$B99:$AW99&lt;&gt;"")*(1/(1+EXP(-('03_Lap_Theta'!$AC99-'03_Lap_b'!$B$45:$AW$45))))*(1-(1/(1+EXP(-('03_Lap_Theta'!$AC99-'03_Lap_b'!$B$45:$AW$45))))))</f>
        <v/>
      </c>
      <c r="G99" s="5">
        <f>IF(F99&lt;=0.000000001,"",1/SQRT(F99))</f>
        <v/>
      </c>
      <c r="H99">
        <f>IF(OR(C99=0,C99=D99),"BIÊN","")</f>
        <v/>
      </c>
    </row>
    <row r="100">
      <c r="A100" t="n">
        <v>99</v>
      </c>
      <c r="B100">
        <f>'01_Data'!A100</f>
        <v/>
      </c>
      <c r="C100">
        <f>'03_Lap_Theta'!C100</f>
        <v/>
      </c>
      <c r="D100">
        <f>'03_Lap_Theta'!D100</f>
        <v/>
      </c>
      <c r="E100" s="5">
        <f>'03_Lap_Theta'!$AC100</f>
        <v/>
      </c>
      <c r="F100" s="5">
        <f>SUMPRODUCT(('01_Data'!$B100:$AW100&lt;&gt;"")*(1/(1+EXP(-('03_Lap_Theta'!$AC100-'03_Lap_b'!$B$45:$AW$45))))*(1-(1/(1+EXP(-('03_Lap_Theta'!$AC100-'03_Lap_b'!$B$45:$AW$45))))))</f>
        <v/>
      </c>
      <c r="G100" s="5">
        <f>IF(F100&lt;=0.000000001,"",1/SQRT(F100))</f>
        <v/>
      </c>
      <c r="H100">
        <f>IF(OR(C100=0,C100=D100),"BIÊN","")</f>
        <v/>
      </c>
    </row>
    <row r="101">
      <c r="A101" t="n">
        <v>100</v>
      </c>
      <c r="B101">
        <f>'01_Data'!A101</f>
        <v/>
      </c>
      <c r="C101">
        <f>'03_Lap_Theta'!C101</f>
        <v/>
      </c>
      <c r="D101">
        <f>'03_Lap_Theta'!D101</f>
        <v/>
      </c>
      <c r="E101" s="5">
        <f>'03_Lap_Theta'!$AC101</f>
        <v/>
      </c>
      <c r="F101" s="5">
        <f>SUMPRODUCT(('01_Data'!$B101:$AW101&lt;&gt;"")*(1/(1+EXP(-('03_Lap_Theta'!$AC101-'03_Lap_b'!$B$45:$AW$45))))*(1-(1/(1+EXP(-('03_Lap_Theta'!$AC101-'03_Lap_b'!$B$45:$AW$45))))))</f>
        <v/>
      </c>
      <c r="G101" s="5">
        <f>IF(F101&lt;=0.000000001,"",1/SQRT(F101))</f>
        <v/>
      </c>
      <c r="H101">
        <f>IF(OR(C101=0,C101=D101),"BIÊN","")</f>
        <v/>
      </c>
    </row>
    <row r="102">
      <c r="A102" t="n">
        <v>101</v>
      </c>
      <c r="B102">
        <f>'01_Data'!A102</f>
        <v/>
      </c>
      <c r="C102">
        <f>'03_Lap_Theta'!C102</f>
        <v/>
      </c>
      <c r="D102">
        <f>'03_Lap_Theta'!D102</f>
        <v/>
      </c>
      <c r="E102" s="5">
        <f>'03_Lap_Theta'!$AC102</f>
        <v/>
      </c>
      <c r="F102" s="5">
        <f>SUMPRODUCT(('01_Data'!$B102:$AW102&lt;&gt;"")*(1/(1+EXP(-('03_Lap_Theta'!$AC102-'03_Lap_b'!$B$45:$AW$45))))*(1-(1/(1+EXP(-('03_Lap_Theta'!$AC102-'03_Lap_b'!$B$45:$AW$45))))))</f>
        <v/>
      </c>
      <c r="G102" s="5">
        <f>IF(F102&lt;=0.000000001,"",1/SQRT(F102))</f>
        <v/>
      </c>
      <c r="H102">
        <f>IF(OR(C102=0,C102=D102),"BIÊN","")</f>
        <v/>
      </c>
    </row>
    <row r="103">
      <c r="A103" t="n">
        <v>102</v>
      </c>
      <c r="B103">
        <f>'01_Data'!A103</f>
        <v/>
      </c>
      <c r="C103">
        <f>'03_Lap_Theta'!C103</f>
        <v/>
      </c>
      <c r="D103">
        <f>'03_Lap_Theta'!D103</f>
        <v/>
      </c>
      <c r="E103" s="5">
        <f>'03_Lap_Theta'!$AC103</f>
        <v/>
      </c>
      <c r="F103" s="5">
        <f>SUMPRODUCT(('01_Data'!$B103:$AW103&lt;&gt;"")*(1/(1+EXP(-('03_Lap_Theta'!$AC103-'03_Lap_b'!$B$45:$AW$45))))*(1-(1/(1+EXP(-('03_Lap_Theta'!$AC103-'03_Lap_b'!$B$45:$AW$45))))))</f>
        <v/>
      </c>
      <c r="G103" s="5">
        <f>IF(F103&lt;=0.000000001,"",1/SQRT(F103))</f>
        <v/>
      </c>
      <c r="H103">
        <f>IF(OR(C103=0,C103=D103),"BIÊN","")</f>
        <v/>
      </c>
    </row>
    <row r="104">
      <c r="A104" t="n">
        <v>103</v>
      </c>
      <c r="B104">
        <f>'01_Data'!A104</f>
        <v/>
      </c>
      <c r="C104">
        <f>'03_Lap_Theta'!C104</f>
        <v/>
      </c>
      <c r="D104">
        <f>'03_Lap_Theta'!D104</f>
        <v/>
      </c>
      <c r="E104" s="5">
        <f>'03_Lap_Theta'!$AC104</f>
        <v/>
      </c>
      <c r="F104" s="5">
        <f>SUMPRODUCT(('01_Data'!$B104:$AW104&lt;&gt;"")*(1/(1+EXP(-('03_Lap_Theta'!$AC104-'03_Lap_b'!$B$45:$AW$45))))*(1-(1/(1+EXP(-('03_Lap_Theta'!$AC104-'03_Lap_b'!$B$45:$AW$45))))))</f>
        <v/>
      </c>
      <c r="G104" s="5">
        <f>IF(F104&lt;=0.000000001,"",1/SQRT(F104))</f>
        <v/>
      </c>
      <c r="H104">
        <f>IF(OR(C104=0,C104=D104),"BIÊN","")</f>
        <v/>
      </c>
    </row>
    <row r="105">
      <c r="A105" t="n">
        <v>104</v>
      </c>
      <c r="B105">
        <f>'01_Data'!A105</f>
        <v/>
      </c>
      <c r="C105">
        <f>'03_Lap_Theta'!C105</f>
        <v/>
      </c>
      <c r="D105">
        <f>'03_Lap_Theta'!D105</f>
        <v/>
      </c>
      <c r="E105" s="5">
        <f>'03_Lap_Theta'!$AC105</f>
        <v/>
      </c>
      <c r="F105" s="5">
        <f>SUMPRODUCT(('01_Data'!$B105:$AW105&lt;&gt;"")*(1/(1+EXP(-('03_Lap_Theta'!$AC105-'03_Lap_b'!$B$45:$AW$45))))*(1-(1/(1+EXP(-('03_Lap_Theta'!$AC105-'03_Lap_b'!$B$45:$AW$45))))))</f>
        <v/>
      </c>
      <c r="G105" s="5">
        <f>IF(F105&lt;=0.000000001,"",1/SQRT(F105))</f>
        <v/>
      </c>
      <c r="H105">
        <f>IF(OR(C105=0,C105=D105),"BIÊN","")</f>
        <v/>
      </c>
    </row>
    <row r="106">
      <c r="A106" t="n">
        <v>105</v>
      </c>
      <c r="B106">
        <f>'01_Data'!A106</f>
        <v/>
      </c>
      <c r="C106">
        <f>'03_Lap_Theta'!C106</f>
        <v/>
      </c>
      <c r="D106">
        <f>'03_Lap_Theta'!D106</f>
        <v/>
      </c>
      <c r="E106" s="5">
        <f>'03_Lap_Theta'!$AC106</f>
        <v/>
      </c>
      <c r="F106" s="5">
        <f>SUMPRODUCT(('01_Data'!$B106:$AW106&lt;&gt;"")*(1/(1+EXP(-('03_Lap_Theta'!$AC106-'03_Lap_b'!$B$45:$AW$45))))*(1-(1/(1+EXP(-('03_Lap_Theta'!$AC106-'03_Lap_b'!$B$45:$AW$45))))))</f>
        <v/>
      </c>
      <c r="G106" s="5">
        <f>IF(F106&lt;=0.000000001,"",1/SQRT(F106))</f>
        <v/>
      </c>
      <c r="H106">
        <f>IF(OR(C106=0,C106=D106),"BIÊN","")</f>
        <v/>
      </c>
    </row>
    <row r="107">
      <c r="A107" t="n">
        <v>106</v>
      </c>
      <c r="B107">
        <f>'01_Data'!A107</f>
        <v/>
      </c>
      <c r="C107">
        <f>'03_Lap_Theta'!C107</f>
        <v/>
      </c>
      <c r="D107">
        <f>'03_Lap_Theta'!D107</f>
        <v/>
      </c>
      <c r="E107" s="5">
        <f>'03_Lap_Theta'!$AC107</f>
        <v/>
      </c>
      <c r="F107" s="5">
        <f>SUMPRODUCT(('01_Data'!$B107:$AW107&lt;&gt;"")*(1/(1+EXP(-('03_Lap_Theta'!$AC107-'03_Lap_b'!$B$45:$AW$45))))*(1-(1/(1+EXP(-('03_Lap_Theta'!$AC107-'03_Lap_b'!$B$45:$AW$45))))))</f>
        <v/>
      </c>
      <c r="G107" s="5">
        <f>IF(F107&lt;=0.000000001,"",1/SQRT(F107))</f>
        <v/>
      </c>
      <c r="H107">
        <f>IF(OR(C107=0,C107=D107),"BIÊN","")</f>
        <v/>
      </c>
    </row>
    <row r="108">
      <c r="A108" t="n">
        <v>107</v>
      </c>
      <c r="B108">
        <f>'01_Data'!A108</f>
        <v/>
      </c>
      <c r="C108">
        <f>'03_Lap_Theta'!C108</f>
        <v/>
      </c>
      <c r="D108">
        <f>'03_Lap_Theta'!D108</f>
        <v/>
      </c>
      <c r="E108" s="5">
        <f>'03_Lap_Theta'!$AC108</f>
        <v/>
      </c>
      <c r="F108" s="5">
        <f>SUMPRODUCT(('01_Data'!$B108:$AW108&lt;&gt;"")*(1/(1+EXP(-('03_Lap_Theta'!$AC108-'03_Lap_b'!$B$45:$AW$45))))*(1-(1/(1+EXP(-('03_Lap_Theta'!$AC108-'03_Lap_b'!$B$45:$AW$45))))))</f>
        <v/>
      </c>
      <c r="G108" s="5">
        <f>IF(F108&lt;=0.000000001,"",1/SQRT(F108))</f>
        <v/>
      </c>
      <c r="H108">
        <f>IF(OR(C108=0,C108=D108),"BIÊN","")</f>
        <v/>
      </c>
    </row>
    <row r="109">
      <c r="A109" t="n">
        <v>108</v>
      </c>
      <c r="B109">
        <f>'01_Data'!A109</f>
        <v/>
      </c>
      <c r="C109">
        <f>'03_Lap_Theta'!C109</f>
        <v/>
      </c>
      <c r="D109">
        <f>'03_Lap_Theta'!D109</f>
        <v/>
      </c>
      <c r="E109" s="5">
        <f>'03_Lap_Theta'!$AC109</f>
        <v/>
      </c>
      <c r="F109" s="5">
        <f>SUMPRODUCT(('01_Data'!$B109:$AW109&lt;&gt;"")*(1/(1+EXP(-('03_Lap_Theta'!$AC109-'03_Lap_b'!$B$45:$AW$45))))*(1-(1/(1+EXP(-('03_Lap_Theta'!$AC109-'03_Lap_b'!$B$45:$AW$45))))))</f>
        <v/>
      </c>
      <c r="G109" s="5">
        <f>IF(F109&lt;=0.000000001,"",1/SQRT(F109))</f>
        <v/>
      </c>
      <c r="H109">
        <f>IF(OR(C109=0,C109=D109),"BIÊN","")</f>
        <v/>
      </c>
    </row>
    <row r="110">
      <c r="A110" t="n">
        <v>109</v>
      </c>
      <c r="B110">
        <f>'01_Data'!A110</f>
        <v/>
      </c>
      <c r="C110">
        <f>'03_Lap_Theta'!C110</f>
        <v/>
      </c>
      <c r="D110">
        <f>'03_Lap_Theta'!D110</f>
        <v/>
      </c>
      <c r="E110" s="5">
        <f>'03_Lap_Theta'!$AC110</f>
        <v/>
      </c>
      <c r="F110" s="5">
        <f>SUMPRODUCT(('01_Data'!$B110:$AW110&lt;&gt;"")*(1/(1+EXP(-('03_Lap_Theta'!$AC110-'03_Lap_b'!$B$45:$AW$45))))*(1-(1/(1+EXP(-('03_Lap_Theta'!$AC110-'03_Lap_b'!$B$45:$AW$45))))))</f>
        <v/>
      </c>
      <c r="G110" s="5">
        <f>IF(F110&lt;=0.000000001,"",1/SQRT(F110))</f>
        <v/>
      </c>
      <c r="H110">
        <f>IF(OR(C110=0,C110=D110),"BIÊN","")</f>
        <v/>
      </c>
    </row>
    <row r="111">
      <c r="A111" t="n">
        <v>110</v>
      </c>
      <c r="B111">
        <f>'01_Data'!A111</f>
        <v/>
      </c>
      <c r="C111">
        <f>'03_Lap_Theta'!C111</f>
        <v/>
      </c>
      <c r="D111">
        <f>'03_Lap_Theta'!D111</f>
        <v/>
      </c>
      <c r="E111" s="5">
        <f>'03_Lap_Theta'!$AC111</f>
        <v/>
      </c>
      <c r="F111" s="5">
        <f>SUMPRODUCT(('01_Data'!$B111:$AW111&lt;&gt;"")*(1/(1+EXP(-('03_Lap_Theta'!$AC111-'03_Lap_b'!$B$45:$AW$45))))*(1-(1/(1+EXP(-('03_Lap_Theta'!$AC111-'03_Lap_b'!$B$45:$AW$45))))))</f>
        <v/>
      </c>
      <c r="G111" s="5">
        <f>IF(F111&lt;=0.000000001,"",1/SQRT(F111))</f>
        <v/>
      </c>
      <c r="H111">
        <f>IF(OR(C111=0,C111=D111),"BIÊN","")</f>
        <v/>
      </c>
    </row>
    <row r="112">
      <c r="A112" t="n">
        <v>111</v>
      </c>
      <c r="B112">
        <f>'01_Data'!A112</f>
        <v/>
      </c>
      <c r="C112">
        <f>'03_Lap_Theta'!C112</f>
        <v/>
      </c>
      <c r="D112">
        <f>'03_Lap_Theta'!D112</f>
        <v/>
      </c>
      <c r="E112" s="5">
        <f>'03_Lap_Theta'!$AC112</f>
        <v/>
      </c>
      <c r="F112" s="5">
        <f>SUMPRODUCT(('01_Data'!$B112:$AW112&lt;&gt;"")*(1/(1+EXP(-('03_Lap_Theta'!$AC112-'03_Lap_b'!$B$45:$AW$45))))*(1-(1/(1+EXP(-('03_Lap_Theta'!$AC112-'03_Lap_b'!$B$45:$AW$45))))))</f>
        <v/>
      </c>
      <c r="G112" s="5">
        <f>IF(F112&lt;=0.000000001,"",1/SQRT(F112))</f>
        <v/>
      </c>
      <c r="H112">
        <f>IF(OR(C112=0,C112=D112),"BIÊN","")</f>
        <v/>
      </c>
    </row>
    <row r="113">
      <c r="A113" t="n">
        <v>112</v>
      </c>
      <c r="B113">
        <f>'01_Data'!A113</f>
        <v/>
      </c>
      <c r="C113">
        <f>'03_Lap_Theta'!C113</f>
        <v/>
      </c>
      <c r="D113">
        <f>'03_Lap_Theta'!D113</f>
        <v/>
      </c>
      <c r="E113" s="5">
        <f>'03_Lap_Theta'!$AC113</f>
        <v/>
      </c>
      <c r="F113" s="5">
        <f>SUMPRODUCT(('01_Data'!$B113:$AW113&lt;&gt;"")*(1/(1+EXP(-('03_Lap_Theta'!$AC113-'03_Lap_b'!$B$45:$AW$45))))*(1-(1/(1+EXP(-('03_Lap_Theta'!$AC113-'03_Lap_b'!$B$45:$AW$45))))))</f>
        <v/>
      </c>
      <c r="G113" s="5">
        <f>IF(F113&lt;=0.000000001,"",1/SQRT(F113))</f>
        <v/>
      </c>
      <c r="H113">
        <f>IF(OR(C113=0,C113=D113),"BIÊN","")</f>
        <v/>
      </c>
    </row>
    <row r="114">
      <c r="A114" t="n">
        <v>113</v>
      </c>
      <c r="B114">
        <f>'01_Data'!A114</f>
        <v/>
      </c>
      <c r="C114">
        <f>'03_Lap_Theta'!C114</f>
        <v/>
      </c>
      <c r="D114">
        <f>'03_Lap_Theta'!D114</f>
        <v/>
      </c>
      <c r="E114" s="5">
        <f>'03_Lap_Theta'!$AC114</f>
        <v/>
      </c>
      <c r="F114" s="5">
        <f>SUMPRODUCT(('01_Data'!$B114:$AW114&lt;&gt;"")*(1/(1+EXP(-('03_Lap_Theta'!$AC114-'03_Lap_b'!$B$45:$AW$45))))*(1-(1/(1+EXP(-('03_Lap_Theta'!$AC114-'03_Lap_b'!$B$45:$AW$45))))))</f>
        <v/>
      </c>
      <c r="G114" s="5">
        <f>IF(F114&lt;=0.000000001,"",1/SQRT(F114))</f>
        <v/>
      </c>
      <c r="H114">
        <f>IF(OR(C114=0,C114=D114),"BIÊN","")</f>
        <v/>
      </c>
    </row>
    <row r="115">
      <c r="A115" t="n">
        <v>114</v>
      </c>
      <c r="B115">
        <f>'01_Data'!A115</f>
        <v/>
      </c>
      <c r="C115">
        <f>'03_Lap_Theta'!C115</f>
        <v/>
      </c>
      <c r="D115">
        <f>'03_Lap_Theta'!D115</f>
        <v/>
      </c>
      <c r="E115" s="5">
        <f>'03_Lap_Theta'!$AC115</f>
        <v/>
      </c>
      <c r="F115" s="5">
        <f>SUMPRODUCT(('01_Data'!$B115:$AW115&lt;&gt;"")*(1/(1+EXP(-('03_Lap_Theta'!$AC115-'03_Lap_b'!$B$45:$AW$45))))*(1-(1/(1+EXP(-('03_Lap_Theta'!$AC115-'03_Lap_b'!$B$45:$AW$45))))))</f>
        <v/>
      </c>
      <c r="G115" s="5">
        <f>IF(F115&lt;=0.000000001,"",1/SQRT(F115))</f>
        <v/>
      </c>
      <c r="H115">
        <f>IF(OR(C115=0,C115=D115),"BIÊN","")</f>
        <v/>
      </c>
    </row>
    <row r="116">
      <c r="A116" t="n">
        <v>115</v>
      </c>
      <c r="B116">
        <f>'01_Data'!A116</f>
        <v/>
      </c>
      <c r="C116">
        <f>'03_Lap_Theta'!C116</f>
        <v/>
      </c>
      <c r="D116">
        <f>'03_Lap_Theta'!D116</f>
        <v/>
      </c>
      <c r="E116" s="5">
        <f>'03_Lap_Theta'!$AC116</f>
        <v/>
      </c>
      <c r="F116" s="5">
        <f>SUMPRODUCT(('01_Data'!$B116:$AW116&lt;&gt;"")*(1/(1+EXP(-('03_Lap_Theta'!$AC116-'03_Lap_b'!$B$45:$AW$45))))*(1-(1/(1+EXP(-('03_Lap_Theta'!$AC116-'03_Lap_b'!$B$45:$AW$45))))))</f>
        <v/>
      </c>
      <c r="G116" s="5">
        <f>IF(F116&lt;=0.000000001,"",1/SQRT(F116))</f>
        <v/>
      </c>
      <c r="H116">
        <f>IF(OR(C116=0,C116=D116),"BIÊN","")</f>
        <v/>
      </c>
    </row>
    <row r="117">
      <c r="A117" t="n">
        <v>116</v>
      </c>
      <c r="B117">
        <f>'01_Data'!A117</f>
        <v/>
      </c>
      <c r="C117">
        <f>'03_Lap_Theta'!C117</f>
        <v/>
      </c>
      <c r="D117">
        <f>'03_Lap_Theta'!D117</f>
        <v/>
      </c>
      <c r="E117" s="5">
        <f>'03_Lap_Theta'!$AC117</f>
        <v/>
      </c>
      <c r="F117" s="5">
        <f>SUMPRODUCT(('01_Data'!$B117:$AW117&lt;&gt;"")*(1/(1+EXP(-('03_Lap_Theta'!$AC117-'03_Lap_b'!$B$45:$AW$45))))*(1-(1/(1+EXP(-('03_Lap_Theta'!$AC117-'03_Lap_b'!$B$45:$AW$45))))))</f>
        <v/>
      </c>
      <c r="G117" s="5">
        <f>IF(F117&lt;=0.000000001,"",1/SQRT(F117))</f>
        <v/>
      </c>
      <c r="H117">
        <f>IF(OR(C117=0,C117=D117),"BIÊN","")</f>
        <v/>
      </c>
    </row>
    <row r="118">
      <c r="A118" t="n">
        <v>117</v>
      </c>
      <c r="B118">
        <f>'01_Data'!A118</f>
        <v/>
      </c>
      <c r="C118">
        <f>'03_Lap_Theta'!C118</f>
        <v/>
      </c>
      <c r="D118">
        <f>'03_Lap_Theta'!D118</f>
        <v/>
      </c>
      <c r="E118" s="5">
        <f>'03_Lap_Theta'!$AC118</f>
        <v/>
      </c>
      <c r="F118" s="5">
        <f>SUMPRODUCT(('01_Data'!$B118:$AW118&lt;&gt;"")*(1/(1+EXP(-('03_Lap_Theta'!$AC118-'03_Lap_b'!$B$45:$AW$45))))*(1-(1/(1+EXP(-('03_Lap_Theta'!$AC118-'03_Lap_b'!$B$45:$AW$45))))))</f>
        <v/>
      </c>
      <c r="G118" s="5">
        <f>IF(F118&lt;=0.000000001,"",1/SQRT(F118))</f>
        <v/>
      </c>
      <c r="H118">
        <f>IF(OR(C118=0,C118=D118),"BIÊN","")</f>
        <v/>
      </c>
    </row>
    <row r="119">
      <c r="A119" t="n">
        <v>118</v>
      </c>
      <c r="B119">
        <f>'01_Data'!A119</f>
        <v/>
      </c>
      <c r="C119">
        <f>'03_Lap_Theta'!C119</f>
        <v/>
      </c>
      <c r="D119">
        <f>'03_Lap_Theta'!D119</f>
        <v/>
      </c>
      <c r="E119" s="5">
        <f>'03_Lap_Theta'!$AC119</f>
        <v/>
      </c>
      <c r="F119" s="5">
        <f>SUMPRODUCT(('01_Data'!$B119:$AW119&lt;&gt;"")*(1/(1+EXP(-('03_Lap_Theta'!$AC119-'03_Lap_b'!$B$45:$AW$45))))*(1-(1/(1+EXP(-('03_Lap_Theta'!$AC119-'03_Lap_b'!$B$45:$AW$45))))))</f>
        <v/>
      </c>
      <c r="G119" s="5">
        <f>IF(F119&lt;=0.000000001,"",1/SQRT(F119))</f>
        <v/>
      </c>
      <c r="H119">
        <f>IF(OR(C119=0,C119=D119),"BIÊN","")</f>
        <v/>
      </c>
    </row>
    <row r="120">
      <c r="A120" t="n">
        <v>119</v>
      </c>
      <c r="B120">
        <f>'01_Data'!A120</f>
        <v/>
      </c>
      <c r="C120">
        <f>'03_Lap_Theta'!C120</f>
        <v/>
      </c>
      <c r="D120">
        <f>'03_Lap_Theta'!D120</f>
        <v/>
      </c>
      <c r="E120" s="5">
        <f>'03_Lap_Theta'!$AC120</f>
        <v/>
      </c>
      <c r="F120" s="5">
        <f>SUMPRODUCT(('01_Data'!$B120:$AW120&lt;&gt;"")*(1/(1+EXP(-('03_Lap_Theta'!$AC120-'03_Lap_b'!$B$45:$AW$45))))*(1-(1/(1+EXP(-('03_Lap_Theta'!$AC120-'03_Lap_b'!$B$45:$AW$45))))))</f>
        <v/>
      </c>
      <c r="G120" s="5">
        <f>IF(F120&lt;=0.000000001,"",1/SQRT(F120))</f>
        <v/>
      </c>
      <c r="H120">
        <f>IF(OR(C120=0,C120=D120),"BIÊN","")</f>
        <v/>
      </c>
    </row>
    <row r="121">
      <c r="A121" t="n">
        <v>120</v>
      </c>
      <c r="B121">
        <f>'01_Data'!A121</f>
        <v/>
      </c>
      <c r="C121">
        <f>'03_Lap_Theta'!C121</f>
        <v/>
      </c>
      <c r="D121">
        <f>'03_Lap_Theta'!D121</f>
        <v/>
      </c>
      <c r="E121" s="5">
        <f>'03_Lap_Theta'!$AC121</f>
        <v/>
      </c>
      <c r="F121" s="5">
        <f>SUMPRODUCT(('01_Data'!$B121:$AW121&lt;&gt;"")*(1/(1+EXP(-('03_Lap_Theta'!$AC121-'03_Lap_b'!$B$45:$AW$45))))*(1-(1/(1+EXP(-('03_Lap_Theta'!$AC121-'03_Lap_b'!$B$45:$AW$45))))))</f>
        <v/>
      </c>
      <c r="G121" s="5">
        <f>IF(F121&lt;=0.000000001,"",1/SQRT(F121))</f>
        <v/>
      </c>
      <c r="H121">
        <f>IF(OR(C121=0,C121=D121),"BIÊN","")</f>
        <v/>
      </c>
    </row>
    <row r="122">
      <c r="A122" t="n">
        <v>121</v>
      </c>
      <c r="B122">
        <f>'01_Data'!A122</f>
        <v/>
      </c>
      <c r="C122">
        <f>'03_Lap_Theta'!C122</f>
        <v/>
      </c>
      <c r="D122">
        <f>'03_Lap_Theta'!D122</f>
        <v/>
      </c>
      <c r="E122" s="5">
        <f>'03_Lap_Theta'!$AC122</f>
        <v/>
      </c>
      <c r="F122" s="5">
        <f>SUMPRODUCT(('01_Data'!$B122:$AW122&lt;&gt;"")*(1/(1+EXP(-('03_Lap_Theta'!$AC122-'03_Lap_b'!$B$45:$AW$45))))*(1-(1/(1+EXP(-('03_Lap_Theta'!$AC122-'03_Lap_b'!$B$45:$AW$45))))))</f>
        <v/>
      </c>
      <c r="G122" s="5">
        <f>IF(F122&lt;=0.000000001,"",1/SQRT(F122))</f>
        <v/>
      </c>
      <c r="H122">
        <f>IF(OR(C122=0,C122=D122),"BIÊN","")</f>
        <v/>
      </c>
    </row>
    <row r="123">
      <c r="A123" t="n">
        <v>122</v>
      </c>
      <c r="B123">
        <f>'01_Data'!A123</f>
        <v/>
      </c>
      <c r="C123">
        <f>'03_Lap_Theta'!C123</f>
        <v/>
      </c>
      <c r="D123">
        <f>'03_Lap_Theta'!D123</f>
        <v/>
      </c>
      <c r="E123" s="5">
        <f>'03_Lap_Theta'!$AC123</f>
        <v/>
      </c>
      <c r="F123" s="5">
        <f>SUMPRODUCT(('01_Data'!$B123:$AW123&lt;&gt;"")*(1/(1+EXP(-('03_Lap_Theta'!$AC123-'03_Lap_b'!$B$45:$AW$45))))*(1-(1/(1+EXP(-('03_Lap_Theta'!$AC123-'03_Lap_b'!$B$45:$AW$45))))))</f>
        <v/>
      </c>
      <c r="G123" s="5">
        <f>IF(F123&lt;=0.000000001,"",1/SQRT(F123))</f>
        <v/>
      </c>
      <c r="H123">
        <f>IF(OR(C123=0,C123=D123),"BIÊN","")</f>
        <v/>
      </c>
    </row>
    <row r="124">
      <c r="A124" t="n">
        <v>123</v>
      </c>
      <c r="B124">
        <f>'01_Data'!A124</f>
        <v/>
      </c>
      <c r="C124">
        <f>'03_Lap_Theta'!C124</f>
        <v/>
      </c>
      <c r="D124">
        <f>'03_Lap_Theta'!D124</f>
        <v/>
      </c>
      <c r="E124" s="5">
        <f>'03_Lap_Theta'!$AC124</f>
        <v/>
      </c>
      <c r="F124" s="5">
        <f>SUMPRODUCT(('01_Data'!$B124:$AW124&lt;&gt;"")*(1/(1+EXP(-('03_Lap_Theta'!$AC124-'03_Lap_b'!$B$45:$AW$45))))*(1-(1/(1+EXP(-('03_Lap_Theta'!$AC124-'03_Lap_b'!$B$45:$AW$45))))))</f>
        <v/>
      </c>
      <c r="G124" s="5">
        <f>IF(F124&lt;=0.000000001,"",1/SQRT(F124))</f>
        <v/>
      </c>
      <c r="H124">
        <f>IF(OR(C124=0,C124=D124),"BIÊN","")</f>
        <v/>
      </c>
    </row>
    <row r="125">
      <c r="A125" t="n">
        <v>124</v>
      </c>
      <c r="B125">
        <f>'01_Data'!A125</f>
        <v/>
      </c>
      <c r="C125">
        <f>'03_Lap_Theta'!C125</f>
        <v/>
      </c>
      <c r="D125">
        <f>'03_Lap_Theta'!D125</f>
        <v/>
      </c>
      <c r="E125" s="5">
        <f>'03_Lap_Theta'!$AC125</f>
        <v/>
      </c>
      <c r="F125" s="5">
        <f>SUMPRODUCT(('01_Data'!$B125:$AW125&lt;&gt;"")*(1/(1+EXP(-('03_Lap_Theta'!$AC125-'03_Lap_b'!$B$45:$AW$45))))*(1-(1/(1+EXP(-('03_Lap_Theta'!$AC125-'03_Lap_b'!$B$45:$AW$45))))))</f>
        <v/>
      </c>
      <c r="G125" s="5">
        <f>IF(F125&lt;=0.000000001,"",1/SQRT(F125))</f>
        <v/>
      </c>
      <c r="H125">
        <f>IF(OR(C125=0,C125=D125),"BIÊN","")</f>
        <v/>
      </c>
    </row>
    <row r="126">
      <c r="A126" t="n">
        <v>125</v>
      </c>
      <c r="B126">
        <f>'01_Data'!A126</f>
        <v/>
      </c>
      <c r="C126">
        <f>'03_Lap_Theta'!C126</f>
        <v/>
      </c>
      <c r="D126">
        <f>'03_Lap_Theta'!D126</f>
        <v/>
      </c>
      <c r="E126" s="5">
        <f>'03_Lap_Theta'!$AC126</f>
        <v/>
      </c>
      <c r="F126" s="5">
        <f>SUMPRODUCT(('01_Data'!$B126:$AW126&lt;&gt;"")*(1/(1+EXP(-('03_Lap_Theta'!$AC126-'03_Lap_b'!$B$45:$AW$45))))*(1-(1/(1+EXP(-('03_Lap_Theta'!$AC126-'03_Lap_b'!$B$45:$AW$45))))))</f>
        <v/>
      </c>
      <c r="G126" s="5">
        <f>IF(F126&lt;=0.000000001,"",1/SQRT(F126))</f>
        <v/>
      </c>
      <c r="H126">
        <f>IF(OR(C126=0,C126=D126),"BIÊN","")</f>
        <v/>
      </c>
    </row>
    <row r="127">
      <c r="A127" t="n">
        <v>126</v>
      </c>
      <c r="B127">
        <f>'01_Data'!A127</f>
        <v/>
      </c>
      <c r="C127">
        <f>'03_Lap_Theta'!C127</f>
        <v/>
      </c>
      <c r="D127">
        <f>'03_Lap_Theta'!D127</f>
        <v/>
      </c>
      <c r="E127" s="5">
        <f>'03_Lap_Theta'!$AC127</f>
        <v/>
      </c>
      <c r="F127" s="5">
        <f>SUMPRODUCT(('01_Data'!$B127:$AW127&lt;&gt;"")*(1/(1+EXP(-('03_Lap_Theta'!$AC127-'03_Lap_b'!$B$45:$AW$45))))*(1-(1/(1+EXP(-('03_Lap_Theta'!$AC127-'03_Lap_b'!$B$45:$AW$45))))))</f>
        <v/>
      </c>
      <c r="G127" s="5">
        <f>IF(F127&lt;=0.000000001,"",1/SQRT(F127))</f>
        <v/>
      </c>
      <c r="H127">
        <f>IF(OR(C127=0,C127=D127),"BIÊN","")</f>
        <v/>
      </c>
    </row>
    <row r="128">
      <c r="A128" t="n">
        <v>127</v>
      </c>
      <c r="B128">
        <f>'01_Data'!A128</f>
        <v/>
      </c>
      <c r="C128">
        <f>'03_Lap_Theta'!C128</f>
        <v/>
      </c>
      <c r="D128">
        <f>'03_Lap_Theta'!D128</f>
        <v/>
      </c>
      <c r="E128" s="5">
        <f>'03_Lap_Theta'!$AC128</f>
        <v/>
      </c>
      <c r="F128" s="5">
        <f>SUMPRODUCT(('01_Data'!$B128:$AW128&lt;&gt;"")*(1/(1+EXP(-('03_Lap_Theta'!$AC128-'03_Lap_b'!$B$45:$AW$45))))*(1-(1/(1+EXP(-('03_Lap_Theta'!$AC128-'03_Lap_b'!$B$45:$AW$45))))))</f>
        <v/>
      </c>
      <c r="G128" s="5">
        <f>IF(F128&lt;=0.000000001,"",1/SQRT(F128))</f>
        <v/>
      </c>
      <c r="H128">
        <f>IF(OR(C128=0,C128=D128),"BIÊN","")</f>
        <v/>
      </c>
    </row>
    <row r="129">
      <c r="A129" t="n">
        <v>128</v>
      </c>
      <c r="B129">
        <f>'01_Data'!A129</f>
        <v/>
      </c>
      <c r="C129">
        <f>'03_Lap_Theta'!C129</f>
        <v/>
      </c>
      <c r="D129">
        <f>'03_Lap_Theta'!D129</f>
        <v/>
      </c>
      <c r="E129" s="5">
        <f>'03_Lap_Theta'!$AC129</f>
        <v/>
      </c>
      <c r="F129" s="5">
        <f>SUMPRODUCT(('01_Data'!$B129:$AW129&lt;&gt;"")*(1/(1+EXP(-('03_Lap_Theta'!$AC129-'03_Lap_b'!$B$45:$AW$45))))*(1-(1/(1+EXP(-('03_Lap_Theta'!$AC129-'03_Lap_b'!$B$45:$AW$45))))))</f>
        <v/>
      </c>
      <c r="G129" s="5">
        <f>IF(F129&lt;=0.000000001,"",1/SQRT(F129))</f>
        <v/>
      </c>
      <c r="H129">
        <f>IF(OR(C129=0,C129=D129),"BIÊN","")</f>
        <v/>
      </c>
    </row>
    <row r="130">
      <c r="A130" t="n">
        <v>129</v>
      </c>
      <c r="B130">
        <f>'01_Data'!A130</f>
        <v/>
      </c>
      <c r="C130">
        <f>'03_Lap_Theta'!C130</f>
        <v/>
      </c>
      <c r="D130">
        <f>'03_Lap_Theta'!D130</f>
        <v/>
      </c>
      <c r="E130" s="5">
        <f>'03_Lap_Theta'!$AC130</f>
        <v/>
      </c>
      <c r="F130" s="5">
        <f>SUMPRODUCT(('01_Data'!$B130:$AW130&lt;&gt;"")*(1/(1+EXP(-('03_Lap_Theta'!$AC130-'03_Lap_b'!$B$45:$AW$45))))*(1-(1/(1+EXP(-('03_Lap_Theta'!$AC130-'03_Lap_b'!$B$45:$AW$45))))))</f>
        <v/>
      </c>
      <c r="G130" s="5">
        <f>IF(F130&lt;=0.000000001,"",1/SQRT(F130))</f>
        <v/>
      </c>
      <c r="H130">
        <f>IF(OR(C130=0,C130=D130),"BIÊN","")</f>
        <v/>
      </c>
    </row>
    <row r="131">
      <c r="A131" t="n">
        <v>130</v>
      </c>
      <c r="B131">
        <f>'01_Data'!A131</f>
        <v/>
      </c>
      <c r="C131">
        <f>'03_Lap_Theta'!C131</f>
        <v/>
      </c>
      <c r="D131">
        <f>'03_Lap_Theta'!D131</f>
        <v/>
      </c>
      <c r="E131" s="5">
        <f>'03_Lap_Theta'!$AC131</f>
        <v/>
      </c>
      <c r="F131" s="5">
        <f>SUMPRODUCT(('01_Data'!$B131:$AW131&lt;&gt;"")*(1/(1+EXP(-('03_Lap_Theta'!$AC131-'03_Lap_b'!$B$45:$AW$45))))*(1-(1/(1+EXP(-('03_Lap_Theta'!$AC131-'03_Lap_b'!$B$45:$AW$45))))))</f>
        <v/>
      </c>
      <c r="G131" s="5">
        <f>IF(F131&lt;=0.000000001,"",1/SQRT(F131))</f>
        <v/>
      </c>
      <c r="H131">
        <f>IF(OR(C131=0,C131=D131),"BIÊN","")</f>
        <v/>
      </c>
    </row>
    <row r="132">
      <c r="A132" t="n">
        <v>131</v>
      </c>
      <c r="B132">
        <f>'01_Data'!A132</f>
        <v/>
      </c>
      <c r="C132">
        <f>'03_Lap_Theta'!C132</f>
        <v/>
      </c>
      <c r="D132">
        <f>'03_Lap_Theta'!D132</f>
        <v/>
      </c>
      <c r="E132" s="5">
        <f>'03_Lap_Theta'!$AC132</f>
        <v/>
      </c>
      <c r="F132" s="5">
        <f>SUMPRODUCT(('01_Data'!$B132:$AW132&lt;&gt;"")*(1/(1+EXP(-('03_Lap_Theta'!$AC132-'03_Lap_b'!$B$45:$AW$45))))*(1-(1/(1+EXP(-('03_Lap_Theta'!$AC132-'03_Lap_b'!$B$45:$AW$45))))))</f>
        <v/>
      </c>
      <c r="G132" s="5">
        <f>IF(F132&lt;=0.000000001,"",1/SQRT(F132))</f>
        <v/>
      </c>
      <c r="H132">
        <f>IF(OR(C132=0,C132=D132),"BIÊN","")</f>
        <v/>
      </c>
    </row>
    <row r="133">
      <c r="A133" t="n">
        <v>132</v>
      </c>
      <c r="B133">
        <f>'01_Data'!A133</f>
        <v/>
      </c>
      <c r="C133">
        <f>'03_Lap_Theta'!C133</f>
        <v/>
      </c>
      <c r="D133">
        <f>'03_Lap_Theta'!D133</f>
        <v/>
      </c>
      <c r="E133" s="5">
        <f>'03_Lap_Theta'!$AC133</f>
        <v/>
      </c>
      <c r="F133" s="5">
        <f>SUMPRODUCT(('01_Data'!$B133:$AW133&lt;&gt;"")*(1/(1+EXP(-('03_Lap_Theta'!$AC133-'03_Lap_b'!$B$45:$AW$45))))*(1-(1/(1+EXP(-('03_Lap_Theta'!$AC133-'03_Lap_b'!$B$45:$AW$45))))))</f>
        <v/>
      </c>
      <c r="G133" s="5">
        <f>IF(F133&lt;=0.000000001,"",1/SQRT(F133))</f>
        <v/>
      </c>
      <c r="H133">
        <f>IF(OR(C133=0,C133=D133),"BIÊN","")</f>
        <v/>
      </c>
    </row>
    <row r="134">
      <c r="A134" t="n">
        <v>133</v>
      </c>
      <c r="B134">
        <f>'01_Data'!A134</f>
        <v/>
      </c>
      <c r="C134">
        <f>'03_Lap_Theta'!C134</f>
        <v/>
      </c>
      <c r="D134">
        <f>'03_Lap_Theta'!D134</f>
        <v/>
      </c>
      <c r="E134" s="5">
        <f>'03_Lap_Theta'!$AC134</f>
        <v/>
      </c>
      <c r="F134" s="5">
        <f>SUMPRODUCT(('01_Data'!$B134:$AW134&lt;&gt;"")*(1/(1+EXP(-('03_Lap_Theta'!$AC134-'03_Lap_b'!$B$45:$AW$45))))*(1-(1/(1+EXP(-('03_Lap_Theta'!$AC134-'03_Lap_b'!$B$45:$AW$45))))))</f>
        <v/>
      </c>
      <c r="G134" s="5">
        <f>IF(F134&lt;=0.000000001,"",1/SQRT(F134))</f>
        <v/>
      </c>
      <c r="H134">
        <f>IF(OR(C134=0,C134=D134),"BIÊN","")</f>
        <v/>
      </c>
    </row>
    <row r="135">
      <c r="A135" t="n">
        <v>134</v>
      </c>
      <c r="B135">
        <f>'01_Data'!A135</f>
        <v/>
      </c>
      <c r="C135">
        <f>'03_Lap_Theta'!C135</f>
        <v/>
      </c>
      <c r="D135">
        <f>'03_Lap_Theta'!D135</f>
        <v/>
      </c>
      <c r="E135" s="5">
        <f>'03_Lap_Theta'!$AC135</f>
        <v/>
      </c>
      <c r="F135" s="5">
        <f>SUMPRODUCT(('01_Data'!$B135:$AW135&lt;&gt;"")*(1/(1+EXP(-('03_Lap_Theta'!$AC135-'03_Lap_b'!$B$45:$AW$45))))*(1-(1/(1+EXP(-('03_Lap_Theta'!$AC135-'03_Lap_b'!$B$45:$AW$45))))))</f>
        <v/>
      </c>
      <c r="G135" s="5">
        <f>IF(F135&lt;=0.000000001,"",1/SQRT(F135))</f>
        <v/>
      </c>
      <c r="H135">
        <f>IF(OR(C135=0,C135=D135),"BIÊN","")</f>
        <v/>
      </c>
    </row>
    <row r="136">
      <c r="A136" t="n">
        <v>135</v>
      </c>
      <c r="B136">
        <f>'01_Data'!A136</f>
        <v/>
      </c>
      <c r="C136">
        <f>'03_Lap_Theta'!C136</f>
        <v/>
      </c>
      <c r="D136">
        <f>'03_Lap_Theta'!D136</f>
        <v/>
      </c>
      <c r="E136" s="5">
        <f>'03_Lap_Theta'!$AC136</f>
        <v/>
      </c>
      <c r="F136" s="5">
        <f>SUMPRODUCT(('01_Data'!$B136:$AW136&lt;&gt;"")*(1/(1+EXP(-('03_Lap_Theta'!$AC136-'03_Lap_b'!$B$45:$AW$45))))*(1-(1/(1+EXP(-('03_Lap_Theta'!$AC136-'03_Lap_b'!$B$45:$AW$45))))))</f>
        <v/>
      </c>
      <c r="G136" s="5">
        <f>IF(F136&lt;=0.000000001,"",1/SQRT(F136))</f>
        <v/>
      </c>
      <c r="H136">
        <f>IF(OR(C136=0,C136=D136),"BIÊN","")</f>
        <v/>
      </c>
    </row>
    <row r="137">
      <c r="A137" t="n">
        <v>136</v>
      </c>
      <c r="B137">
        <f>'01_Data'!A137</f>
        <v/>
      </c>
      <c r="C137">
        <f>'03_Lap_Theta'!C137</f>
        <v/>
      </c>
      <c r="D137">
        <f>'03_Lap_Theta'!D137</f>
        <v/>
      </c>
      <c r="E137" s="5">
        <f>'03_Lap_Theta'!$AC137</f>
        <v/>
      </c>
      <c r="F137" s="5">
        <f>SUMPRODUCT(('01_Data'!$B137:$AW137&lt;&gt;"")*(1/(1+EXP(-('03_Lap_Theta'!$AC137-'03_Lap_b'!$B$45:$AW$45))))*(1-(1/(1+EXP(-('03_Lap_Theta'!$AC137-'03_Lap_b'!$B$45:$AW$45))))))</f>
        <v/>
      </c>
      <c r="G137" s="5">
        <f>IF(F137&lt;=0.000000001,"",1/SQRT(F137))</f>
        <v/>
      </c>
      <c r="H137">
        <f>IF(OR(C137=0,C137=D137),"BIÊN","")</f>
        <v/>
      </c>
    </row>
    <row r="138">
      <c r="A138" t="n">
        <v>137</v>
      </c>
      <c r="B138">
        <f>'01_Data'!A138</f>
        <v/>
      </c>
      <c r="C138">
        <f>'03_Lap_Theta'!C138</f>
        <v/>
      </c>
      <c r="D138">
        <f>'03_Lap_Theta'!D138</f>
        <v/>
      </c>
      <c r="E138" s="5">
        <f>'03_Lap_Theta'!$AC138</f>
        <v/>
      </c>
      <c r="F138" s="5">
        <f>SUMPRODUCT(('01_Data'!$B138:$AW138&lt;&gt;"")*(1/(1+EXP(-('03_Lap_Theta'!$AC138-'03_Lap_b'!$B$45:$AW$45))))*(1-(1/(1+EXP(-('03_Lap_Theta'!$AC138-'03_Lap_b'!$B$45:$AW$45))))))</f>
        <v/>
      </c>
      <c r="G138" s="5">
        <f>IF(F138&lt;=0.000000001,"",1/SQRT(F138))</f>
        <v/>
      </c>
      <c r="H138">
        <f>IF(OR(C138=0,C138=D138),"BIÊN","")</f>
        <v/>
      </c>
    </row>
    <row r="139">
      <c r="A139" t="n">
        <v>138</v>
      </c>
      <c r="B139">
        <f>'01_Data'!A139</f>
        <v/>
      </c>
      <c r="C139">
        <f>'03_Lap_Theta'!C139</f>
        <v/>
      </c>
      <c r="D139">
        <f>'03_Lap_Theta'!D139</f>
        <v/>
      </c>
      <c r="E139" s="5">
        <f>'03_Lap_Theta'!$AC139</f>
        <v/>
      </c>
      <c r="F139" s="5">
        <f>SUMPRODUCT(('01_Data'!$B139:$AW139&lt;&gt;"")*(1/(1+EXP(-('03_Lap_Theta'!$AC139-'03_Lap_b'!$B$45:$AW$45))))*(1-(1/(1+EXP(-('03_Lap_Theta'!$AC139-'03_Lap_b'!$B$45:$AW$45))))))</f>
        <v/>
      </c>
      <c r="G139" s="5">
        <f>IF(F139&lt;=0.000000001,"",1/SQRT(F139))</f>
        <v/>
      </c>
      <c r="H139">
        <f>IF(OR(C139=0,C139=D139),"BIÊN","")</f>
        <v/>
      </c>
    </row>
    <row r="140">
      <c r="A140" t="n">
        <v>139</v>
      </c>
      <c r="B140">
        <f>'01_Data'!A140</f>
        <v/>
      </c>
      <c r="C140">
        <f>'03_Lap_Theta'!C140</f>
        <v/>
      </c>
      <c r="D140">
        <f>'03_Lap_Theta'!D140</f>
        <v/>
      </c>
      <c r="E140" s="5">
        <f>'03_Lap_Theta'!$AC140</f>
        <v/>
      </c>
      <c r="F140" s="5">
        <f>SUMPRODUCT(('01_Data'!$B140:$AW140&lt;&gt;"")*(1/(1+EXP(-('03_Lap_Theta'!$AC140-'03_Lap_b'!$B$45:$AW$45))))*(1-(1/(1+EXP(-('03_Lap_Theta'!$AC140-'03_Lap_b'!$B$45:$AW$45))))))</f>
        <v/>
      </c>
      <c r="G140" s="5">
        <f>IF(F140&lt;=0.000000001,"",1/SQRT(F140))</f>
        <v/>
      </c>
      <c r="H140">
        <f>IF(OR(C140=0,C140=D140),"BIÊN","")</f>
        <v/>
      </c>
    </row>
    <row r="141">
      <c r="A141" t="n">
        <v>140</v>
      </c>
      <c r="B141">
        <f>'01_Data'!A141</f>
        <v/>
      </c>
      <c r="C141">
        <f>'03_Lap_Theta'!C141</f>
        <v/>
      </c>
      <c r="D141">
        <f>'03_Lap_Theta'!D141</f>
        <v/>
      </c>
      <c r="E141" s="5">
        <f>'03_Lap_Theta'!$AC141</f>
        <v/>
      </c>
      <c r="F141" s="5">
        <f>SUMPRODUCT(('01_Data'!$B141:$AW141&lt;&gt;"")*(1/(1+EXP(-('03_Lap_Theta'!$AC141-'03_Lap_b'!$B$45:$AW$45))))*(1-(1/(1+EXP(-('03_Lap_Theta'!$AC141-'03_Lap_b'!$B$45:$AW$45))))))</f>
        <v/>
      </c>
      <c r="G141" s="5">
        <f>IF(F141&lt;=0.000000001,"",1/SQRT(F141))</f>
        <v/>
      </c>
      <c r="H141">
        <f>IF(OR(C141=0,C141=D141),"BIÊN","")</f>
        <v/>
      </c>
    </row>
    <row r="142">
      <c r="A142" t="n">
        <v>141</v>
      </c>
      <c r="B142">
        <f>'01_Data'!A142</f>
        <v/>
      </c>
      <c r="C142">
        <f>'03_Lap_Theta'!C142</f>
        <v/>
      </c>
      <c r="D142">
        <f>'03_Lap_Theta'!D142</f>
        <v/>
      </c>
      <c r="E142" s="5">
        <f>'03_Lap_Theta'!$AC142</f>
        <v/>
      </c>
      <c r="F142" s="5">
        <f>SUMPRODUCT(('01_Data'!$B142:$AW142&lt;&gt;"")*(1/(1+EXP(-('03_Lap_Theta'!$AC142-'03_Lap_b'!$B$45:$AW$45))))*(1-(1/(1+EXP(-('03_Lap_Theta'!$AC142-'03_Lap_b'!$B$45:$AW$45))))))</f>
        <v/>
      </c>
      <c r="G142" s="5">
        <f>IF(F142&lt;=0.000000001,"",1/SQRT(F142))</f>
        <v/>
      </c>
      <c r="H142">
        <f>IF(OR(C142=0,C142=D142),"BIÊN","")</f>
        <v/>
      </c>
    </row>
    <row r="143">
      <c r="A143" t="n">
        <v>142</v>
      </c>
      <c r="B143">
        <f>'01_Data'!A143</f>
        <v/>
      </c>
      <c r="C143">
        <f>'03_Lap_Theta'!C143</f>
        <v/>
      </c>
      <c r="D143">
        <f>'03_Lap_Theta'!D143</f>
        <v/>
      </c>
      <c r="E143" s="5">
        <f>'03_Lap_Theta'!$AC143</f>
        <v/>
      </c>
      <c r="F143" s="5">
        <f>SUMPRODUCT(('01_Data'!$B143:$AW143&lt;&gt;"")*(1/(1+EXP(-('03_Lap_Theta'!$AC143-'03_Lap_b'!$B$45:$AW$45))))*(1-(1/(1+EXP(-('03_Lap_Theta'!$AC143-'03_Lap_b'!$B$45:$AW$45))))))</f>
        <v/>
      </c>
      <c r="G143" s="5">
        <f>IF(F143&lt;=0.000000001,"",1/SQRT(F143))</f>
        <v/>
      </c>
      <c r="H143">
        <f>IF(OR(C143=0,C143=D143),"BIÊN","")</f>
        <v/>
      </c>
    </row>
    <row r="144">
      <c r="A144" t="n">
        <v>143</v>
      </c>
      <c r="B144">
        <f>'01_Data'!A144</f>
        <v/>
      </c>
      <c r="C144">
        <f>'03_Lap_Theta'!C144</f>
        <v/>
      </c>
      <c r="D144">
        <f>'03_Lap_Theta'!D144</f>
        <v/>
      </c>
      <c r="E144" s="5">
        <f>'03_Lap_Theta'!$AC144</f>
        <v/>
      </c>
      <c r="F144" s="5">
        <f>SUMPRODUCT(('01_Data'!$B144:$AW144&lt;&gt;"")*(1/(1+EXP(-('03_Lap_Theta'!$AC144-'03_Lap_b'!$B$45:$AW$45))))*(1-(1/(1+EXP(-('03_Lap_Theta'!$AC144-'03_Lap_b'!$B$45:$AW$45))))))</f>
        <v/>
      </c>
      <c r="G144" s="5">
        <f>IF(F144&lt;=0.000000001,"",1/SQRT(F144))</f>
        <v/>
      </c>
      <c r="H144">
        <f>IF(OR(C144=0,C144=D144),"BIÊN","")</f>
        <v/>
      </c>
    </row>
    <row r="145">
      <c r="A145" t="n">
        <v>144</v>
      </c>
      <c r="B145">
        <f>'01_Data'!A145</f>
        <v/>
      </c>
      <c r="C145">
        <f>'03_Lap_Theta'!C145</f>
        <v/>
      </c>
      <c r="D145">
        <f>'03_Lap_Theta'!D145</f>
        <v/>
      </c>
      <c r="E145" s="5">
        <f>'03_Lap_Theta'!$AC145</f>
        <v/>
      </c>
      <c r="F145" s="5">
        <f>SUMPRODUCT(('01_Data'!$B145:$AW145&lt;&gt;"")*(1/(1+EXP(-('03_Lap_Theta'!$AC145-'03_Lap_b'!$B$45:$AW$45))))*(1-(1/(1+EXP(-('03_Lap_Theta'!$AC145-'03_Lap_b'!$B$45:$AW$45))))))</f>
        <v/>
      </c>
      <c r="G145" s="5">
        <f>IF(F145&lt;=0.000000001,"",1/SQRT(F145))</f>
        <v/>
      </c>
      <c r="H145">
        <f>IF(OR(C145=0,C145=D145),"BIÊN","")</f>
        <v/>
      </c>
    </row>
    <row r="146">
      <c r="A146" t="n">
        <v>145</v>
      </c>
      <c r="B146">
        <f>'01_Data'!A146</f>
        <v/>
      </c>
      <c r="C146">
        <f>'03_Lap_Theta'!C146</f>
        <v/>
      </c>
      <c r="D146">
        <f>'03_Lap_Theta'!D146</f>
        <v/>
      </c>
      <c r="E146" s="5">
        <f>'03_Lap_Theta'!$AC146</f>
        <v/>
      </c>
      <c r="F146" s="5">
        <f>SUMPRODUCT(('01_Data'!$B146:$AW146&lt;&gt;"")*(1/(1+EXP(-('03_Lap_Theta'!$AC146-'03_Lap_b'!$B$45:$AW$45))))*(1-(1/(1+EXP(-('03_Lap_Theta'!$AC146-'03_Lap_b'!$B$45:$AW$45))))))</f>
        <v/>
      </c>
      <c r="G146" s="5">
        <f>IF(F146&lt;=0.000000001,"",1/SQRT(F146))</f>
        <v/>
      </c>
      <c r="H146">
        <f>IF(OR(C146=0,C146=D146),"BIÊN","")</f>
        <v/>
      </c>
    </row>
    <row r="147">
      <c r="A147" t="n">
        <v>146</v>
      </c>
      <c r="B147">
        <f>'01_Data'!A147</f>
        <v/>
      </c>
      <c r="C147">
        <f>'03_Lap_Theta'!C147</f>
        <v/>
      </c>
      <c r="D147">
        <f>'03_Lap_Theta'!D147</f>
        <v/>
      </c>
      <c r="E147" s="5">
        <f>'03_Lap_Theta'!$AC147</f>
        <v/>
      </c>
      <c r="F147" s="5">
        <f>SUMPRODUCT(('01_Data'!$B147:$AW147&lt;&gt;"")*(1/(1+EXP(-('03_Lap_Theta'!$AC147-'03_Lap_b'!$B$45:$AW$45))))*(1-(1/(1+EXP(-('03_Lap_Theta'!$AC147-'03_Lap_b'!$B$45:$AW$45))))))</f>
        <v/>
      </c>
      <c r="G147" s="5">
        <f>IF(F147&lt;=0.000000001,"",1/SQRT(F147))</f>
        <v/>
      </c>
      <c r="H147">
        <f>IF(OR(C147=0,C147=D147),"BIÊN","")</f>
        <v/>
      </c>
    </row>
    <row r="148">
      <c r="A148" t="n">
        <v>147</v>
      </c>
      <c r="B148">
        <f>'01_Data'!A148</f>
        <v/>
      </c>
      <c r="C148">
        <f>'03_Lap_Theta'!C148</f>
        <v/>
      </c>
      <c r="D148">
        <f>'03_Lap_Theta'!D148</f>
        <v/>
      </c>
      <c r="E148" s="5">
        <f>'03_Lap_Theta'!$AC148</f>
        <v/>
      </c>
      <c r="F148" s="5">
        <f>SUMPRODUCT(('01_Data'!$B148:$AW148&lt;&gt;"")*(1/(1+EXP(-('03_Lap_Theta'!$AC148-'03_Lap_b'!$B$45:$AW$45))))*(1-(1/(1+EXP(-('03_Lap_Theta'!$AC148-'03_Lap_b'!$B$45:$AW$45))))))</f>
        <v/>
      </c>
      <c r="G148" s="5">
        <f>IF(F148&lt;=0.000000001,"",1/SQRT(F148))</f>
        <v/>
      </c>
      <c r="H148">
        <f>IF(OR(C148=0,C148=D148),"BIÊN","")</f>
        <v/>
      </c>
    </row>
    <row r="149">
      <c r="A149" t="n">
        <v>148</v>
      </c>
      <c r="B149">
        <f>'01_Data'!A149</f>
        <v/>
      </c>
      <c r="C149">
        <f>'03_Lap_Theta'!C149</f>
        <v/>
      </c>
      <c r="D149">
        <f>'03_Lap_Theta'!D149</f>
        <v/>
      </c>
      <c r="E149" s="5">
        <f>'03_Lap_Theta'!$AC149</f>
        <v/>
      </c>
      <c r="F149" s="5">
        <f>SUMPRODUCT(('01_Data'!$B149:$AW149&lt;&gt;"")*(1/(1+EXP(-('03_Lap_Theta'!$AC149-'03_Lap_b'!$B$45:$AW$45))))*(1-(1/(1+EXP(-('03_Lap_Theta'!$AC149-'03_Lap_b'!$B$45:$AW$45))))))</f>
        <v/>
      </c>
      <c r="G149" s="5">
        <f>IF(F149&lt;=0.000000001,"",1/SQRT(F149))</f>
        <v/>
      </c>
      <c r="H149">
        <f>IF(OR(C149=0,C149=D149),"BIÊN","")</f>
        <v/>
      </c>
    </row>
    <row r="150">
      <c r="A150" t="n">
        <v>149</v>
      </c>
      <c r="B150">
        <f>'01_Data'!A150</f>
        <v/>
      </c>
      <c r="C150">
        <f>'03_Lap_Theta'!C150</f>
        <v/>
      </c>
      <c r="D150">
        <f>'03_Lap_Theta'!D150</f>
        <v/>
      </c>
      <c r="E150" s="5">
        <f>'03_Lap_Theta'!$AC150</f>
        <v/>
      </c>
      <c r="F150" s="5">
        <f>SUMPRODUCT(('01_Data'!$B150:$AW150&lt;&gt;"")*(1/(1+EXP(-('03_Lap_Theta'!$AC150-'03_Lap_b'!$B$45:$AW$45))))*(1-(1/(1+EXP(-('03_Lap_Theta'!$AC150-'03_Lap_b'!$B$45:$AW$45))))))</f>
        <v/>
      </c>
      <c r="G150" s="5">
        <f>IF(F150&lt;=0.000000001,"",1/SQRT(F150))</f>
        <v/>
      </c>
      <c r="H150">
        <f>IF(OR(C150=0,C150=D150),"BIÊN","")</f>
        <v/>
      </c>
    </row>
    <row r="151">
      <c r="A151" t="n">
        <v>150</v>
      </c>
      <c r="B151">
        <f>'01_Data'!A151</f>
        <v/>
      </c>
      <c r="C151">
        <f>'03_Lap_Theta'!C151</f>
        <v/>
      </c>
      <c r="D151">
        <f>'03_Lap_Theta'!D151</f>
        <v/>
      </c>
      <c r="E151" s="5">
        <f>'03_Lap_Theta'!$AC151</f>
        <v/>
      </c>
      <c r="F151" s="5">
        <f>SUMPRODUCT(('01_Data'!$B151:$AW151&lt;&gt;"")*(1/(1+EXP(-('03_Lap_Theta'!$AC151-'03_Lap_b'!$B$45:$AW$45))))*(1-(1/(1+EXP(-('03_Lap_Theta'!$AC151-'03_Lap_b'!$B$45:$AW$45))))))</f>
        <v/>
      </c>
      <c r="G151" s="5">
        <f>IF(F151&lt;=0.000000001,"",1/SQRT(F151))</f>
        <v/>
      </c>
      <c r="H151">
        <f>IF(OR(C151=0,C151=D151),"BIÊN","")</f>
        <v/>
      </c>
    </row>
    <row r="152">
      <c r="A152" t="n">
        <v>151</v>
      </c>
      <c r="B152">
        <f>'01_Data'!A152</f>
        <v/>
      </c>
      <c r="C152">
        <f>'03_Lap_Theta'!C152</f>
        <v/>
      </c>
      <c r="D152">
        <f>'03_Lap_Theta'!D152</f>
        <v/>
      </c>
      <c r="E152" s="5">
        <f>'03_Lap_Theta'!$AC152</f>
        <v/>
      </c>
      <c r="F152" s="5">
        <f>SUMPRODUCT(('01_Data'!$B152:$AW152&lt;&gt;"")*(1/(1+EXP(-('03_Lap_Theta'!$AC152-'03_Lap_b'!$B$45:$AW$45))))*(1-(1/(1+EXP(-('03_Lap_Theta'!$AC152-'03_Lap_b'!$B$45:$AW$45))))))</f>
        <v/>
      </c>
      <c r="G152" s="5">
        <f>IF(F152&lt;=0.000000001,"",1/SQRT(F152))</f>
        <v/>
      </c>
      <c r="H152">
        <f>IF(OR(C152=0,C152=D152),"BIÊN","")</f>
        <v/>
      </c>
    </row>
    <row r="153">
      <c r="A153" t="n">
        <v>152</v>
      </c>
      <c r="B153">
        <f>'01_Data'!A153</f>
        <v/>
      </c>
      <c r="C153">
        <f>'03_Lap_Theta'!C153</f>
        <v/>
      </c>
      <c r="D153">
        <f>'03_Lap_Theta'!D153</f>
        <v/>
      </c>
      <c r="E153" s="5">
        <f>'03_Lap_Theta'!$AC153</f>
        <v/>
      </c>
      <c r="F153" s="5">
        <f>SUMPRODUCT(('01_Data'!$B153:$AW153&lt;&gt;"")*(1/(1+EXP(-('03_Lap_Theta'!$AC153-'03_Lap_b'!$B$45:$AW$45))))*(1-(1/(1+EXP(-('03_Lap_Theta'!$AC153-'03_Lap_b'!$B$45:$AW$45))))))</f>
        <v/>
      </c>
      <c r="G153" s="5">
        <f>IF(F153&lt;=0.000000001,"",1/SQRT(F153))</f>
        <v/>
      </c>
      <c r="H153">
        <f>IF(OR(C153=0,C153=D153),"BIÊN","")</f>
        <v/>
      </c>
    </row>
    <row r="154">
      <c r="A154" t="n">
        <v>153</v>
      </c>
      <c r="B154">
        <f>'01_Data'!A154</f>
        <v/>
      </c>
      <c r="C154">
        <f>'03_Lap_Theta'!C154</f>
        <v/>
      </c>
      <c r="D154">
        <f>'03_Lap_Theta'!D154</f>
        <v/>
      </c>
      <c r="E154" s="5">
        <f>'03_Lap_Theta'!$AC154</f>
        <v/>
      </c>
      <c r="F154" s="5">
        <f>SUMPRODUCT(('01_Data'!$B154:$AW154&lt;&gt;"")*(1/(1+EXP(-('03_Lap_Theta'!$AC154-'03_Lap_b'!$B$45:$AW$45))))*(1-(1/(1+EXP(-('03_Lap_Theta'!$AC154-'03_Lap_b'!$B$45:$AW$45))))))</f>
        <v/>
      </c>
      <c r="G154" s="5">
        <f>IF(F154&lt;=0.000000001,"",1/SQRT(F154))</f>
        <v/>
      </c>
      <c r="H154">
        <f>IF(OR(C154=0,C154=D154),"BIÊN","")</f>
        <v/>
      </c>
    </row>
    <row r="155">
      <c r="A155" t="n">
        <v>154</v>
      </c>
      <c r="B155">
        <f>'01_Data'!A155</f>
        <v/>
      </c>
      <c r="C155">
        <f>'03_Lap_Theta'!C155</f>
        <v/>
      </c>
      <c r="D155">
        <f>'03_Lap_Theta'!D155</f>
        <v/>
      </c>
      <c r="E155" s="5">
        <f>'03_Lap_Theta'!$AC155</f>
        <v/>
      </c>
      <c r="F155" s="5">
        <f>SUMPRODUCT(('01_Data'!$B155:$AW155&lt;&gt;"")*(1/(1+EXP(-('03_Lap_Theta'!$AC155-'03_Lap_b'!$B$45:$AW$45))))*(1-(1/(1+EXP(-('03_Lap_Theta'!$AC155-'03_Lap_b'!$B$45:$AW$45))))))</f>
        <v/>
      </c>
      <c r="G155" s="5">
        <f>IF(F155&lt;=0.000000001,"",1/SQRT(F155))</f>
        <v/>
      </c>
      <c r="H155">
        <f>IF(OR(C155=0,C155=D155),"BIÊN","")</f>
        <v/>
      </c>
    </row>
    <row r="156">
      <c r="A156" t="n">
        <v>155</v>
      </c>
      <c r="B156">
        <f>'01_Data'!A156</f>
        <v/>
      </c>
      <c r="C156">
        <f>'03_Lap_Theta'!C156</f>
        <v/>
      </c>
      <c r="D156">
        <f>'03_Lap_Theta'!D156</f>
        <v/>
      </c>
      <c r="E156" s="5">
        <f>'03_Lap_Theta'!$AC156</f>
        <v/>
      </c>
      <c r="F156" s="5">
        <f>SUMPRODUCT(('01_Data'!$B156:$AW156&lt;&gt;"")*(1/(1+EXP(-('03_Lap_Theta'!$AC156-'03_Lap_b'!$B$45:$AW$45))))*(1-(1/(1+EXP(-('03_Lap_Theta'!$AC156-'03_Lap_b'!$B$45:$AW$45))))))</f>
        <v/>
      </c>
      <c r="G156" s="5">
        <f>IF(F156&lt;=0.000000001,"",1/SQRT(F156))</f>
        <v/>
      </c>
      <c r="H156">
        <f>IF(OR(C156=0,C156=D156),"BIÊN","")</f>
        <v/>
      </c>
    </row>
    <row r="157">
      <c r="A157" t="n">
        <v>156</v>
      </c>
      <c r="B157">
        <f>'01_Data'!A157</f>
        <v/>
      </c>
      <c r="C157">
        <f>'03_Lap_Theta'!C157</f>
        <v/>
      </c>
      <c r="D157">
        <f>'03_Lap_Theta'!D157</f>
        <v/>
      </c>
      <c r="E157" s="5">
        <f>'03_Lap_Theta'!$AC157</f>
        <v/>
      </c>
      <c r="F157" s="5">
        <f>SUMPRODUCT(('01_Data'!$B157:$AW157&lt;&gt;"")*(1/(1+EXP(-('03_Lap_Theta'!$AC157-'03_Lap_b'!$B$45:$AW$45))))*(1-(1/(1+EXP(-('03_Lap_Theta'!$AC157-'03_Lap_b'!$B$45:$AW$45))))))</f>
        <v/>
      </c>
      <c r="G157" s="5">
        <f>IF(F157&lt;=0.000000001,"",1/SQRT(F157))</f>
        <v/>
      </c>
      <c r="H157">
        <f>IF(OR(C157=0,C157=D157),"BIÊN","")</f>
        <v/>
      </c>
    </row>
    <row r="158">
      <c r="A158" t="n">
        <v>157</v>
      </c>
      <c r="B158">
        <f>'01_Data'!A158</f>
        <v/>
      </c>
      <c r="C158">
        <f>'03_Lap_Theta'!C158</f>
        <v/>
      </c>
      <c r="D158">
        <f>'03_Lap_Theta'!D158</f>
        <v/>
      </c>
      <c r="E158" s="5">
        <f>'03_Lap_Theta'!$AC158</f>
        <v/>
      </c>
      <c r="F158" s="5">
        <f>SUMPRODUCT(('01_Data'!$B158:$AW158&lt;&gt;"")*(1/(1+EXP(-('03_Lap_Theta'!$AC158-'03_Lap_b'!$B$45:$AW$45))))*(1-(1/(1+EXP(-('03_Lap_Theta'!$AC158-'03_Lap_b'!$B$45:$AW$45))))))</f>
        <v/>
      </c>
      <c r="G158" s="5">
        <f>IF(F158&lt;=0.000000001,"",1/SQRT(F158))</f>
        <v/>
      </c>
      <c r="H158">
        <f>IF(OR(C158=0,C158=D158),"BIÊN","")</f>
        <v/>
      </c>
    </row>
    <row r="159">
      <c r="A159" t="n">
        <v>158</v>
      </c>
      <c r="B159">
        <f>'01_Data'!A159</f>
        <v/>
      </c>
      <c r="C159">
        <f>'03_Lap_Theta'!C159</f>
        <v/>
      </c>
      <c r="D159">
        <f>'03_Lap_Theta'!D159</f>
        <v/>
      </c>
      <c r="E159" s="5">
        <f>'03_Lap_Theta'!$AC159</f>
        <v/>
      </c>
      <c r="F159" s="5">
        <f>SUMPRODUCT(('01_Data'!$B159:$AW159&lt;&gt;"")*(1/(1+EXP(-('03_Lap_Theta'!$AC159-'03_Lap_b'!$B$45:$AW$45))))*(1-(1/(1+EXP(-('03_Lap_Theta'!$AC159-'03_Lap_b'!$B$45:$AW$45))))))</f>
        <v/>
      </c>
      <c r="G159" s="5">
        <f>IF(F159&lt;=0.000000001,"",1/SQRT(F159))</f>
        <v/>
      </c>
      <c r="H159">
        <f>IF(OR(C159=0,C159=D159),"BIÊN","")</f>
        <v/>
      </c>
    </row>
    <row r="160">
      <c r="A160" t="n">
        <v>159</v>
      </c>
      <c r="B160">
        <f>'01_Data'!A160</f>
        <v/>
      </c>
      <c r="C160">
        <f>'03_Lap_Theta'!C160</f>
        <v/>
      </c>
      <c r="D160">
        <f>'03_Lap_Theta'!D160</f>
        <v/>
      </c>
      <c r="E160" s="5">
        <f>'03_Lap_Theta'!$AC160</f>
        <v/>
      </c>
      <c r="F160" s="5">
        <f>SUMPRODUCT(('01_Data'!$B160:$AW160&lt;&gt;"")*(1/(1+EXP(-('03_Lap_Theta'!$AC160-'03_Lap_b'!$B$45:$AW$45))))*(1-(1/(1+EXP(-('03_Lap_Theta'!$AC160-'03_Lap_b'!$B$45:$AW$45))))))</f>
        <v/>
      </c>
      <c r="G160" s="5">
        <f>IF(F160&lt;=0.000000001,"",1/SQRT(F160))</f>
        <v/>
      </c>
      <c r="H160">
        <f>IF(OR(C160=0,C160=D160),"BIÊN","")</f>
        <v/>
      </c>
    </row>
    <row r="161">
      <c r="A161" t="n">
        <v>160</v>
      </c>
      <c r="B161">
        <f>'01_Data'!A161</f>
        <v/>
      </c>
      <c r="C161">
        <f>'03_Lap_Theta'!C161</f>
        <v/>
      </c>
      <c r="D161">
        <f>'03_Lap_Theta'!D161</f>
        <v/>
      </c>
      <c r="E161" s="5">
        <f>'03_Lap_Theta'!$AC161</f>
        <v/>
      </c>
      <c r="F161" s="5">
        <f>SUMPRODUCT(('01_Data'!$B161:$AW161&lt;&gt;"")*(1/(1+EXP(-('03_Lap_Theta'!$AC161-'03_Lap_b'!$B$45:$AW$45))))*(1-(1/(1+EXP(-('03_Lap_Theta'!$AC161-'03_Lap_b'!$B$45:$AW$45))))))</f>
        <v/>
      </c>
      <c r="G161" s="5">
        <f>IF(F161&lt;=0.000000001,"",1/SQRT(F161))</f>
        <v/>
      </c>
      <c r="H161">
        <f>IF(OR(C161=0,C161=D161),"BIÊN","")</f>
        <v/>
      </c>
    </row>
    <row r="162">
      <c r="A162" t="n">
        <v>161</v>
      </c>
      <c r="B162">
        <f>'01_Data'!A162</f>
        <v/>
      </c>
      <c r="C162">
        <f>'03_Lap_Theta'!C162</f>
        <v/>
      </c>
      <c r="D162">
        <f>'03_Lap_Theta'!D162</f>
        <v/>
      </c>
      <c r="E162" s="5">
        <f>'03_Lap_Theta'!$AC162</f>
        <v/>
      </c>
      <c r="F162" s="5">
        <f>SUMPRODUCT(('01_Data'!$B162:$AW162&lt;&gt;"")*(1/(1+EXP(-('03_Lap_Theta'!$AC162-'03_Lap_b'!$B$45:$AW$45))))*(1-(1/(1+EXP(-('03_Lap_Theta'!$AC162-'03_Lap_b'!$B$45:$AW$45))))))</f>
        <v/>
      </c>
      <c r="G162" s="5">
        <f>IF(F162&lt;=0.000000001,"",1/SQRT(F162))</f>
        <v/>
      </c>
      <c r="H162">
        <f>IF(OR(C162=0,C162=D162),"BIÊN","")</f>
        <v/>
      </c>
    </row>
    <row r="163">
      <c r="A163" t="n">
        <v>162</v>
      </c>
      <c r="B163">
        <f>'01_Data'!A163</f>
        <v/>
      </c>
      <c r="C163">
        <f>'03_Lap_Theta'!C163</f>
        <v/>
      </c>
      <c r="D163">
        <f>'03_Lap_Theta'!D163</f>
        <v/>
      </c>
      <c r="E163" s="5">
        <f>'03_Lap_Theta'!$AC163</f>
        <v/>
      </c>
      <c r="F163" s="5">
        <f>SUMPRODUCT(('01_Data'!$B163:$AW163&lt;&gt;"")*(1/(1+EXP(-('03_Lap_Theta'!$AC163-'03_Lap_b'!$B$45:$AW$45))))*(1-(1/(1+EXP(-('03_Lap_Theta'!$AC163-'03_Lap_b'!$B$45:$AW$45))))))</f>
        <v/>
      </c>
      <c r="G163" s="5">
        <f>IF(F163&lt;=0.000000001,"",1/SQRT(F163))</f>
        <v/>
      </c>
      <c r="H163">
        <f>IF(OR(C163=0,C163=D163),"BIÊN","")</f>
        <v/>
      </c>
    </row>
    <row r="164">
      <c r="A164" t="n">
        <v>163</v>
      </c>
      <c r="B164">
        <f>'01_Data'!A164</f>
        <v/>
      </c>
      <c r="C164">
        <f>'03_Lap_Theta'!C164</f>
        <v/>
      </c>
      <c r="D164">
        <f>'03_Lap_Theta'!D164</f>
        <v/>
      </c>
      <c r="E164" s="5">
        <f>'03_Lap_Theta'!$AC164</f>
        <v/>
      </c>
      <c r="F164" s="5">
        <f>SUMPRODUCT(('01_Data'!$B164:$AW164&lt;&gt;"")*(1/(1+EXP(-('03_Lap_Theta'!$AC164-'03_Lap_b'!$B$45:$AW$45))))*(1-(1/(1+EXP(-('03_Lap_Theta'!$AC164-'03_Lap_b'!$B$45:$AW$45))))))</f>
        <v/>
      </c>
      <c r="G164" s="5">
        <f>IF(F164&lt;=0.000000001,"",1/SQRT(F164))</f>
        <v/>
      </c>
      <c r="H164">
        <f>IF(OR(C164=0,C164=D164),"BIÊN","")</f>
        <v/>
      </c>
    </row>
    <row r="165">
      <c r="A165" t="n">
        <v>164</v>
      </c>
      <c r="B165">
        <f>'01_Data'!A165</f>
        <v/>
      </c>
      <c r="C165">
        <f>'03_Lap_Theta'!C165</f>
        <v/>
      </c>
      <c r="D165">
        <f>'03_Lap_Theta'!D165</f>
        <v/>
      </c>
      <c r="E165" s="5">
        <f>'03_Lap_Theta'!$AC165</f>
        <v/>
      </c>
      <c r="F165" s="5">
        <f>SUMPRODUCT(('01_Data'!$B165:$AW165&lt;&gt;"")*(1/(1+EXP(-('03_Lap_Theta'!$AC165-'03_Lap_b'!$B$45:$AW$45))))*(1-(1/(1+EXP(-('03_Lap_Theta'!$AC165-'03_Lap_b'!$B$45:$AW$45))))))</f>
        <v/>
      </c>
      <c r="G165" s="5">
        <f>IF(F165&lt;=0.000000001,"",1/SQRT(F165))</f>
        <v/>
      </c>
      <c r="H165">
        <f>IF(OR(C165=0,C165=D165),"BIÊN","")</f>
        <v/>
      </c>
    </row>
    <row r="166">
      <c r="A166" t="n">
        <v>165</v>
      </c>
      <c r="B166">
        <f>'01_Data'!A166</f>
        <v/>
      </c>
      <c r="C166">
        <f>'03_Lap_Theta'!C166</f>
        <v/>
      </c>
      <c r="D166">
        <f>'03_Lap_Theta'!D166</f>
        <v/>
      </c>
      <c r="E166" s="5">
        <f>'03_Lap_Theta'!$AC166</f>
        <v/>
      </c>
      <c r="F166" s="5">
        <f>SUMPRODUCT(('01_Data'!$B166:$AW166&lt;&gt;"")*(1/(1+EXP(-('03_Lap_Theta'!$AC166-'03_Lap_b'!$B$45:$AW$45))))*(1-(1/(1+EXP(-('03_Lap_Theta'!$AC166-'03_Lap_b'!$B$45:$AW$45))))))</f>
        <v/>
      </c>
      <c r="G166" s="5">
        <f>IF(F166&lt;=0.000000001,"",1/SQRT(F166))</f>
        <v/>
      </c>
      <c r="H166">
        <f>IF(OR(C166=0,C166=D166),"BIÊN","")</f>
        <v/>
      </c>
    </row>
    <row r="167">
      <c r="A167" t="n">
        <v>166</v>
      </c>
      <c r="B167">
        <f>'01_Data'!A167</f>
        <v/>
      </c>
      <c r="C167">
        <f>'03_Lap_Theta'!C167</f>
        <v/>
      </c>
      <c r="D167">
        <f>'03_Lap_Theta'!D167</f>
        <v/>
      </c>
      <c r="E167" s="5">
        <f>'03_Lap_Theta'!$AC167</f>
        <v/>
      </c>
      <c r="F167" s="5">
        <f>SUMPRODUCT(('01_Data'!$B167:$AW167&lt;&gt;"")*(1/(1+EXP(-('03_Lap_Theta'!$AC167-'03_Lap_b'!$B$45:$AW$45))))*(1-(1/(1+EXP(-('03_Lap_Theta'!$AC167-'03_Lap_b'!$B$45:$AW$45))))))</f>
        <v/>
      </c>
      <c r="G167" s="5">
        <f>IF(F167&lt;=0.000000001,"",1/SQRT(F167))</f>
        <v/>
      </c>
      <c r="H167">
        <f>IF(OR(C167=0,C167=D167),"BIÊN","")</f>
        <v/>
      </c>
    </row>
    <row r="168">
      <c r="A168" t="n">
        <v>167</v>
      </c>
      <c r="B168">
        <f>'01_Data'!A168</f>
        <v/>
      </c>
      <c r="C168">
        <f>'03_Lap_Theta'!C168</f>
        <v/>
      </c>
      <c r="D168">
        <f>'03_Lap_Theta'!D168</f>
        <v/>
      </c>
      <c r="E168" s="5">
        <f>'03_Lap_Theta'!$AC168</f>
        <v/>
      </c>
      <c r="F168" s="5">
        <f>SUMPRODUCT(('01_Data'!$B168:$AW168&lt;&gt;"")*(1/(1+EXP(-('03_Lap_Theta'!$AC168-'03_Lap_b'!$B$45:$AW$45))))*(1-(1/(1+EXP(-('03_Lap_Theta'!$AC168-'03_Lap_b'!$B$45:$AW$45))))))</f>
        <v/>
      </c>
      <c r="G168" s="5">
        <f>IF(F168&lt;=0.000000001,"",1/SQRT(F168))</f>
        <v/>
      </c>
      <c r="H168">
        <f>IF(OR(C168=0,C168=D168),"BIÊN","")</f>
        <v/>
      </c>
    </row>
    <row r="169">
      <c r="A169" t="n">
        <v>168</v>
      </c>
      <c r="B169">
        <f>'01_Data'!A169</f>
        <v/>
      </c>
      <c r="C169">
        <f>'03_Lap_Theta'!C169</f>
        <v/>
      </c>
      <c r="D169">
        <f>'03_Lap_Theta'!D169</f>
        <v/>
      </c>
      <c r="E169" s="5">
        <f>'03_Lap_Theta'!$AC169</f>
        <v/>
      </c>
      <c r="F169" s="5">
        <f>SUMPRODUCT(('01_Data'!$B169:$AW169&lt;&gt;"")*(1/(1+EXP(-('03_Lap_Theta'!$AC169-'03_Lap_b'!$B$45:$AW$45))))*(1-(1/(1+EXP(-('03_Lap_Theta'!$AC169-'03_Lap_b'!$B$45:$AW$45))))))</f>
        <v/>
      </c>
      <c r="G169" s="5">
        <f>IF(F169&lt;=0.000000001,"",1/SQRT(F169))</f>
        <v/>
      </c>
      <c r="H169">
        <f>IF(OR(C169=0,C169=D169),"BIÊN","")</f>
        <v/>
      </c>
    </row>
    <row r="170">
      <c r="A170" t="n">
        <v>169</v>
      </c>
      <c r="B170">
        <f>'01_Data'!A170</f>
        <v/>
      </c>
      <c r="C170">
        <f>'03_Lap_Theta'!C170</f>
        <v/>
      </c>
      <c r="D170">
        <f>'03_Lap_Theta'!D170</f>
        <v/>
      </c>
      <c r="E170" s="5">
        <f>'03_Lap_Theta'!$AC170</f>
        <v/>
      </c>
      <c r="F170" s="5">
        <f>SUMPRODUCT(('01_Data'!$B170:$AW170&lt;&gt;"")*(1/(1+EXP(-('03_Lap_Theta'!$AC170-'03_Lap_b'!$B$45:$AW$45))))*(1-(1/(1+EXP(-('03_Lap_Theta'!$AC170-'03_Lap_b'!$B$45:$AW$45))))))</f>
        <v/>
      </c>
      <c r="G170" s="5">
        <f>IF(F170&lt;=0.000000001,"",1/SQRT(F170))</f>
        <v/>
      </c>
      <c r="H170">
        <f>IF(OR(C170=0,C170=D170),"BIÊN","")</f>
        <v/>
      </c>
    </row>
    <row r="171">
      <c r="A171" t="n">
        <v>170</v>
      </c>
      <c r="B171">
        <f>'01_Data'!A171</f>
        <v/>
      </c>
      <c r="C171">
        <f>'03_Lap_Theta'!C171</f>
        <v/>
      </c>
      <c r="D171">
        <f>'03_Lap_Theta'!D171</f>
        <v/>
      </c>
      <c r="E171" s="5">
        <f>'03_Lap_Theta'!$AC171</f>
        <v/>
      </c>
      <c r="F171" s="5">
        <f>SUMPRODUCT(('01_Data'!$B171:$AW171&lt;&gt;"")*(1/(1+EXP(-('03_Lap_Theta'!$AC171-'03_Lap_b'!$B$45:$AW$45))))*(1-(1/(1+EXP(-('03_Lap_Theta'!$AC171-'03_Lap_b'!$B$45:$AW$45))))))</f>
        <v/>
      </c>
      <c r="G171" s="5">
        <f>IF(F171&lt;=0.000000001,"",1/SQRT(F171))</f>
        <v/>
      </c>
      <c r="H171">
        <f>IF(OR(C171=0,C171=D171),"BIÊN","")</f>
        <v/>
      </c>
    </row>
    <row r="172">
      <c r="A172" t="n">
        <v>171</v>
      </c>
      <c r="B172">
        <f>'01_Data'!A172</f>
        <v/>
      </c>
      <c r="C172">
        <f>'03_Lap_Theta'!C172</f>
        <v/>
      </c>
      <c r="D172">
        <f>'03_Lap_Theta'!D172</f>
        <v/>
      </c>
      <c r="E172" s="5">
        <f>'03_Lap_Theta'!$AC172</f>
        <v/>
      </c>
      <c r="F172" s="5">
        <f>SUMPRODUCT(('01_Data'!$B172:$AW172&lt;&gt;"")*(1/(1+EXP(-('03_Lap_Theta'!$AC172-'03_Lap_b'!$B$45:$AW$45))))*(1-(1/(1+EXP(-('03_Lap_Theta'!$AC172-'03_Lap_b'!$B$45:$AW$45))))))</f>
        <v/>
      </c>
      <c r="G172" s="5">
        <f>IF(F172&lt;=0.000000001,"",1/SQRT(F172))</f>
        <v/>
      </c>
      <c r="H172">
        <f>IF(OR(C172=0,C172=D172),"BIÊN","")</f>
        <v/>
      </c>
    </row>
    <row r="173">
      <c r="A173" t="n">
        <v>172</v>
      </c>
      <c r="B173">
        <f>'01_Data'!A173</f>
        <v/>
      </c>
      <c r="C173">
        <f>'03_Lap_Theta'!C173</f>
        <v/>
      </c>
      <c r="D173">
        <f>'03_Lap_Theta'!D173</f>
        <v/>
      </c>
      <c r="E173" s="5">
        <f>'03_Lap_Theta'!$AC173</f>
        <v/>
      </c>
      <c r="F173" s="5">
        <f>SUMPRODUCT(('01_Data'!$B173:$AW173&lt;&gt;"")*(1/(1+EXP(-('03_Lap_Theta'!$AC173-'03_Lap_b'!$B$45:$AW$45))))*(1-(1/(1+EXP(-('03_Lap_Theta'!$AC173-'03_Lap_b'!$B$45:$AW$45))))))</f>
        <v/>
      </c>
      <c r="G173" s="5">
        <f>IF(F173&lt;=0.000000001,"",1/SQRT(F173))</f>
        <v/>
      </c>
      <c r="H173">
        <f>IF(OR(C173=0,C173=D173),"BIÊN","")</f>
        <v/>
      </c>
    </row>
    <row r="174">
      <c r="A174" t="n">
        <v>173</v>
      </c>
      <c r="B174">
        <f>'01_Data'!A174</f>
        <v/>
      </c>
      <c r="C174">
        <f>'03_Lap_Theta'!C174</f>
        <v/>
      </c>
      <c r="D174">
        <f>'03_Lap_Theta'!D174</f>
        <v/>
      </c>
      <c r="E174" s="5">
        <f>'03_Lap_Theta'!$AC174</f>
        <v/>
      </c>
      <c r="F174" s="5">
        <f>SUMPRODUCT(('01_Data'!$B174:$AW174&lt;&gt;"")*(1/(1+EXP(-('03_Lap_Theta'!$AC174-'03_Lap_b'!$B$45:$AW$45))))*(1-(1/(1+EXP(-('03_Lap_Theta'!$AC174-'03_Lap_b'!$B$45:$AW$45))))))</f>
        <v/>
      </c>
      <c r="G174" s="5">
        <f>IF(F174&lt;=0.000000001,"",1/SQRT(F174))</f>
        <v/>
      </c>
      <c r="H174">
        <f>IF(OR(C174=0,C174=D174),"BIÊN","")</f>
        <v/>
      </c>
    </row>
    <row r="175">
      <c r="A175" t="n">
        <v>174</v>
      </c>
      <c r="B175">
        <f>'01_Data'!A175</f>
        <v/>
      </c>
      <c r="C175">
        <f>'03_Lap_Theta'!C175</f>
        <v/>
      </c>
      <c r="D175">
        <f>'03_Lap_Theta'!D175</f>
        <v/>
      </c>
      <c r="E175" s="5">
        <f>'03_Lap_Theta'!$AC175</f>
        <v/>
      </c>
      <c r="F175" s="5">
        <f>SUMPRODUCT(('01_Data'!$B175:$AW175&lt;&gt;"")*(1/(1+EXP(-('03_Lap_Theta'!$AC175-'03_Lap_b'!$B$45:$AW$45))))*(1-(1/(1+EXP(-('03_Lap_Theta'!$AC175-'03_Lap_b'!$B$45:$AW$45))))))</f>
        <v/>
      </c>
      <c r="G175" s="5">
        <f>IF(F175&lt;=0.000000001,"",1/SQRT(F175))</f>
        <v/>
      </c>
      <c r="H175">
        <f>IF(OR(C175=0,C175=D175),"BIÊN","")</f>
        <v/>
      </c>
    </row>
    <row r="176">
      <c r="A176" t="n">
        <v>175</v>
      </c>
      <c r="B176">
        <f>'01_Data'!A176</f>
        <v/>
      </c>
      <c r="C176">
        <f>'03_Lap_Theta'!C176</f>
        <v/>
      </c>
      <c r="D176">
        <f>'03_Lap_Theta'!D176</f>
        <v/>
      </c>
      <c r="E176" s="5">
        <f>'03_Lap_Theta'!$AC176</f>
        <v/>
      </c>
      <c r="F176" s="5">
        <f>SUMPRODUCT(('01_Data'!$B176:$AW176&lt;&gt;"")*(1/(1+EXP(-('03_Lap_Theta'!$AC176-'03_Lap_b'!$B$45:$AW$45))))*(1-(1/(1+EXP(-('03_Lap_Theta'!$AC176-'03_Lap_b'!$B$45:$AW$45))))))</f>
        <v/>
      </c>
      <c r="G176" s="5">
        <f>IF(F176&lt;=0.000000001,"",1/SQRT(F176))</f>
        <v/>
      </c>
      <c r="H176">
        <f>IF(OR(C176=0,C176=D176),"BIÊN","")</f>
        <v/>
      </c>
    </row>
    <row r="177">
      <c r="A177" t="n">
        <v>176</v>
      </c>
      <c r="B177">
        <f>'01_Data'!A177</f>
        <v/>
      </c>
      <c r="C177">
        <f>'03_Lap_Theta'!C177</f>
        <v/>
      </c>
      <c r="D177">
        <f>'03_Lap_Theta'!D177</f>
        <v/>
      </c>
      <c r="E177" s="5">
        <f>'03_Lap_Theta'!$AC177</f>
        <v/>
      </c>
      <c r="F177" s="5">
        <f>SUMPRODUCT(('01_Data'!$B177:$AW177&lt;&gt;"")*(1/(1+EXP(-('03_Lap_Theta'!$AC177-'03_Lap_b'!$B$45:$AW$45))))*(1-(1/(1+EXP(-('03_Lap_Theta'!$AC177-'03_Lap_b'!$B$45:$AW$45))))))</f>
        <v/>
      </c>
      <c r="G177" s="5">
        <f>IF(F177&lt;=0.000000001,"",1/SQRT(F177))</f>
        <v/>
      </c>
      <c r="H177">
        <f>IF(OR(C177=0,C177=D177),"BIÊN","")</f>
        <v/>
      </c>
    </row>
    <row r="178">
      <c r="A178" t="n">
        <v>177</v>
      </c>
      <c r="B178">
        <f>'01_Data'!A178</f>
        <v/>
      </c>
      <c r="C178">
        <f>'03_Lap_Theta'!C178</f>
        <v/>
      </c>
      <c r="D178">
        <f>'03_Lap_Theta'!D178</f>
        <v/>
      </c>
      <c r="E178" s="5">
        <f>'03_Lap_Theta'!$AC178</f>
        <v/>
      </c>
      <c r="F178" s="5">
        <f>SUMPRODUCT(('01_Data'!$B178:$AW178&lt;&gt;"")*(1/(1+EXP(-('03_Lap_Theta'!$AC178-'03_Lap_b'!$B$45:$AW$45))))*(1-(1/(1+EXP(-('03_Lap_Theta'!$AC178-'03_Lap_b'!$B$45:$AW$45))))))</f>
        <v/>
      </c>
      <c r="G178" s="5">
        <f>IF(F178&lt;=0.000000001,"",1/SQRT(F178))</f>
        <v/>
      </c>
      <c r="H178">
        <f>IF(OR(C178=0,C178=D178),"BIÊN","")</f>
        <v/>
      </c>
    </row>
    <row r="179">
      <c r="A179" t="n">
        <v>178</v>
      </c>
      <c r="B179">
        <f>'01_Data'!A179</f>
        <v/>
      </c>
      <c r="C179">
        <f>'03_Lap_Theta'!C179</f>
        <v/>
      </c>
      <c r="D179">
        <f>'03_Lap_Theta'!D179</f>
        <v/>
      </c>
      <c r="E179" s="5">
        <f>'03_Lap_Theta'!$AC179</f>
        <v/>
      </c>
      <c r="F179" s="5">
        <f>SUMPRODUCT(('01_Data'!$B179:$AW179&lt;&gt;"")*(1/(1+EXP(-('03_Lap_Theta'!$AC179-'03_Lap_b'!$B$45:$AW$45))))*(1-(1/(1+EXP(-('03_Lap_Theta'!$AC179-'03_Lap_b'!$B$45:$AW$45))))))</f>
        <v/>
      </c>
      <c r="G179" s="5">
        <f>IF(F179&lt;=0.000000001,"",1/SQRT(F179))</f>
        <v/>
      </c>
      <c r="H179">
        <f>IF(OR(C179=0,C179=D179),"BIÊN","")</f>
        <v/>
      </c>
    </row>
    <row r="180">
      <c r="A180" t="n">
        <v>179</v>
      </c>
      <c r="B180">
        <f>'01_Data'!A180</f>
        <v/>
      </c>
      <c r="C180">
        <f>'03_Lap_Theta'!C180</f>
        <v/>
      </c>
      <c r="D180">
        <f>'03_Lap_Theta'!D180</f>
        <v/>
      </c>
      <c r="E180" s="5">
        <f>'03_Lap_Theta'!$AC180</f>
        <v/>
      </c>
      <c r="F180" s="5">
        <f>SUMPRODUCT(('01_Data'!$B180:$AW180&lt;&gt;"")*(1/(1+EXP(-('03_Lap_Theta'!$AC180-'03_Lap_b'!$B$45:$AW$45))))*(1-(1/(1+EXP(-('03_Lap_Theta'!$AC180-'03_Lap_b'!$B$45:$AW$45))))))</f>
        <v/>
      </c>
      <c r="G180" s="5">
        <f>IF(F180&lt;=0.000000001,"",1/SQRT(F180))</f>
        <v/>
      </c>
      <c r="H180">
        <f>IF(OR(C180=0,C180=D180),"BIÊN","")</f>
        <v/>
      </c>
    </row>
    <row r="181">
      <c r="A181" t="n">
        <v>180</v>
      </c>
      <c r="B181">
        <f>'01_Data'!A181</f>
        <v/>
      </c>
      <c r="C181">
        <f>'03_Lap_Theta'!C181</f>
        <v/>
      </c>
      <c r="D181">
        <f>'03_Lap_Theta'!D181</f>
        <v/>
      </c>
      <c r="E181" s="5">
        <f>'03_Lap_Theta'!$AC181</f>
        <v/>
      </c>
      <c r="F181" s="5">
        <f>SUMPRODUCT(('01_Data'!$B181:$AW181&lt;&gt;"")*(1/(1+EXP(-('03_Lap_Theta'!$AC181-'03_Lap_b'!$B$45:$AW$45))))*(1-(1/(1+EXP(-('03_Lap_Theta'!$AC181-'03_Lap_b'!$B$45:$AW$45))))))</f>
        <v/>
      </c>
      <c r="G181" s="5">
        <f>IF(F181&lt;=0.000000001,"",1/SQRT(F181))</f>
        <v/>
      </c>
      <c r="H181">
        <f>IF(OR(C181=0,C181=D181),"BIÊN","")</f>
        <v/>
      </c>
    </row>
    <row r="182">
      <c r="A182" t="n">
        <v>181</v>
      </c>
      <c r="B182">
        <f>'01_Data'!A182</f>
        <v/>
      </c>
      <c r="C182">
        <f>'03_Lap_Theta'!C182</f>
        <v/>
      </c>
      <c r="D182">
        <f>'03_Lap_Theta'!D182</f>
        <v/>
      </c>
      <c r="E182" s="5">
        <f>'03_Lap_Theta'!$AC182</f>
        <v/>
      </c>
      <c r="F182" s="5">
        <f>SUMPRODUCT(('01_Data'!$B182:$AW182&lt;&gt;"")*(1/(1+EXP(-('03_Lap_Theta'!$AC182-'03_Lap_b'!$B$45:$AW$45))))*(1-(1/(1+EXP(-('03_Lap_Theta'!$AC182-'03_Lap_b'!$B$45:$AW$45))))))</f>
        <v/>
      </c>
      <c r="G182" s="5">
        <f>IF(F182&lt;=0.000000001,"",1/SQRT(F182))</f>
        <v/>
      </c>
      <c r="H182">
        <f>IF(OR(C182=0,C182=D182),"BIÊN","")</f>
        <v/>
      </c>
    </row>
    <row r="183">
      <c r="A183" t="n">
        <v>182</v>
      </c>
      <c r="B183">
        <f>'01_Data'!A183</f>
        <v/>
      </c>
      <c r="C183">
        <f>'03_Lap_Theta'!C183</f>
        <v/>
      </c>
      <c r="D183">
        <f>'03_Lap_Theta'!D183</f>
        <v/>
      </c>
      <c r="E183" s="5">
        <f>'03_Lap_Theta'!$AC183</f>
        <v/>
      </c>
      <c r="F183" s="5">
        <f>SUMPRODUCT(('01_Data'!$B183:$AW183&lt;&gt;"")*(1/(1+EXP(-('03_Lap_Theta'!$AC183-'03_Lap_b'!$B$45:$AW$45))))*(1-(1/(1+EXP(-('03_Lap_Theta'!$AC183-'03_Lap_b'!$B$45:$AW$45))))))</f>
        <v/>
      </c>
      <c r="G183" s="5">
        <f>IF(F183&lt;=0.000000001,"",1/SQRT(F183))</f>
        <v/>
      </c>
      <c r="H183">
        <f>IF(OR(C183=0,C183=D183),"BIÊN","")</f>
        <v/>
      </c>
    </row>
    <row r="184">
      <c r="A184" t="n">
        <v>183</v>
      </c>
      <c r="B184">
        <f>'01_Data'!A184</f>
        <v/>
      </c>
      <c r="C184">
        <f>'03_Lap_Theta'!C184</f>
        <v/>
      </c>
      <c r="D184">
        <f>'03_Lap_Theta'!D184</f>
        <v/>
      </c>
      <c r="E184" s="5">
        <f>'03_Lap_Theta'!$AC184</f>
        <v/>
      </c>
      <c r="F184" s="5">
        <f>SUMPRODUCT(('01_Data'!$B184:$AW184&lt;&gt;"")*(1/(1+EXP(-('03_Lap_Theta'!$AC184-'03_Lap_b'!$B$45:$AW$45))))*(1-(1/(1+EXP(-('03_Lap_Theta'!$AC184-'03_Lap_b'!$B$45:$AW$45))))))</f>
        <v/>
      </c>
      <c r="G184" s="5">
        <f>IF(F184&lt;=0.000000001,"",1/SQRT(F184))</f>
        <v/>
      </c>
      <c r="H184">
        <f>IF(OR(C184=0,C184=D184),"BIÊN","")</f>
        <v/>
      </c>
    </row>
    <row r="185">
      <c r="A185" t="n">
        <v>184</v>
      </c>
      <c r="B185">
        <f>'01_Data'!A185</f>
        <v/>
      </c>
      <c r="C185">
        <f>'03_Lap_Theta'!C185</f>
        <v/>
      </c>
      <c r="D185">
        <f>'03_Lap_Theta'!D185</f>
        <v/>
      </c>
      <c r="E185" s="5">
        <f>'03_Lap_Theta'!$AC185</f>
        <v/>
      </c>
      <c r="F185" s="5">
        <f>SUMPRODUCT(('01_Data'!$B185:$AW185&lt;&gt;"")*(1/(1+EXP(-('03_Lap_Theta'!$AC185-'03_Lap_b'!$B$45:$AW$45))))*(1-(1/(1+EXP(-('03_Lap_Theta'!$AC185-'03_Lap_b'!$B$45:$AW$45))))))</f>
        <v/>
      </c>
      <c r="G185" s="5">
        <f>IF(F185&lt;=0.000000001,"",1/SQRT(F185))</f>
        <v/>
      </c>
      <c r="H185">
        <f>IF(OR(C185=0,C185=D185),"BIÊN","")</f>
        <v/>
      </c>
    </row>
    <row r="186">
      <c r="A186" t="n">
        <v>185</v>
      </c>
      <c r="B186">
        <f>'01_Data'!A186</f>
        <v/>
      </c>
      <c r="C186">
        <f>'03_Lap_Theta'!C186</f>
        <v/>
      </c>
      <c r="D186">
        <f>'03_Lap_Theta'!D186</f>
        <v/>
      </c>
      <c r="E186" s="5">
        <f>'03_Lap_Theta'!$AC186</f>
        <v/>
      </c>
      <c r="F186" s="5">
        <f>SUMPRODUCT(('01_Data'!$B186:$AW186&lt;&gt;"")*(1/(1+EXP(-('03_Lap_Theta'!$AC186-'03_Lap_b'!$B$45:$AW$45))))*(1-(1/(1+EXP(-('03_Lap_Theta'!$AC186-'03_Lap_b'!$B$45:$AW$45))))))</f>
        <v/>
      </c>
      <c r="G186" s="5">
        <f>IF(F186&lt;=0.000000001,"",1/SQRT(F186))</f>
        <v/>
      </c>
      <c r="H186">
        <f>IF(OR(C186=0,C186=D186),"BIÊN","")</f>
        <v/>
      </c>
    </row>
    <row r="187">
      <c r="A187" t="n">
        <v>186</v>
      </c>
      <c r="B187">
        <f>'01_Data'!A187</f>
        <v/>
      </c>
      <c r="C187">
        <f>'03_Lap_Theta'!C187</f>
        <v/>
      </c>
      <c r="D187">
        <f>'03_Lap_Theta'!D187</f>
        <v/>
      </c>
      <c r="E187" s="5">
        <f>'03_Lap_Theta'!$AC187</f>
        <v/>
      </c>
      <c r="F187" s="5">
        <f>SUMPRODUCT(('01_Data'!$B187:$AW187&lt;&gt;"")*(1/(1+EXP(-('03_Lap_Theta'!$AC187-'03_Lap_b'!$B$45:$AW$45))))*(1-(1/(1+EXP(-('03_Lap_Theta'!$AC187-'03_Lap_b'!$B$45:$AW$45))))))</f>
        <v/>
      </c>
      <c r="G187" s="5">
        <f>IF(F187&lt;=0.000000001,"",1/SQRT(F187))</f>
        <v/>
      </c>
      <c r="H187">
        <f>IF(OR(C187=0,C187=D187),"BIÊN","")</f>
        <v/>
      </c>
    </row>
    <row r="188">
      <c r="A188" t="n">
        <v>187</v>
      </c>
      <c r="B188">
        <f>'01_Data'!A188</f>
        <v/>
      </c>
      <c r="C188">
        <f>'03_Lap_Theta'!C188</f>
        <v/>
      </c>
      <c r="D188">
        <f>'03_Lap_Theta'!D188</f>
        <v/>
      </c>
      <c r="E188" s="5">
        <f>'03_Lap_Theta'!$AC188</f>
        <v/>
      </c>
      <c r="F188" s="5">
        <f>SUMPRODUCT(('01_Data'!$B188:$AW188&lt;&gt;"")*(1/(1+EXP(-('03_Lap_Theta'!$AC188-'03_Lap_b'!$B$45:$AW$45))))*(1-(1/(1+EXP(-('03_Lap_Theta'!$AC188-'03_Lap_b'!$B$45:$AW$45))))))</f>
        <v/>
      </c>
      <c r="G188" s="5">
        <f>IF(F188&lt;=0.000000001,"",1/SQRT(F188))</f>
        <v/>
      </c>
      <c r="H188">
        <f>IF(OR(C188=0,C188=D188),"BIÊN","")</f>
        <v/>
      </c>
    </row>
    <row r="189">
      <c r="A189" t="n">
        <v>188</v>
      </c>
      <c r="B189">
        <f>'01_Data'!A189</f>
        <v/>
      </c>
      <c r="C189">
        <f>'03_Lap_Theta'!C189</f>
        <v/>
      </c>
      <c r="D189">
        <f>'03_Lap_Theta'!D189</f>
        <v/>
      </c>
      <c r="E189" s="5">
        <f>'03_Lap_Theta'!$AC189</f>
        <v/>
      </c>
      <c r="F189" s="5">
        <f>SUMPRODUCT(('01_Data'!$B189:$AW189&lt;&gt;"")*(1/(1+EXP(-('03_Lap_Theta'!$AC189-'03_Lap_b'!$B$45:$AW$45))))*(1-(1/(1+EXP(-('03_Lap_Theta'!$AC189-'03_Lap_b'!$B$45:$AW$45))))))</f>
        <v/>
      </c>
      <c r="G189" s="5">
        <f>IF(F189&lt;=0.000000001,"",1/SQRT(F189))</f>
        <v/>
      </c>
      <c r="H189">
        <f>IF(OR(C189=0,C189=D189),"BIÊN","")</f>
        <v/>
      </c>
    </row>
    <row r="190">
      <c r="A190" t="n">
        <v>189</v>
      </c>
      <c r="B190">
        <f>'01_Data'!A190</f>
        <v/>
      </c>
      <c r="C190">
        <f>'03_Lap_Theta'!C190</f>
        <v/>
      </c>
      <c r="D190">
        <f>'03_Lap_Theta'!D190</f>
        <v/>
      </c>
      <c r="E190" s="5">
        <f>'03_Lap_Theta'!$AC190</f>
        <v/>
      </c>
      <c r="F190" s="5">
        <f>SUMPRODUCT(('01_Data'!$B190:$AW190&lt;&gt;"")*(1/(1+EXP(-('03_Lap_Theta'!$AC190-'03_Lap_b'!$B$45:$AW$45))))*(1-(1/(1+EXP(-('03_Lap_Theta'!$AC190-'03_Lap_b'!$B$45:$AW$45))))))</f>
        <v/>
      </c>
      <c r="G190" s="5">
        <f>IF(F190&lt;=0.000000001,"",1/SQRT(F190))</f>
        <v/>
      </c>
      <c r="H190">
        <f>IF(OR(C190=0,C190=D190),"BIÊN","")</f>
        <v/>
      </c>
    </row>
    <row r="191">
      <c r="A191" t="n">
        <v>190</v>
      </c>
      <c r="B191">
        <f>'01_Data'!A191</f>
        <v/>
      </c>
      <c r="C191">
        <f>'03_Lap_Theta'!C191</f>
        <v/>
      </c>
      <c r="D191">
        <f>'03_Lap_Theta'!D191</f>
        <v/>
      </c>
      <c r="E191" s="5">
        <f>'03_Lap_Theta'!$AC191</f>
        <v/>
      </c>
      <c r="F191" s="5">
        <f>SUMPRODUCT(('01_Data'!$B191:$AW191&lt;&gt;"")*(1/(1+EXP(-('03_Lap_Theta'!$AC191-'03_Lap_b'!$B$45:$AW$45))))*(1-(1/(1+EXP(-('03_Lap_Theta'!$AC191-'03_Lap_b'!$B$45:$AW$45))))))</f>
        <v/>
      </c>
      <c r="G191" s="5">
        <f>IF(F191&lt;=0.000000001,"",1/SQRT(F191))</f>
        <v/>
      </c>
      <c r="H191">
        <f>IF(OR(C191=0,C191=D191),"BIÊN","")</f>
        <v/>
      </c>
    </row>
    <row r="192">
      <c r="A192" t="n">
        <v>191</v>
      </c>
      <c r="B192">
        <f>'01_Data'!A192</f>
        <v/>
      </c>
      <c r="C192">
        <f>'03_Lap_Theta'!C192</f>
        <v/>
      </c>
      <c r="D192">
        <f>'03_Lap_Theta'!D192</f>
        <v/>
      </c>
      <c r="E192" s="5">
        <f>'03_Lap_Theta'!$AC192</f>
        <v/>
      </c>
      <c r="F192" s="5">
        <f>SUMPRODUCT(('01_Data'!$B192:$AW192&lt;&gt;"")*(1/(1+EXP(-('03_Lap_Theta'!$AC192-'03_Lap_b'!$B$45:$AW$45))))*(1-(1/(1+EXP(-('03_Lap_Theta'!$AC192-'03_Lap_b'!$B$45:$AW$45))))))</f>
        <v/>
      </c>
      <c r="G192" s="5">
        <f>IF(F192&lt;=0.000000001,"",1/SQRT(F192))</f>
        <v/>
      </c>
      <c r="H192">
        <f>IF(OR(C192=0,C192=D192),"BIÊN","")</f>
        <v/>
      </c>
    </row>
    <row r="193">
      <c r="A193" t="n">
        <v>192</v>
      </c>
      <c r="B193">
        <f>'01_Data'!A193</f>
        <v/>
      </c>
      <c r="C193">
        <f>'03_Lap_Theta'!C193</f>
        <v/>
      </c>
      <c r="D193">
        <f>'03_Lap_Theta'!D193</f>
        <v/>
      </c>
      <c r="E193" s="5">
        <f>'03_Lap_Theta'!$AC193</f>
        <v/>
      </c>
      <c r="F193" s="5">
        <f>SUMPRODUCT(('01_Data'!$B193:$AW193&lt;&gt;"")*(1/(1+EXP(-('03_Lap_Theta'!$AC193-'03_Lap_b'!$B$45:$AW$45))))*(1-(1/(1+EXP(-('03_Lap_Theta'!$AC193-'03_Lap_b'!$B$45:$AW$45))))))</f>
        <v/>
      </c>
      <c r="G193" s="5">
        <f>IF(F193&lt;=0.000000001,"",1/SQRT(F193))</f>
        <v/>
      </c>
      <c r="H193">
        <f>IF(OR(C193=0,C193=D193),"BIÊN","")</f>
        <v/>
      </c>
    </row>
    <row r="194">
      <c r="A194" t="n">
        <v>193</v>
      </c>
      <c r="B194">
        <f>'01_Data'!A194</f>
        <v/>
      </c>
      <c r="C194">
        <f>'03_Lap_Theta'!C194</f>
        <v/>
      </c>
      <c r="D194">
        <f>'03_Lap_Theta'!D194</f>
        <v/>
      </c>
      <c r="E194" s="5">
        <f>'03_Lap_Theta'!$AC194</f>
        <v/>
      </c>
      <c r="F194" s="5">
        <f>SUMPRODUCT(('01_Data'!$B194:$AW194&lt;&gt;"")*(1/(1+EXP(-('03_Lap_Theta'!$AC194-'03_Lap_b'!$B$45:$AW$45))))*(1-(1/(1+EXP(-('03_Lap_Theta'!$AC194-'03_Lap_b'!$B$45:$AW$45))))))</f>
        <v/>
      </c>
      <c r="G194" s="5">
        <f>IF(F194&lt;=0.000000001,"",1/SQRT(F194))</f>
        <v/>
      </c>
      <c r="H194">
        <f>IF(OR(C194=0,C194=D194),"BIÊN","")</f>
        <v/>
      </c>
    </row>
    <row r="195">
      <c r="A195" t="n">
        <v>194</v>
      </c>
      <c r="B195">
        <f>'01_Data'!A195</f>
        <v/>
      </c>
      <c r="C195">
        <f>'03_Lap_Theta'!C195</f>
        <v/>
      </c>
      <c r="D195">
        <f>'03_Lap_Theta'!D195</f>
        <v/>
      </c>
      <c r="E195" s="5">
        <f>'03_Lap_Theta'!$AC195</f>
        <v/>
      </c>
      <c r="F195" s="5">
        <f>SUMPRODUCT(('01_Data'!$B195:$AW195&lt;&gt;"")*(1/(1+EXP(-('03_Lap_Theta'!$AC195-'03_Lap_b'!$B$45:$AW$45))))*(1-(1/(1+EXP(-('03_Lap_Theta'!$AC195-'03_Lap_b'!$B$45:$AW$45))))))</f>
        <v/>
      </c>
      <c r="G195" s="5">
        <f>IF(F195&lt;=0.000000001,"",1/SQRT(F195))</f>
        <v/>
      </c>
      <c r="H195">
        <f>IF(OR(C195=0,C195=D195),"BIÊN","")</f>
        <v/>
      </c>
    </row>
    <row r="196">
      <c r="A196" t="n">
        <v>195</v>
      </c>
      <c r="B196">
        <f>'01_Data'!A196</f>
        <v/>
      </c>
      <c r="C196">
        <f>'03_Lap_Theta'!C196</f>
        <v/>
      </c>
      <c r="D196">
        <f>'03_Lap_Theta'!D196</f>
        <v/>
      </c>
      <c r="E196" s="5">
        <f>'03_Lap_Theta'!$AC196</f>
        <v/>
      </c>
      <c r="F196" s="5">
        <f>SUMPRODUCT(('01_Data'!$B196:$AW196&lt;&gt;"")*(1/(1+EXP(-('03_Lap_Theta'!$AC196-'03_Lap_b'!$B$45:$AW$45))))*(1-(1/(1+EXP(-('03_Lap_Theta'!$AC196-'03_Lap_b'!$B$45:$AW$45))))))</f>
        <v/>
      </c>
      <c r="G196" s="5">
        <f>IF(F196&lt;=0.000000001,"",1/SQRT(F196))</f>
        <v/>
      </c>
      <c r="H196">
        <f>IF(OR(C196=0,C196=D196),"BIÊN","")</f>
        <v/>
      </c>
    </row>
    <row r="197">
      <c r="A197" t="n">
        <v>196</v>
      </c>
      <c r="B197">
        <f>'01_Data'!A197</f>
        <v/>
      </c>
      <c r="C197">
        <f>'03_Lap_Theta'!C197</f>
        <v/>
      </c>
      <c r="D197">
        <f>'03_Lap_Theta'!D197</f>
        <v/>
      </c>
      <c r="E197" s="5">
        <f>'03_Lap_Theta'!$AC197</f>
        <v/>
      </c>
      <c r="F197" s="5">
        <f>SUMPRODUCT(('01_Data'!$B197:$AW197&lt;&gt;"")*(1/(1+EXP(-('03_Lap_Theta'!$AC197-'03_Lap_b'!$B$45:$AW$45))))*(1-(1/(1+EXP(-('03_Lap_Theta'!$AC197-'03_Lap_b'!$B$45:$AW$45))))))</f>
        <v/>
      </c>
      <c r="G197" s="5">
        <f>IF(F197&lt;=0.000000001,"",1/SQRT(F197))</f>
        <v/>
      </c>
      <c r="H197">
        <f>IF(OR(C197=0,C197=D197),"BIÊN","")</f>
        <v/>
      </c>
    </row>
    <row r="198">
      <c r="A198" t="n">
        <v>197</v>
      </c>
      <c r="B198">
        <f>'01_Data'!A198</f>
        <v/>
      </c>
      <c r="C198">
        <f>'03_Lap_Theta'!C198</f>
        <v/>
      </c>
      <c r="D198">
        <f>'03_Lap_Theta'!D198</f>
        <v/>
      </c>
      <c r="E198" s="5">
        <f>'03_Lap_Theta'!$AC198</f>
        <v/>
      </c>
      <c r="F198" s="5">
        <f>SUMPRODUCT(('01_Data'!$B198:$AW198&lt;&gt;"")*(1/(1+EXP(-('03_Lap_Theta'!$AC198-'03_Lap_b'!$B$45:$AW$45))))*(1-(1/(1+EXP(-('03_Lap_Theta'!$AC198-'03_Lap_b'!$B$45:$AW$45))))))</f>
        <v/>
      </c>
      <c r="G198" s="5">
        <f>IF(F198&lt;=0.000000001,"",1/SQRT(F198))</f>
        <v/>
      </c>
      <c r="H198">
        <f>IF(OR(C198=0,C198=D198),"BIÊN","")</f>
        <v/>
      </c>
    </row>
    <row r="199">
      <c r="A199" t="n">
        <v>198</v>
      </c>
      <c r="B199">
        <f>'01_Data'!A199</f>
        <v/>
      </c>
      <c r="C199">
        <f>'03_Lap_Theta'!C199</f>
        <v/>
      </c>
      <c r="D199">
        <f>'03_Lap_Theta'!D199</f>
        <v/>
      </c>
      <c r="E199" s="5">
        <f>'03_Lap_Theta'!$AC199</f>
        <v/>
      </c>
      <c r="F199" s="5">
        <f>SUMPRODUCT(('01_Data'!$B199:$AW199&lt;&gt;"")*(1/(1+EXP(-('03_Lap_Theta'!$AC199-'03_Lap_b'!$B$45:$AW$45))))*(1-(1/(1+EXP(-('03_Lap_Theta'!$AC199-'03_Lap_b'!$B$45:$AW$45))))))</f>
        <v/>
      </c>
      <c r="G199" s="5">
        <f>IF(F199&lt;=0.000000001,"",1/SQRT(F199))</f>
        <v/>
      </c>
      <c r="H199">
        <f>IF(OR(C199=0,C199=D199),"BIÊN","")</f>
        <v/>
      </c>
    </row>
    <row r="200">
      <c r="A200" t="n">
        <v>199</v>
      </c>
      <c r="B200">
        <f>'01_Data'!A200</f>
        <v/>
      </c>
      <c r="C200">
        <f>'03_Lap_Theta'!C200</f>
        <v/>
      </c>
      <c r="D200">
        <f>'03_Lap_Theta'!D200</f>
        <v/>
      </c>
      <c r="E200" s="5">
        <f>'03_Lap_Theta'!$AC200</f>
        <v/>
      </c>
      <c r="F200" s="5">
        <f>SUMPRODUCT(('01_Data'!$B200:$AW200&lt;&gt;"")*(1/(1+EXP(-('03_Lap_Theta'!$AC200-'03_Lap_b'!$B$45:$AW$45))))*(1-(1/(1+EXP(-('03_Lap_Theta'!$AC200-'03_Lap_b'!$B$45:$AW$45))))))</f>
        <v/>
      </c>
      <c r="G200" s="5">
        <f>IF(F200&lt;=0.000000001,"",1/SQRT(F200))</f>
        <v/>
      </c>
      <c r="H200">
        <f>IF(OR(C200=0,C200=D200),"BIÊN","")</f>
        <v/>
      </c>
    </row>
    <row r="201">
      <c r="A201" t="n">
        <v>200</v>
      </c>
      <c r="B201">
        <f>'01_Data'!A201</f>
        <v/>
      </c>
      <c r="C201">
        <f>'03_Lap_Theta'!C201</f>
        <v/>
      </c>
      <c r="D201">
        <f>'03_Lap_Theta'!D201</f>
        <v/>
      </c>
      <c r="E201" s="5">
        <f>'03_Lap_Theta'!$AC201</f>
        <v/>
      </c>
      <c r="F201" s="5">
        <f>SUMPRODUCT(('01_Data'!$B201:$AW201&lt;&gt;"")*(1/(1+EXP(-('03_Lap_Theta'!$AC201-'03_Lap_b'!$B$45:$AW$45))))*(1-(1/(1+EXP(-('03_Lap_Theta'!$AC201-'03_Lap_b'!$B$45:$AW$45))))))</f>
        <v/>
      </c>
      <c r="G201" s="5">
        <f>IF(F201&lt;=0.000000001,"",1/SQRT(F201))</f>
        <v/>
      </c>
      <c r="H201">
        <f>IF(OR(C201=0,C201=D201),"BIÊN","")</f>
        <v/>
      </c>
    </row>
    <row r="202">
      <c r="A202" t="n">
        <v>201</v>
      </c>
      <c r="B202">
        <f>'01_Data'!A202</f>
        <v/>
      </c>
      <c r="C202">
        <f>'03_Lap_Theta'!C202</f>
        <v/>
      </c>
      <c r="D202">
        <f>'03_Lap_Theta'!D202</f>
        <v/>
      </c>
      <c r="E202" s="5">
        <f>'03_Lap_Theta'!$AC202</f>
        <v/>
      </c>
      <c r="F202" s="5">
        <f>SUMPRODUCT(('01_Data'!$B202:$AW202&lt;&gt;"")*(1/(1+EXP(-('03_Lap_Theta'!$AC202-'03_Lap_b'!$B$45:$AW$45))))*(1-(1/(1+EXP(-('03_Lap_Theta'!$AC202-'03_Lap_b'!$B$45:$AW$45))))))</f>
        <v/>
      </c>
      <c r="G202" s="5">
        <f>IF(F202&lt;=0.000000001,"",1/SQRT(F202))</f>
        <v/>
      </c>
      <c r="H202">
        <f>IF(OR(C202=0,C202=D202),"BIÊN","")</f>
        <v/>
      </c>
    </row>
    <row r="203">
      <c r="A203" t="n">
        <v>202</v>
      </c>
      <c r="B203">
        <f>'01_Data'!A203</f>
        <v/>
      </c>
      <c r="C203">
        <f>'03_Lap_Theta'!C203</f>
        <v/>
      </c>
      <c r="D203">
        <f>'03_Lap_Theta'!D203</f>
        <v/>
      </c>
      <c r="E203" s="5">
        <f>'03_Lap_Theta'!$AC203</f>
        <v/>
      </c>
      <c r="F203" s="5">
        <f>SUMPRODUCT(('01_Data'!$B203:$AW203&lt;&gt;"")*(1/(1+EXP(-('03_Lap_Theta'!$AC203-'03_Lap_b'!$B$45:$AW$45))))*(1-(1/(1+EXP(-('03_Lap_Theta'!$AC203-'03_Lap_b'!$B$45:$AW$45))))))</f>
        <v/>
      </c>
      <c r="G203" s="5">
        <f>IF(F203&lt;=0.000000001,"",1/SQRT(F203))</f>
        <v/>
      </c>
      <c r="H203">
        <f>IF(OR(C203=0,C203=D203),"BIÊN","")</f>
        <v/>
      </c>
    </row>
    <row r="204">
      <c r="A204" t="n">
        <v>203</v>
      </c>
      <c r="B204">
        <f>'01_Data'!A204</f>
        <v/>
      </c>
      <c r="C204">
        <f>'03_Lap_Theta'!C204</f>
        <v/>
      </c>
      <c r="D204">
        <f>'03_Lap_Theta'!D204</f>
        <v/>
      </c>
      <c r="E204" s="5">
        <f>'03_Lap_Theta'!$AC204</f>
        <v/>
      </c>
      <c r="F204" s="5">
        <f>SUMPRODUCT(('01_Data'!$B204:$AW204&lt;&gt;"")*(1/(1+EXP(-('03_Lap_Theta'!$AC204-'03_Lap_b'!$B$45:$AW$45))))*(1-(1/(1+EXP(-('03_Lap_Theta'!$AC204-'03_Lap_b'!$B$45:$AW$45))))))</f>
        <v/>
      </c>
      <c r="G204" s="5">
        <f>IF(F204&lt;=0.000000001,"",1/SQRT(F204))</f>
        <v/>
      </c>
      <c r="H204">
        <f>IF(OR(C204=0,C204=D204),"BIÊN","")</f>
        <v/>
      </c>
    </row>
    <row r="205">
      <c r="A205" t="n">
        <v>204</v>
      </c>
      <c r="B205">
        <f>'01_Data'!A205</f>
        <v/>
      </c>
      <c r="C205">
        <f>'03_Lap_Theta'!C205</f>
        <v/>
      </c>
      <c r="D205">
        <f>'03_Lap_Theta'!D205</f>
        <v/>
      </c>
      <c r="E205" s="5">
        <f>'03_Lap_Theta'!$AC205</f>
        <v/>
      </c>
      <c r="F205" s="5">
        <f>SUMPRODUCT(('01_Data'!$B205:$AW205&lt;&gt;"")*(1/(1+EXP(-('03_Lap_Theta'!$AC205-'03_Lap_b'!$B$45:$AW$45))))*(1-(1/(1+EXP(-('03_Lap_Theta'!$AC205-'03_Lap_b'!$B$45:$AW$45))))))</f>
        <v/>
      </c>
      <c r="G205" s="5">
        <f>IF(F205&lt;=0.000000001,"",1/SQRT(F205))</f>
        <v/>
      </c>
      <c r="H205">
        <f>IF(OR(C205=0,C205=D205),"BIÊN","")</f>
        <v/>
      </c>
    </row>
    <row r="206">
      <c r="A206" t="n">
        <v>205</v>
      </c>
      <c r="B206">
        <f>'01_Data'!A206</f>
        <v/>
      </c>
      <c r="C206">
        <f>'03_Lap_Theta'!C206</f>
        <v/>
      </c>
      <c r="D206">
        <f>'03_Lap_Theta'!D206</f>
        <v/>
      </c>
      <c r="E206" s="5">
        <f>'03_Lap_Theta'!$AC206</f>
        <v/>
      </c>
      <c r="F206" s="5">
        <f>SUMPRODUCT(('01_Data'!$B206:$AW206&lt;&gt;"")*(1/(1+EXP(-('03_Lap_Theta'!$AC206-'03_Lap_b'!$B$45:$AW$45))))*(1-(1/(1+EXP(-('03_Lap_Theta'!$AC206-'03_Lap_b'!$B$45:$AW$45))))))</f>
        <v/>
      </c>
      <c r="G206" s="5">
        <f>IF(F206&lt;=0.000000001,"",1/SQRT(F206))</f>
        <v/>
      </c>
      <c r="H206">
        <f>IF(OR(C206=0,C206=D206),"BIÊN","")</f>
        <v/>
      </c>
    </row>
    <row r="207">
      <c r="A207" t="n">
        <v>206</v>
      </c>
      <c r="B207">
        <f>'01_Data'!A207</f>
        <v/>
      </c>
      <c r="C207">
        <f>'03_Lap_Theta'!C207</f>
        <v/>
      </c>
      <c r="D207">
        <f>'03_Lap_Theta'!D207</f>
        <v/>
      </c>
      <c r="E207" s="5">
        <f>'03_Lap_Theta'!$AC207</f>
        <v/>
      </c>
      <c r="F207" s="5">
        <f>SUMPRODUCT(('01_Data'!$B207:$AW207&lt;&gt;"")*(1/(1+EXP(-('03_Lap_Theta'!$AC207-'03_Lap_b'!$B$45:$AW$45))))*(1-(1/(1+EXP(-('03_Lap_Theta'!$AC207-'03_Lap_b'!$B$45:$AW$45))))))</f>
        <v/>
      </c>
      <c r="G207" s="5">
        <f>IF(F207&lt;=0.000000001,"",1/SQRT(F207))</f>
        <v/>
      </c>
      <c r="H207">
        <f>IF(OR(C207=0,C207=D207),"BIÊN","")</f>
        <v/>
      </c>
    </row>
    <row r="208">
      <c r="A208" t="n">
        <v>207</v>
      </c>
      <c r="B208">
        <f>'01_Data'!A208</f>
        <v/>
      </c>
      <c r="C208">
        <f>'03_Lap_Theta'!C208</f>
        <v/>
      </c>
      <c r="D208">
        <f>'03_Lap_Theta'!D208</f>
        <v/>
      </c>
      <c r="E208" s="5">
        <f>'03_Lap_Theta'!$AC208</f>
        <v/>
      </c>
      <c r="F208" s="5">
        <f>SUMPRODUCT(('01_Data'!$B208:$AW208&lt;&gt;"")*(1/(1+EXP(-('03_Lap_Theta'!$AC208-'03_Lap_b'!$B$45:$AW$45))))*(1-(1/(1+EXP(-('03_Lap_Theta'!$AC208-'03_Lap_b'!$B$45:$AW$45))))))</f>
        <v/>
      </c>
      <c r="G208" s="5">
        <f>IF(F208&lt;=0.000000001,"",1/SQRT(F208))</f>
        <v/>
      </c>
      <c r="H208">
        <f>IF(OR(C208=0,C208=D208),"BIÊN","")</f>
        <v/>
      </c>
    </row>
    <row r="209">
      <c r="A209" t="n">
        <v>208</v>
      </c>
      <c r="B209">
        <f>'01_Data'!A209</f>
        <v/>
      </c>
      <c r="C209">
        <f>'03_Lap_Theta'!C209</f>
        <v/>
      </c>
      <c r="D209">
        <f>'03_Lap_Theta'!D209</f>
        <v/>
      </c>
      <c r="E209" s="5">
        <f>'03_Lap_Theta'!$AC209</f>
        <v/>
      </c>
      <c r="F209" s="5">
        <f>SUMPRODUCT(('01_Data'!$B209:$AW209&lt;&gt;"")*(1/(1+EXP(-('03_Lap_Theta'!$AC209-'03_Lap_b'!$B$45:$AW$45))))*(1-(1/(1+EXP(-('03_Lap_Theta'!$AC209-'03_Lap_b'!$B$45:$AW$45))))))</f>
        <v/>
      </c>
      <c r="G209" s="5">
        <f>IF(F209&lt;=0.000000001,"",1/SQRT(F209))</f>
        <v/>
      </c>
      <c r="H209">
        <f>IF(OR(C209=0,C209=D209),"BIÊN","")</f>
        <v/>
      </c>
    </row>
    <row r="210">
      <c r="A210" t="n">
        <v>209</v>
      </c>
      <c r="B210">
        <f>'01_Data'!A210</f>
        <v/>
      </c>
      <c r="C210">
        <f>'03_Lap_Theta'!C210</f>
        <v/>
      </c>
      <c r="D210">
        <f>'03_Lap_Theta'!D210</f>
        <v/>
      </c>
      <c r="E210" s="5">
        <f>'03_Lap_Theta'!$AC210</f>
        <v/>
      </c>
      <c r="F210" s="5">
        <f>SUMPRODUCT(('01_Data'!$B210:$AW210&lt;&gt;"")*(1/(1+EXP(-('03_Lap_Theta'!$AC210-'03_Lap_b'!$B$45:$AW$45))))*(1-(1/(1+EXP(-('03_Lap_Theta'!$AC210-'03_Lap_b'!$B$45:$AW$45))))))</f>
        <v/>
      </c>
      <c r="G210" s="5">
        <f>IF(F210&lt;=0.000000001,"",1/SQRT(F210))</f>
        <v/>
      </c>
      <c r="H210">
        <f>IF(OR(C210=0,C210=D210),"BIÊN","")</f>
        <v/>
      </c>
    </row>
    <row r="211">
      <c r="A211" t="n">
        <v>210</v>
      </c>
      <c r="B211">
        <f>'01_Data'!A211</f>
        <v/>
      </c>
      <c r="C211">
        <f>'03_Lap_Theta'!C211</f>
        <v/>
      </c>
      <c r="D211">
        <f>'03_Lap_Theta'!D211</f>
        <v/>
      </c>
      <c r="E211" s="5">
        <f>'03_Lap_Theta'!$AC211</f>
        <v/>
      </c>
      <c r="F211" s="5">
        <f>SUMPRODUCT(('01_Data'!$B211:$AW211&lt;&gt;"")*(1/(1+EXP(-('03_Lap_Theta'!$AC211-'03_Lap_b'!$B$45:$AW$45))))*(1-(1/(1+EXP(-('03_Lap_Theta'!$AC211-'03_Lap_b'!$B$45:$AW$45))))))</f>
        <v/>
      </c>
      <c r="G211" s="5">
        <f>IF(F211&lt;=0.000000001,"",1/SQRT(F211))</f>
        <v/>
      </c>
      <c r="H211">
        <f>IF(OR(C211=0,C211=D211),"BIÊN","")</f>
        <v/>
      </c>
    </row>
    <row r="212">
      <c r="A212" t="n">
        <v>211</v>
      </c>
      <c r="B212">
        <f>'01_Data'!A212</f>
        <v/>
      </c>
      <c r="C212">
        <f>'03_Lap_Theta'!C212</f>
        <v/>
      </c>
      <c r="D212">
        <f>'03_Lap_Theta'!D212</f>
        <v/>
      </c>
      <c r="E212" s="5">
        <f>'03_Lap_Theta'!$AC212</f>
        <v/>
      </c>
      <c r="F212" s="5">
        <f>SUMPRODUCT(('01_Data'!$B212:$AW212&lt;&gt;"")*(1/(1+EXP(-('03_Lap_Theta'!$AC212-'03_Lap_b'!$B$45:$AW$45))))*(1-(1/(1+EXP(-('03_Lap_Theta'!$AC212-'03_Lap_b'!$B$45:$AW$45))))))</f>
        <v/>
      </c>
      <c r="G212" s="5">
        <f>IF(F212&lt;=0.000000001,"",1/SQRT(F212))</f>
        <v/>
      </c>
      <c r="H212">
        <f>IF(OR(C212=0,C212=D212),"BIÊN","")</f>
        <v/>
      </c>
    </row>
    <row r="213">
      <c r="A213" t="n">
        <v>212</v>
      </c>
      <c r="B213">
        <f>'01_Data'!A213</f>
        <v/>
      </c>
      <c r="C213">
        <f>'03_Lap_Theta'!C213</f>
        <v/>
      </c>
      <c r="D213">
        <f>'03_Lap_Theta'!D213</f>
        <v/>
      </c>
      <c r="E213" s="5">
        <f>'03_Lap_Theta'!$AC213</f>
        <v/>
      </c>
      <c r="F213" s="5">
        <f>SUMPRODUCT(('01_Data'!$B213:$AW213&lt;&gt;"")*(1/(1+EXP(-('03_Lap_Theta'!$AC213-'03_Lap_b'!$B$45:$AW$45))))*(1-(1/(1+EXP(-('03_Lap_Theta'!$AC213-'03_Lap_b'!$B$45:$AW$45))))))</f>
        <v/>
      </c>
      <c r="G213" s="5">
        <f>IF(F213&lt;=0.000000001,"",1/SQRT(F213))</f>
        <v/>
      </c>
      <c r="H213">
        <f>IF(OR(C213=0,C213=D213),"BIÊN","")</f>
        <v/>
      </c>
    </row>
    <row r="214">
      <c r="A214" t="n">
        <v>213</v>
      </c>
      <c r="B214">
        <f>'01_Data'!A214</f>
        <v/>
      </c>
      <c r="C214">
        <f>'03_Lap_Theta'!C214</f>
        <v/>
      </c>
      <c r="D214">
        <f>'03_Lap_Theta'!D214</f>
        <v/>
      </c>
      <c r="E214" s="5">
        <f>'03_Lap_Theta'!$AC214</f>
        <v/>
      </c>
      <c r="F214" s="5">
        <f>SUMPRODUCT(('01_Data'!$B214:$AW214&lt;&gt;"")*(1/(1+EXP(-('03_Lap_Theta'!$AC214-'03_Lap_b'!$B$45:$AW$45))))*(1-(1/(1+EXP(-('03_Lap_Theta'!$AC214-'03_Lap_b'!$B$45:$AW$45))))))</f>
        <v/>
      </c>
      <c r="G214" s="5">
        <f>IF(F214&lt;=0.000000001,"",1/SQRT(F214))</f>
        <v/>
      </c>
      <c r="H214">
        <f>IF(OR(C214=0,C214=D214),"BIÊN","")</f>
        <v/>
      </c>
    </row>
    <row r="215">
      <c r="A215" t="n">
        <v>214</v>
      </c>
      <c r="B215">
        <f>'01_Data'!A215</f>
        <v/>
      </c>
      <c r="C215">
        <f>'03_Lap_Theta'!C215</f>
        <v/>
      </c>
      <c r="D215">
        <f>'03_Lap_Theta'!D215</f>
        <v/>
      </c>
      <c r="E215" s="5">
        <f>'03_Lap_Theta'!$AC215</f>
        <v/>
      </c>
      <c r="F215" s="5">
        <f>SUMPRODUCT(('01_Data'!$B215:$AW215&lt;&gt;"")*(1/(1+EXP(-('03_Lap_Theta'!$AC215-'03_Lap_b'!$B$45:$AW$45))))*(1-(1/(1+EXP(-('03_Lap_Theta'!$AC215-'03_Lap_b'!$B$45:$AW$45))))))</f>
        <v/>
      </c>
      <c r="G215" s="5">
        <f>IF(F215&lt;=0.000000001,"",1/SQRT(F215))</f>
        <v/>
      </c>
      <c r="H215">
        <f>IF(OR(C215=0,C215=D215),"BIÊN","")</f>
        <v/>
      </c>
    </row>
    <row r="216">
      <c r="A216" t="n">
        <v>215</v>
      </c>
      <c r="B216">
        <f>'01_Data'!A216</f>
        <v/>
      </c>
      <c r="C216">
        <f>'03_Lap_Theta'!C216</f>
        <v/>
      </c>
      <c r="D216">
        <f>'03_Lap_Theta'!D216</f>
        <v/>
      </c>
      <c r="E216" s="5">
        <f>'03_Lap_Theta'!$AC216</f>
        <v/>
      </c>
      <c r="F216" s="5">
        <f>SUMPRODUCT(('01_Data'!$B216:$AW216&lt;&gt;"")*(1/(1+EXP(-('03_Lap_Theta'!$AC216-'03_Lap_b'!$B$45:$AW$45))))*(1-(1/(1+EXP(-('03_Lap_Theta'!$AC216-'03_Lap_b'!$B$45:$AW$45))))))</f>
        <v/>
      </c>
      <c r="G216" s="5">
        <f>IF(F216&lt;=0.000000001,"",1/SQRT(F216))</f>
        <v/>
      </c>
      <c r="H216">
        <f>IF(OR(C216=0,C216=D216),"BIÊN","")</f>
        <v/>
      </c>
    </row>
    <row r="217">
      <c r="A217" t="n">
        <v>216</v>
      </c>
      <c r="B217">
        <f>'01_Data'!A217</f>
        <v/>
      </c>
      <c r="C217">
        <f>'03_Lap_Theta'!C217</f>
        <v/>
      </c>
      <c r="D217">
        <f>'03_Lap_Theta'!D217</f>
        <v/>
      </c>
      <c r="E217" s="5">
        <f>'03_Lap_Theta'!$AC217</f>
        <v/>
      </c>
      <c r="F217" s="5">
        <f>SUMPRODUCT(('01_Data'!$B217:$AW217&lt;&gt;"")*(1/(1+EXP(-('03_Lap_Theta'!$AC217-'03_Lap_b'!$B$45:$AW$45))))*(1-(1/(1+EXP(-('03_Lap_Theta'!$AC217-'03_Lap_b'!$B$45:$AW$45))))))</f>
        <v/>
      </c>
      <c r="G217" s="5">
        <f>IF(F217&lt;=0.000000001,"",1/SQRT(F217))</f>
        <v/>
      </c>
      <c r="H217">
        <f>IF(OR(C217=0,C217=D217),"BIÊN","")</f>
        <v/>
      </c>
    </row>
    <row r="218">
      <c r="A218" t="n">
        <v>217</v>
      </c>
      <c r="B218">
        <f>'01_Data'!A218</f>
        <v/>
      </c>
      <c r="C218">
        <f>'03_Lap_Theta'!C218</f>
        <v/>
      </c>
      <c r="D218">
        <f>'03_Lap_Theta'!D218</f>
        <v/>
      </c>
      <c r="E218" s="5">
        <f>'03_Lap_Theta'!$AC218</f>
        <v/>
      </c>
      <c r="F218" s="5">
        <f>SUMPRODUCT(('01_Data'!$B218:$AW218&lt;&gt;"")*(1/(1+EXP(-('03_Lap_Theta'!$AC218-'03_Lap_b'!$B$45:$AW$45))))*(1-(1/(1+EXP(-('03_Lap_Theta'!$AC218-'03_Lap_b'!$B$45:$AW$45))))))</f>
        <v/>
      </c>
      <c r="G218" s="5">
        <f>IF(F218&lt;=0.000000001,"",1/SQRT(F218))</f>
        <v/>
      </c>
      <c r="H218">
        <f>IF(OR(C218=0,C218=D218),"BIÊN","")</f>
        <v/>
      </c>
    </row>
    <row r="219">
      <c r="A219" t="n">
        <v>218</v>
      </c>
      <c r="B219">
        <f>'01_Data'!A219</f>
        <v/>
      </c>
      <c r="C219">
        <f>'03_Lap_Theta'!C219</f>
        <v/>
      </c>
      <c r="D219">
        <f>'03_Lap_Theta'!D219</f>
        <v/>
      </c>
      <c r="E219" s="5">
        <f>'03_Lap_Theta'!$AC219</f>
        <v/>
      </c>
      <c r="F219" s="5">
        <f>SUMPRODUCT(('01_Data'!$B219:$AW219&lt;&gt;"")*(1/(1+EXP(-('03_Lap_Theta'!$AC219-'03_Lap_b'!$B$45:$AW$45))))*(1-(1/(1+EXP(-('03_Lap_Theta'!$AC219-'03_Lap_b'!$B$45:$AW$45))))))</f>
        <v/>
      </c>
      <c r="G219" s="5">
        <f>IF(F219&lt;=0.000000001,"",1/SQRT(F219))</f>
        <v/>
      </c>
      <c r="H219">
        <f>IF(OR(C219=0,C219=D219),"BIÊN","")</f>
        <v/>
      </c>
    </row>
    <row r="220">
      <c r="A220" t="n">
        <v>219</v>
      </c>
      <c r="B220">
        <f>'01_Data'!A220</f>
        <v/>
      </c>
      <c r="C220">
        <f>'03_Lap_Theta'!C220</f>
        <v/>
      </c>
      <c r="D220">
        <f>'03_Lap_Theta'!D220</f>
        <v/>
      </c>
      <c r="E220" s="5">
        <f>'03_Lap_Theta'!$AC220</f>
        <v/>
      </c>
      <c r="F220" s="5">
        <f>SUMPRODUCT(('01_Data'!$B220:$AW220&lt;&gt;"")*(1/(1+EXP(-('03_Lap_Theta'!$AC220-'03_Lap_b'!$B$45:$AW$45))))*(1-(1/(1+EXP(-('03_Lap_Theta'!$AC220-'03_Lap_b'!$B$45:$AW$45))))))</f>
        <v/>
      </c>
      <c r="G220" s="5">
        <f>IF(F220&lt;=0.000000001,"",1/SQRT(F220))</f>
        <v/>
      </c>
      <c r="H220">
        <f>IF(OR(C220=0,C220=D220),"BIÊN","")</f>
        <v/>
      </c>
    </row>
    <row r="221">
      <c r="A221" t="n">
        <v>220</v>
      </c>
      <c r="B221">
        <f>'01_Data'!A221</f>
        <v/>
      </c>
      <c r="C221">
        <f>'03_Lap_Theta'!C221</f>
        <v/>
      </c>
      <c r="D221">
        <f>'03_Lap_Theta'!D221</f>
        <v/>
      </c>
      <c r="E221" s="5">
        <f>'03_Lap_Theta'!$AC221</f>
        <v/>
      </c>
      <c r="F221" s="5">
        <f>SUMPRODUCT(('01_Data'!$B221:$AW221&lt;&gt;"")*(1/(1+EXP(-('03_Lap_Theta'!$AC221-'03_Lap_b'!$B$45:$AW$45))))*(1-(1/(1+EXP(-('03_Lap_Theta'!$AC221-'03_Lap_b'!$B$45:$AW$45))))))</f>
        <v/>
      </c>
      <c r="G221" s="5">
        <f>IF(F221&lt;=0.000000001,"",1/SQRT(F221))</f>
        <v/>
      </c>
      <c r="H221">
        <f>IF(OR(C221=0,C221=D221),"BIÊN","")</f>
        <v/>
      </c>
    </row>
    <row r="222">
      <c r="A222" t="n">
        <v>221</v>
      </c>
      <c r="B222">
        <f>'01_Data'!A222</f>
        <v/>
      </c>
      <c r="C222">
        <f>'03_Lap_Theta'!C222</f>
        <v/>
      </c>
      <c r="D222">
        <f>'03_Lap_Theta'!D222</f>
        <v/>
      </c>
      <c r="E222" s="5">
        <f>'03_Lap_Theta'!$AC222</f>
        <v/>
      </c>
      <c r="F222" s="5">
        <f>SUMPRODUCT(('01_Data'!$B222:$AW222&lt;&gt;"")*(1/(1+EXP(-('03_Lap_Theta'!$AC222-'03_Lap_b'!$B$45:$AW$45))))*(1-(1/(1+EXP(-('03_Lap_Theta'!$AC222-'03_Lap_b'!$B$45:$AW$45))))))</f>
        <v/>
      </c>
      <c r="G222" s="5">
        <f>IF(F222&lt;=0.000000001,"",1/SQRT(F222))</f>
        <v/>
      </c>
      <c r="H222">
        <f>IF(OR(C222=0,C222=D222),"BIÊN","")</f>
        <v/>
      </c>
    </row>
    <row r="223">
      <c r="A223" t="n">
        <v>222</v>
      </c>
      <c r="B223">
        <f>'01_Data'!A223</f>
        <v/>
      </c>
      <c r="C223">
        <f>'03_Lap_Theta'!C223</f>
        <v/>
      </c>
      <c r="D223">
        <f>'03_Lap_Theta'!D223</f>
        <v/>
      </c>
      <c r="E223" s="5">
        <f>'03_Lap_Theta'!$AC223</f>
        <v/>
      </c>
      <c r="F223" s="5">
        <f>SUMPRODUCT(('01_Data'!$B223:$AW223&lt;&gt;"")*(1/(1+EXP(-('03_Lap_Theta'!$AC223-'03_Lap_b'!$B$45:$AW$45))))*(1-(1/(1+EXP(-('03_Lap_Theta'!$AC223-'03_Lap_b'!$B$45:$AW$45))))))</f>
        <v/>
      </c>
      <c r="G223" s="5">
        <f>IF(F223&lt;=0.000000001,"",1/SQRT(F223))</f>
        <v/>
      </c>
      <c r="H223">
        <f>IF(OR(C223=0,C223=D223),"BIÊN","")</f>
        <v/>
      </c>
    </row>
    <row r="224">
      <c r="A224" t="n">
        <v>223</v>
      </c>
      <c r="B224">
        <f>'01_Data'!A224</f>
        <v/>
      </c>
      <c r="C224">
        <f>'03_Lap_Theta'!C224</f>
        <v/>
      </c>
      <c r="D224">
        <f>'03_Lap_Theta'!D224</f>
        <v/>
      </c>
      <c r="E224" s="5">
        <f>'03_Lap_Theta'!$AC224</f>
        <v/>
      </c>
      <c r="F224" s="5">
        <f>SUMPRODUCT(('01_Data'!$B224:$AW224&lt;&gt;"")*(1/(1+EXP(-('03_Lap_Theta'!$AC224-'03_Lap_b'!$B$45:$AW$45))))*(1-(1/(1+EXP(-('03_Lap_Theta'!$AC224-'03_Lap_b'!$B$45:$AW$45))))))</f>
        <v/>
      </c>
      <c r="G224" s="5">
        <f>IF(F224&lt;=0.000000001,"",1/SQRT(F224))</f>
        <v/>
      </c>
      <c r="H224">
        <f>IF(OR(C224=0,C224=D224),"BIÊN","")</f>
        <v/>
      </c>
    </row>
    <row r="225">
      <c r="A225" t="n">
        <v>224</v>
      </c>
      <c r="B225">
        <f>'01_Data'!A225</f>
        <v/>
      </c>
      <c r="C225">
        <f>'03_Lap_Theta'!C225</f>
        <v/>
      </c>
      <c r="D225">
        <f>'03_Lap_Theta'!D225</f>
        <v/>
      </c>
      <c r="E225" s="5">
        <f>'03_Lap_Theta'!$AC225</f>
        <v/>
      </c>
      <c r="F225" s="5">
        <f>SUMPRODUCT(('01_Data'!$B225:$AW225&lt;&gt;"")*(1/(1+EXP(-('03_Lap_Theta'!$AC225-'03_Lap_b'!$B$45:$AW$45))))*(1-(1/(1+EXP(-('03_Lap_Theta'!$AC225-'03_Lap_b'!$B$45:$AW$45))))))</f>
        <v/>
      </c>
      <c r="G225" s="5">
        <f>IF(F225&lt;=0.000000001,"",1/SQRT(F225))</f>
        <v/>
      </c>
      <c r="H225">
        <f>IF(OR(C225=0,C225=D225),"BIÊN","")</f>
        <v/>
      </c>
    </row>
    <row r="226">
      <c r="A226" t="n">
        <v>225</v>
      </c>
      <c r="B226">
        <f>'01_Data'!A226</f>
        <v/>
      </c>
      <c r="C226">
        <f>'03_Lap_Theta'!C226</f>
        <v/>
      </c>
      <c r="D226">
        <f>'03_Lap_Theta'!D226</f>
        <v/>
      </c>
      <c r="E226" s="5">
        <f>'03_Lap_Theta'!$AC226</f>
        <v/>
      </c>
      <c r="F226" s="5">
        <f>SUMPRODUCT(('01_Data'!$B226:$AW226&lt;&gt;"")*(1/(1+EXP(-('03_Lap_Theta'!$AC226-'03_Lap_b'!$B$45:$AW$45))))*(1-(1/(1+EXP(-('03_Lap_Theta'!$AC226-'03_Lap_b'!$B$45:$AW$45))))))</f>
        <v/>
      </c>
      <c r="G226" s="5">
        <f>IF(F226&lt;=0.000000001,"",1/SQRT(F226))</f>
        <v/>
      </c>
      <c r="H226">
        <f>IF(OR(C226=0,C226=D226),"BIÊN","")</f>
        <v/>
      </c>
    </row>
    <row r="227">
      <c r="A227" t="n">
        <v>226</v>
      </c>
      <c r="B227">
        <f>'01_Data'!A227</f>
        <v/>
      </c>
      <c r="C227">
        <f>'03_Lap_Theta'!C227</f>
        <v/>
      </c>
      <c r="D227">
        <f>'03_Lap_Theta'!D227</f>
        <v/>
      </c>
      <c r="E227" s="5">
        <f>'03_Lap_Theta'!$AC227</f>
        <v/>
      </c>
      <c r="F227" s="5">
        <f>SUMPRODUCT(('01_Data'!$B227:$AW227&lt;&gt;"")*(1/(1+EXP(-('03_Lap_Theta'!$AC227-'03_Lap_b'!$B$45:$AW$45))))*(1-(1/(1+EXP(-('03_Lap_Theta'!$AC227-'03_Lap_b'!$B$45:$AW$45))))))</f>
        <v/>
      </c>
      <c r="G227" s="5">
        <f>IF(F227&lt;=0.000000001,"",1/SQRT(F227))</f>
        <v/>
      </c>
      <c r="H227">
        <f>IF(OR(C227=0,C227=D227),"BIÊN","")</f>
        <v/>
      </c>
    </row>
    <row r="228">
      <c r="A228" t="n">
        <v>227</v>
      </c>
      <c r="B228">
        <f>'01_Data'!A228</f>
        <v/>
      </c>
      <c r="C228">
        <f>'03_Lap_Theta'!C228</f>
        <v/>
      </c>
      <c r="D228">
        <f>'03_Lap_Theta'!D228</f>
        <v/>
      </c>
      <c r="E228" s="5">
        <f>'03_Lap_Theta'!$AC228</f>
        <v/>
      </c>
      <c r="F228" s="5">
        <f>SUMPRODUCT(('01_Data'!$B228:$AW228&lt;&gt;"")*(1/(1+EXP(-('03_Lap_Theta'!$AC228-'03_Lap_b'!$B$45:$AW$45))))*(1-(1/(1+EXP(-('03_Lap_Theta'!$AC228-'03_Lap_b'!$B$45:$AW$45))))))</f>
        <v/>
      </c>
      <c r="G228" s="5">
        <f>IF(F228&lt;=0.000000001,"",1/SQRT(F228))</f>
        <v/>
      </c>
      <c r="H228">
        <f>IF(OR(C228=0,C228=D228),"BIÊN","")</f>
        <v/>
      </c>
    </row>
    <row r="229">
      <c r="A229" t="n">
        <v>228</v>
      </c>
      <c r="B229">
        <f>'01_Data'!A229</f>
        <v/>
      </c>
      <c r="C229">
        <f>'03_Lap_Theta'!C229</f>
        <v/>
      </c>
      <c r="D229">
        <f>'03_Lap_Theta'!D229</f>
        <v/>
      </c>
      <c r="E229" s="5">
        <f>'03_Lap_Theta'!$AC229</f>
        <v/>
      </c>
      <c r="F229" s="5">
        <f>SUMPRODUCT(('01_Data'!$B229:$AW229&lt;&gt;"")*(1/(1+EXP(-('03_Lap_Theta'!$AC229-'03_Lap_b'!$B$45:$AW$45))))*(1-(1/(1+EXP(-('03_Lap_Theta'!$AC229-'03_Lap_b'!$B$45:$AW$45))))))</f>
        <v/>
      </c>
      <c r="G229" s="5">
        <f>IF(F229&lt;=0.000000001,"",1/SQRT(F229))</f>
        <v/>
      </c>
      <c r="H229">
        <f>IF(OR(C229=0,C229=D229),"BIÊN","")</f>
        <v/>
      </c>
    </row>
    <row r="230">
      <c r="A230" t="n">
        <v>229</v>
      </c>
      <c r="B230">
        <f>'01_Data'!A230</f>
        <v/>
      </c>
      <c r="C230">
        <f>'03_Lap_Theta'!C230</f>
        <v/>
      </c>
      <c r="D230">
        <f>'03_Lap_Theta'!D230</f>
        <v/>
      </c>
      <c r="E230" s="5">
        <f>'03_Lap_Theta'!$AC230</f>
        <v/>
      </c>
      <c r="F230" s="5">
        <f>SUMPRODUCT(('01_Data'!$B230:$AW230&lt;&gt;"")*(1/(1+EXP(-('03_Lap_Theta'!$AC230-'03_Lap_b'!$B$45:$AW$45))))*(1-(1/(1+EXP(-('03_Lap_Theta'!$AC230-'03_Lap_b'!$B$45:$AW$45))))))</f>
        <v/>
      </c>
      <c r="G230" s="5">
        <f>IF(F230&lt;=0.000000001,"",1/SQRT(F230))</f>
        <v/>
      </c>
      <c r="H230">
        <f>IF(OR(C230=0,C230=D230),"BIÊN","")</f>
        <v/>
      </c>
    </row>
    <row r="231">
      <c r="A231" t="n">
        <v>230</v>
      </c>
      <c r="B231">
        <f>'01_Data'!A231</f>
        <v/>
      </c>
      <c r="C231">
        <f>'03_Lap_Theta'!C231</f>
        <v/>
      </c>
      <c r="D231">
        <f>'03_Lap_Theta'!D231</f>
        <v/>
      </c>
      <c r="E231" s="5">
        <f>'03_Lap_Theta'!$AC231</f>
        <v/>
      </c>
      <c r="F231" s="5">
        <f>SUMPRODUCT(('01_Data'!$B231:$AW231&lt;&gt;"")*(1/(1+EXP(-('03_Lap_Theta'!$AC231-'03_Lap_b'!$B$45:$AW$45))))*(1-(1/(1+EXP(-('03_Lap_Theta'!$AC231-'03_Lap_b'!$B$45:$AW$45))))))</f>
        <v/>
      </c>
      <c r="G231" s="5">
        <f>IF(F231&lt;=0.000000001,"",1/SQRT(F231))</f>
        <v/>
      </c>
      <c r="H231">
        <f>IF(OR(C231=0,C231=D231),"BIÊN","")</f>
        <v/>
      </c>
    </row>
    <row r="232">
      <c r="A232" t="n">
        <v>231</v>
      </c>
      <c r="B232">
        <f>'01_Data'!A232</f>
        <v/>
      </c>
      <c r="C232">
        <f>'03_Lap_Theta'!C232</f>
        <v/>
      </c>
      <c r="D232">
        <f>'03_Lap_Theta'!D232</f>
        <v/>
      </c>
      <c r="E232" s="5">
        <f>'03_Lap_Theta'!$AC232</f>
        <v/>
      </c>
      <c r="F232" s="5">
        <f>SUMPRODUCT(('01_Data'!$B232:$AW232&lt;&gt;"")*(1/(1+EXP(-('03_Lap_Theta'!$AC232-'03_Lap_b'!$B$45:$AW$45))))*(1-(1/(1+EXP(-('03_Lap_Theta'!$AC232-'03_Lap_b'!$B$45:$AW$45))))))</f>
        <v/>
      </c>
      <c r="G232" s="5">
        <f>IF(F232&lt;=0.000000001,"",1/SQRT(F232))</f>
        <v/>
      </c>
      <c r="H232">
        <f>IF(OR(C232=0,C232=D232),"BIÊN","")</f>
        <v/>
      </c>
    </row>
    <row r="233">
      <c r="A233" t="n">
        <v>232</v>
      </c>
      <c r="B233">
        <f>'01_Data'!A233</f>
        <v/>
      </c>
      <c r="C233">
        <f>'03_Lap_Theta'!C233</f>
        <v/>
      </c>
      <c r="D233">
        <f>'03_Lap_Theta'!D233</f>
        <v/>
      </c>
      <c r="E233" s="5">
        <f>'03_Lap_Theta'!$AC233</f>
        <v/>
      </c>
      <c r="F233" s="5">
        <f>SUMPRODUCT(('01_Data'!$B233:$AW233&lt;&gt;"")*(1/(1+EXP(-('03_Lap_Theta'!$AC233-'03_Lap_b'!$B$45:$AW$45))))*(1-(1/(1+EXP(-('03_Lap_Theta'!$AC233-'03_Lap_b'!$B$45:$AW$45))))))</f>
        <v/>
      </c>
      <c r="G233" s="5">
        <f>IF(F233&lt;=0.000000001,"",1/SQRT(F233))</f>
        <v/>
      </c>
      <c r="H233">
        <f>IF(OR(C233=0,C233=D233),"BIÊN","")</f>
        <v/>
      </c>
    </row>
    <row r="234">
      <c r="A234" t="n">
        <v>233</v>
      </c>
      <c r="B234">
        <f>'01_Data'!A234</f>
        <v/>
      </c>
      <c r="C234">
        <f>'03_Lap_Theta'!C234</f>
        <v/>
      </c>
      <c r="D234">
        <f>'03_Lap_Theta'!D234</f>
        <v/>
      </c>
      <c r="E234" s="5">
        <f>'03_Lap_Theta'!$AC234</f>
        <v/>
      </c>
      <c r="F234" s="5">
        <f>SUMPRODUCT(('01_Data'!$B234:$AW234&lt;&gt;"")*(1/(1+EXP(-('03_Lap_Theta'!$AC234-'03_Lap_b'!$B$45:$AW$45))))*(1-(1/(1+EXP(-('03_Lap_Theta'!$AC234-'03_Lap_b'!$B$45:$AW$45))))))</f>
        <v/>
      </c>
      <c r="G234" s="5">
        <f>IF(F234&lt;=0.000000001,"",1/SQRT(F234))</f>
        <v/>
      </c>
      <c r="H234">
        <f>IF(OR(C234=0,C234=D234),"BIÊN","")</f>
        <v/>
      </c>
    </row>
    <row r="235">
      <c r="A235" t="n">
        <v>234</v>
      </c>
      <c r="B235">
        <f>'01_Data'!A235</f>
        <v/>
      </c>
      <c r="C235">
        <f>'03_Lap_Theta'!C235</f>
        <v/>
      </c>
      <c r="D235">
        <f>'03_Lap_Theta'!D235</f>
        <v/>
      </c>
      <c r="E235" s="5">
        <f>'03_Lap_Theta'!$AC235</f>
        <v/>
      </c>
      <c r="F235" s="5">
        <f>SUMPRODUCT(('01_Data'!$B235:$AW235&lt;&gt;"")*(1/(1+EXP(-('03_Lap_Theta'!$AC235-'03_Lap_b'!$B$45:$AW$45))))*(1-(1/(1+EXP(-('03_Lap_Theta'!$AC235-'03_Lap_b'!$B$45:$AW$45))))))</f>
        <v/>
      </c>
      <c r="G235" s="5">
        <f>IF(F235&lt;=0.000000001,"",1/SQRT(F235))</f>
        <v/>
      </c>
      <c r="H235">
        <f>IF(OR(C235=0,C235=D235),"BIÊN","")</f>
        <v/>
      </c>
    </row>
    <row r="236">
      <c r="A236" t="n">
        <v>235</v>
      </c>
      <c r="B236">
        <f>'01_Data'!A236</f>
        <v/>
      </c>
      <c r="C236">
        <f>'03_Lap_Theta'!C236</f>
        <v/>
      </c>
      <c r="D236">
        <f>'03_Lap_Theta'!D236</f>
        <v/>
      </c>
      <c r="E236" s="5">
        <f>'03_Lap_Theta'!$AC236</f>
        <v/>
      </c>
      <c r="F236" s="5">
        <f>SUMPRODUCT(('01_Data'!$B236:$AW236&lt;&gt;"")*(1/(1+EXP(-('03_Lap_Theta'!$AC236-'03_Lap_b'!$B$45:$AW$45))))*(1-(1/(1+EXP(-('03_Lap_Theta'!$AC236-'03_Lap_b'!$B$45:$AW$45))))))</f>
        <v/>
      </c>
      <c r="G236" s="5">
        <f>IF(F236&lt;=0.000000001,"",1/SQRT(F236))</f>
        <v/>
      </c>
      <c r="H236">
        <f>IF(OR(C236=0,C236=D236),"BIÊN","")</f>
        <v/>
      </c>
    </row>
    <row r="237">
      <c r="A237" t="n">
        <v>236</v>
      </c>
      <c r="B237">
        <f>'01_Data'!A237</f>
        <v/>
      </c>
      <c r="C237">
        <f>'03_Lap_Theta'!C237</f>
        <v/>
      </c>
      <c r="D237">
        <f>'03_Lap_Theta'!D237</f>
        <v/>
      </c>
      <c r="E237" s="5">
        <f>'03_Lap_Theta'!$AC237</f>
        <v/>
      </c>
      <c r="F237" s="5">
        <f>SUMPRODUCT(('01_Data'!$B237:$AW237&lt;&gt;"")*(1/(1+EXP(-('03_Lap_Theta'!$AC237-'03_Lap_b'!$B$45:$AW$45))))*(1-(1/(1+EXP(-('03_Lap_Theta'!$AC237-'03_Lap_b'!$B$45:$AW$45))))))</f>
        <v/>
      </c>
      <c r="G237" s="5">
        <f>IF(F237&lt;=0.000000001,"",1/SQRT(F237))</f>
        <v/>
      </c>
      <c r="H237">
        <f>IF(OR(C237=0,C237=D237),"BIÊN","")</f>
        <v/>
      </c>
    </row>
    <row r="238">
      <c r="A238" t="n">
        <v>237</v>
      </c>
      <c r="B238">
        <f>'01_Data'!A238</f>
        <v/>
      </c>
      <c r="C238">
        <f>'03_Lap_Theta'!C238</f>
        <v/>
      </c>
      <c r="D238">
        <f>'03_Lap_Theta'!D238</f>
        <v/>
      </c>
      <c r="E238" s="5">
        <f>'03_Lap_Theta'!$AC238</f>
        <v/>
      </c>
      <c r="F238" s="5">
        <f>SUMPRODUCT(('01_Data'!$B238:$AW238&lt;&gt;"")*(1/(1+EXP(-('03_Lap_Theta'!$AC238-'03_Lap_b'!$B$45:$AW$45))))*(1-(1/(1+EXP(-('03_Lap_Theta'!$AC238-'03_Lap_b'!$B$45:$AW$45))))))</f>
        <v/>
      </c>
      <c r="G238" s="5">
        <f>IF(F238&lt;=0.000000001,"",1/SQRT(F238))</f>
        <v/>
      </c>
      <c r="H238">
        <f>IF(OR(C238=0,C238=D238),"BIÊN","")</f>
        <v/>
      </c>
    </row>
    <row r="239">
      <c r="A239" t="n">
        <v>238</v>
      </c>
      <c r="B239">
        <f>'01_Data'!A239</f>
        <v/>
      </c>
      <c r="C239">
        <f>'03_Lap_Theta'!C239</f>
        <v/>
      </c>
      <c r="D239">
        <f>'03_Lap_Theta'!D239</f>
        <v/>
      </c>
      <c r="E239" s="5">
        <f>'03_Lap_Theta'!$AC239</f>
        <v/>
      </c>
      <c r="F239" s="5">
        <f>SUMPRODUCT(('01_Data'!$B239:$AW239&lt;&gt;"")*(1/(1+EXP(-('03_Lap_Theta'!$AC239-'03_Lap_b'!$B$45:$AW$45))))*(1-(1/(1+EXP(-('03_Lap_Theta'!$AC239-'03_Lap_b'!$B$45:$AW$45))))))</f>
        <v/>
      </c>
      <c r="G239" s="5">
        <f>IF(F239&lt;=0.000000001,"",1/SQRT(F239))</f>
        <v/>
      </c>
      <c r="H239">
        <f>IF(OR(C239=0,C239=D239),"BIÊN","")</f>
        <v/>
      </c>
    </row>
    <row r="240">
      <c r="A240" t="n">
        <v>239</v>
      </c>
      <c r="B240">
        <f>'01_Data'!A240</f>
        <v/>
      </c>
      <c r="C240">
        <f>'03_Lap_Theta'!C240</f>
        <v/>
      </c>
      <c r="D240">
        <f>'03_Lap_Theta'!D240</f>
        <v/>
      </c>
      <c r="E240" s="5">
        <f>'03_Lap_Theta'!$AC240</f>
        <v/>
      </c>
      <c r="F240" s="5">
        <f>SUMPRODUCT(('01_Data'!$B240:$AW240&lt;&gt;"")*(1/(1+EXP(-('03_Lap_Theta'!$AC240-'03_Lap_b'!$B$45:$AW$45))))*(1-(1/(1+EXP(-('03_Lap_Theta'!$AC240-'03_Lap_b'!$B$45:$AW$45))))))</f>
        <v/>
      </c>
      <c r="G240" s="5">
        <f>IF(F240&lt;=0.000000001,"",1/SQRT(F240))</f>
        <v/>
      </c>
      <c r="H240">
        <f>IF(OR(C240=0,C240=D240),"BIÊN","")</f>
        <v/>
      </c>
    </row>
    <row r="241">
      <c r="A241" t="n">
        <v>240</v>
      </c>
      <c r="B241">
        <f>'01_Data'!A241</f>
        <v/>
      </c>
      <c r="C241">
        <f>'03_Lap_Theta'!C241</f>
        <v/>
      </c>
      <c r="D241">
        <f>'03_Lap_Theta'!D241</f>
        <v/>
      </c>
      <c r="E241" s="5">
        <f>'03_Lap_Theta'!$AC241</f>
        <v/>
      </c>
      <c r="F241" s="5">
        <f>SUMPRODUCT(('01_Data'!$B241:$AW241&lt;&gt;"")*(1/(1+EXP(-('03_Lap_Theta'!$AC241-'03_Lap_b'!$B$45:$AW$45))))*(1-(1/(1+EXP(-('03_Lap_Theta'!$AC241-'03_Lap_b'!$B$45:$AW$45))))))</f>
        <v/>
      </c>
      <c r="G241" s="5">
        <f>IF(F241&lt;=0.000000001,"",1/SQRT(F241))</f>
        <v/>
      </c>
      <c r="H241">
        <f>IF(OR(C241=0,C241=D241),"BIÊN","")</f>
        <v/>
      </c>
    </row>
    <row r="242">
      <c r="A242" t="n">
        <v>241</v>
      </c>
      <c r="B242">
        <f>'01_Data'!A242</f>
        <v/>
      </c>
      <c r="C242">
        <f>'03_Lap_Theta'!C242</f>
        <v/>
      </c>
      <c r="D242">
        <f>'03_Lap_Theta'!D242</f>
        <v/>
      </c>
      <c r="E242" s="5">
        <f>'03_Lap_Theta'!$AC242</f>
        <v/>
      </c>
      <c r="F242" s="5">
        <f>SUMPRODUCT(('01_Data'!$B242:$AW242&lt;&gt;"")*(1/(1+EXP(-('03_Lap_Theta'!$AC242-'03_Lap_b'!$B$45:$AW$45))))*(1-(1/(1+EXP(-('03_Lap_Theta'!$AC242-'03_Lap_b'!$B$45:$AW$45))))))</f>
        <v/>
      </c>
      <c r="G242" s="5">
        <f>IF(F242&lt;=0.000000001,"",1/SQRT(F242))</f>
        <v/>
      </c>
      <c r="H242">
        <f>IF(OR(C242=0,C242=D242),"BIÊN","")</f>
        <v/>
      </c>
    </row>
    <row r="243">
      <c r="A243" t="n">
        <v>242</v>
      </c>
      <c r="B243">
        <f>'01_Data'!A243</f>
        <v/>
      </c>
      <c r="C243">
        <f>'03_Lap_Theta'!C243</f>
        <v/>
      </c>
      <c r="D243">
        <f>'03_Lap_Theta'!D243</f>
        <v/>
      </c>
      <c r="E243" s="5">
        <f>'03_Lap_Theta'!$AC243</f>
        <v/>
      </c>
      <c r="F243" s="5">
        <f>SUMPRODUCT(('01_Data'!$B243:$AW243&lt;&gt;"")*(1/(1+EXP(-('03_Lap_Theta'!$AC243-'03_Lap_b'!$B$45:$AW$45))))*(1-(1/(1+EXP(-('03_Lap_Theta'!$AC243-'03_Lap_b'!$B$45:$AW$45))))))</f>
        <v/>
      </c>
      <c r="G243" s="5">
        <f>IF(F243&lt;=0.000000001,"",1/SQRT(F243))</f>
        <v/>
      </c>
      <c r="H243">
        <f>IF(OR(C243=0,C243=D243),"BIÊN","")</f>
        <v/>
      </c>
    </row>
    <row r="244">
      <c r="A244" t="n">
        <v>243</v>
      </c>
      <c r="B244">
        <f>'01_Data'!A244</f>
        <v/>
      </c>
      <c r="C244">
        <f>'03_Lap_Theta'!C244</f>
        <v/>
      </c>
      <c r="D244">
        <f>'03_Lap_Theta'!D244</f>
        <v/>
      </c>
      <c r="E244" s="5">
        <f>'03_Lap_Theta'!$AC244</f>
        <v/>
      </c>
      <c r="F244" s="5">
        <f>SUMPRODUCT(('01_Data'!$B244:$AW244&lt;&gt;"")*(1/(1+EXP(-('03_Lap_Theta'!$AC244-'03_Lap_b'!$B$45:$AW$45))))*(1-(1/(1+EXP(-('03_Lap_Theta'!$AC244-'03_Lap_b'!$B$45:$AW$45))))))</f>
        <v/>
      </c>
      <c r="G244" s="5">
        <f>IF(F244&lt;=0.000000001,"",1/SQRT(F244))</f>
        <v/>
      </c>
      <c r="H244">
        <f>IF(OR(C244=0,C244=D244),"BIÊN","")</f>
        <v/>
      </c>
    </row>
    <row r="245">
      <c r="A245" t="n">
        <v>244</v>
      </c>
      <c r="B245">
        <f>'01_Data'!A245</f>
        <v/>
      </c>
      <c r="C245">
        <f>'03_Lap_Theta'!C245</f>
        <v/>
      </c>
      <c r="D245">
        <f>'03_Lap_Theta'!D245</f>
        <v/>
      </c>
      <c r="E245" s="5">
        <f>'03_Lap_Theta'!$AC245</f>
        <v/>
      </c>
      <c r="F245" s="5">
        <f>SUMPRODUCT(('01_Data'!$B245:$AW245&lt;&gt;"")*(1/(1+EXP(-('03_Lap_Theta'!$AC245-'03_Lap_b'!$B$45:$AW$45))))*(1-(1/(1+EXP(-('03_Lap_Theta'!$AC245-'03_Lap_b'!$B$45:$AW$45))))))</f>
        <v/>
      </c>
      <c r="G245" s="5">
        <f>IF(F245&lt;=0.000000001,"",1/SQRT(F245))</f>
        <v/>
      </c>
      <c r="H245">
        <f>IF(OR(C245=0,C245=D245),"BIÊN","")</f>
        <v/>
      </c>
    </row>
    <row r="246">
      <c r="A246" t="n">
        <v>245</v>
      </c>
      <c r="B246">
        <f>'01_Data'!A246</f>
        <v/>
      </c>
      <c r="C246">
        <f>'03_Lap_Theta'!C246</f>
        <v/>
      </c>
      <c r="D246">
        <f>'03_Lap_Theta'!D246</f>
        <v/>
      </c>
      <c r="E246" s="5">
        <f>'03_Lap_Theta'!$AC246</f>
        <v/>
      </c>
      <c r="F246" s="5">
        <f>SUMPRODUCT(('01_Data'!$B246:$AW246&lt;&gt;"")*(1/(1+EXP(-('03_Lap_Theta'!$AC246-'03_Lap_b'!$B$45:$AW$45))))*(1-(1/(1+EXP(-('03_Lap_Theta'!$AC246-'03_Lap_b'!$B$45:$AW$45))))))</f>
        <v/>
      </c>
      <c r="G246" s="5">
        <f>IF(F246&lt;=0.000000001,"",1/SQRT(F246))</f>
        <v/>
      </c>
      <c r="H246">
        <f>IF(OR(C246=0,C246=D246),"BIÊN","")</f>
        <v/>
      </c>
    </row>
    <row r="247">
      <c r="A247" t="n">
        <v>246</v>
      </c>
      <c r="B247">
        <f>'01_Data'!A247</f>
        <v/>
      </c>
      <c r="C247">
        <f>'03_Lap_Theta'!C247</f>
        <v/>
      </c>
      <c r="D247">
        <f>'03_Lap_Theta'!D247</f>
        <v/>
      </c>
      <c r="E247" s="5">
        <f>'03_Lap_Theta'!$AC247</f>
        <v/>
      </c>
      <c r="F247" s="5">
        <f>SUMPRODUCT(('01_Data'!$B247:$AW247&lt;&gt;"")*(1/(1+EXP(-('03_Lap_Theta'!$AC247-'03_Lap_b'!$B$45:$AW$45))))*(1-(1/(1+EXP(-('03_Lap_Theta'!$AC247-'03_Lap_b'!$B$45:$AW$45))))))</f>
        <v/>
      </c>
      <c r="G247" s="5">
        <f>IF(F247&lt;=0.000000001,"",1/SQRT(F247))</f>
        <v/>
      </c>
      <c r="H247">
        <f>IF(OR(C247=0,C247=D247),"BIÊN","")</f>
        <v/>
      </c>
    </row>
    <row r="248">
      <c r="A248" t="n">
        <v>247</v>
      </c>
      <c r="B248">
        <f>'01_Data'!A248</f>
        <v/>
      </c>
      <c r="C248">
        <f>'03_Lap_Theta'!C248</f>
        <v/>
      </c>
      <c r="D248">
        <f>'03_Lap_Theta'!D248</f>
        <v/>
      </c>
      <c r="E248" s="5">
        <f>'03_Lap_Theta'!$AC248</f>
        <v/>
      </c>
      <c r="F248" s="5">
        <f>SUMPRODUCT(('01_Data'!$B248:$AW248&lt;&gt;"")*(1/(1+EXP(-('03_Lap_Theta'!$AC248-'03_Lap_b'!$B$45:$AW$45))))*(1-(1/(1+EXP(-('03_Lap_Theta'!$AC248-'03_Lap_b'!$B$45:$AW$45))))))</f>
        <v/>
      </c>
      <c r="G248" s="5">
        <f>IF(F248&lt;=0.000000001,"",1/SQRT(F248))</f>
        <v/>
      </c>
      <c r="H248">
        <f>IF(OR(C248=0,C248=D248),"BIÊN","")</f>
        <v/>
      </c>
    </row>
    <row r="249">
      <c r="A249" t="n">
        <v>248</v>
      </c>
      <c r="B249">
        <f>'01_Data'!A249</f>
        <v/>
      </c>
      <c r="C249">
        <f>'03_Lap_Theta'!C249</f>
        <v/>
      </c>
      <c r="D249">
        <f>'03_Lap_Theta'!D249</f>
        <v/>
      </c>
      <c r="E249" s="5">
        <f>'03_Lap_Theta'!$AC249</f>
        <v/>
      </c>
      <c r="F249" s="5">
        <f>SUMPRODUCT(('01_Data'!$B249:$AW249&lt;&gt;"")*(1/(1+EXP(-('03_Lap_Theta'!$AC249-'03_Lap_b'!$B$45:$AW$45))))*(1-(1/(1+EXP(-('03_Lap_Theta'!$AC249-'03_Lap_b'!$B$45:$AW$45))))))</f>
        <v/>
      </c>
      <c r="G249" s="5">
        <f>IF(F249&lt;=0.000000001,"",1/SQRT(F249))</f>
        <v/>
      </c>
      <c r="H249">
        <f>IF(OR(C249=0,C249=D249),"BIÊN","")</f>
        <v/>
      </c>
    </row>
    <row r="250">
      <c r="A250" t="n">
        <v>249</v>
      </c>
      <c r="B250">
        <f>'01_Data'!A250</f>
        <v/>
      </c>
      <c r="C250">
        <f>'03_Lap_Theta'!C250</f>
        <v/>
      </c>
      <c r="D250">
        <f>'03_Lap_Theta'!D250</f>
        <v/>
      </c>
      <c r="E250" s="5">
        <f>'03_Lap_Theta'!$AC250</f>
        <v/>
      </c>
      <c r="F250" s="5">
        <f>SUMPRODUCT(('01_Data'!$B250:$AW250&lt;&gt;"")*(1/(1+EXP(-('03_Lap_Theta'!$AC250-'03_Lap_b'!$B$45:$AW$45))))*(1-(1/(1+EXP(-('03_Lap_Theta'!$AC250-'03_Lap_b'!$B$45:$AW$45))))))</f>
        <v/>
      </c>
      <c r="G250" s="5">
        <f>IF(F250&lt;=0.000000001,"",1/SQRT(F250))</f>
        <v/>
      </c>
      <c r="H250">
        <f>IF(OR(C250=0,C250=D250),"BIÊN","")</f>
        <v/>
      </c>
    </row>
    <row r="251">
      <c r="A251" t="n">
        <v>250</v>
      </c>
      <c r="B251">
        <f>'01_Data'!A251</f>
        <v/>
      </c>
      <c r="C251">
        <f>'03_Lap_Theta'!C251</f>
        <v/>
      </c>
      <c r="D251">
        <f>'03_Lap_Theta'!D251</f>
        <v/>
      </c>
      <c r="E251" s="5">
        <f>'03_Lap_Theta'!$AC251</f>
        <v/>
      </c>
      <c r="F251" s="5">
        <f>SUMPRODUCT(('01_Data'!$B251:$AW251&lt;&gt;"")*(1/(1+EXP(-('03_Lap_Theta'!$AC251-'03_Lap_b'!$B$45:$AW$45))))*(1-(1/(1+EXP(-('03_Lap_Theta'!$AC251-'03_Lap_b'!$B$45:$AW$45))))))</f>
        <v/>
      </c>
      <c r="G251" s="5">
        <f>IF(F251&lt;=0.000000001,"",1/SQRT(F251))</f>
        <v/>
      </c>
      <c r="H251">
        <f>IF(OR(C251=0,C251=D251),"BIÊN","")</f>
        <v/>
      </c>
    </row>
    <row r="252">
      <c r="A252" t="n">
        <v>251</v>
      </c>
      <c r="B252">
        <f>'01_Data'!A252</f>
        <v/>
      </c>
      <c r="C252">
        <f>'03_Lap_Theta'!C252</f>
        <v/>
      </c>
      <c r="D252">
        <f>'03_Lap_Theta'!D252</f>
        <v/>
      </c>
      <c r="E252" s="5">
        <f>'03_Lap_Theta'!$AC252</f>
        <v/>
      </c>
      <c r="F252" s="5">
        <f>SUMPRODUCT(('01_Data'!$B252:$AW252&lt;&gt;"")*(1/(1+EXP(-('03_Lap_Theta'!$AC252-'03_Lap_b'!$B$45:$AW$45))))*(1-(1/(1+EXP(-('03_Lap_Theta'!$AC252-'03_Lap_b'!$B$45:$AW$45))))))</f>
        <v/>
      </c>
      <c r="G252" s="5">
        <f>IF(F252&lt;=0.000000001,"",1/SQRT(F252))</f>
        <v/>
      </c>
      <c r="H252">
        <f>IF(OR(C252=0,C252=D252),"BIÊN","")</f>
        <v/>
      </c>
    </row>
    <row r="253">
      <c r="A253" t="n">
        <v>252</v>
      </c>
      <c r="B253">
        <f>'01_Data'!A253</f>
        <v/>
      </c>
      <c r="C253">
        <f>'03_Lap_Theta'!C253</f>
        <v/>
      </c>
      <c r="D253">
        <f>'03_Lap_Theta'!D253</f>
        <v/>
      </c>
      <c r="E253" s="5">
        <f>'03_Lap_Theta'!$AC253</f>
        <v/>
      </c>
      <c r="F253" s="5">
        <f>SUMPRODUCT(('01_Data'!$B253:$AW253&lt;&gt;"")*(1/(1+EXP(-('03_Lap_Theta'!$AC253-'03_Lap_b'!$B$45:$AW$45))))*(1-(1/(1+EXP(-('03_Lap_Theta'!$AC253-'03_Lap_b'!$B$45:$AW$45))))))</f>
        <v/>
      </c>
      <c r="G253" s="5">
        <f>IF(F253&lt;=0.000000001,"",1/SQRT(F253))</f>
        <v/>
      </c>
      <c r="H253">
        <f>IF(OR(C253=0,C253=D253),"BIÊN","")</f>
        <v/>
      </c>
    </row>
    <row r="254">
      <c r="A254" t="n">
        <v>253</v>
      </c>
      <c r="B254">
        <f>'01_Data'!A254</f>
        <v/>
      </c>
      <c r="C254">
        <f>'03_Lap_Theta'!C254</f>
        <v/>
      </c>
      <c r="D254">
        <f>'03_Lap_Theta'!D254</f>
        <v/>
      </c>
      <c r="E254" s="5">
        <f>'03_Lap_Theta'!$AC254</f>
        <v/>
      </c>
      <c r="F254" s="5">
        <f>SUMPRODUCT(('01_Data'!$B254:$AW254&lt;&gt;"")*(1/(1+EXP(-('03_Lap_Theta'!$AC254-'03_Lap_b'!$B$45:$AW$45))))*(1-(1/(1+EXP(-('03_Lap_Theta'!$AC254-'03_Lap_b'!$B$45:$AW$45))))))</f>
        <v/>
      </c>
      <c r="G254" s="5">
        <f>IF(F254&lt;=0.000000001,"",1/SQRT(F254))</f>
        <v/>
      </c>
      <c r="H254">
        <f>IF(OR(C254=0,C254=D254),"BIÊN","")</f>
        <v/>
      </c>
    </row>
    <row r="255">
      <c r="A255" t="n">
        <v>254</v>
      </c>
      <c r="B255">
        <f>'01_Data'!A255</f>
        <v/>
      </c>
      <c r="C255">
        <f>'03_Lap_Theta'!C255</f>
        <v/>
      </c>
      <c r="D255">
        <f>'03_Lap_Theta'!D255</f>
        <v/>
      </c>
      <c r="E255" s="5">
        <f>'03_Lap_Theta'!$AC255</f>
        <v/>
      </c>
      <c r="F255" s="5">
        <f>SUMPRODUCT(('01_Data'!$B255:$AW255&lt;&gt;"")*(1/(1+EXP(-('03_Lap_Theta'!$AC255-'03_Lap_b'!$B$45:$AW$45))))*(1-(1/(1+EXP(-('03_Lap_Theta'!$AC255-'03_Lap_b'!$B$45:$AW$45))))))</f>
        <v/>
      </c>
      <c r="G255" s="5">
        <f>IF(F255&lt;=0.000000001,"",1/SQRT(F255))</f>
        <v/>
      </c>
      <c r="H255">
        <f>IF(OR(C255=0,C255=D255),"BIÊN","")</f>
        <v/>
      </c>
    </row>
    <row r="256">
      <c r="A256" t="n">
        <v>255</v>
      </c>
      <c r="B256">
        <f>'01_Data'!A256</f>
        <v/>
      </c>
      <c r="C256">
        <f>'03_Lap_Theta'!C256</f>
        <v/>
      </c>
      <c r="D256">
        <f>'03_Lap_Theta'!D256</f>
        <v/>
      </c>
      <c r="E256" s="5">
        <f>'03_Lap_Theta'!$AC256</f>
        <v/>
      </c>
      <c r="F256" s="5">
        <f>SUMPRODUCT(('01_Data'!$B256:$AW256&lt;&gt;"")*(1/(1+EXP(-('03_Lap_Theta'!$AC256-'03_Lap_b'!$B$45:$AW$45))))*(1-(1/(1+EXP(-('03_Lap_Theta'!$AC256-'03_Lap_b'!$B$45:$AW$45))))))</f>
        <v/>
      </c>
      <c r="G256" s="5">
        <f>IF(F256&lt;=0.000000001,"",1/SQRT(F256))</f>
        <v/>
      </c>
      <c r="H256">
        <f>IF(OR(C256=0,C256=D256),"BIÊN","")</f>
        <v/>
      </c>
    </row>
    <row r="257">
      <c r="A257" t="n">
        <v>256</v>
      </c>
      <c r="B257">
        <f>'01_Data'!A257</f>
        <v/>
      </c>
      <c r="C257">
        <f>'03_Lap_Theta'!C257</f>
        <v/>
      </c>
      <c r="D257">
        <f>'03_Lap_Theta'!D257</f>
        <v/>
      </c>
      <c r="E257" s="5">
        <f>'03_Lap_Theta'!$AC257</f>
        <v/>
      </c>
      <c r="F257" s="5">
        <f>SUMPRODUCT(('01_Data'!$B257:$AW257&lt;&gt;"")*(1/(1+EXP(-('03_Lap_Theta'!$AC257-'03_Lap_b'!$B$45:$AW$45))))*(1-(1/(1+EXP(-('03_Lap_Theta'!$AC257-'03_Lap_b'!$B$45:$AW$45))))))</f>
        <v/>
      </c>
      <c r="G257" s="5">
        <f>IF(F257&lt;=0.000000001,"",1/SQRT(F257))</f>
        <v/>
      </c>
      <c r="H257">
        <f>IF(OR(C257=0,C257=D257),"BIÊN","")</f>
        <v/>
      </c>
    </row>
    <row r="258">
      <c r="A258" t="n">
        <v>257</v>
      </c>
      <c r="B258">
        <f>'01_Data'!A258</f>
        <v/>
      </c>
      <c r="C258">
        <f>'03_Lap_Theta'!C258</f>
        <v/>
      </c>
      <c r="D258">
        <f>'03_Lap_Theta'!D258</f>
        <v/>
      </c>
      <c r="E258" s="5">
        <f>'03_Lap_Theta'!$AC258</f>
        <v/>
      </c>
      <c r="F258" s="5">
        <f>SUMPRODUCT(('01_Data'!$B258:$AW258&lt;&gt;"")*(1/(1+EXP(-('03_Lap_Theta'!$AC258-'03_Lap_b'!$B$45:$AW$45))))*(1-(1/(1+EXP(-('03_Lap_Theta'!$AC258-'03_Lap_b'!$B$45:$AW$45))))))</f>
        <v/>
      </c>
      <c r="G258" s="5">
        <f>IF(F258&lt;=0.000000001,"",1/SQRT(F258))</f>
        <v/>
      </c>
      <c r="H258">
        <f>IF(OR(C258=0,C258=D258),"BIÊN","")</f>
        <v/>
      </c>
    </row>
    <row r="259">
      <c r="A259" t="n">
        <v>258</v>
      </c>
      <c r="B259">
        <f>'01_Data'!A259</f>
        <v/>
      </c>
      <c r="C259">
        <f>'03_Lap_Theta'!C259</f>
        <v/>
      </c>
      <c r="D259">
        <f>'03_Lap_Theta'!D259</f>
        <v/>
      </c>
      <c r="E259" s="5">
        <f>'03_Lap_Theta'!$AC259</f>
        <v/>
      </c>
      <c r="F259" s="5">
        <f>SUMPRODUCT(('01_Data'!$B259:$AW259&lt;&gt;"")*(1/(1+EXP(-('03_Lap_Theta'!$AC259-'03_Lap_b'!$B$45:$AW$45))))*(1-(1/(1+EXP(-('03_Lap_Theta'!$AC259-'03_Lap_b'!$B$45:$AW$45))))))</f>
        <v/>
      </c>
      <c r="G259" s="5">
        <f>IF(F259&lt;=0.000000001,"",1/SQRT(F259))</f>
        <v/>
      </c>
      <c r="H259">
        <f>IF(OR(C259=0,C259=D259),"BIÊN","")</f>
        <v/>
      </c>
    </row>
    <row r="260">
      <c r="A260" t="n">
        <v>259</v>
      </c>
      <c r="B260">
        <f>'01_Data'!A260</f>
        <v/>
      </c>
      <c r="C260">
        <f>'03_Lap_Theta'!C260</f>
        <v/>
      </c>
      <c r="D260">
        <f>'03_Lap_Theta'!D260</f>
        <v/>
      </c>
      <c r="E260" s="5">
        <f>'03_Lap_Theta'!$AC260</f>
        <v/>
      </c>
      <c r="F260" s="5">
        <f>SUMPRODUCT(('01_Data'!$B260:$AW260&lt;&gt;"")*(1/(1+EXP(-('03_Lap_Theta'!$AC260-'03_Lap_b'!$B$45:$AW$45))))*(1-(1/(1+EXP(-('03_Lap_Theta'!$AC260-'03_Lap_b'!$B$45:$AW$45))))))</f>
        <v/>
      </c>
      <c r="G260" s="5">
        <f>IF(F260&lt;=0.000000001,"",1/SQRT(F260))</f>
        <v/>
      </c>
      <c r="H260">
        <f>IF(OR(C260=0,C260=D260),"BIÊN","")</f>
        <v/>
      </c>
    </row>
    <row r="261">
      <c r="A261" t="n">
        <v>260</v>
      </c>
      <c r="B261">
        <f>'01_Data'!A261</f>
        <v/>
      </c>
      <c r="C261">
        <f>'03_Lap_Theta'!C261</f>
        <v/>
      </c>
      <c r="D261">
        <f>'03_Lap_Theta'!D261</f>
        <v/>
      </c>
      <c r="E261" s="5">
        <f>'03_Lap_Theta'!$AC261</f>
        <v/>
      </c>
      <c r="F261" s="5">
        <f>SUMPRODUCT(('01_Data'!$B261:$AW261&lt;&gt;"")*(1/(1+EXP(-('03_Lap_Theta'!$AC261-'03_Lap_b'!$B$45:$AW$45))))*(1-(1/(1+EXP(-('03_Lap_Theta'!$AC261-'03_Lap_b'!$B$45:$AW$45))))))</f>
        <v/>
      </c>
      <c r="G261" s="5">
        <f>IF(F261&lt;=0.000000001,"",1/SQRT(F261))</f>
        <v/>
      </c>
      <c r="H261">
        <f>IF(OR(C261=0,C261=D261),"BIÊN","")</f>
        <v/>
      </c>
    </row>
    <row r="262">
      <c r="A262" t="n">
        <v>261</v>
      </c>
      <c r="B262">
        <f>'01_Data'!A262</f>
        <v/>
      </c>
      <c r="C262">
        <f>'03_Lap_Theta'!C262</f>
        <v/>
      </c>
      <c r="D262">
        <f>'03_Lap_Theta'!D262</f>
        <v/>
      </c>
      <c r="E262" s="5">
        <f>'03_Lap_Theta'!$AC262</f>
        <v/>
      </c>
      <c r="F262" s="5">
        <f>SUMPRODUCT(('01_Data'!$B262:$AW262&lt;&gt;"")*(1/(1+EXP(-('03_Lap_Theta'!$AC262-'03_Lap_b'!$B$45:$AW$45))))*(1-(1/(1+EXP(-('03_Lap_Theta'!$AC262-'03_Lap_b'!$B$45:$AW$45))))))</f>
        <v/>
      </c>
      <c r="G262" s="5">
        <f>IF(F262&lt;=0.000000001,"",1/SQRT(F262))</f>
        <v/>
      </c>
      <c r="H262">
        <f>IF(OR(C262=0,C262=D262),"BIÊN","")</f>
        <v/>
      </c>
    </row>
    <row r="263">
      <c r="A263" t="n">
        <v>262</v>
      </c>
      <c r="B263">
        <f>'01_Data'!A263</f>
        <v/>
      </c>
      <c r="C263">
        <f>'03_Lap_Theta'!C263</f>
        <v/>
      </c>
      <c r="D263">
        <f>'03_Lap_Theta'!D263</f>
        <v/>
      </c>
      <c r="E263" s="5">
        <f>'03_Lap_Theta'!$AC263</f>
        <v/>
      </c>
      <c r="F263" s="5">
        <f>SUMPRODUCT(('01_Data'!$B263:$AW263&lt;&gt;"")*(1/(1+EXP(-('03_Lap_Theta'!$AC263-'03_Lap_b'!$B$45:$AW$45))))*(1-(1/(1+EXP(-('03_Lap_Theta'!$AC263-'03_Lap_b'!$B$45:$AW$45))))))</f>
        <v/>
      </c>
      <c r="G263" s="5">
        <f>IF(F263&lt;=0.000000001,"",1/SQRT(F263))</f>
        <v/>
      </c>
      <c r="H263">
        <f>IF(OR(C263=0,C263=D263),"BIÊN","")</f>
        <v/>
      </c>
    </row>
    <row r="264">
      <c r="A264" t="n">
        <v>263</v>
      </c>
      <c r="B264">
        <f>'01_Data'!A264</f>
        <v/>
      </c>
      <c r="C264">
        <f>'03_Lap_Theta'!C264</f>
        <v/>
      </c>
      <c r="D264">
        <f>'03_Lap_Theta'!D264</f>
        <v/>
      </c>
      <c r="E264" s="5">
        <f>'03_Lap_Theta'!$AC264</f>
        <v/>
      </c>
      <c r="F264" s="5">
        <f>SUMPRODUCT(('01_Data'!$B264:$AW264&lt;&gt;"")*(1/(1+EXP(-('03_Lap_Theta'!$AC264-'03_Lap_b'!$B$45:$AW$45))))*(1-(1/(1+EXP(-('03_Lap_Theta'!$AC264-'03_Lap_b'!$B$45:$AW$45))))))</f>
        <v/>
      </c>
      <c r="G264" s="5">
        <f>IF(F264&lt;=0.000000001,"",1/SQRT(F264))</f>
        <v/>
      </c>
      <c r="H264">
        <f>IF(OR(C264=0,C264=D264),"BIÊN","")</f>
        <v/>
      </c>
    </row>
    <row r="265">
      <c r="A265" t="n">
        <v>264</v>
      </c>
      <c r="B265">
        <f>'01_Data'!A265</f>
        <v/>
      </c>
      <c r="C265">
        <f>'03_Lap_Theta'!C265</f>
        <v/>
      </c>
      <c r="D265">
        <f>'03_Lap_Theta'!D265</f>
        <v/>
      </c>
      <c r="E265" s="5">
        <f>'03_Lap_Theta'!$AC265</f>
        <v/>
      </c>
      <c r="F265" s="5">
        <f>SUMPRODUCT(('01_Data'!$B265:$AW265&lt;&gt;"")*(1/(1+EXP(-('03_Lap_Theta'!$AC265-'03_Lap_b'!$B$45:$AW$45))))*(1-(1/(1+EXP(-('03_Lap_Theta'!$AC265-'03_Lap_b'!$B$45:$AW$45))))))</f>
        <v/>
      </c>
      <c r="G265" s="5">
        <f>IF(F265&lt;=0.000000001,"",1/SQRT(F265))</f>
        <v/>
      </c>
      <c r="H265">
        <f>IF(OR(C265=0,C265=D265),"BIÊN","")</f>
        <v/>
      </c>
    </row>
    <row r="266">
      <c r="A266" t="n">
        <v>265</v>
      </c>
      <c r="B266">
        <f>'01_Data'!A266</f>
        <v/>
      </c>
      <c r="C266">
        <f>'03_Lap_Theta'!C266</f>
        <v/>
      </c>
      <c r="D266">
        <f>'03_Lap_Theta'!D266</f>
        <v/>
      </c>
      <c r="E266" s="5">
        <f>'03_Lap_Theta'!$AC266</f>
        <v/>
      </c>
      <c r="F266" s="5">
        <f>SUMPRODUCT(('01_Data'!$B266:$AW266&lt;&gt;"")*(1/(1+EXP(-('03_Lap_Theta'!$AC266-'03_Lap_b'!$B$45:$AW$45))))*(1-(1/(1+EXP(-('03_Lap_Theta'!$AC266-'03_Lap_b'!$B$45:$AW$45))))))</f>
        <v/>
      </c>
      <c r="G266" s="5">
        <f>IF(F266&lt;=0.000000001,"",1/SQRT(F266))</f>
        <v/>
      </c>
      <c r="H266">
        <f>IF(OR(C266=0,C266=D266),"BIÊN","")</f>
        <v/>
      </c>
    </row>
    <row r="267">
      <c r="A267" t="n">
        <v>266</v>
      </c>
      <c r="B267">
        <f>'01_Data'!A267</f>
        <v/>
      </c>
      <c r="C267">
        <f>'03_Lap_Theta'!C267</f>
        <v/>
      </c>
      <c r="D267">
        <f>'03_Lap_Theta'!D267</f>
        <v/>
      </c>
      <c r="E267" s="5">
        <f>'03_Lap_Theta'!$AC267</f>
        <v/>
      </c>
      <c r="F267" s="5">
        <f>SUMPRODUCT(('01_Data'!$B267:$AW267&lt;&gt;"")*(1/(1+EXP(-('03_Lap_Theta'!$AC267-'03_Lap_b'!$B$45:$AW$45))))*(1-(1/(1+EXP(-('03_Lap_Theta'!$AC267-'03_Lap_b'!$B$45:$AW$45))))))</f>
        <v/>
      </c>
      <c r="G267" s="5">
        <f>IF(F267&lt;=0.000000001,"",1/SQRT(F267))</f>
        <v/>
      </c>
      <c r="H267">
        <f>IF(OR(C267=0,C267=D267),"BIÊN","")</f>
        <v/>
      </c>
    </row>
    <row r="268">
      <c r="A268" t="n">
        <v>267</v>
      </c>
      <c r="B268">
        <f>'01_Data'!A268</f>
        <v/>
      </c>
      <c r="C268">
        <f>'03_Lap_Theta'!C268</f>
        <v/>
      </c>
      <c r="D268">
        <f>'03_Lap_Theta'!D268</f>
        <v/>
      </c>
      <c r="E268" s="5">
        <f>'03_Lap_Theta'!$AC268</f>
        <v/>
      </c>
      <c r="F268" s="5">
        <f>SUMPRODUCT(('01_Data'!$B268:$AW268&lt;&gt;"")*(1/(1+EXP(-('03_Lap_Theta'!$AC268-'03_Lap_b'!$B$45:$AW$45))))*(1-(1/(1+EXP(-('03_Lap_Theta'!$AC268-'03_Lap_b'!$B$45:$AW$45))))))</f>
        <v/>
      </c>
      <c r="G268" s="5">
        <f>IF(F268&lt;=0.000000001,"",1/SQRT(F268))</f>
        <v/>
      </c>
      <c r="H268">
        <f>IF(OR(C268=0,C268=D268),"BIÊN","")</f>
        <v/>
      </c>
    </row>
    <row r="269">
      <c r="A269" t="n">
        <v>268</v>
      </c>
      <c r="B269">
        <f>'01_Data'!A269</f>
        <v/>
      </c>
      <c r="C269">
        <f>'03_Lap_Theta'!C269</f>
        <v/>
      </c>
      <c r="D269">
        <f>'03_Lap_Theta'!D269</f>
        <v/>
      </c>
      <c r="E269" s="5">
        <f>'03_Lap_Theta'!$AC269</f>
        <v/>
      </c>
      <c r="F269" s="5">
        <f>SUMPRODUCT(('01_Data'!$B269:$AW269&lt;&gt;"")*(1/(1+EXP(-('03_Lap_Theta'!$AC269-'03_Lap_b'!$B$45:$AW$45))))*(1-(1/(1+EXP(-('03_Lap_Theta'!$AC269-'03_Lap_b'!$B$45:$AW$45))))))</f>
        <v/>
      </c>
      <c r="G269" s="5">
        <f>IF(F269&lt;=0.000000001,"",1/SQRT(F269))</f>
        <v/>
      </c>
      <c r="H269">
        <f>IF(OR(C269=0,C269=D269),"BIÊN","")</f>
        <v/>
      </c>
    </row>
    <row r="270">
      <c r="A270" t="n">
        <v>269</v>
      </c>
      <c r="B270">
        <f>'01_Data'!A270</f>
        <v/>
      </c>
      <c r="C270">
        <f>'03_Lap_Theta'!C270</f>
        <v/>
      </c>
      <c r="D270">
        <f>'03_Lap_Theta'!D270</f>
        <v/>
      </c>
      <c r="E270" s="5">
        <f>'03_Lap_Theta'!$AC270</f>
        <v/>
      </c>
      <c r="F270" s="5">
        <f>SUMPRODUCT(('01_Data'!$B270:$AW270&lt;&gt;"")*(1/(1+EXP(-('03_Lap_Theta'!$AC270-'03_Lap_b'!$B$45:$AW$45))))*(1-(1/(1+EXP(-('03_Lap_Theta'!$AC270-'03_Lap_b'!$B$45:$AW$45))))))</f>
        <v/>
      </c>
      <c r="G270" s="5">
        <f>IF(F270&lt;=0.000000001,"",1/SQRT(F270))</f>
        <v/>
      </c>
      <c r="H270">
        <f>IF(OR(C270=0,C270=D270),"BIÊN","")</f>
        <v/>
      </c>
    </row>
    <row r="271">
      <c r="A271" t="n">
        <v>270</v>
      </c>
      <c r="B271">
        <f>'01_Data'!A271</f>
        <v/>
      </c>
      <c r="C271">
        <f>'03_Lap_Theta'!C271</f>
        <v/>
      </c>
      <c r="D271">
        <f>'03_Lap_Theta'!D271</f>
        <v/>
      </c>
      <c r="E271" s="5">
        <f>'03_Lap_Theta'!$AC271</f>
        <v/>
      </c>
      <c r="F271" s="5">
        <f>SUMPRODUCT(('01_Data'!$B271:$AW271&lt;&gt;"")*(1/(1+EXP(-('03_Lap_Theta'!$AC271-'03_Lap_b'!$B$45:$AW$45))))*(1-(1/(1+EXP(-('03_Lap_Theta'!$AC271-'03_Lap_b'!$B$45:$AW$45))))))</f>
        <v/>
      </c>
      <c r="G271" s="5">
        <f>IF(F271&lt;=0.000000001,"",1/SQRT(F271))</f>
        <v/>
      </c>
      <c r="H271">
        <f>IF(OR(C271=0,C271=D271),"BIÊN","")</f>
        <v/>
      </c>
    </row>
    <row r="272">
      <c r="A272" t="n">
        <v>271</v>
      </c>
      <c r="B272">
        <f>'01_Data'!A272</f>
        <v/>
      </c>
      <c r="C272">
        <f>'03_Lap_Theta'!C272</f>
        <v/>
      </c>
      <c r="D272">
        <f>'03_Lap_Theta'!D272</f>
        <v/>
      </c>
      <c r="E272" s="5">
        <f>'03_Lap_Theta'!$AC272</f>
        <v/>
      </c>
      <c r="F272" s="5">
        <f>SUMPRODUCT(('01_Data'!$B272:$AW272&lt;&gt;"")*(1/(1+EXP(-('03_Lap_Theta'!$AC272-'03_Lap_b'!$B$45:$AW$45))))*(1-(1/(1+EXP(-('03_Lap_Theta'!$AC272-'03_Lap_b'!$B$45:$AW$45))))))</f>
        <v/>
      </c>
      <c r="G272" s="5">
        <f>IF(F272&lt;=0.000000001,"",1/SQRT(F272))</f>
        <v/>
      </c>
      <c r="H272">
        <f>IF(OR(C272=0,C272=D272),"BIÊN","")</f>
        <v/>
      </c>
    </row>
    <row r="273">
      <c r="A273" t="n">
        <v>272</v>
      </c>
      <c r="B273">
        <f>'01_Data'!A273</f>
        <v/>
      </c>
      <c r="C273">
        <f>'03_Lap_Theta'!C273</f>
        <v/>
      </c>
      <c r="D273">
        <f>'03_Lap_Theta'!D273</f>
        <v/>
      </c>
      <c r="E273" s="5">
        <f>'03_Lap_Theta'!$AC273</f>
        <v/>
      </c>
      <c r="F273" s="5">
        <f>SUMPRODUCT(('01_Data'!$B273:$AW273&lt;&gt;"")*(1/(1+EXP(-('03_Lap_Theta'!$AC273-'03_Lap_b'!$B$45:$AW$45))))*(1-(1/(1+EXP(-('03_Lap_Theta'!$AC273-'03_Lap_b'!$B$45:$AW$45))))))</f>
        <v/>
      </c>
      <c r="G273" s="5">
        <f>IF(F273&lt;=0.000000001,"",1/SQRT(F273))</f>
        <v/>
      </c>
      <c r="H273">
        <f>IF(OR(C273=0,C273=D273),"BIÊN","")</f>
        <v/>
      </c>
    </row>
    <row r="274">
      <c r="A274" t="n">
        <v>273</v>
      </c>
      <c r="B274">
        <f>'01_Data'!A274</f>
        <v/>
      </c>
      <c r="C274">
        <f>'03_Lap_Theta'!C274</f>
        <v/>
      </c>
      <c r="D274">
        <f>'03_Lap_Theta'!D274</f>
        <v/>
      </c>
      <c r="E274" s="5">
        <f>'03_Lap_Theta'!$AC274</f>
        <v/>
      </c>
      <c r="F274" s="5">
        <f>SUMPRODUCT(('01_Data'!$B274:$AW274&lt;&gt;"")*(1/(1+EXP(-('03_Lap_Theta'!$AC274-'03_Lap_b'!$B$45:$AW$45))))*(1-(1/(1+EXP(-('03_Lap_Theta'!$AC274-'03_Lap_b'!$B$45:$AW$45))))))</f>
        <v/>
      </c>
      <c r="G274" s="5">
        <f>IF(F274&lt;=0.000000001,"",1/SQRT(F274))</f>
        <v/>
      </c>
      <c r="H274">
        <f>IF(OR(C274=0,C274=D274),"BIÊN","")</f>
        <v/>
      </c>
    </row>
    <row r="275">
      <c r="A275" t="n">
        <v>274</v>
      </c>
      <c r="B275">
        <f>'01_Data'!A275</f>
        <v/>
      </c>
      <c r="C275">
        <f>'03_Lap_Theta'!C275</f>
        <v/>
      </c>
      <c r="D275">
        <f>'03_Lap_Theta'!D275</f>
        <v/>
      </c>
      <c r="E275" s="5">
        <f>'03_Lap_Theta'!$AC275</f>
        <v/>
      </c>
      <c r="F275" s="5">
        <f>SUMPRODUCT(('01_Data'!$B275:$AW275&lt;&gt;"")*(1/(1+EXP(-('03_Lap_Theta'!$AC275-'03_Lap_b'!$B$45:$AW$45))))*(1-(1/(1+EXP(-('03_Lap_Theta'!$AC275-'03_Lap_b'!$B$45:$AW$45))))))</f>
        <v/>
      </c>
      <c r="G275" s="5">
        <f>IF(F275&lt;=0.000000001,"",1/SQRT(F275))</f>
        <v/>
      </c>
      <c r="H275">
        <f>IF(OR(C275=0,C275=D275),"BIÊN","")</f>
        <v/>
      </c>
    </row>
    <row r="276">
      <c r="A276" t="n">
        <v>275</v>
      </c>
      <c r="B276">
        <f>'01_Data'!A276</f>
        <v/>
      </c>
      <c r="C276">
        <f>'03_Lap_Theta'!C276</f>
        <v/>
      </c>
      <c r="D276">
        <f>'03_Lap_Theta'!D276</f>
        <v/>
      </c>
      <c r="E276" s="5">
        <f>'03_Lap_Theta'!$AC276</f>
        <v/>
      </c>
      <c r="F276" s="5">
        <f>SUMPRODUCT(('01_Data'!$B276:$AW276&lt;&gt;"")*(1/(1+EXP(-('03_Lap_Theta'!$AC276-'03_Lap_b'!$B$45:$AW$45))))*(1-(1/(1+EXP(-('03_Lap_Theta'!$AC276-'03_Lap_b'!$B$45:$AW$45))))))</f>
        <v/>
      </c>
      <c r="G276" s="5">
        <f>IF(F276&lt;=0.000000001,"",1/SQRT(F276))</f>
        <v/>
      </c>
      <c r="H276">
        <f>IF(OR(C276=0,C276=D276),"BIÊN","")</f>
        <v/>
      </c>
    </row>
    <row r="277">
      <c r="A277" t="n">
        <v>276</v>
      </c>
      <c r="B277">
        <f>'01_Data'!A277</f>
        <v/>
      </c>
      <c r="C277">
        <f>'03_Lap_Theta'!C277</f>
        <v/>
      </c>
      <c r="D277">
        <f>'03_Lap_Theta'!D277</f>
        <v/>
      </c>
      <c r="E277" s="5">
        <f>'03_Lap_Theta'!$AC277</f>
        <v/>
      </c>
      <c r="F277" s="5">
        <f>SUMPRODUCT(('01_Data'!$B277:$AW277&lt;&gt;"")*(1/(1+EXP(-('03_Lap_Theta'!$AC277-'03_Lap_b'!$B$45:$AW$45))))*(1-(1/(1+EXP(-('03_Lap_Theta'!$AC277-'03_Lap_b'!$B$45:$AW$45))))))</f>
        <v/>
      </c>
      <c r="G277" s="5">
        <f>IF(F277&lt;=0.000000001,"",1/SQRT(F277))</f>
        <v/>
      </c>
      <c r="H277">
        <f>IF(OR(C277=0,C277=D277),"BIÊN","")</f>
        <v/>
      </c>
    </row>
    <row r="278">
      <c r="A278" t="n">
        <v>277</v>
      </c>
      <c r="B278">
        <f>'01_Data'!A278</f>
        <v/>
      </c>
      <c r="C278">
        <f>'03_Lap_Theta'!C278</f>
        <v/>
      </c>
      <c r="D278">
        <f>'03_Lap_Theta'!D278</f>
        <v/>
      </c>
      <c r="E278" s="5">
        <f>'03_Lap_Theta'!$AC278</f>
        <v/>
      </c>
      <c r="F278" s="5">
        <f>SUMPRODUCT(('01_Data'!$B278:$AW278&lt;&gt;"")*(1/(1+EXP(-('03_Lap_Theta'!$AC278-'03_Lap_b'!$B$45:$AW$45))))*(1-(1/(1+EXP(-('03_Lap_Theta'!$AC278-'03_Lap_b'!$B$45:$AW$45))))))</f>
        <v/>
      </c>
      <c r="G278" s="5">
        <f>IF(F278&lt;=0.000000001,"",1/SQRT(F278))</f>
        <v/>
      </c>
      <c r="H278">
        <f>IF(OR(C278=0,C278=D278),"BIÊN","")</f>
        <v/>
      </c>
    </row>
    <row r="279">
      <c r="A279" t="n">
        <v>278</v>
      </c>
      <c r="B279">
        <f>'01_Data'!A279</f>
        <v/>
      </c>
      <c r="C279">
        <f>'03_Lap_Theta'!C279</f>
        <v/>
      </c>
      <c r="D279">
        <f>'03_Lap_Theta'!D279</f>
        <v/>
      </c>
      <c r="E279" s="5">
        <f>'03_Lap_Theta'!$AC279</f>
        <v/>
      </c>
      <c r="F279" s="5">
        <f>SUMPRODUCT(('01_Data'!$B279:$AW279&lt;&gt;"")*(1/(1+EXP(-('03_Lap_Theta'!$AC279-'03_Lap_b'!$B$45:$AW$45))))*(1-(1/(1+EXP(-('03_Lap_Theta'!$AC279-'03_Lap_b'!$B$45:$AW$45))))))</f>
        <v/>
      </c>
      <c r="G279" s="5">
        <f>IF(F279&lt;=0.000000001,"",1/SQRT(F279))</f>
        <v/>
      </c>
      <c r="H279">
        <f>IF(OR(C279=0,C279=D279),"BIÊN","")</f>
        <v/>
      </c>
    </row>
    <row r="280">
      <c r="A280" t="n">
        <v>279</v>
      </c>
      <c r="B280">
        <f>'01_Data'!A280</f>
        <v/>
      </c>
      <c r="C280">
        <f>'03_Lap_Theta'!C280</f>
        <v/>
      </c>
      <c r="D280">
        <f>'03_Lap_Theta'!D280</f>
        <v/>
      </c>
      <c r="E280" s="5">
        <f>'03_Lap_Theta'!$AC280</f>
        <v/>
      </c>
      <c r="F280" s="5">
        <f>SUMPRODUCT(('01_Data'!$B280:$AW280&lt;&gt;"")*(1/(1+EXP(-('03_Lap_Theta'!$AC280-'03_Lap_b'!$B$45:$AW$45))))*(1-(1/(1+EXP(-('03_Lap_Theta'!$AC280-'03_Lap_b'!$B$45:$AW$45))))))</f>
        <v/>
      </c>
      <c r="G280" s="5">
        <f>IF(F280&lt;=0.000000001,"",1/SQRT(F280))</f>
        <v/>
      </c>
      <c r="H280">
        <f>IF(OR(C280=0,C280=D280),"BIÊN","")</f>
        <v/>
      </c>
    </row>
    <row r="281">
      <c r="A281" t="n">
        <v>280</v>
      </c>
      <c r="B281">
        <f>'01_Data'!A281</f>
        <v/>
      </c>
      <c r="C281">
        <f>'03_Lap_Theta'!C281</f>
        <v/>
      </c>
      <c r="D281">
        <f>'03_Lap_Theta'!D281</f>
        <v/>
      </c>
      <c r="E281" s="5">
        <f>'03_Lap_Theta'!$AC281</f>
        <v/>
      </c>
      <c r="F281" s="5">
        <f>SUMPRODUCT(('01_Data'!$B281:$AW281&lt;&gt;"")*(1/(1+EXP(-('03_Lap_Theta'!$AC281-'03_Lap_b'!$B$45:$AW$45))))*(1-(1/(1+EXP(-('03_Lap_Theta'!$AC281-'03_Lap_b'!$B$45:$AW$45))))))</f>
        <v/>
      </c>
      <c r="G281" s="5">
        <f>IF(F281&lt;=0.000000001,"",1/SQRT(F281))</f>
        <v/>
      </c>
      <c r="H281">
        <f>IF(OR(C281=0,C281=D281),"BIÊN","")</f>
        <v/>
      </c>
    </row>
    <row r="282">
      <c r="A282" t="n">
        <v>281</v>
      </c>
      <c r="B282">
        <f>'01_Data'!A282</f>
        <v/>
      </c>
      <c r="C282">
        <f>'03_Lap_Theta'!C282</f>
        <v/>
      </c>
      <c r="D282">
        <f>'03_Lap_Theta'!D282</f>
        <v/>
      </c>
      <c r="E282" s="5">
        <f>'03_Lap_Theta'!$AC282</f>
        <v/>
      </c>
      <c r="F282" s="5">
        <f>SUMPRODUCT(('01_Data'!$B282:$AW282&lt;&gt;"")*(1/(1+EXP(-('03_Lap_Theta'!$AC282-'03_Lap_b'!$B$45:$AW$45))))*(1-(1/(1+EXP(-('03_Lap_Theta'!$AC282-'03_Lap_b'!$B$45:$AW$45))))))</f>
        <v/>
      </c>
      <c r="G282" s="5">
        <f>IF(F282&lt;=0.000000001,"",1/SQRT(F282))</f>
        <v/>
      </c>
      <c r="H282">
        <f>IF(OR(C282=0,C282=D282),"BIÊN","")</f>
        <v/>
      </c>
    </row>
    <row r="283">
      <c r="A283" t="n">
        <v>282</v>
      </c>
      <c r="B283">
        <f>'01_Data'!A283</f>
        <v/>
      </c>
      <c r="C283">
        <f>'03_Lap_Theta'!C283</f>
        <v/>
      </c>
      <c r="D283">
        <f>'03_Lap_Theta'!D283</f>
        <v/>
      </c>
      <c r="E283" s="5">
        <f>'03_Lap_Theta'!$AC283</f>
        <v/>
      </c>
      <c r="F283" s="5">
        <f>SUMPRODUCT(('01_Data'!$B283:$AW283&lt;&gt;"")*(1/(1+EXP(-('03_Lap_Theta'!$AC283-'03_Lap_b'!$B$45:$AW$45))))*(1-(1/(1+EXP(-('03_Lap_Theta'!$AC283-'03_Lap_b'!$B$45:$AW$45))))))</f>
        <v/>
      </c>
      <c r="G283" s="5">
        <f>IF(F283&lt;=0.000000001,"",1/SQRT(F283))</f>
        <v/>
      </c>
      <c r="H283">
        <f>IF(OR(C283=0,C283=D283),"BIÊN","")</f>
        <v/>
      </c>
    </row>
    <row r="284">
      <c r="A284" t="n">
        <v>283</v>
      </c>
      <c r="B284">
        <f>'01_Data'!A284</f>
        <v/>
      </c>
      <c r="C284">
        <f>'03_Lap_Theta'!C284</f>
        <v/>
      </c>
      <c r="D284">
        <f>'03_Lap_Theta'!D284</f>
        <v/>
      </c>
      <c r="E284" s="5">
        <f>'03_Lap_Theta'!$AC284</f>
        <v/>
      </c>
      <c r="F284" s="5">
        <f>SUMPRODUCT(('01_Data'!$B284:$AW284&lt;&gt;"")*(1/(1+EXP(-('03_Lap_Theta'!$AC284-'03_Lap_b'!$B$45:$AW$45))))*(1-(1/(1+EXP(-('03_Lap_Theta'!$AC284-'03_Lap_b'!$B$45:$AW$45))))))</f>
        <v/>
      </c>
      <c r="G284" s="5">
        <f>IF(F284&lt;=0.000000001,"",1/SQRT(F284))</f>
        <v/>
      </c>
      <c r="H284">
        <f>IF(OR(C284=0,C284=D284),"BIÊN","")</f>
        <v/>
      </c>
    </row>
    <row r="285">
      <c r="A285" t="n">
        <v>284</v>
      </c>
      <c r="B285">
        <f>'01_Data'!A285</f>
        <v/>
      </c>
      <c r="C285">
        <f>'03_Lap_Theta'!C285</f>
        <v/>
      </c>
      <c r="D285">
        <f>'03_Lap_Theta'!D285</f>
        <v/>
      </c>
      <c r="E285" s="5">
        <f>'03_Lap_Theta'!$AC285</f>
        <v/>
      </c>
      <c r="F285" s="5">
        <f>SUMPRODUCT(('01_Data'!$B285:$AW285&lt;&gt;"")*(1/(1+EXP(-('03_Lap_Theta'!$AC285-'03_Lap_b'!$B$45:$AW$45))))*(1-(1/(1+EXP(-('03_Lap_Theta'!$AC285-'03_Lap_b'!$B$45:$AW$45))))))</f>
        <v/>
      </c>
      <c r="G285" s="5">
        <f>IF(F285&lt;=0.000000001,"",1/SQRT(F285))</f>
        <v/>
      </c>
      <c r="H285">
        <f>IF(OR(C285=0,C285=D285),"BIÊN","")</f>
        <v/>
      </c>
    </row>
    <row r="286">
      <c r="A286" t="n">
        <v>285</v>
      </c>
      <c r="B286">
        <f>'01_Data'!A286</f>
        <v/>
      </c>
      <c r="C286">
        <f>'03_Lap_Theta'!C286</f>
        <v/>
      </c>
      <c r="D286">
        <f>'03_Lap_Theta'!D286</f>
        <v/>
      </c>
      <c r="E286" s="5">
        <f>'03_Lap_Theta'!$AC286</f>
        <v/>
      </c>
      <c r="F286" s="5">
        <f>SUMPRODUCT(('01_Data'!$B286:$AW286&lt;&gt;"")*(1/(1+EXP(-('03_Lap_Theta'!$AC286-'03_Lap_b'!$B$45:$AW$45))))*(1-(1/(1+EXP(-('03_Lap_Theta'!$AC286-'03_Lap_b'!$B$45:$AW$45))))))</f>
        <v/>
      </c>
      <c r="G286" s="5">
        <f>IF(F286&lt;=0.000000001,"",1/SQRT(F286))</f>
        <v/>
      </c>
      <c r="H286">
        <f>IF(OR(C286=0,C286=D286),"BIÊN","")</f>
        <v/>
      </c>
    </row>
    <row r="287">
      <c r="A287" t="n">
        <v>286</v>
      </c>
      <c r="B287">
        <f>'01_Data'!A287</f>
        <v/>
      </c>
      <c r="C287">
        <f>'03_Lap_Theta'!C287</f>
        <v/>
      </c>
      <c r="D287">
        <f>'03_Lap_Theta'!D287</f>
        <v/>
      </c>
      <c r="E287" s="5">
        <f>'03_Lap_Theta'!$AC287</f>
        <v/>
      </c>
      <c r="F287" s="5">
        <f>SUMPRODUCT(('01_Data'!$B287:$AW287&lt;&gt;"")*(1/(1+EXP(-('03_Lap_Theta'!$AC287-'03_Lap_b'!$B$45:$AW$45))))*(1-(1/(1+EXP(-('03_Lap_Theta'!$AC287-'03_Lap_b'!$B$45:$AW$45))))))</f>
        <v/>
      </c>
      <c r="G287" s="5">
        <f>IF(F287&lt;=0.000000001,"",1/SQRT(F287))</f>
        <v/>
      </c>
      <c r="H287">
        <f>IF(OR(C287=0,C287=D287),"BIÊN","")</f>
        <v/>
      </c>
    </row>
    <row r="288">
      <c r="A288" t="n">
        <v>287</v>
      </c>
      <c r="B288">
        <f>'01_Data'!A288</f>
        <v/>
      </c>
      <c r="C288">
        <f>'03_Lap_Theta'!C288</f>
        <v/>
      </c>
      <c r="D288">
        <f>'03_Lap_Theta'!D288</f>
        <v/>
      </c>
      <c r="E288" s="5">
        <f>'03_Lap_Theta'!$AC288</f>
        <v/>
      </c>
      <c r="F288" s="5">
        <f>SUMPRODUCT(('01_Data'!$B288:$AW288&lt;&gt;"")*(1/(1+EXP(-('03_Lap_Theta'!$AC288-'03_Lap_b'!$B$45:$AW$45))))*(1-(1/(1+EXP(-('03_Lap_Theta'!$AC288-'03_Lap_b'!$B$45:$AW$45))))))</f>
        <v/>
      </c>
      <c r="G288" s="5">
        <f>IF(F288&lt;=0.000000001,"",1/SQRT(F288))</f>
        <v/>
      </c>
      <c r="H288">
        <f>IF(OR(C288=0,C288=D288),"BIÊN","")</f>
        <v/>
      </c>
    </row>
    <row r="289">
      <c r="A289" t="n">
        <v>288</v>
      </c>
      <c r="B289">
        <f>'01_Data'!A289</f>
        <v/>
      </c>
      <c r="C289">
        <f>'03_Lap_Theta'!C289</f>
        <v/>
      </c>
      <c r="D289">
        <f>'03_Lap_Theta'!D289</f>
        <v/>
      </c>
      <c r="E289" s="5">
        <f>'03_Lap_Theta'!$AC289</f>
        <v/>
      </c>
      <c r="F289" s="5">
        <f>SUMPRODUCT(('01_Data'!$B289:$AW289&lt;&gt;"")*(1/(1+EXP(-('03_Lap_Theta'!$AC289-'03_Lap_b'!$B$45:$AW$45))))*(1-(1/(1+EXP(-('03_Lap_Theta'!$AC289-'03_Lap_b'!$B$45:$AW$45))))))</f>
        <v/>
      </c>
      <c r="G289" s="5">
        <f>IF(F289&lt;=0.000000001,"",1/SQRT(F289))</f>
        <v/>
      </c>
      <c r="H289">
        <f>IF(OR(C289=0,C289=D289),"BIÊN","")</f>
        <v/>
      </c>
    </row>
    <row r="290">
      <c r="A290" t="n">
        <v>289</v>
      </c>
      <c r="B290">
        <f>'01_Data'!A290</f>
        <v/>
      </c>
      <c r="C290">
        <f>'03_Lap_Theta'!C290</f>
        <v/>
      </c>
      <c r="D290">
        <f>'03_Lap_Theta'!D290</f>
        <v/>
      </c>
      <c r="E290" s="5">
        <f>'03_Lap_Theta'!$AC290</f>
        <v/>
      </c>
      <c r="F290" s="5">
        <f>SUMPRODUCT(('01_Data'!$B290:$AW290&lt;&gt;"")*(1/(1+EXP(-('03_Lap_Theta'!$AC290-'03_Lap_b'!$B$45:$AW$45))))*(1-(1/(1+EXP(-('03_Lap_Theta'!$AC290-'03_Lap_b'!$B$45:$AW$45))))))</f>
        <v/>
      </c>
      <c r="G290" s="5">
        <f>IF(F290&lt;=0.000000001,"",1/SQRT(F290))</f>
        <v/>
      </c>
      <c r="H290">
        <f>IF(OR(C290=0,C290=D290),"BIÊN","")</f>
        <v/>
      </c>
    </row>
    <row r="291">
      <c r="A291" t="n">
        <v>290</v>
      </c>
      <c r="B291">
        <f>'01_Data'!A291</f>
        <v/>
      </c>
      <c r="C291">
        <f>'03_Lap_Theta'!C291</f>
        <v/>
      </c>
      <c r="D291">
        <f>'03_Lap_Theta'!D291</f>
        <v/>
      </c>
      <c r="E291" s="5">
        <f>'03_Lap_Theta'!$AC291</f>
        <v/>
      </c>
      <c r="F291" s="5">
        <f>SUMPRODUCT(('01_Data'!$B291:$AW291&lt;&gt;"")*(1/(1+EXP(-('03_Lap_Theta'!$AC291-'03_Lap_b'!$B$45:$AW$45))))*(1-(1/(1+EXP(-('03_Lap_Theta'!$AC291-'03_Lap_b'!$B$45:$AW$45))))))</f>
        <v/>
      </c>
      <c r="G291" s="5">
        <f>IF(F291&lt;=0.000000001,"",1/SQRT(F291))</f>
        <v/>
      </c>
      <c r="H291">
        <f>IF(OR(C291=0,C291=D291),"BIÊN","")</f>
        <v/>
      </c>
    </row>
    <row r="292">
      <c r="A292" t="n">
        <v>291</v>
      </c>
      <c r="B292">
        <f>'01_Data'!A292</f>
        <v/>
      </c>
      <c r="C292">
        <f>'03_Lap_Theta'!C292</f>
        <v/>
      </c>
      <c r="D292">
        <f>'03_Lap_Theta'!D292</f>
        <v/>
      </c>
      <c r="E292" s="5">
        <f>'03_Lap_Theta'!$AC292</f>
        <v/>
      </c>
      <c r="F292" s="5">
        <f>SUMPRODUCT(('01_Data'!$B292:$AW292&lt;&gt;"")*(1/(1+EXP(-('03_Lap_Theta'!$AC292-'03_Lap_b'!$B$45:$AW$45))))*(1-(1/(1+EXP(-('03_Lap_Theta'!$AC292-'03_Lap_b'!$B$45:$AW$45))))))</f>
        <v/>
      </c>
      <c r="G292" s="5">
        <f>IF(F292&lt;=0.000000001,"",1/SQRT(F292))</f>
        <v/>
      </c>
      <c r="H292">
        <f>IF(OR(C292=0,C292=D292),"BIÊN","")</f>
        <v/>
      </c>
    </row>
    <row r="293">
      <c r="A293" t="n">
        <v>292</v>
      </c>
      <c r="B293">
        <f>'01_Data'!A293</f>
        <v/>
      </c>
      <c r="C293">
        <f>'03_Lap_Theta'!C293</f>
        <v/>
      </c>
      <c r="D293">
        <f>'03_Lap_Theta'!D293</f>
        <v/>
      </c>
      <c r="E293" s="5">
        <f>'03_Lap_Theta'!$AC293</f>
        <v/>
      </c>
      <c r="F293" s="5">
        <f>SUMPRODUCT(('01_Data'!$B293:$AW293&lt;&gt;"")*(1/(1+EXP(-('03_Lap_Theta'!$AC293-'03_Lap_b'!$B$45:$AW$45))))*(1-(1/(1+EXP(-('03_Lap_Theta'!$AC293-'03_Lap_b'!$B$45:$AW$45))))))</f>
        <v/>
      </c>
      <c r="G293" s="5">
        <f>IF(F293&lt;=0.000000001,"",1/SQRT(F293))</f>
        <v/>
      </c>
      <c r="H293">
        <f>IF(OR(C293=0,C293=D293),"BIÊN","")</f>
        <v/>
      </c>
    </row>
    <row r="294">
      <c r="A294" t="n">
        <v>293</v>
      </c>
      <c r="B294">
        <f>'01_Data'!A294</f>
        <v/>
      </c>
      <c r="C294">
        <f>'03_Lap_Theta'!C294</f>
        <v/>
      </c>
      <c r="D294">
        <f>'03_Lap_Theta'!D294</f>
        <v/>
      </c>
      <c r="E294" s="5">
        <f>'03_Lap_Theta'!$AC294</f>
        <v/>
      </c>
      <c r="F294" s="5">
        <f>SUMPRODUCT(('01_Data'!$B294:$AW294&lt;&gt;"")*(1/(1+EXP(-('03_Lap_Theta'!$AC294-'03_Lap_b'!$B$45:$AW$45))))*(1-(1/(1+EXP(-('03_Lap_Theta'!$AC294-'03_Lap_b'!$B$45:$AW$45))))))</f>
        <v/>
      </c>
      <c r="G294" s="5">
        <f>IF(F294&lt;=0.000000001,"",1/SQRT(F294))</f>
        <v/>
      </c>
      <c r="H294">
        <f>IF(OR(C294=0,C294=D294),"BIÊN","")</f>
        <v/>
      </c>
    </row>
    <row r="295">
      <c r="A295" t="n">
        <v>294</v>
      </c>
      <c r="B295">
        <f>'01_Data'!A295</f>
        <v/>
      </c>
      <c r="C295">
        <f>'03_Lap_Theta'!C295</f>
        <v/>
      </c>
      <c r="D295">
        <f>'03_Lap_Theta'!D295</f>
        <v/>
      </c>
      <c r="E295" s="5">
        <f>'03_Lap_Theta'!$AC295</f>
        <v/>
      </c>
      <c r="F295" s="5">
        <f>SUMPRODUCT(('01_Data'!$B295:$AW295&lt;&gt;"")*(1/(1+EXP(-('03_Lap_Theta'!$AC295-'03_Lap_b'!$B$45:$AW$45))))*(1-(1/(1+EXP(-('03_Lap_Theta'!$AC295-'03_Lap_b'!$B$45:$AW$45))))))</f>
        <v/>
      </c>
      <c r="G295" s="5">
        <f>IF(F295&lt;=0.000000001,"",1/SQRT(F295))</f>
        <v/>
      </c>
      <c r="H295">
        <f>IF(OR(C295=0,C295=D295),"BIÊN","")</f>
        <v/>
      </c>
    </row>
    <row r="296">
      <c r="A296" t="n">
        <v>295</v>
      </c>
      <c r="B296">
        <f>'01_Data'!A296</f>
        <v/>
      </c>
      <c r="C296">
        <f>'03_Lap_Theta'!C296</f>
        <v/>
      </c>
      <c r="D296">
        <f>'03_Lap_Theta'!D296</f>
        <v/>
      </c>
      <c r="E296" s="5">
        <f>'03_Lap_Theta'!$AC296</f>
        <v/>
      </c>
      <c r="F296" s="5">
        <f>SUMPRODUCT(('01_Data'!$B296:$AW296&lt;&gt;"")*(1/(1+EXP(-('03_Lap_Theta'!$AC296-'03_Lap_b'!$B$45:$AW$45))))*(1-(1/(1+EXP(-('03_Lap_Theta'!$AC296-'03_Lap_b'!$B$45:$AW$45))))))</f>
        <v/>
      </c>
      <c r="G296" s="5">
        <f>IF(F296&lt;=0.000000001,"",1/SQRT(F296))</f>
        <v/>
      </c>
      <c r="H296">
        <f>IF(OR(C296=0,C296=D296),"BIÊN","")</f>
        <v/>
      </c>
    </row>
    <row r="297">
      <c r="A297" t="n">
        <v>296</v>
      </c>
      <c r="B297">
        <f>'01_Data'!A297</f>
        <v/>
      </c>
      <c r="C297">
        <f>'03_Lap_Theta'!C297</f>
        <v/>
      </c>
      <c r="D297">
        <f>'03_Lap_Theta'!D297</f>
        <v/>
      </c>
      <c r="E297" s="5">
        <f>'03_Lap_Theta'!$AC297</f>
        <v/>
      </c>
      <c r="F297" s="5">
        <f>SUMPRODUCT(('01_Data'!$B297:$AW297&lt;&gt;"")*(1/(1+EXP(-('03_Lap_Theta'!$AC297-'03_Lap_b'!$B$45:$AW$45))))*(1-(1/(1+EXP(-('03_Lap_Theta'!$AC297-'03_Lap_b'!$B$45:$AW$45))))))</f>
        <v/>
      </c>
      <c r="G297" s="5">
        <f>IF(F297&lt;=0.000000001,"",1/SQRT(F297))</f>
        <v/>
      </c>
      <c r="H297">
        <f>IF(OR(C297=0,C297=D297),"BIÊN","")</f>
        <v/>
      </c>
    </row>
    <row r="298">
      <c r="A298" t="n">
        <v>297</v>
      </c>
      <c r="B298">
        <f>'01_Data'!A298</f>
        <v/>
      </c>
      <c r="C298">
        <f>'03_Lap_Theta'!C298</f>
        <v/>
      </c>
      <c r="D298">
        <f>'03_Lap_Theta'!D298</f>
        <v/>
      </c>
      <c r="E298" s="5">
        <f>'03_Lap_Theta'!$AC298</f>
        <v/>
      </c>
      <c r="F298" s="5">
        <f>SUMPRODUCT(('01_Data'!$B298:$AW298&lt;&gt;"")*(1/(1+EXP(-('03_Lap_Theta'!$AC298-'03_Lap_b'!$B$45:$AW$45))))*(1-(1/(1+EXP(-('03_Lap_Theta'!$AC298-'03_Lap_b'!$B$45:$AW$45))))))</f>
        <v/>
      </c>
      <c r="G298" s="5">
        <f>IF(F298&lt;=0.000000001,"",1/SQRT(F298))</f>
        <v/>
      </c>
      <c r="H298">
        <f>IF(OR(C298=0,C298=D298),"BIÊN","")</f>
        <v/>
      </c>
    </row>
    <row r="299">
      <c r="A299" t="n">
        <v>298</v>
      </c>
      <c r="B299">
        <f>'01_Data'!A299</f>
        <v/>
      </c>
      <c r="C299">
        <f>'03_Lap_Theta'!C299</f>
        <v/>
      </c>
      <c r="D299">
        <f>'03_Lap_Theta'!D299</f>
        <v/>
      </c>
      <c r="E299" s="5">
        <f>'03_Lap_Theta'!$AC299</f>
        <v/>
      </c>
      <c r="F299" s="5">
        <f>SUMPRODUCT(('01_Data'!$B299:$AW299&lt;&gt;"")*(1/(1+EXP(-('03_Lap_Theta'!$AC299-'03_Lap_b'!$B$45:$AW$45))))*(1-(1/(1+EXP(-('03_Lap_Theta'!$AC299-'03_Lap_b'!$B$45:$AW$45))))))</f>
        <v/>
      </c>
      <c r="G299" s="5">
        <f>IF(F299&lt;=0.000000001,"",1/SQRT(F299))</f>
        <v/>
      </c>
      <c r="H299">
        <f>IF(OR(C299=0,C299=D299),"BIÊN","")</f>
        <v/>
      </c>
    </row>
    <row r="300">
      <c r="A300" t="n">
        <v>299</v>
      </c>
      <c r="B300">
        <f>'01_Data'!A300</f>
        <v/>
      </c>
      <c r="C300">
        <f>'03_Lap_Theta'!C300</f>
        <v/>
      </c>
      <c r="D300">
        <f>'03_Lap_Theta'!D300</f>
        <v/>
      </c>
      <c r="E300" s="5">
        <f>'03_Lap_Theta'!$AC300</f>
        <v/>
      </c>
      <c r="F300" s="5">
        <f>SUMPRODUCT(('01_Data'!$B300:$AW300&lt;&gt;"")*(1/(1+EXP(-('03_Lap_Theta'!$AC300-'03_Lap_b'!$B$45:$AW$45))))*(1-(1/(1+EXP(-('03_Lap_Theta'!$AC300-'03_Lap_b'!$B$45:$AW$45))))))</f>
        <v/>
      </c>
      <c r="G300" s="5">
        <f>IF(F300&lt;=0.000000001,"",1/SQRT(F300))</f>
        <v/>
      </c>
      <c r="H300">
        <f>IF(OR(C300=0,C300=D300),"BIÊN","")</f>
        <v/>
      </c>
    </row>
    <row r="301">
      <c r="A301" t="n">
        <v>300</v>
      </c>
      <c r="B301">
        <f>'01_Data'!A301</f>
        <v/>
      </c>
      <c r="C301">
        <f>'03_Lap_Theta'!C301</f>
        <v/>
      </c>
      <c r="D301">
        <f>'03_Lap_Theta'!D301</f>
        <v/>
      </c>
      <c r="E301" s="5">
        <f>'03_Lap_Theta'!$AC301</f>
        <v/>
      </c>
      <c r="F301" s="5">
        <f>SUMPRODUCT(('01_Data'!$B301:$AW301&lt;&gt;"")*(1/(1+EXP(-('03_Lap_Theta'!$AC301-'03_Lap_b'!$B$45:$AW$45))))*(1-(1/(1+EXP(-('03_Lap_Theta'!$AC301-'03_Lap_b'!$B$45:$AW$45))))))</f>
        <v/>
      </c>
      <c r="G301" s="5">
        <f>IF(F301&lt;=0.000000001,"",1/SQRT(F301))</f>
        <v/>
      </c>
      <c r="H301">
        <f>IF(OR(C301=0,C301=D301),"BIÊN","")</f>
        <v/>
      </c>
    </row>
    <row r="302">
      <c r="A302" t="n">
        <v>301</v>
      </c>
      <c r="B302">
        <f>'01_Data'!A302</f>
        <v/>
      </c>
      <c r="C302">
        <f>'03_Lap_Theta'!C302</f>
        <v/>
      </c>
      <c r="D302">
        <f>'03_Lap_Theta'!D302</f>
        <v/>
      </c>
      <c r="E302" s="5">
        <f>'03_Lap_Theta'!$AC302</f>
        <v/>
      </c>
      <c r="F302" s="5">
        <f>SUMPRODUCT(('01_Data'!$B302:$AW302&lt;&gt;"")*(1/(1+EXP(-('03_Lap_Theta'!$AC302-'03_Lap_b'!$B$45:$AW$45))))*(1-(1/(1+EXP(-('03_Lap_Theta'!$AC302-'03_Lap_b'!$B$45:$AW$45))))))</f>
        <v/>
      </c>
      <c r="G302" s="5">
        <f>IF(F302&lt;=0.000000001,"",1/SQRT(F302))</f>
        <v/>
      </c>
      <c r="H302">
        <f>IF(OR(C302=0,C302=D302),"BIÊN","")</f>
        <v/>
      </c>
    </row>
    <row r="303">
      <c r="A303" t="n">
        <v>302</v>
      </c>
      <c r="B303">
        <f>'01_Data'!A303</f>
        <v/>
      </c>
      <c r="C303">
        <f>'03_Lap_Theta'!C303</f>
        <v/>
      </c>
      <c r="D303">
        <f>'03_Lap_Theta'!D303</f>
        <v/>
      </c>
      <c r="E303" s="5">
        <f>'03_Lap_Theta'!$AC303</f>
        <v/>
      </c>
      <c r="F303" s="5">
        <f>SUMPRODUCT(('01_Data'!$B303:$AW303&lt;&gt;"")*(1/(1+EXP(-('03_Lap_Theta'!$AC303-'03_Lap_b'!$B$45:$AW$45))))*(1-(1/(1+EXP(-('03_Lap_Theta'!$AC303-'03_Lap_b'!$B$45:$AW$45))))))</f>
        <v/>
      </c>
      <c r="G303" s="5">
        <f>IF(F303&lt;=0.000000001,"",1/SQRT(F303))</f>
        <v/>
      </c>
      <c r="H303">
        <f>IF(OR(C303=0,C303=D303),"BIÊN","")</f>
        <v/>
      </c>
    </row>
    <row r="304">
      <c r="A304" t="n">
        <v>303</v>
      </c>
      <c r="B304">
        <f>'01_Data'!A304</f>
        <v/>
      </c>
      <c r="C304">
        <f>'03_Lap_Theta'!C304</f>
        <v/>
      </c>
      <c r="D304">
        <f>'03_Lap_Theta'!D304</f>
        <v/>
      </c>
      <c r="E304" s="5">
        <f>'03_Lap_Theta'!$AC304</f>
        <v/>
      </c>
      <c r="F304" s="5">
        <f>SUMPRODUCT(('01_Data'!$B304:$AW304&lt;&gt;"")*(1/(1+EXP(-('03_Lap_Theta'!$AC304-'03_Lap_b'!$B$45:$AW$45))))*(1-(1/(1+EXP(-('03_Lap_Theta'!$AC304-'03_Lap_b'!$B$45:$AW$45))))))</f>
        <v/>
      </c>
      <c r="G304" s="5">
        <f>IF(F304&lt;=0.000000001,"",1/SQRT(F304))</f>
        <v/>
      </c>
      <c r="H304">
        <f>IF(OR(C304=0,C304=D304),"BIÊN","")</f>
        <v/>
      </c>
    </row>
    <row r="305">
      <c r="A305" t="n">
        <v>304</v>
      </c>
      <c r="B305">
        <f>'01_Data'!A305</f>
        <v/>
      </c>
      <c r="C305">
        <f>'03_Lap_Theta'!C305</f>
        <v/>
      </c>
      <c r="D305">
        <f>'03_Lap_Theta'!D305</f>
        <v/>
      </c>
      <c r="E305" s="5">
        <f>'03_Lap_Theta'!$AC305</f>
        <v/>
      </c>
      <c r="F305" s="5">
        <f>SUMPRODUCT(('01_Data'!$B305:$AW305&lt;&gt;"")*(1/(1+EXP(-('03_Lap_Theta'!$AC305-'03_Lap_b'!$B$45:$AW$45))))*(1-(1/(1+EXP(-('03_Lap_Theta'!$AC305-'03_Lap_b'!$B$45:$AW$45))))))</f>
        <v/>
      </c>
      <c r="G305" s="5">
        <f>IF(F305&lt;=0.000000001,"",1/SQRT(F305))</f>
        <v/>
      </c>
      <c r="H305">
        <f>IF(OR(C305=0,C305=D305),"BIÊN","")</f>
        <v/>
      </c>
    </row>
    <row r="306">
      <c r="A306" t="n">
        <v>305</v>
      </c>
      <c r="B306">
        <f>'01_Data'!A306</f>
        <v/>
      </c>
      <c r="C306">
        <f>'03_Lap_Theta'!C306</f>
        <v/>
      </c>
      <c r="D306">
        <f>'03_Lap_Theta'!D306</f>
        <v/>
      </c>
      <c r="E306" s="5">
        <f>'03_Lap_Theta'!$AC306</f>
        <v/>
      </c>
      <c r="F306" s="5">
        <f>SUMPRODUCT(('01_Data'!$B306:$AW306&lt;&gt;"")*(1/(1+EXP(-('03_Lap_Theta'!$AC306-'03_Lap_b'!$B$45:$AW$45))))*(1-(1/(1+EXP(-('03_Lap_Theta'!$AC306-'03_Lap_b'!$B$45:$AW$45))))))</f>
        <v/>
      </c>
      <c r="G306" s="5">
        <f>IF(F306&lt;=0.000000001,"",1/SQRT(F306))</f>
        <v/>
      </c>
      <c r="H306">
        <f>IF(OR(C306=0,C306=D306),"BIÊN","")</f>
        <v/>
      </c>
    </row>
    <row r="307">
      <c r="A307" t="n">
        <v>306</v>
      </c>
      <c r="B307">
        <f>'01_Data'!A307</f>
        <v/>
      </c>
      <c r="C307">
        <f>'03_Lap_Theta'!C307</f>
        <v/>
      </c>
      <c r="D307">
        <f>'03_Lap_Theta'!D307</f>
        <v/>
      </c>
      <c r="E307" s="5">
        <f>'03_Lap_Theta'!$AC307</f>
        <v/>
      </c>
      <c r="F307" s="5">
        <f>SUMPRODUCT(('01_Data'!$B307:$AW307&lt;&gt;"")*(1/(1+EXP(-('03_Lap_Theta'!$AC307-'03_Lap_b'!$B$45:$AW$45))))*(1-(1/(1+EXP(-('03_Lap_Theta'!$AC307-'03_Lap_b'!$B$45:$AW$45))))))</f>
        <v/>
      </c>
      <c r="G307" s="5">
        <f>IF(F307&lt;=0.000000001,"",1/SQRT(F307))</f>
        <v/>
      </c>
      <c r="H307">
        <f>IF(OR(C307=0,C307=D307),"BIÊN","")</f>
        <v/>
      </c>
    </row>
    <row r="308">
      <c r="A308" t="n">
        <v>307</v>
      </c>
      <c r="B308">
        <f>'01_Data'!A308</f>
        <v/>
      </c>
      <c r="C308">
        <f>'03_Lap_Theta'!C308</f>
        <v/>
      </c>
      <c r="D308">
        <f>'03_Lap_Theta'!D308</f>
        <v/>
      </c>
      <c r="E308" s="5">
        <f>'03_Lap_Theta'!$AC308</f>
        <v/>
      </c>
      <c r="F308" s="5">
        <f>SUMPRODUCT(('01_Data'!$B308:$AW308&lt;&gt;"")*(1/(1+EXP(-('03_Lap_Theta'!$AC308-'03_Lap_b'!$B$45:$AW$45))))*(1-(1/(1+EXP(-('03_Lap_Theta'!$AC308-'03_Lap_b'!$B$45:$AW$45))))))</f>
        <v/>
      </c>
      <c r="G308" s="5">
        <f>IF(F308&lt;=0.000000001,"",1/SQRT(F308))</f>
        <v/>
      </c>
      <c r="H308">
        <f>IF(OR(C308=0,C308=D308),"BIÊN","")</f>
        <v/>
      </c>
    </row>
    <row r="309">
      <c r="A309" t="n">
        <v>308</v>
      </c>
      <c r="B309">
        <f>'01_Data'!A309</f>
        <v/>
      </c>
      <c r="C309">
        <f>'03_Lap_Theta'!C309</f>
        <v/>
      </c>
      <c r="D309">
        <f>'03_Lap_Theta'!D309</f>
        <v/>
      </c>
      <c r="E309" s="5">
        <f>'03_Lap_Theta'!$AC309</f>
        <v/>
      </c>
      <c r="F309" s="5">
        <f>SUMPRODUCT(('01_Data'!$B309:$AW309&lt;&gt;"")*(1/(1+EXP(-('03_Lap_Theta'!$AC309-'03_Lap_b'!$B$45:$AW$45))))*(1-(1/(1+EXP(-('03_Lap_Theta'!$AC309-'03_Lap_b'!$B$45:$AW$45))))))</f>
        <v/>
      </c>
      <c r="G309" s="5">
        <f>IF(F309&lt;=0.000000001,"",1/SQRT(F309))</f>
        <v/>
      </c>
      <c r="H309">
        <f>IF(OR(C309=0,C309=D309),"BIÊN","")</f>
        <v/>
      </c>
    </row>
    <row r="310">
      <c r="A310" t="n">
        <v>309</v>
      </c>
      <c r="B310">
        <f>'01_Data'!A310</f>
        <v/>
      </c>
      <c r="C310">
        <f>'03_Lap_Theta'!C310</f>
        <v/>
      </c>
      <c r="D310">
        <f>'03_Lap_Theta'!D310</f>
        <v/>
      </c>
      <c r="E310" s="5">
        <f>'03_Lap_Theta'!$AC310</f>
        <v/>
      </c>
      <c r="F310" s="5">
        <f>SUMPRODUCT(('01_Data'!$B310:$AW310&lt;&gt;"")*(1/(1+EXP(-('03_Lap_Theta'!$AC310-'03_Lap_b'!$B$45:$AW$45))))*(1-(1/(1+EXP(-('03_Lap_Theta'!$AC310-'03_Lap_b'!$B$45:$AW$45))))))</f>
        <v/>
      </c>
      <c r="G310" s="5">
        <f>IF(F310&lt;=0.000000001,"",1/SQRT(F310))</f>
        <v/>
      </c>
      <c r="H310">
        <f>IF(OR(C310=0,C310=D310),"BIÊN","")</f>
        <v/>
      </c>
    </row>
    <row r="311">
      <c r="A311" t="n">
        <v>310</v>
      </c>
      <c r="B311">
        <f>'01_Data'!A311</f>
        <v/>
      </c>
      <c r="C311">
        <f>'03_Lap_Theta'!C311</f>
        <v/>
      </c>
      <c r="D311">
        <f>'03_Lap_Theta'!D311</f>
        <v/>
      </c>
      <c r="E311" s="5">
        <f>'03_Lap_Theta'!$AC311</f>
        <v/>
      </c>
      <c r="F311" s="5">
        <f>SUMPRODUCT(('01_Data'!$B311:$AW311&lt;&gt;"")*(1/(1+EXP(-('03_Lap_Theta'!$AC311-'03_Lap_b'!$B$45:$AW$45))))*(1-(1/(1+EXP(-('03_Lap_Theta'!$AC311-'03_Lap_b'!$B$45:$AW$45))))))</f>
        <v/>
      </c>
      <c r="G311" s="5">
        <f>IF(F311&lt;=0.000000001,"",1/SQRT(F311))</f>
        <v/>
      </c>
      <c r="H311">
        <f>IF(OR(C311=0,C311=D311),"BIÊN","")</f>
        <v/>
      </c>
    </row>
    <row r="312">
      <c r="A312" t="n">
        <v>311</v>
      </c>
      <c r="B312">
        <f>'01_Data'!A312</f>
        <v/>
      </c>
      <c r="C312">
        <f>'03_Lap_Theta'!C312</f>
        <v/>
      </c>
      <c r="D312">
        <f>'03_Lap_Theta'!D312</f>
        <v/>
      </c>
      <c r="E312" s="5">
        <f>'03_Lap_Theta'!$AC312</f>
        <v/>
      </c>
      <c r="F312" s="5">
        <f>SUMPRODUCT(('01_Data'!$B312:$AW312&lt;&gt;"")*(1/(1+EXP(-('03_Lap_Theta'!$AC312-'03_Lap_b'!$B$45:$AW$45))))*(1-(1/(1+EXP(-('03_Lap_Theta'!$AC312-'03_Lap_b'!$B$45:$AW$45))))))</f>
        <v/>
      </c>
      <c r="G312" s="5">
        <f>IF(F312&lt;=0.000000001,"",1/SQRT(F312))</f>
        <v/>
      </c>
      <c r="H312">
        <f>IF(OR(C312=0,C312=D312),"BIÊN","")</f>
        <v/>
      </c>
    </row>
    <row r="313">
      <c r="A313" t="n">
        <v>312</v>
      </c>
      <c r="B313">
        <f>'01_Data'!A313</f>
        <v/>
      </c>
      <c r="C313">
        <f>'03_Lap_Theta'!C313</f>
        <v/>
      </c>
      <c r="D313">
        <f>'03_Lap_Theta'!D313</f>
        <v/>
      </c>
      <c r="E313" s="5">
        <f>'03_Lap_Theta'!$AC313</f>
        <v/>
      </c>
      <c r="F313" s="5">
        <f>SUMPRODUCT(('01_Data'!$B313:$AW313&lt;&gt;"")*(1/(1+EXP(-('03_Lap_Theta'!$AC313-'03_Lap_b'!$B$45:$AW$45))))*(1-(1/(1+EXP(-('03_Lap_Theta'!$AC313-'03_Lap_b'!$B$45:$AW$45))))))</f>
        <v/>
      </c>
      <c r="G313" s="5">
        <f>IF(F313&lt;=0.000000001,"",1/SQRT(F313))</f>
        <v/>
      </c>
      <c r="H313">
        <f>IF(OR(C313=0,C313=D313),"BIÊN","")</f>
        <v/>
      </c>
    </row>
    <row r="314">
      <c r="A314" t="n">
        <v>313</v>
      </c>
      <c r="B314">
        <f>'01_Data'!A314</f>
        <v/>
      </c>
      <c r="C314">
        <f>'03_Lap_Theta'!C314</f>
        <v/>
      </c>
      <c r="D314">
        <f>'03_Lap_Theta'!D314</f>
        <v/>
      </c>
      <c r="E314" s="5">
        <f>'03_Lap_Theta'!$AC314</f>
        <v/>
      </c>
      <c r="F314" s="5">
        <f>SUMPRODUCT(('01_Data'!$B314:$AW314&lt;&gt;"")*(1/(1+EXP(-('03_Lap_Theta'!$AC314-'03_Lap_b'!$B$45:$AW$45))))*(1-(1/(1+EXP(-('03_Lap_Theta'!$AC314-'03_Lap_b'!$B$45:$AW$45))))))</f>
        <v/>
      </c>
      <c r="G314" s="5">
        <f>IF(F314&lt;=0.000000001,"",1/SQRT(F314))</f>
        <v/>
      </c>
      <c r="H314">
        <f>IF(OR(C314=0,C314=D314),"BIÊN","")</f>
        <v/>
      </c>
    </row>
    <row r="315">
      <c r="A315" t="n">
        <v>314</v>
      </c>
      <c r="B315">
        <f>'01_Data'!A315</f>
        <v/>
      </c>
      <c r="C315">
        <f>'03_Lap_Theta'!C315</f>
        <v/>
      </c>
      <c r="D315">
        <f>'03_Lap_Theta'!D315</f>
        <v/>
      </c>
      <c r="E315" s="5">
        <f>'03_Lap_Theta'!$AC315</f>
        <v/>
      </c>
      <c r="F315" s="5">
        <f>SUMPRODUCT(('01_Data'!$B315:$AW315&lt;&gt;"")*(1/(1+EXP(-('03_Lap_Theta'!$AC315-'03_Lap_b'!$B$45:$AW$45))))*(1-(1/(1+EXP(-('03_Lap_Theta'!$AC315-'03_Lap_b'!$B$45:$AW$45))))))</f>
        <v/>
      </c>
      <c r="G315" s="5">
        <f>IF(F315&lt;=0.000000001,"",1/SQRT(F315))</f>
        <v/>
      </c>
      <c r="H315">
        <f>IF(OR(C315=0,C315=D315),"BIÊN","")</f>
        <v/>
      </c>
    </row>
    <row r="316">
      <c r="A316" t="n">
        <v>315</v>
      </c>
      <c r="B316">
        <f>'01_Data'!A316</f>
        <v/>
      </c>
      <c r="C316">
        <f>'03_Lap_Theta'!C316</f>
        <v/>
      </c>
      <c r="D316">
        <f>'03_Lap_Theta'!D316</f>
        <v/>
      </c>
      <c r="E316" s="5">
        <f>'03_Lap_Theta'!$AC316</f>
        <v/>
      </c>
      <c r="F316" s="5">
        <f>SUMPRODUCT(('01_Data'!$B316:$AW316&lt;&gt;"")*(1/(1+EXP(-('03_Lap_Theta'!$AC316-'03_Lap_b'!$B$45:$AW$45))))*(1-(1/(1+EXP(-('03_Lap_Theta'!$AC316-'03_Lap_b'!$B$45:$AW$45))))))</f>
        <v/>
      </c>
      <c r="G316" s="5">
        <f>IF(F316&lt;=0.000000001,"",1/SQRT(F316))</f>
        <v/>
      </c>
      <c r="H316">
        <f>IF(OR(C316=0,C316=D316),"BIÊN","")</f>
        <v/>
      </c>
    </row>
    <row r="317">
      <c r="A317" t="n">
        <v>316</v>
      </c>
      <c r="B317">
        <f>'01_Data'!A317</f>
        <v/>
      </c>
      <c r="C317">
        <f>'03_Lap_Theta'!C317</f>
        <v/>
      </c>
      <c r="D317">
        <f>'03_Lap_Theta'!D317</f>
        <v/>
      </c>
      <c r="E317" s="5">
        <f>'03_Lap_Theta'!$AC317</f>
        <v/>
      </c>
      <c r="F317" s="5">
        <f>SUMPRODUCT(('01_Data'!$B317:$AW317&lt;&gt;"")*(1/(1+EXP(-('03_Lap_Theta'!$AC317-'03_Lap_b'!$B$45:$AW$45))))*(1-(1/(1+EXP(-('03_Lap_Theta'!$AC317-'03_Lap_b'!$B$45:$AW$45))))))</f>
        <v/>
      </c>
      <c r="G317" s="5">
        <f>IF(F317&lt;=0.000000001,"",1/SQRT(F317))</f>
        <v/>
      </c>
      <c r="H317">
        <f>IF(OR(C317=0,C317=D317),"BIÊN","")</f>
        <v/>
      </c>
    </row>
    <row r="318">
      <c r="A318" t="n">
        <v>317</v>
      </c>
      <c r="B318">
        <f>'01_Data'!A318</f>
        <v/>
      </c>
      <c r="C318">
        <f>'03_Lap_Theta'!C318</f>
        <v/>
      </c>
      <c r="D318">
        <f>'03_Lap_Theta'!D318</f>
        <v/>
      </c>
      <c r="E318" s="5">
        <f>'03_Lap_Theta'!$AC318</f>
        <v/>
      </c>
      <c r="F318" s="5">
        <f>SUMPRODUCT(('01_Data'!$B318:$AW318&lt;&gt;"")*(1/(1+EXP(-('03_Lap_Theta'!$AC318-'03_Lap_b'!$B$45:$AW$45))))*(1-(1/(1+EXP(-('03_Lap_Theta'!$AC318-'03_Lap_b'!$B$45:$AW$45))))))</f>
        <v/>
      </c>
      <c r="G318" s="5">
        <f>IF(F318&lt;=0.000000001,"",1/SQRT(F318))</f>
        <v/>
      </c>
      <c r="H318">
        <f>IF(OR(C318=0,C318=D318),"BIÊN","")</f>
        <v/>
      </c>
    </row>
    <row r="319">
      <c r="A319" t="n">
        <v>318</v>
      </c>
      <c r="B319">
        <f>'01_Data'!A319</f>
        <v/>
      </c>
      <c r="C319">
        <f>'03_Lap_Theta'!C319</f>
        <v/>
      </c>
      <c r="D319">
        <f>'03_Lap_Theta'!D319</f>
        <v/>
      </c>
      <c r="E319" s="5">
        <f>'03_Lap_Theta'!$AC319</f>
        <v/>
      </c>
      <c r="F319" s="5">
        <f>SUMPRODUCT(('01_Data'!$B319:$AW319&lt;&gt;"")*(1/(1+EXP(-('03_Lap_Theta'!$AC319-'03_Lap_b'!$B$45:$AW$45))))*(1-(1/(1+EXP(-('03_Lap_Theta'!$AC319-'03_Lap_b'!$B$45:$AW$45))))))</f>
        <v/>
      </c>
      <c r="G319" s="5">
        <f>IF(F319&lt;=0.000000001,"",1/SQRT(F319))</f>
        <v/>
      </c>
      <c r="H319">
        <f>IF(OR(C319=0,C319=D319),"BIÊN","")</f>
        <v/>
      </c>
    </row>
    <row r="320">
      <c r="A320" t="n">
        <v>319</v>
      </c>
      <c r="B320">
        <f>'01_Data'!A320</f>
        <v/>
      </c>
      <c r="C320">
        <f>'03_Lap_Theta'!C320</f>
        <v/>
      </c>
      <c r="D320">
        <f>'03_Lap_Theta'!D320</f>
        <v/>
      </c>
      <c r="E320" s="5">
        <f>'03_Lap_Theta'!$AC320</f>
        <v/>
      </c>
      <c r="F320" s="5">
        <f>SUMPRODUCT(('01_Data'!$B320:$AW320&lt;&gt;"")*(1/(1+EXP(-('03_Lap_Theta'!$AC320-'03_Lap_b'!$B$45:$AW$45))))*(1-(1/(1+EXP(-('03_Lap_Theta'!$AC320-'03_Lap_b'!$B$45:$AW$45))))))</f>
        <v/>
      </c>
      <c r="G320" s="5">
        <f>IF(F320&lt;=0.000000001,"",1/SQRT(F320))</f>
        <v/>
      </c>
      <c r="H320">
        <f>IF(OR(C320=0,C320=D320),"BIÊN","")</f>
        <v/>
      </c>
    </row>
    <row r="321">
      <c r="A321" t="n">
        <v>320</v>
      </c>
      <c r="B321">
        <f>'01_Data'!A321</f>
        <v/>
      </c>
      <c r="C321">
        <f>'03_Lap_Theta'!C321</f>
        <v/>
      </c>
      <c r="D321">
        <f>'03_Lap_Theta'!D321</f>
        <v/>
      </c>
      <c r="E321" s="5">
        <f>'03_Lap_Theta'!$AC321</f>
        <v/>
      </c>
      <c r="F321" s="5">
        <f>SUMPRODUCT(('01_Data'!$B321:$AW321&lt;&gt;"")*(1/(1+EXP(-('03_Lap_Theta'!$AC321-'03_Lap_b'!$B$45:$AW$45))))*(1-(1/(1+EXP(-('03_Lap_Theta'!$AC321-'03_Lap_b'!$B$45:$AW$45))))))</f>
        <v/>
      </c>
      <c r="G321" s="5">
        <f>IF(F321&lt;=0.000000001,"",1/SQRT(F321))</f>
        <v/>
      </c>
      <c r="H321">
        <f>IF(OR(C321=0,C321=D321),"BIÊN","")</f>
        <v/>
      </c>
    </row>
    <row r="322">
      <c r="A322" t="n">
        <v>321</v>
      </c>
      <c r="B322">
        <f>'01_Data'!A322</f>
        <v/>
      </c>
      <c r="C322">
        <f>'03_Lap_Theta'!C322</f>
        <v/>
      </c>
      <c r="D322">
        <f>'03_Lap_Theta'!D322</f>
        <v/>
      </c>
      <c r="E322" s="5">
        <f>'03_Lap_Theta'!$AC322</f>
        <v/>
      </c>
      <c r="F322" s="5">
        <f>SUMPRODUCT(('01_Data'!$B322:$AW322&lt;&gt;"")*(1/(1+EXP(-('03_Lap_Theta'!$AC322-'03_Lap_b'!$B$45:$AW$45))))*(1-(1/(1+EXP(-('03_Lap_Theta'!$AC322-'03_Lap_b'!$B$45:$AW$45))))))</f>
        <v/>
      </c>
      <c r="G322" s="5">
        <f>IF(F322&lt;=0.000000001,"",1/SQRT(F322))</f>
        <v/>
      </c>
      <c r="H322">
        <f>IF(OR(C322=0,C322=D322),"BIÊN","")</f>
        <v/>
      </c>
    </row>
    <row r="323">
      <c r="A323" t="n">
        <v>322</v>
      </c>
      <c r="B323">
        <f>'01_Data'!A323</f>
        <v/>
      </c>
      <c r="C323">
        <f>'03_Lap_Theta'!C323</f>
        <v/>
      </c>
      <c r="D323">
        <f>'03_Lap_Theta'!D323</f>
        <v/>
      </c>
      <c r="E323" s="5">
        <f>'03_Lap_Theta'!$AC323</f>
        <v/>
      </c>
      <c r="F323" s="5">
        <f>SUMPRODUCT(('01_Data'!$B323:$AW323&lt;&gt;"")*(1/(1+EXP(-('03_Lap_Theta'!$AC323-'03_Lap_b'!$B$45:$AW$45))))*(1-(1/(1+EXP(-('03_Lap_Theta'!$AC323-'03_Lap_b'!$B$45:$AW$45))))))</f>
        <v/>
      </c>
      <c r="G323" s="5">
        <f>IF(F323&lt;=0.000000001,"",1/SQRT(F323))</f>
        <v/>
      </c>
      <c r="H323">
        <f>IF(OR(C323=0,C323=D323),"BIÊN","")</f>
        <v/>
      </c>
    </row>
    <row r="324">
      <c r="A324" t="n">
        <v>323</v>
      </c>
      <c r="B324">
        <f>'01_Data'!A324</f>
        <v/>
      </c>
      <c r="C324">
        <f>'03_Lap_Theta'!C324</f>
        <v/>
      </c>
      <c r="D324">
        <f>'03_Lap_Theta'!D324</f>
        <v/>
      </c>
      <c r="E324" s="5">
        <f>'03_Lap_Theta'!$AC324</f>
        <v/>
      </c>
      <c r="F324" s="5">
        <f>SUMPRODUCT(('01_Data'!$B324:$AW324&lt;&gt;"")*(1/(1+EXP(-('03_Lap_Theta'!$AC324-'03_Lap_b'!$B$45:$AW$45))))*(1-(1/(1+EXP(-('03_Lap_Theta'!$AC324-'03_Lap_b'!$B$45:$AW$45))))))</f>
        <v/>
      </c>
      <c r="G324" s="5">
        <f>IF(F324&lt;=0.000000001,"",1/SQRT(F324))</f>
        <v/>
      </c>
      <c r="H324">
        <f>IF(OR(C324=0,C324=D324),"BIÊN","")</f>
        <v/>
      </c>
    </row>
    <row r="325">
      <c r="A325" t="n">
        <v>324</v>
      </c>
      <c r="B325">
        <f>'01_Data'!A325</f>
        <v/>
      </c>
      <c r="C325">
        <f>'03_Lap_Theta'!C325</f>
        <v/>
      </c>
      <c r="D325">
        <f>'03_Lap_Theta'!D325</f>
        <v/>
      </c>
      <c r="E325" s="5">
        <f>'03_Lap_Theta'!$AC325</f>
        <v/>
      </c>
      <c r="F325" s="5">
        <f>SUMPRODUCT(('01_Data'!$B325:$AW325&lt;&gt;"")*(1/(1+EXP(-('03_Lap_Theta'!$AC325-'03_Lap_b'!$B$45:$AW$45))))*(1-(1/(1+EXP(-('03_Lap_Theta'!$AC325-'03_Lap_b'!$B$45:$AW$45))))))</f>
        <v/>
      </c>
      <c r="G325" s="5">
        <f>IF(F325&lt;=0.000000001,"",1/SQRT(F325))</f>
        <v/>
      </c>
      <c r="H325">
        <f>IF(OR(C325=0,C325=D325),"BIÊN","")</f>
        <v/>
      </c>
    </row>
    <row r="326">
      <c r="A326" t="n">
        <v>325</v>
      </c>
      <c r="B326">
        <f>'01_Data'!A326</f>
        <v/>
      </c>
      <c r="C326">
        <f>'03_Lap_Theta'!C326</f>
        <v/>
      </c>
      <c r="D326">
        <f>'03_Lap_Theta'!D326</f>
        <v/>
      </c>
      <c r="E326" s="5">
        <f>'03_Lap_Theta'!$AC326</f>
        <v/>
      </c>
      <c r="F326" s="5">
        <f>SUMPRODUCT(('01_Data'!$B326:$AW326&lt;&gt;"")*(1/(1+EXP(-('03_Lap_Theta'!$AC326-'03_Lap_b'!$B$45:$AW$45))))*(1-(1/(1+EXP(-('03_Lap_Theta'!$AC326-'03_Lap_b'!$B$45:$AW$45))))))</f>
        <v/>
      </c>
      <c r="G326" s="5">
        <f>IF(F326&lt;=0.000000001,"",1/SQRT(F326))</f>
        <v/>
      </c>
      <c r="H326">
        <f>IF(OR(C326=0,C326=D326),"BIÊN","")</f>
        <v/>
      </c>
    </row>
    <row r="327">
      <c r="A327" t="n">
        <v>326</v>
      </c>
      <c r="B327">
        <f>'01_Data'!A327</f>
        <v/>
      </c>
      <c r="C327">
        <f>'03_Lap_Theta'!C327</f>
        <v/>
      </c>
      <c r="D327">
        <f>'03_Lap_Theta'!D327</f>
        <v/>
      </c>
      <c r="E327" s="5">
        <f>'03_Lap_Theta'!$AC327</f>
        <v/>
      </c>
      <c r="F327" s="5">
        <f>SUMPRODUCT(('01_Data'!$B327:$AW327&lt;&gt;"")*(1/(1+EXP(-('03_Lap_Theta'!$AC327-'03_Lap_b'!$B$45:$AW$45))))*(1-(1/(1+EXP(-('03_Lap_Theta'!$AC327-'03_Lap_b'!$B$45:$AW$45))))))</f>
        <v/>
      </c>
      <c r="G327" s="5">
        <f>IF(F327&lt;=0.000000001,"",1/SQRT(F327))</f>
        <v/>
      </c>
      <c r="H327">
        <f>IF(OR(C327=0,C327=D327),"BIÊN","")</f>
        <v/>
      </c>
    </row>
    <row r="328">
      <c r="A328" t="n">
        <v>327</v>
      </c>
      <c r="B328">
        <f>'01_Data'!A328</f>
        <v/>
      </c>
      <c r="C328">
        <f>'03_Lap_Theta'!C328</f>
        <v/>
      </c>
      <c r="D328">
        <f>'03_Lap_Theta'!D328</f>
        <v/>
      </c>
      <c r="E328" s="5">
        <f>'03_Lap_Theta'!$AC328</f>
        <v/>
      </c>
      <c r="F328" s="5">
        <f>SUMPRODUCT(('01_Data'!$B328:$AW328&lt;&gt;"")*(1/(1+EXP(-('03_Lap_Theta'!$AC328-'03_Lap_b'!$B$45:$AW$45))))*(1-(1/(1+EXP(-('03_Lap_Theta'!$AC328-'03_Lap_b'!$B$45:$AW$45))))))</f>
        <v/>
      </c>
      <c r="G328" s="5">
        <f>IF(F328&lt;=0.000000001,"",1/SQRT(F328))</f>
        <v/>
      </c>
      <c r="H328">
        <f>IF(OR(C328=0,C328=D328),"BIÊN","")</f>
        <v/>
      </c>
    </row>
    <row r="329">
      <c r="A329" t="n">
        <v>328</v>
      </c>
      <c r="B329">
        <f>'01_Data'!A329</f>
        <v/>
      </c>
      <c r="C329">
        <f>'03_Lap_Theta'!C329</f>
        <v/>
      </c>
      <c r="D329">
        <f>'03_Lap_Theta'!D329</f>
        <v/>
      </c>
      <c r="E329" s="5">
        <f>'03_Lap_Theta'!$AC329</f>
        <v/>
      </c>
      <c r="F329" s="5">
        <f>SUMPRODUCT(('01_Data'!$B329:$AW329&lt;&gt;"")*(1/(1+EXP(-('03_Lap_Theta'!$AC329-'03_Lap_b'!$B$45:$AW$45))))*(1-(1/(1+EXP(-('03_Lap_Theta'!$AC329-'03_Lap_b'!$B$45:$AW$45))))))</f>
        <v/>
      </c>
      <c r="G329" s="5">
        <f>IF(F329&lt;=0.000000001,"",1/SQRT(F329))</f>
        <v/>
      </c>
      <c r="H329">
        <f>IF(OR(C329=0,C329=D329),"BIÊN","")</f>
        <v/>
      </c>
    </row>
    <row r="330">
      <c r="A330" t="n">
        <v>329</v>
      </c>
      <c r="B330">
        <f>'01_Data'!A330</f>
        <v/>
      </c>
      <c r="C330">
        <f>'03_Lap_Theta'!C330</f>
        <v/>
      </c>
      <c r="D330">
        <f>'03_Lap_Theta'!D330</f>
        <v/>
      </c>
      <c r="E330" s="5">
        <f>'03_Lap_Theta'!$AC330</f>
        <v/>
      </c>
      <c r="F330" s="5">
        <f>SUMPRODUCT(('01_Data'!$B330:$AW330&lt;&gt;"")*(1/(1+EXP(-('03_Lap_Theta'!$AC330-'03_Lap_b'!$B$45:$AW$45))))*(1-(1/(1+EXP(-('03_Lap_Theta'!$AC330-'03_Lap_b'!$B$45:$AW$45))))))</f>
        <v/>
      </c>
      <c r="G330" s="5">
        <f>IF(F330&lt;=0.000000001,"",1/SQRT(F330))</f>
        <v/>
      </c>
      <c r="H330">
        <f>IF(OR(C330=0,C330=D330),"BIÊN","")</f>
        <v/>
      </c>
    </row>
    <row r="331">
      <c r="A331" t="n">
        <v>330</v>
      </c>
      <c r="B331">
        <f>'01_Data'!A331</f>
        <v/>
      </c>
      <c r="C331">
        <f>'03_Lap_Theta'!C331</f>
        <v/>
      </c>
      <c r="D331">
        <f>'03_Lap_Theta'!D331</f>
        <v/>
      </c>
      <c r="E331" s="5">
        <f>'03_Lap_Theta'!$AC331</f>
        <v/>
      </c>
      <c r="F331" s="5">
        <f>SUMPRODUCT(('01_Data'!$B331:$AW331&lt;&gt;"")*(1/(1+EXP(-('03_Lap_Theta'!$AC331-'03_Lap_b'!$B$45:$AW$45))))*(1-(1/(1+EXP(-('03_Lap_Theta'!$AC331-'03_Lap_b'!$B$45:$AW$45))))))</f>
        <v/>
      </c>
      <c r="G331" s="5">
        <f>IF(F331&lt;=0.000000001,"",1/SQRT(F331))</f>
        <v/>
      </c>
      <c r="H331">
        <f>IF(OR(C331=0,C331=D331),"BIÊN","")</f>
        <v/>
      </c>
    </row>
    <row r="332">
      <c r="A332" t="n">
        <v>331</v>
      </c>
      <c r="B332">
        <f>'01_Data'!A332</f>
        <v/>
      </c>
      <c r="C332">
        <f>'03_Lap_Theta'!C332</f>
        <v/>
      </c>
      <c r="D332">
        <f>'03_Lap_Theta'!D332</f>
        <v/>
      </c>
      <c r="E332" s="5">
        <f>'03_Lap_Theta'!$AC332</f>
        <v/>
      </c>
      <c r="F332" s="5">
        <f>SUMPRODUCT(('01_Data'!$B332:$AW332&lt;&gt;"")*(1/(1+EXP(-('03_Lap_Theta'!$AC332-'03_Lap_b'!$B$45:$AW$45))))*(1-(1/(1+EXP(-('03_Lap_Theta'!$AC332-'03_Lap_b'!$B$45:$AW$45))))))</f>
        <v/>
      </c>
      <c r="G332" s="5">
        <f>IF(F332&lt;=0.000000001,"",1/SQRT(F332))</f>
        <v/>
      </c>
      <c r="H332">
        <f>IF(OR(C332=0,C332=D332),"BIÊN","")</f>
        <v/>
      </c>
    </row>
    <row r="333">
      <c r="A333" t="n">
        <v>332</v>
      </c>
      <c r="B333">
        <f>'01_Data'!A333</f>
        <v/>
      </c>
      <c r="C333">
        <f>'03_Lap_Theta'!C333</f>
        <v/>
      </c>
      <c r="D333">
        <f>'03_Lap_Theta'!D333</f>
        <v/>
      </c>
      <c r="E333" s="5">
        <f>'03_Lap_Theta'!$AC333</f>
        <v/>
      </c>
      <c r="F333" s="5">
        <f>SUMPRODUCT(('01_Data'!$B333:$AW333&lt;&gt;"")*(1/(1+EXP(-('03_Lap_Theta'!$AC333-'03_Lap_b'!$B$45:$AW$45))))*(1-(1/(1+EXP(-('03_Lap_Theta'!$AC333-'03_Lap_b'!$B$45:$AW$45))))))</f>
        <v/>
      </c>
      <c r="G333" s="5">
        <f>IF(F333&lt;=0.000000001,"",1/SQRT(F333))</f>
        <v/>
      </c>
      <c r="H333">
        <f>IF(OR(C333=0,C333=D333),"BIÊN","")</f>
        <v/>
      </c>
    </row>
    <row r="334">
      <c r="A334" t="n">
        <v>333</v>
      </c>
      <c r="B334">
        <f>'01_Data'!A334</f>
        <v/>
      </c>
      <c r="C334">
        <f>'03_Lap_Theta'!C334</f>
        <v/>
      </c>
      <c r="D334">
        <f>'03_Lap_Theta'!D334</f>
        <v/>
      </c>
      <c r="E334" s="5">
        <f>'03_Lap_Theta'!$AC334</f>
        <v/>
      </c>
      <c r="F334" s="5">
        <f>SUMPRODUCT(('01_Data'!$B334:$AW334&lt;&gt;"")*(1/(1+EXP(-('03_Lap_Theta'!$AC334-'03_Lap_b'!$B$45:$AW$45))))*(1-(1/(1+EXP(-('03_Lap_Theta'!$AC334-'03_Lap_b'!$B$45:$AW$45))))))</f>
        <v/>
      </c>
      <c r="G334" s="5">
        <f>IF(F334&lt;=0.000000001,"",1/SQRT(F334))</f>
        <v/>
      </c>
      <c r="H334">
        <f>IF(OR(C334=0,C334=D334),"BIÊN","")</f>
        <v/>
      </c>
    </row>
    <row r="335">
      <c r="A335" t="n">
        <v>334</v>
      </c>
      <c r="B335">
        <f>'01_Data'!A335</f>
        <v/>
      </c>
      <c r="C335">
        <f>'03_Lap_Theta'!C335</f>
        <v/>
      </c>
      <c r="D335">
        <f>'03_Lap_Theta'!D335</f>
        <v/>
      </c>
      <c r="E335" s="5">
        <f>'03_Lap_Theta'!$AC335</f>
        <v/>
      </c>
      <c r="F335" s="5">
        <f>SUMPRODUCT(('01_Data'!$B335:$AW335&lt;&gt;"")*(1/(1+EXP(-('03_Lap_Theta'!$AC335-'03_Lap_b'!$B$45:$AW$45))))*(1-(1/(1+EXP(-('03_Lap_Theta'!$AC335-'03_Lap_b'!$B$45:$AW$45))))))</f>
        <v/>
      </c>
      <c r="G335" s="5">
        <f>IF(F335&lt;=0.000000001,"",1/SQRT(F335))</f>
        <v/>
      </c>
      <c r="H335">
        <f>IF(OR(C335=0,C335=D335),"BIÊN","")</f>
        <v/>
      </c>
    </row>
    <row r="336">
      <c r="A336" t="n">
        <v>335</v>
      </c>
      <c r="B336">
        <f>'01_Data'!A336</f>
        <v/>
      </c>
      <c r="C336">
        <f>'03_Lap_Theta'!C336</f>
        <v/>
      </c>
      <c r="D336">
        <f>'03_Lap_Theta'!D336</f>
        <v/>
      </c>
      <c r="E336" s="5">
        <f>'03_Lap_Theta'!$AC336</f>
        <v/>
      </c>
      <c r="F336" s="5">
        <f>SUMPRODUCT(('01_Data'!$B336:$AW336&lt;&gt;"")*(1/(1+EXP(-('03_Lap_Theta'!$AC336-'03_Lap_b'!$B$45:$AW$45))))*(1-(1/(1+EXP(-('03_Lap_Theta'!$AC336-'03_Lap_b'!$B$45:$AW$45))))))</f>
        <v/>
      </c>
      <c r="G336" s="5">
        <f>IF(F336&lt;=0.000000001,"",1/SQRT(F336))</f>
        <v/>
      </c>
      <c r="H336">
        <f>IF(OR(C336=0,C336=D336),"BIÊN","")</f>
        <v/>
      </c>
    </row>
    <row r="337">
      <c r="A337" t="n">
        <v>336</v>
      </c>
      <c r="B337">
        <f>'01_Data'!A337</f>
        <v/>
      </c>
      <c r="C337">
        <f>'03_Lap_Theta'!C337</f>
        <v/>
      </c>
      <c r="D337">
        <f>'03_Lap_Theta'!D337</f>
        <v/>
      </c>
      <c r="E337" s="5">
        <f>'03_Lap_Theta'!$AC337</f>
        <v/>
      </c>
      <c r="F337" s="5">
        <f>SUMPRODUCT(('01_Data'!$B337:$AW337&lt;&gt;"")*(1/(1+EXP(-('03_Lap_Theta'!$AC337-'03_Lap_b'!$B$45:$AW$45))))*(1-(1/(1+EXP(-('03_Lap_Theta'!$AC337-'03_Lap_b'!$B$45:$AW$45))))))</f>
        <v/>
      </c>
      <c r="G337" s="5">
        <f>IF(F337&lt;=0.000000001,"",1/SQRT(F337))</f>
        <v/>
      </c>
      <c r="H337">
        <f>IF(OR(C337=0,C337=D337),"BIÊN","")</f>
        <v/>
      </c>
    </row>
    <row r="338">
      <c r="A338" t="n">
        <v>337</v>
      </c>
      <c r="B338">
        <f>'01_Data'!A338</f>
        <v/>
      </c>
      <c r="C338">
        <f>'03_Lap_Theta'!C338</f>
        <v/>
      </c>
      <c r="D338">
        <f>'03_Lap_Theta'!D338</f>
        <v/>
      </c>
      <c r="E338" s="5">
        <f>'03_Lap_Theta'!$AC338</f>
        <v/>
      </c>
      <c r="F338" s="5">
        <f>SUMPRODUCT(('01_Data'!$B338:$AW338&lt;&gt;"")*(1/(1+EXP(-('03_Lap_Theta'!$AC338-'03_Lap_b'!$B$45:$AW$45))))*(1-(1/(1+EXP(-('03_Lap_Theta'!$AC338-'03_Lap_b'!$B$45:$AW$45))))))</f>
        <v/>
      </c>
      <c r="G338" s="5">
        <f>IF(F338&lt;=0.000000001,"",1/SQRT(F338))</f>
        <v/>
      </c>
      <c r="H338">
        <f>IF(OR(C338=0,C338=D338),"BIÊN","")</f>
        <v/>
      </c>
    </row>
    <row r="339">
      <c r="A339" t="n">
        <v>338</v>
      </c>
      <c r="B339">
        <f>'01_Data'!A339</f>
        <v/>
      </c>
      <c r="C339">
        <f>'03_Lap_Theta'!C339</f>
        <v/>
      </c>
      <c r="D339">
        <f>'03_Lap_Theta'!D339</f>
        <v/>
      </c>
      <c r="E339" s="5">
        <f>'03_Lap_Theta'!$AC339</f>
        <v/>
      </c>
      <c r="F339" s="5">
        <f>SUMPRODUCT(('01_Data'!$B339:$AW339&lt;&gt;"")*(1/(1+EXP(-('03_Lap_Theta'!$AC339-'03_Lap_b'!$B$45:$AW$45))))*(1-(1/(1+EXP(-('03_Lap_Theta'!$AC339-'03_Lap_b'!$B$45:$AW$45))))))</f>
        <v/>
      </c>
      <c r="G339" s="5">
        <f>IF(F339&lt;=0.000000001,"",1/SQRT(F339))</f>
        <v/>
      </c>
      <c r="H339">
        <f>IF(OR(C339=0,C339=D339),"BIÊN","")</f>
        <v/>
      </c>
    </row>
    <row r="340">
      <c r="A340" t="n">
        <v>339</v>
      </c>
      <c r="B340">
        <f>'01_Data'!A340</f>
        <v/>
      </c>
      <c r="C340">
        <f>'03_Lap_Theta'!C340</f>
        <v/>
      </c>
      <c r="D340">
        <f>'03_Lap_Theta'!D340</f>
        <v/>
      </c>
      <c r="E340" s="5">
        <f>'03_Lap_Theta'!$AC340</f>
        <v/>
      </c>
      <c r="F340" s="5">
        <f>SUMPRODUCT(('01_Data'!$B340:$AW340&lt;&gt;"")*(1/(1+EXP(-('03_Lap_Theta'!$AC340-'03_Lap_b'!$B$45:$AW$45))))*(1-(1/(1+EXP(-('03_Lap_Theta'!$AC340-'03_Lap_b'!$B$45:$AW$45))))))</f>
        <v/>
      </c>
      <c r="G340" s="5">
        <f>IF(F340&lt;=0.000000001,"",1/SQRT(F340))</f>
        <v/>
      </c>
      <c r="H340">
        <f>IF(OR(C340=0,C340=D340),"BIÊN","")</f>
        <v/>
      </c>
    </row>
    <row r="341">
      <c r="A341" t="n">
        <v>340</v>
      </c>
      <c r="B341">
        <f>'01_Data'!A341</f>
        <v/>
      </c>
      <c r="C341">
        <f>'03_Lap_Theta'!C341</f>
        <v/>
      </c>
      <c r="D341">
        <f>'03_Lap_Theta'!D341</f>
        <v/>
      </c>
      <c r="E341" s="5">
        <f>'03_Lap_Theta'!$AC341</f>
        <v/>
      </c>
      <c r="F341" s="5">
        <f>SUMPRODUCT(('01_Data'!$B341:$AW341&lt;&gt;"")*(1/(1+EXP(-('03_Lap_Theta'!$AC341-'03_Lap_b'!$B$45:$AW$45))))*(1-(1/(1+EXP(-('03_Lap_Theta'!$AC341-'03_Lap_b'!$B$45:$AW$45))))))</f>
        <v/>
      </c>
      <c r="G341" s="5">
        <f>IF(F341&lt;=0.000000001,"",1/SQRT(F341))</f>
        <v/>
      </c>
      <c r="H341">
        <f>IF(OR(C341=0,C341=D341),"BIÊN","")</f>
        <v/>
      </c>
    </row>
    <row r="342">
      <c r="A342" t="n">
        <v>341</v>
      </c>
      <c r="B342">
        <f>'01_Data'!A342</f>
        <v/>
      </c>
      <c r="C342">
        <f>'03_Lap_Theta'!C342</f>
        <v/>
      </c>
      <c r="D342">
        <f>'03_Lap_Theta'!D342</f>
        <v/>
      </c>
      <c r="E342" s="5">
        <f>'03_Lap_Theta'!$AC342</f>
        <v/>
      </c>
      <c r="F342" s="5">
        <f>SUMPRODUCT(('01_Data'!$B342:$AW342&lt;&gt;"")*(1/(1+EXP(-('03_Lap_Theta'!$AC342-'03_Lap_b'!$B$45:$AW$45))))*(1-(1/(1+EXP(-('03_Lap_Theta'!$AC342-'03_Lap_b'!$B$45:$AW$45))))))</f>
        <v/>
      </c>
      <c r="G342" s="5">
        <f>IF(F342&lt;=0.000000001,"",1/SQRT(F342))</f>
        <v/>
      </c>
      <c r="H342">
        <f>IF(OR(C342=0,C342=D342),"BIÊN","")</f>
        <v/>
      </c>
    </row>
    <row r="343">
      <c r="A343" t="n">
        <v>342</v>
      </c>
      <c r="B343">
        <f>'01_Data'!A343</f>
        <v/>
      </c>
      <c r="C343">
        <f>'03_Lap_Theta'!C343</f>
        <v/>
      </c>
      <c r="D343">
        <f>'03_Lap_Theta'!D343</f>
        <v/>
      </c>
      <c r="E343" s="5">
        <f>'03_Lap_Theta'!$AC343</f>
        <v/>
      </c>
      <c r="F343" s="5">
        <f>SUMPRODUCT(('01_Data'!$B343:$AW343&lt;&gt;"")*(1/(1+EXP(-('03_Lap_Theta'!$AC343-'03_Lap_b'!$B$45:$AW$45))))*(1-(1/(1+EXP(-('03_Lap_Theta'!$AC343-'03_Lap_b'!$B$45:$AW$45))))))</f>
        <v/>
      </c>
      <c r="G343" s="5">
        <f>IF(F343&lt;=0.000000001,"",1/SQRT(F343))</f>
        <v/>
      </c>
      <c r="H343">
        <f>IF(OR(C343=0,C343=D343),"BIÊN","")</f>
        <v/>
      </c>
    </row>
    <row r="344">
      <c r="A344" t="n">
        <v>343</v>
      </c>
      <c r="B344">
        <f>'01_Data'!A344</f>
        <v/>
      </c>
      <c r="C344">
        <f>'03_Lap_Theta'!C344</f>
        <v/>
      </c>
      <c r="D344">
        <f>'03_Lap_Theta'!D344</f>
        <v/>
      </c>
      <c r="E344" s="5">
        <f>'03_Lap_Theta'!$AC344</f>
        <v/>
      </c>
      <c r="F344" s="5">
        <f>SUMPRODUCT(('01_Data'!$B344:$AW344&lt;&gt;"")*(1/(1+EXP(-('03_Lap_Theta'!$AC344-'03_Lap_b'!$B$45:$AW$45))))*(1-(1/(1+EXP(-('03_Lap_Theta'!$AC344-'03_Lap_b'!$B$45:$AW$45))))))</f>
        <v/>
      </c>
      <c r="G344" s="5">
        <f>IF(F344&lt;=0.000000001,"",1/SQRT(F344))</f>
        <v/>
      </c>
      <c r="H344">
        <f>IF(OR(C344=0,C344=D344),"BIÊN","")</f>
        <v/>
      </c>
    </row>
    <row r="345">
      <c r="A345" t="n">
        <v>344</v>
      </c>
      <c r="B345">
        <f>'01_Data'!A345</f>
        <v/>
      </c>
      <c r="C345">
        <f>'03_Lap_Theta'!C345</f>
        <v/>
      </c>
      <c r="D345">
        <f>'03_Lap_Theta'!D345</f>
        <v/>
      </c>
      <c r="E345" s="5">
        <f>'03_Lap_Theta'!$AC345</f>
        <v/>
      </c>
      <c r="F345" s="5">
        <f>SUMPRODUCT(('01_Data'!$B345:$AW345&lt;&gt;"")*(1/(1+EXP(-('03_Lap_Theta'!$AC345-'03_Lap_b'!$B$45:$AW$45))))*(1-(1/(1+EXP(-('03_Lap_Theta'!$AC345-'03_Lap_b'!$B$45:$AW$45))))))</f>
        <v/>
      </c>
      <c r="G345" s="5">
        <f>IF(F345&lt;=0.000000001,"",1/SQRT(F345))</f>
        <v/>
      </c>
      <c r="H345">
        <f>IF(OR(C345=0,C345=D345),"BIÊN","")</f>
        <v/>
      </c>
    </row>
    <row r="346">
      <c r="A346" t="n">
        <v>345</v>
      </c>
      <c r="B346">
        <f>'01_Data'!A346</f>
        <v/>
      </c>
      <c r="C346">
        <f>'03_Lap_Theta'!C346</f>
        <v/>
      </c>
      <c r="D346">
        <f>'03_Lap_Theta'!D346</f>
        <v/>
      </c>
      <c r="E346" s="5">
        <f>'03_Lap_Theta'!$AC346</f>
        <v/>
      </c>
      <c r="F346" s="5">
        <f>SUMPRODUCT(('01_Data'!$B346:$AW346&lt;&gt;"")*(1/(1+EXP(-('03_Lap_Theta'!$AC346-'03_Lap_b'!$B$45:$AW$45))))*(1-(1/(1+EXP(-('03_Lap_Theta'!$AC346-'03_Lap_b'!$B$45:$AW$45))))))</f>
        <v/>
      </c>
      <c r="G346" s="5">
        <f>IF(F346&lt;=0.000000001,"",1/SQRT(F346))</f>
        <v/>
      </c>
      <c r="H346">
        <f>IF(OR(C346=0,C346=D346),"BIÊN","")</f>
        <v/>
      </c>
    </row>
    <row r="347">
      <c r="A347" t="n">
        <v>346</v>
      </c>
      <c r="B347">
        <f>'01_Data'!A347</f>
        <v/>
      </c>
      <c r="C347">
        <f>'03_Lap_Theta'!C347</f>
        <v/>
      </c>
      <c r="D347">
        <f>'03_Lap_Theta'!D347</f>
        <v/>
      </c>
      <c r="E347" s="5">
        <f>'03_Lap_Theta'!$AC347</f>
        <v/>
      </c>
      <c r="F347" s="5">
        <f>SUMPRODUCT(('01_Data'!$B347:$AW347&lt;&gt;"")*(1/(1+EXP(-('03_Lap_Theta'!$AC347-'03_Lap_b'!$B$45:$AW$45))))*(1-(1/(1+EXP(-('03_Lap_Theta'!$AC347-'03_Lap_b'!$B$45:$AW$45))))))</f>
        <v/>
      </c>
      <c r="G347" s="5">
        <f>IF(F347&lt;=0.000000001,"",1/SQRT(F347))</f>
        <v/>
      </c>
      <c r="H347">
        <f>IF(OR(C347=0,C347=D347),"BIÊN","")</f>
        <v/>
      </c>
    </row>
    <row r="348">
      <c r="A348" t="n">
        <v>347</v>
      </c>
      <c r="B348">
        <f>'01_Data'!A348</f>
        <v/>
      </c>
      <c r="C348">
        <f>'03_Lap_Theta'!C348</f>
        <v/>
      </c>
      <c r="D348">
        <f>'03_Lap_Theta'!D348</f>
        <v/>
      </c>
      <c r="E348" s="5">
        <f>'03_Lap_Theta'!$AC348</f>
        <v/>
      </c>
      <c r="F348" s="5">
        <f>SUMPRODUCT(('01_Data'!$B348:$AW348&lt;&gt;"")*(1/(1+EXP(-('03_Lap_Theta'!$AC348-'03_Lap_b'!$B$45:$AW$45))))*(1-(1/(1+EXP(-('03_Lap_Theta'!$AC348-'03_Lap_b'!$B$45:$AW$45))))))</f>
        <v/>
      </c>
      <c r="G348" s="5">
        <f>IF(F348&lt;=0.000000001,"",1/SQRT(F348))</f>
        <v/>
      </c>
      <c r="H348">
        <f>IF(OR(C348=0,C348=D348),"BIÊN","")</f>
        <v/>
      </c>
    </row>
    <row r="349">
      <c r="A349" t="n">
        <v>348</v>
      </c>
      <c r="B349">
        <f>'01_Data'!A349</f>
        <v/>
      </c>
      <c r="C349">
        <f>'03_Lap_Theta'!C349</f>
        <v/>
      </c>
      <c r="D349">
        <f>'03_Lap_Theta'!D349</f>
        <v/>
      </c>
      <c r="E349" s="5">
        <f>'03_Lap_Theta'!$AC349</f>
        <v/>
      </c>
      <c r="F349" s="5">
        <f>SUMPRODUCT(('01_Data'!$B349:$AW349&lt;&gt;"")*(1/(1+EXP(-('03_Lap_Theta'!$AC349-'03_Lap_b'!$B$45:$AW$45))))*(1-(1/(1+EXP(-('03_Lap_Theta'!$AC349-'03_Lap_b'!$B$45:$AW$45))))))</f>
        <v/>
      </c>
      <c r="G349" s="5">
        <f>IF(F349&lt;=0.000000001,"",1/SQRT(F349))</f>
        <v/>
      </c>
      <c r="H349">
        <f>IF(OR(C349=0,C349=D349),"BIÊN","")</f>
        <v/>
      </c>
    </row>
    <row r="350">
      <c r="A350" t="n">
        <v>349</v>
      </c>
      <c r="B350">
        <f>'01_Data'!A350</f>
        <v/>
      </c>
      <c r="C350">
        <f>'03_Lap_Theta'!C350</f>
        <v/>
      </c>
      <c r="D350">
        <f>'03_Lap_Theta'!D350</f>
        <v/>
      </c>
      <c r="E350" s="5">
        <f>'03_Lap_Theta'!$AC350</f>
        <v/>
      </c>
      <c r="F350" s="5">
        <f>SUMPRODUCT(('01_Data'!$B350:$AW350&lt;&gt;"")*(1/(1+EXP(-('03_Lap_Theta'!$AC350-'03_Lap_b'!$B$45:$AW$45))))*(1-(1/(1+EXP(-('03_Lap_Theta'!$AC350-'03_Lap_b'!$B$45:$AW$45))))))</f>
        <v/>
      </c>
      <c r="G350" s="5">
        <f>IF(F350&lt;=0.000000001,"",1/SQRT(F350))</f>
        <v/>
      </c>
      <c r="H350">
        <f>IF(OR(C350=0,C350=D350),"BIÊN","")</f>
        <v/>
      </c>
    </row>
    <row r="351">
      <c r="A351" t="n">
        <v>350</v>
      </c>
      <c r="B351">
        <f>'01_Data'!A351</f>
        <v/>
      </c>
      <c r="C351">
        <f>'03_Lap_Theta'!C351</f>
        <v/>
      </c>
      <c r="D351">
        <f>'03_Lap_Theta'!D351</f>
        <v/>
      </c>
      <c r="E351" s="5">
        <f>'03_Lap_Theta'!$AC351</f>
        <v/>
      </c>
      <c r="F351" s="5">
        <f>SUMPRODUCT(('01_Data'!$B351:$AW351&lt;&gt;"")*(1/(1+EXP(-('03_Lap_Theta'!$AC351-'03_Lap_b'!$B$45:$AW$45))))*(1-(1/(1+EXP(-('03_Lap_Theta'!$AC351-'03_Lap_b'!$B$45:$AW$45))))))</f>
        <v/>
      </c>
      <c r="G351" s="5">
        <f>IF(F351&lt;=0.000000001,"",1/SQRT(F351))</f>
        <v/>
      </c>
      <c r="H351">
        <f>IF(OR(C351=0,C351=D351),"BIÊN","")</f>
        <v/>
      </c>
    </row>
    <row r="352">
      <c r="A352" t="n">
        <v>351</v>
      </c>
      <c r="B352">
        <f>'01_Data'!A352</f>
        <v/>
      </c>
      <c r="C352">
        <f>'03_Lap_Theta'!C352</f>
        <v/>
      </c>
      <c r="D352">
        <f>'03_Lap_Theta'!D352</f>
        <v/>
      </c>
      <c r="E352" s="5">
        <f>'03_Lap_Theta'!$AC352</f>
        <v/>
      </c>
      <c r="F352" s="5">
        <f>SUMPRODUCT(('01_Data'!$B352:$AW352&lt;&gt;"")*(1/(1+EXP(-('03_Lap_Theta'!$AC352-'03_Lap_b'!$B$45:$AW$45))))*(1-(1/(1+EXP(-('03_Lap_Theta'!$AC352-'03_Lap_b'!$B$45:$AW$45))))))</f>
        <v/>
      </c>
      <c r="G352" s="5">
        <f>IF(F352&lt;=0.000000001,"",1/SQRT(F352))</f>
        <v/>
      </c>
      <c r="H352">
        <f>IF(OR(C352=0,C352=D352),"BIÊN","")</f>
        <v/>
      </c>
    </row>
    <row r="353">
      <c r="A353" t="n">
        <v>352</v>
      </c>
      <c r="B353">
        <f>'01_Data'!A353</f>
        <v/>
      </c>
      <c r="C353">
        <f>'03_Lap_Theta'!C353</f>
        <v/>
      </c>
      <c r="D353">
        <f>'03_Lap_Theta'!D353</f>
        <v/>
      </c>
      <c r="E353" s="5">
        <f>'03_Lap_Theta'!$AC353</f>
        <v/>
      </c>
      <c r="F353" s="5">
        <f>SUMPRODUCT(('01_Data'!$B353:$AW353&lt;&gt;"")*(1/(1+EXP(-('03_Lap_Theta'!$AC353-'03_Lap_b'!$B$45:$AW$45))))*(1-(1/(1+EXP(-('03_Lap_Theta'!$AC353-'03_Lap_b'!$B$45:$AW$45))))))</f>
        <v/>
      </c>
      <c r="G353" s="5">
        <f>IF(F353&lt;=0.000000001,"",1/SQRT(F353))</f>
        <v/>
      </c>
      <c r="H353">
        <f>IF(OR(C353=0,C353=D353),"BIÊN","")</f>
        <v/>
      </c>
    </row>
    <row r="354">
      <c r="A354" t="n">
        <v>353</v>
      </c>
      <c r="B354">
        <f>'01_Data'!A354</f>
        <v/>
      </c>
      <c r="C354">
        <f>'03_Lap_Theta'!C354</f>
        <v/>
      </c>
      <c r="D354">
        <f>'03_Lap_Theta'!D354</f>
        <v/>
      </c>
      <c r="E354" s="5">
        <f>'03_Lap_Theta'!$AC354</f>
        <v/>
      </c>
      <c r="F354" s="5">
        <f>SUMPRODUCT(('01_Data'!$B354:$AW354&lt;&gt;"")*(1/(1+EXP(-('03_Lap_Theta'!$AC354-'03_Lap_b'!$B$45:$AW$45))))*(1-(1/(1+EXP(-('03_Lap_Theta'!$AC354-'03_Lap_b'!$B$45:$AW$45))))))</f>
        <v/>
      </c>
      <c r="G354" s="5">
        <f>IF(F354&lt;=0.000000001,"",1/SQRT(F354))</f>
        <v/>
      </c>
      <c r="H354">
        <f>IF(OR(C354=0,C354=D354),"BIÊN","")</f>
        <v/>
      </c>
    </row>
    <row r="355">
      <c r="A355" t="n">
        <v>354</v>
      </c>
      <c r="B355">
        <f>'01_Data'!A355</f>
        <v/>
      </c>
      <c r="C355">
        <f>'03_Lap_Theta'!C355</f>
        <v/>
      </c>
      <c r="D355">
        <f>'03_Lap_Theta'!D355</f>
        <v/>
      </c>
      <c r="E355" s="5">
        <f>'03_Lap_Theta'!$AC355</f>
        <v/>
      </c>
      <c r="F355" s="5">
        <f>SUMPRODUCT(('01_Data'!$B355:$AW355&lt;&gt;"")*(1/(1+EXP(-('03_Lap_Theta'!$AC355-'03_Lap_b'!$B$45:$AW$45))))*(1-(1/(1+EXP(-('03_Lap_Theta'!$AC355-'03_Lap_b'!$B$45:$AW$45))))))</f>
        <v/>
      </c>
      <c r="G355" s="5">
        <f>IF(F355&lt;=0.000000001,"",1/SQRT(F355))</f>
        <v/>
      </c>
      <c r="H355">
        <f>IF(OR(C355=0,C355=D355),"BIÊN","")</f>
        <v/>
      </c>
    </row>
    <row r="356">
      <c r="A356" t="n">
        <v>355</v>
      </c>
      <c r="B356">
        <f>'01_Data'!A356</f>
        <v/>
      </c>
      <c r="C356">
        <f>'03_Lap_Theta'!C356</f>
        <v/>
      </c>
      <c r="D356">
        <f>'03_Lap_Theta'!D356</f>
        <v/>
      </c>
      <c r="E356" s="5">
        <f>'03_Lap_Theta'!$AC356</f>
        <v/>
      </c>
      <c r="F356" s="5">
        <f>SUMPRODUCT(('01_Data'!$B356:$AW356&lt;&gt;"")*(1/(1+EXP(-('03_Lap_Theta'!$AC356-'03_Lap_b'!$B$45:$AW$45))))*(1-(1/(1+EXP(-('03_Lap_Theta'!$AC356-'03_Lap_b'!$B$45:$AW$45))))))</f>
        <v/>
      </c>
      <c r="G356" s="5">
        <f>IF(F356&lt;=0.000000001,"",1/SQRT(F356))</f>
        <v/>
      </c>
      <c r="H356">
        <f>IF(OR(C356=0,C356=D356),"BIÊN","")</f>
        <v/>
      </c>
    </row>
    <row r="357">
      <c r="A357" t="n">
        <v>356</v>
      </c>
      <c r="B357">
        <f>'01_Data'!A357</f>
        <v/>
      </c>
      <c r="C357">
        <f>'03_Lap_Theta'!C357</f>
        <v/>
      </c>
      <c r="D357">
        <f>'03_Lap_Theta'!D357</f>
        <v/>
      </c>
      <c r="E357" s="5">
        <f>'03_Lap_Theta'!$AC357</f>
        <v/>
      </c>
      <c r="F357" s="5">
        <f>SUMPRODUCT(('01_Data'!$B357:$AW357&lt;&gt;"")*(1/(1+EXP(-('03_Lap_Theta'!$AC357-'03_Lap_b'!$B$45:$AW$45))))*(1-(1/(1+EXP(-('03_Lap_Theta'!$AC357-'03_Lap_b'!$B$45:$AW$45))))))</f>
        <v/>
      </c>
      <c r="G357" s="5">
        <f>IF(F357&lt;=0.000000001,"",1/SQRT(F357))</f>
        <v/>
      </c>
      <c r="H357">
        <f>IF(OR(C357=0,C357=D357),"BIÊN","")</f>
        <v/>
      </c>
    </row>
    <row r="358">
      <c r="A358" t="n">
        <v>357</v>
      </c>
      <c r="B358">
        <f>'01_Data'!A358</f>
        <v/>
      </c>
      <c r="C358">
        <f>'03_Lap_Theta'!C358</f>
        <v/>
      </c>
      <c r="D358">
        <f>'03_Lap_Theta'!D358</f>
        <v/>
      </c>
      <c r="E358" s="5">
        <f>'03_Lap_Theta'!$AC358</f>
        <v/>
      </c>
      <c r="F358" s="5">
        <f>SUMPRODUCT(('01_Data'!$B358:$AW358&lt;&gt;"")*(1/(1+EXP(-('03_Lap_Theta'!$AC358-'03_Lap_b'!$B$45:$AW$45))))*(1-(1/(1+EXP(-('03_Lap_Theta'!$AC358-'03_Lap_b'!$B$45:$AW$45))))))</f>
        <v/>
      </c>
      <c r="G358" s="5">
        <f>IF(F358&lt;=0.000000001,"",1/SQRT(F358))</f>
        <v/>
      </c>
      <c r="H358">
        <f>IF(OR(C358=0,C358=D358),"BIÊN","")</f>
        <v/>
      </c>
    </row>
    <row r="359">
      <c r="A359" t="n">
        <v>358</v>
      </c>
      <c r="B359">
        <f>'01_Data'!A359</f>
        <v/>
      </c>
      <c r="C359">
        <f>'03_Lap_Theta'!C359</f>
        <v/>
      </c>
      <c r="D359">
        <f>'03_Lap_Theta'!D359</f>
        <v/>
      </c>
      <c r="E359" s="5">
        <f>'03_Lap_Theta'!$AC359</f>
        <v/>
      </c>
      <c r="F359" s="5">
        <f>SUMPRODUCT(('01_Data'!$B359:$AW359&lt;&gt;"")*(1/(1+EXP(-('03_Lap_Theta'!$AC359-'03_Lap_b'!$B$45:$AW$45))))*(1-(1/(1+EXP(-('03_Lap_Theta'!$AC359-'03_Lap_b'!$B$45:$AW$45))))))</f>
        <v/>
      </c>
      <c r="G359" s="5">
        <f>IF(F359&lt;=0.000000001,"",1/SQRT(F359))</f>
        <v/>
      </c>
      <c r="H359">
        <f>IF(OR(C359=0,C359=D359),"BIÊN","")</f>
        <v/>
      </c>
    </row>
    <row r="360">
      <c r="A360" t="n">
        <v>359</v>
      </c>
      <c r="B360">
        <f>'01_Data'!A360</f>
        <v/>
      </c>
      <c r="C360">
        <f>'03_Lap_Theta'!C360</f>
        <v/>
      </c>
      <c r="D360">
        <f>'03_Lap_Theta'!D360</f>
        <v/>
      </c>
      <c r="E360" s="5">
        <f>'03_Lap_Theta'!$AC360</f>
        <v/>
      </c>
      <c r="F360" s="5">
        <f>SUMPRODUCT(('01_Data'!$B360:$AW360&lt;&gt;"")*(1/(1+EXP(-('03_Lap_Theta'!$AC360-'03_Lap_b'!$B$45:$AW$45))))*(1-(1/(1+EXP(-('03_Lap_Theta'!$AC360-'03_Lap_b'!$B$45:$AW$45))))))</f>
        <v/>
      </c>
      <c r="G360" s="5">
        <f>IF(F360&lt;=0.000000001,"",1/SQRT(F360))</f>
        <v/>
      </c>
      <c r="H360">
        <f>IF(OR(C360=0,C360=D360),"BIÊN","")</f>
        <v/>
      </c>
    </row>
    <row r="361">
      <c r="A361" t="n">
        <v>360</v>
      </c>
      <c r="B361">
        <f>'01_Data'!A361</f>
        <v/>
      </c>
      <c r="C361">
        <f>'03_Lap_Theta'!C361</f>
        <v/>
      </c>
      <c r="D361">
        <f>'03_Lap_Theta'!D361</f>
        <v/>
      </c>
      <c r="E361" s="5">
        <f>'03_Lap_Theta'!$AC361</f>
        <v/>
      </c>
      <c r="F361" s="5">
        <f>SUMPRODUCT(('01_Data'!$B361:$AW361&lt;&gt;"")*(1/(1+EXP(-('03_Lap_Theta'!$AC361-'03_Lap_b'!$B$45:$AW$45))))*(1-(1/(1+EXP(-('03_Lap_Theta'!$AC361-'03_Lap_b'!$B$45:$AW$45))))))</f>
        <v/>
      </c>
      <c r="G361" s="5">
        <f>IF(F361&lt;=0.000000001,"",1/SQRT(F361))</f>
        <v/>
      </c>
      <c r="H361">
        <f>IF(OR(C361=0,C361=D361),"BIÊN","")</f>
        <v/>
      </c>
    </row>
    <row r="362">
      <c r="A362" t="n">
        <v>361</v>
      </c>
      <c r="B362">
        <f>'01_Data'!A362</f>
        <v/>
      </c>
      <c r="C362">
        <f>'03_Lap_Theta'!C362</f>
        <v/>
      </c>
      <c r="D362">
        <f>'03_Lap_Theta'!D362</f>
        <v/>
      </c>
      <c r="E362" s="5">
        <f>'03_Lap_Theta'!$AC362</f>
        <v/>
      </c>
      <c r="F362" s="5">
        <f>SUMPRODUCT(('01_Data'!$B362:$AW362&lt;&gt;"")*(1/(1+EXP(-('03_Lap_Theta'!$AC362-'03_Lap_b'!$B$45:$AW$45))))*(1-(1/(1+EXP(-('03_Lap_Theta'!$AC362-'03_Lap_b'!$B$45:$AW$45))))))</f>
        <v/>
      </c>
      <c r="G362" s="5">
        <f>IF(F362&lt;=0.000000001,"",1/SQRT(F362))</f>
        <v/>
      </c>
      <c r="H362">
        <f>IF(OR(C362=0,C362=D362),"BIÊN","")</f>
        <v/>
      </c>
    </row>
    <row r="363">
      <c r="A363" t="n">
        <v>362</v>
      </c>
      <c r="B363">
        <f>'01_Data'!A363</f>
        <v/>
      </c>
      <c r="C363">
        <f>'03_Lap_Theta'!C363</f>
        <v/>
      </c>
      <c r="D363">
        <f>'03_Lap_Theta'!D363</f>
        <v/>
      </c>
      <c r="E363" s="5">
        <f>'03_Lap_Theta'!$AC363</f>
        <v/>
      </c>
      <c r="F363" s="5">
        <f>SUMPRODUCT(('01_Data'!$B363:$AW363&lt;&gt;"")*(1/(1+EXP(-('03_Lap_Theta'!$AC363-'03_Lap_b'!$B$45:$AW$45))))*(1-(1/(1+EXP(-('03_Lap_Theta'!$AC363-'03_Lap_b'!$B$45:$AW$45))))))</f>
        <v/>
      </c>
      <c r="G363" s="5">
        <f>IF(F363&lt;=0.000000001,"",1/SQRT(F363))</f>
        <v/>
      </c>
      <c r="H363">
        <f>IF(OR(C363=0,C363=D363),"BIÊN","")</f>
        <v/>
      </c>
    </row>
    <row r="364">
      <c r="A364" t="n">
        <v>363</v>
      </c>
      <c r="B364">
        <f>'01_Data'!A364</f>
        <v/>
      </c>
      <c r="C364">
        <f>'03_Lap_Theta'!C364</f>
        <v/>
      </c>
      <c r="D364">
        <f>'03_Lap_Theta'!D364</f>
        <v/>
      </c>
      <c r="E364" s="5">
        <f>'03_Lap_Theta'!$AC364</f>
        <v/>
      </c>
      <c r="F364" s="5">
        <f>SUMPRODUCT(('01_Data'!$B364:$AW364&lt;&gt;"")*(1/(1+EXP(-('03_Lap_Theta'!$AC364-'03_Lap_b'!$B$45:$AW$45))))*(1-(1/(1+EXP(-('03_Lap_Theta'!$AC364-'03_Lap_b'!$B$45:$AW$45))))))</f>
        <v/>
      </c>
      <c r="G364" s="5">
        <f>IF(F364&lt;=0.000000001,"",1/SQRT(F364))</f>
        <v/>
      </c>
      <c r="H364">
        <f>IF(OR(C364=0,C364=D364),"BIÊN","")</f>
        <v/>
      </c>
    </row>
    <row r="365">
      <c r="A365" t="n">
        <v>364</v>
      </c>
      <c r="B365">
        <f>'01_Data'!A365</f>
        <v/>
      </c>
      <c r="C365">
        <f>'03_Lap_Theta'!C365</f>
        <v/>
      </c>
      <c r="D365">
        <f>'03_Lap_Theta'!D365</f>
        <v/>
      </c>
      <c r="E365" s="5">
        <f>'03_Lap_Theta'!$AC365</f>
        <v/>
      </c>
      <c r="F365" s="5">
        <f>SUMPRODUCT(('01_Data'!$B365:$AW365&lt;&gt;"")*(1/(1+EXP(-('03_Lap_Theta'!$AC365-'03_Lap_b'!$B$45:$AW$45))))*(1-(1/(1+EXP(-('03_Lap_Theta'!$AC365-'03_Lap_b'!$B$45:$AW$45))))))</f>
        <v/>
      </c>
      <c r="G365" s="5">
        <f>IF(F365&lt;=0.000000001,"",1/SQRT(F365))</f>
        <v/>
      </c>
      <c r="H365">
        <f>IF(OR(C365=0,C365=D365),"BIÊN","")</f>
        <v/>
      </c>
    </row>
    <row r="366">
      <c r="A366" t="n">
        <v>365</v>
      </c>
      <c r="B366">
        <f>'01_Data'!A366</f>
        <v/>
      </c>
      <c r="C366">
        <f>'03_Lap_Theta'!C366</f>
        <v/>
      </c>
      <c r="D366">
        <f>'03_Lap_Theta'!D366</f>
        <v/>
      </c>
      <c r="E366" s="5">
        <f>'03_Lap_Theta'!$AC366</f>
        <v/>
      </c>
      <c r="F366" s="5">
        <f>SUMPRODUCT(('01_Data'!$B366:$AW366&lt;&gt;"")*(1/(1+EXP(-('03_Lap_Theta'!$AC366-'03_Lap_b'!$B$45:$AW$45))))*(1-(1/(1+EXP(-('03_Lap_Theta'!$AC366-'03_Lap_b'!$B$45:$AW$45))))))</f>
        <v/>
      </c>
      <c r="G366" s="5">
        <f>IF(F366&lt;=0.000000001,"",1/SQRT(F366))</f>
        <v/>
      </c>
      <c r="H366">
        <f>IF(OR(C366=0,C366=D366),"BIÊN","")</f>
        <v/>
      </c>
    </row>
    <row r="367">
      <c r="A367" t="n">
        <v>366</v>
      </c>
      <c r="B367">
        <f>'01_Data'!A367</f>
        <v/>
      </c>
      <c r="C367">
        <f>'03_Lap_Theta'!C367</f>
        <v/>
      </c>
      <c r="D367">
        <f>'03_Lap_Theta'!D367</f>
        <v/>
      </c>
      <c r="E367" s="5">
        <f>'03_Lap_Theta'!$AC367</f>
        <v/>
      </c>
      <c r="F367" s="5">
        <f>SUMPRODUCT(('01_Data'!$B367:$AW367&lt;&gt;"")*(1/(1+EXP(-('03_Lap_Theta'!$AC367-'03_Lap_b'!$B$45:$AW$45))))*(1-(1/(1+EXP(-('03_Lap_Theta'!$AC367-'03_Lap_b'!$B$45:$AW$45))))))</f>
        <v/>
      </c>
      <c r="G367" s="5">
        <f>IF(F367&lt;=0.000000001,"",1/SQRT(F367))</f>
        <v/>
      </c>
      <c r="H367">
        <f>IF(OR(C367=0,C367=D367),"BIÊN","")</f>
        <v/>
      </c>
    </row>
    <row r="368">
      <c r="A368" t="n">
        <v>367</v>
      </c>
      <c r="B368">
        <f>'01_Data'!A368</f>
        <v/>
      </c>
      <c r="C368">
        <f>'03_Lap_Theta'!C368</f>
        <v/>
      </c>
      <c r="D368">
        <f>'03_Lap_Theta'!D368</f>
        <v/>
      </c>
      <c r="E368" s="5">
        <f>'03_Lap_Theta'!$AC368</f>
        <v/>
      </c>
      <c r="F368" s="5">
        <f>SUMPRODUCT(('01_Data'!$B368:$AW368&lt;&gt;"")*(1/(1+EXP(-('03_Lap_Theta'!$AC368-'03_Lap_b'!$B$45:$AW$45))))*(1-(1/(1+EXP(-('03_Lap_Theta'!$AC368-'03_Lap_b'!$B$45:$AW$45))))))</f>
        <v/>
      </c>
      <c r="G368" s="5">
        <f>IF(F368&lt;=0.000000001,"",1/SQRT(F368))</f>
        <v/>
      </c>
      <c r="H368">
        <f>IF(OR(C368=0,C368=D368),"BIÊN","")</f>
        <v/>
      </c>
    </row>
    <row r="369">
      <c r="A369" t="n">
        <v>368</v>
      </c>
      <c r="B369">
        <f>'01_Data'!A369</f>
        <v/>
      </c>
      <c r="C369">
        <f>'03_Lap_Theta'!C369</f>
        <v/>
      </c>
      <c r="D369">
        <f>'03_Lap_Theta'!D369</f>
        <v/>
      </c>
      <c r="E369" s="5">
        <f>'03_Lap_Theta'!$AC369</f>
        <v/>
      </c>
      <c r="F369" s="5">
        <f>SUMPRODUCT(('01_Data'!$B369:$AW369&lt;&gt;"")*(1/(1+EXP(-('03_Lap_Theta'!$AC369-'03_Lap_b'!$B$45:$AW$45))))*(1-(1/(1+EXP(-('03_Lap_Theta'!$AC369-'03_Lap_b'!$B$45:$AW$45))))))</f>
        <v/>
      </c>
      <c r="G369" s="5">
        <f>IF(F369&lt;=0.000000001,"",1/SQRT(F369))</f>
        <v/>
      </c>
      <c r="H369">
        <f>IF(OR(C369=0,C369=D369),"BIÊN","")</f>
        <v/>
      </c>
    </row>
    <row r="370">
      <c r="A370" t="n">
        <v>369</v>
      </c>
      <c r="B370">
        <f>'01_Data'!A370</f>
        <v/>
      </c>
      <c r="C370">
        <f>'03_Lap_Theta'!C370</f>
        <v/>
      </c>
      <c r="D370">
        <f>'03_Lap_Theta'!D370</f>
        <v/>
      </c>
      <c r="E370" s="5">
        <f>'03_Lap_Theta'!$AC370</f>
        <v/>
      </c>
      <c r="F370" s="5">
        <f>SUMPRODUCT(('01_Data'!$B370:$AW370&lt;&gt;"")*(1/(1+EXP(-('03_Lap_Theta'!$AC370-'03_Lap_b'!$B$45:$AW$45))))*(1-(1/(1+EXP(-('03_Lap_Theta'!$AC370-'03_Lap_b'!$B$45:$AW$45))))))</f>
        <v/>
      </c>
      <c r="G370" s="5">
        <f>IF(F370&lt;=0.000000001,"",1/SQRT(F370))</f>
        <v/>
      </c>
      <c r="H370">
        <f>IF(OR(C370=0,C370=D370),"BIÊN","")</f>
        <v/>
      </c>
    </row>
    <row r="371">
      <c r="A371" t="n">
        <v>370</v>
      </c>
      <c r="B371">
        <f>'01_Data'!A371</f>
        <v/>
      </c>
      <c r="C371">
        <f>'03_Lap_Theta'!C371</f>
        <v/>
      </c>
      <c r="D371">
        <f>'03_Lap_Theta'!D371</f>
        <v/>
      </c>
      <c r="E371" s="5">
        <f>'03_Lap_Theta'!$AC371</f>
        <v/>
      </c>
      <c r="F371" s="5">
        <f>SUMPRODUCT(('01_Data'!$B371:$AW371&lt;&gt;"")*(1/(1+EXP(-('03_Lap_Theta'!$AC371-'03_Lap_b'!$B$45:$AW$45))))*(1-(1/(1+EXP(-('03_Lap_Theta'!$AC371-'03_Lap_b'!$B$45:$AW$45))))))</f>
        <v/>
      </c>
      <c r="G371" s="5">
        <f>IF(F371&lt;=0.000000001,"",1/SQRT(F371))</f>
        <v/>
      </c>
      <c r="H371">
        <f>IF(OR(C371=0,C371=D371),"BIÊN","")</f>
        <v/>
      </c>
    </row>
    <row r="372">
      <c r="A372" t="n">
        <v>371</v>
      </c>
      <c r="B372">
        <f>'01_Data'!A372</f>
        <v/>
      </c>
      <c r="C372">
        <f>'03_Lap_Theta'!C372</f>
        <v/>
      </c>
      <c r="D372">
        <f>'03_Lap_Theta'!D372</f>
        <v/>
      </c>
      <c r="E372" s="5">
        <f>'03_Lap_Theta'!$AC372</f>
        <v/>
      </c>
      <c r="F372" s="5">
        <f>SUMPRODUCT(('01_Data'!$B372:$AW372&lt;&gt;"")*(1/(1+EXP(-('03_Lap_Theta'!$AC372-'03_Lap_b'!$B$45:$AW$45))))*(1-(1/(1+EXP(-('03_Lap_Theta'!$AC372-'03_Lap_b'!$B$45:$AW$45))))))</f>
        <v/>
      </c>
      <c r="G372" s="5">
        <f>IF(F372&lt;=0.000000001,"",1/SQRT(F372))</f>
        <v/>
      </c>
      <c r="H372">
        <f>IF(OR(C372=0,C372=D372),"BIÊN","")</f>
        <v/>
      </c>
    </row>
    <row r="373">
      <c r="A373" t="n">
        <v>372</v>
      </c>
      <c r="B373">
        <f>'01_Data'!A373</f>
        <v/>
      </c>
      <c r="C373">
        <f>'03_Lap_Theta'!C373</f>
        <v/>
      </c>
      <c r="D373">
        <f>'03_Lap_Theta'!D373</f>
        <v/>
      </c>
      <c r="E373" s="5">
        <f>'03_Lap_Theta'!$AC373</f>
        <v/>
      </c>
      <c r="F373" s="5">
        <f>SUMPRODUCT(('01_Data'!$B373:$AW373&lt;&gt;"")*(1/(1+EXP(-('03_Lap_Theta'!$AC373-'03_Lap_b'!$B$45:$AW$45))))*(1-(1/(1+EXP(-('03_Lap_Theta'!$AC373-'03_Lap_b'!$B$45:$AW$45))))))</f>
        <v/>
      </c>
      <c r="G373" s="5">
        <f>IF(F373&lt;=0.000000001,"",1/SQRT(F373))</f>
        <v/>
      </c>
      <c r="H373">
        <f>IF(OR(C373=0,C373=D373),"BIÊN","")</f>
        <v/>
      </c>
    </row>
    <row r="374">
      <c r="A374" t="n">
        <v>373</v>
      </c>
      <c r="B374">
        <f>'01_Data'!A374</f>
        <v/>
      </c>
      <c r="C374">
        <f>'03_Lap_Theta'!C374</f>
        <v/>
      </c>
      <c r="D374">
        <f>'03_Lap_Theta'!D374</f>
        <v/>
      </c>
      <c r="E374" s="5">
        <f>'03_Lap_Theta'!$AC374</f>
        <v/>
      </c>
      <c r="F374" s="5">
        <f>SUMPRODUCT(('01_Data'!$B374:$AW374&lt;&gt;"")*(1/(1+EXP(-('03_Lap_Theta'!$AC374-'03_Lap_b'!$B$45:$AW$45))))*(1-(1/(1+EXP(-('03_Lap_Theta'!$AC374-'03_Lap_b'!$B$45:$AW$45))))))</f>
        <v/>
      </c>
      <c r="G374" s="5">
        <f>IF(F374&lt;=0.000000001,"",1/SQRT(F374))</f>
        <v/>
      </c>
      <c r="H374">
        <f>IF(OR(C374=0,C374=D374),"BIÊN","")</f>
        <v/>
      </c>
    </row>
    <row r="375">
      <c r="A375" t="n">
        <v>374</v>
      </c>
      <c r="B375">
        <f>'01_Data'!A375</f>
        <v/>
      </c>
      <c r="C375">
        <f>'03_Lap_Theta'!C375</f>
        <v/>
      </c>
      <c r="D375">
        <f>'03_Lap_Theta'!D375</f>
        <v/>
      </c>
      <c r="E375" s="5">
        <f>'03_Lap_Theta'!$AC375</f>
        <v/>
      </c>
      <c r="F375" s="5">
        <f>SUMPRODUCT(('01_Data'!$B375:$AW375&lt;&gt;"")*(1/(1+EXP(-('03_Lap_Theta'!$AC375-'03_Lap_b'!$B$45:$AW$45))))*(1-(1/(1+EXP(-('03_Lap_Theta'!$AC375-'03_Lap_b'!$B$45:$AW$45))))))</f>
        <v/>
      </c>
      <c r="G375" s="5">
        <f>IF(F375&lt;=0.000000001,"",1/SQRT(F375))</f>
        <v/>
      </c>
      <c r="H375">
        <f>IF(OR(C375=0,C375=D375),"BIÊN","")</f>
        <v/>
      </c>
    </row>
    <row r="376">
      <c r="A376" t="n">
        <v>375</v>
      </c>
      <c r="B376">
        <f>'01_Data'!A376</f>
        <v/>
      </c>
      <c r="C376">
        <f>'03_Lap_Theta'!C376</f>
        <v/>
      </c>
      <c r="D376">
        <f>'03_Lap_Theta'!D376</f>
        <v/>
      </c>
      <c r="E376" s="5">
        <f>'03_Lap_Theta'!$AC376</f>
        <v/>
      </c>
      <c r="F376" s="5">
        <f>SUMPRODUCT(('01_Data'!$B376:$AW376&lt;&gt;"")*(1/(1+EXP(-('03_Lap_Theta'!$AC376-'03_Lap_b'!$B$45:$AW$45))))*(1-(1/(1+EXP(-('03_Lap_Theta'!$AC376-'03_Lap_b'!$B$45:$AW$45))))))</f>
        <v/>
      </c>
      <c r="G376" s="5">
        <f>IF(F376&lt;=0.000000001,"",1/SQRT(F376))</f>
        <v/>
      </c>
      <c r="H376">
        <f>IF(OR(C376=0,C376=D376),"BIÊN","")</f>
        <v/>
      </c>
    </row>
    <row r="377">
      <c r="A377" t="n">
        <v>376</v>
      </c>
      <c r="B377">
        <f>'01_Data'!A377</f>
        <v/>
      </c>
      <c r="C377">
        <f>'03_Lap_Theta'!C377</f>
        <v/>
      </c>
      <c r="D377">
        <f>'03_Lap_Theta'!D377</f>
        <v/>
      </c>
      <c r="E377" s="5">
        <f>'03_Lap_Theta'!$AC377</f>
        <v/>
      </c>
      <c r="F377" s="5">
        <f>SUMPRODUCT(('01_Data'!$B377:$AW377&lt;&gt;"")*(1/(1+EXP(-('03_Lap_Theta'!$AC377-'03_Lap_b'!$B$45:$AW$45))))*(1-(1/(1+EXP(-('03_Lap_Theta'!$AC377-'03_Lap_b'!$B$45:$AW$45))))))</f>
        <v/>
      </c>
      <c r="G377" s="5">
        <f>IF(F377&lt;=0.000000001,"",1/SQRT(F377))</f>
        <v/>
      </c>
      <c r="H377">
        <f>IF(OR(C377=0,C377=D377),"BIÊN","")</f>
        <v/>
      </c>
    </row>
    <row r="378">
      <c r="A378" t="n">
        <v>377</v>
      </c>
      <c r="B378">
        <f>'01_Data'!A378</f>
        <v/>
      </c>
      <c r="C378">
        <f>'03_Lap_Theta'!C378</f>
        <v/>
      </c>
      <c r="D378">
        <f>'03_Lap_Theta'!D378</f>
        <v/>
      </c>
      <c r="E378" s="5">
        <f>'03_Lap_Theta'!$AC378</f>
        <v/>
      </c>
      <c r="F378" s="5">
        <f>SUMPRODUCT(('01_Data'!$B378:$AW378&lt;&gt;"")*(1/(1+EXP(-('03_Lap_Theta'!$AC378-'03_Lap_b'!$B$45:$AW$45))))*(1-(1/(1+EXP(-('03_Lap_Theta'!$AC378-'03_Lap_b'!$B$45:$AW$45))))))</f>
        <v/>
      </c>
      <c r="G378" s="5">
        <f>IF(F378&lt;=0.000000001,"",1/SQRT(F378))</f>
        <v/>
      </c>
      <c r="H378">
        <f>IF(OR(C378=0,C378=D378),"BIÊN","")</f>
        <v/>
      </c>
    </row>
    <row r="379">
      <c r="A379" t="n">
        <v>378</v>
      </c>
      <c r="B379">
        <f>'01_Data'!A379</f>
        <v/>
      </c>
      <c r="C379">
        <f>'03_Lap_Theta'!C379</f>
        <v/>
      </c>
      <c r="D379">
        <f>'03_Lap_Theta'!D379</f>
        <v/>
      </c>
      <c r="E379" s="5">
        <f>'03_Lap_Theta'!$AC379</f>
        <v/>
      </c>
      <c r="F379" s="5">
        <f>SUMPRODUCT(('01_Data'!$B379:$AW379&lt;&gt;"")*(1/(1+EXP(-('03_Lap_Theta'!$AC379-'03_Lap_b'!$B$45:$AW$45))))*(1-(1/(1+EXP(-('03_Lap_Theta'!$AC379-'03_Lap_b'!$B$45:$AW$45))))))</f>
        <v/>
      </c>
      <c r="G379" s="5">
        <f>IF(F379&lt;=0.000000001,"",1/SQRT(F379))</f>
        <v/>
      </c>
      <c r="H379">
        <f>IF(OR(C379=0,C379=D379),"BIÊN","")</f>
        <v/>
      </c>
    </row>
    <row r="380">
      <c r="A380" t="n">
        <v>379</v>
      </c>
      <c r="B380">
        <f>'01_Data'!A380</f>
        <v/>
      </c>
      <c r="C380">
        <f>'03_Lap_Theta'!C380</f>
        <v/>
      </c>
      <c r="D380">
        <f>'03_Lap_Theta'!D380</f>
        <v/>
      </c>
      <c r="E380" s="5">
        <f>'03_Lap_Theta'!$AC380</f>
        <v/>
      </c>
      <c r="F380" s="5">
        <f>SUMPRODUCT(('01_Data'!$B380:$AW380&lt;&gt;"")*(1/(1+EXP(-('03_Lap_Theta'!$AC380-'03_Lap_b'!$B$45:$AW$45))))*(1-(1/(1+EXP(-('03_Lap_Theta'!$AC380-'03_Lap_b'!$B$45:$AW$45))))))</f>
        <v/>
      </c>
      <c r="G380" s="5">
        <f>IF(F380&lt;=0.000000001,"",1/SQRT(F380))</f>
        <v/>
      </c>
      <c r="H380">
        <f>IF(OR(C380=0,C380=D380),"BIÊN","")</f>
        <v/>
      </c>
    </row>
    <row r="381">
      <c r="A381" t="n">
        <v>380</v>
      </c>
      <c r="B381">
        <f>'01_Data'!A381</f>
        <v/>
      </c>
      <c r="C381">
        <f>'03_Lap_Theta'!C381</f>
        <v/>
      </c>
      <c r="D381">
        <f>'03_Lap_Theta'!D381</f>
        <v/>
      </c>
      <c r="E381" s="5">
        <f>'03_Lap_Theta'!$AC381</f>
        <v/>
      </c>
      <c r="F381" s="5">
        <f>SUMPRODUCT(('01_Data'!$B381:$AW381&lt;&gt;"")*(1/(1+EXP(-('03_Lap_Theta'!$AC381-'03_Lap_b'!$B$45:$AW$45))))*(1-(1/(1+EXP(-('03_Lap_Theta'!$AC381-'03_Lap_b'!$B$45:$AW$45))))))</f>
        <v/>
      </c>
      <c r="G381" s="5">
        <f>IF(F381&lt;=0.000000001,"",1/SQRT(F381))</f>
        <v/>
      </c>
      <c r="H381">
        <f>IF(OR(C381=0,C381=D381),"BIÊN","")</f>
        <v/>
      </c>
    </row>
    <row r="382">
      <c r="A382" t="n">
        <v>381</v>
      </c>
      <c r="B382">
        <f>'01_Data'!A382</f>
        <v/>
      </c>
      <c r="C382">
        <f>'03_Lap_Theta'!C382</f>
        <v/>
      </c>
      <c r="D382">
        <f>'03_Lap_Theta'!D382</f>
        <v/>
      </c>
      <c r="E382" s="5">
        <f>'03_Lap_Theta'!$AC382</f>
        <v/>
      </c>
      <c r="F382" s="5">
        <f>SUMPRODUCT(('01_Data'!$B382:$AW382&lt;&gt;"")*(1/(1+EXP(-('03_Lap_Theta'!$AC382-'03_Lap_b'!$B$45:$AW$45))))*(1-(1/(1+EXP(-('03_Lap_Theta'!$AC382-'03_Lap_b'!$B$45:$AW$45))))))</f>
        <v/>
      </c>
      <c r="G382" s="5">
        <f>IF(F382&lt;=0.000000001,"",1/SQRT(F382))</f>
        <v/>
      </c>
      <c r="H382">
        <f>IF(OR(C382=0,C382=D382),"BIÊN","")</f>
        <v/>
      </c>
    </row>
    <row r="383">
      <c r="A383" t="n">
        <v>382</v>
      </c>
      <c r="B383">
        <f>'01_Data'!A383</f>
        <v/>
      </c>
      <c r="C383">
        <f>'03_Lap_Theta'!C383</f>
        <v/>
      </c>
      <c r="D383">
        <f>'03_Lap_Theta'!D383</f>
        <v/>
      </c>
      <c r="E383" s="5">
        <f>'03_Lap_Theta'!$AC383</f>
        <v/>
      </c>
      <c r="F383" s="5">
        <f>SUMPRODUCT(('01_Data'!$B383:$AW383&lt;&gt;"")*(1/(1+EXP(-('03_Lap_Theta'!$AC383-'03_Lap_b'!$B$45:$AW$45))))*(1-(1/(1+EXP(-('03_Lap_Theta'!$AC383-'03_Lap_b'!$B$45:$AW$45))))))</f>
        <v/>
      </c>
      <c r="G383" s="5">
        <f>IF(F383&lt;=0.000000001,"",1/SQRT(F383))</f>
        <v/>
      </c>
      <c r="H383">
        <f>IF(OR(C383=0,C383=D383),"BIÊN","")</f>
        <v/>
      </c>
    </row>
    <row r="384">
      <c r="A384" t="n">
        <v>383</v>
      </c>
      <c r="B384">
        <f>'01_Data'!A384</f>
        <v/>
      </c>
      <c r="C384">
        <f>'03_Lap_Theta'!C384</f>
        <v/>
      </c>
      <c r="D384">
        <f>'03_Lap_Theta'!D384</f>
        <v/>
      </c>
      <c r="E384" s="5">
        <f>'03_Lap_Theta'!$AC384</f>
        <v/>
      </c>
      <c r="F384" s="5">
        <f>SUMPRODUCT(('01_Data'!$B384:$AW384&lt;&gt;"")*(1/(1+EXP(-('03_Lap_Theta'!$AC384-'03_Lap_b'!$B$45:$AW$45))))*(1-(1/(1+EXP(-('03_Lap_Theta'!$AC384-'03_Lap_b'!$B$45:$AW$45))))))</f>
        <v/>
      </c>
      <c r="G384" s="5">
        <f>IF(F384&lt;=0.000000001,"",1/SQRT(F384))</f>
        <v/>
      </c>
      <c r="H384">
        <f>IF(OR(C384=0,C384=D384),"BIÊN","")</f>
        <v/>
      </c>
    </row>
    <row r="385">
      <c r="A385" t="n">
        <v>384</v>
      </c>
      <c r="B385">
        <f>'01_Data'!A385</f>
        <v/>
      </c>
      <c r="C385">
        <f>'03_Lap_Theta'!C385</f>
        <v/>
      </c>
      <c r="D385">
        <f>'03_Lap_Theta'!D385</f>
        <v/>
      </c>
      <c r="E385" s="5">
        <f>'03_Lap_Theta'!$AC385</f>
        <v/>
      </c>
      <c r="F385" s="5">
        <f>SUMPRODUCT(('01_Data'!$B385:$AW385&lt;&gt;"")*(1/(1+EXP(-('03_Lap_Theta'!$AC385-'03_Lap_b'!$B$45:$AW$45))))*(1-(1/(1+EXP(-('03_Lap_Theta'!$AC385-'03_Lap_b'!$B$45:$AW$45))))))</f>
        <v/>
      </c>
      <c r="G385" s="5">
        <f>IF(F385&lt;=0.000000001,"",1/SQRT(F385))</f>
        <v/>
      </c>
      <c r="H385">
        <f>IF(OR(C385=0,C385=D385),"BIÊN","")</f>
        <v/>
      </c>
    </row>
    <row r="386">
      <c r="A386" t="n">
        <v>385</v>
      </c>
      <c r="B386">
        <f>'01_Data'!A386</f>
        <v/>
      </c>
      <c r="C386">
        <f>'03_Lap_Theta'!C386</f>
        <v/>
      </c>
      <c r="D386">
        <f>'03_Lap_Theta'!D386</f>
        <v/>
      </c>
      <c r="E386" s="5">
        <f>'03_Lap_Theta'!$AC386</f>
        <v/>
      </c>
      <c r="F386" s="5">
        <f>SUMPRODUCT(('01_Data'!$B386:$AW386&lt;&gt;"")*(1/(1+EXP(-('03_Lap_Theta'!$AC386-'03_Lap_b'!$B$45:$AW$45))))*(1-(1/(1+EXP(-('03_Lap_Theta'!$AC386-'03_Lap_b'!$B$45:$AW$45))))))</f>
        <v/>
      </c>
      <c r="G386" s="5">
        <f>IF(F386&lt;=0.000000001,"",1/SQRT(F386))</f>
        <v/>
      </c>
      <c r="H386">
        <f>IF(OR(C386=0,C386=D386),"BIÊN","")</f>
        <v/>
      </c>
    </row>
    <row r="387">
      <c r="A387" t="n">
        <v>386</v>
      </c>
      <c r="B387">
        <f>'01_Data'!A387</f>
        <v/>
      </c>
      <c r="C387">
        <f>'03_Lap_Theta'!C387</f>
        <v/>
      </c>
      <c r="D387">
        <f>'03_Lap_Theta'!D387</f>
        <v/>
      </c>
      <c r="E387" s="5">
        <f>'03_Lap_Theta'!$AC387</f>
        <v/>
      </c>
      <c r="F387" s="5">
        <f>SUMPRODUCT(('01_Data'!$B387:$AW387&lt;&gt;"")*(1/(1+EXP(-('03_Lap_Theta'!$AC387-'03_Lap_b'!$B$45:$AW$45))))*(1-(1/(1+EXP(-('03_Lap_Theta'!$AC387-'03_Lap_b'!$B$45:$AW$45))))))</f>
        <v/>
      </c>
      <c r="G387" s="5">
        <f>IF(F387&lt;=0.000000001,"",1/SQRT(F387))</f>
        <v/>
      </c>
      <c r="H387">
        <f>IF(OR(C387=0,C387=D387),"BIÊN","")</f>
        <v/>
      </c>
    </row>
    <row r="388">
      <c r="A388" t="n">
        <v>387</v>
      </c>
      <c r="B388">
        <f>'01_Data'!A388</f>
        <v/>
      </c>
      <c r="C388">
        <f>'03_Lap_Theta'!C388</f>
        <v/>
      </c>
      <c r="D388">
        <f>'03_Lap_Theta'!D388</f>
        <v/>
      </c>
      <c r="E388" s="5">
        <f>'03_Lap_Theta'!$AC388</f>
        <v/>
      </c>
      <c r="F388" s="5">
        <f>SUMPRODUCT(('01_Data'!$B388:$AW388&lt;&gt;"")*(1/(1+EXP(-('03_Lap_Theta'!$AC388-'03_Lap_b'!$B$45:$AW$45))))*(1-(1/(1+EXP(-('03_Lap_Theta'!$AC388-'03_Lap_b'!$B$45:$AW$45))))))</f>
        <v/>
      </c>
      <c r="G388" s="5">
        <f>IF(F388&lt;=0.000000001,"",1/SQRT(F388))</f>
        <v/>
      </c>
      <c r="H388">
        <f>IF(OR(C388=0,C388=D388),"BIÊN","")</f>
        <v/>
      </c>
    </row>
    <row r="389">
      <c r="A389" t="n">
        <v>388</v>
      </c>
      <c r="B389">
        <f>'01_Data'!A389</f>
        <v/>
      </c>
      <c r="C389">
        <f>'03_Lap_Theta'!C389</f>
        <v/>
      </c>
      <c r="D389">
        <f>'03_Lap_Theta'!D389</f>
        <v/>
      </c>
      <c r="E389" s="5">
        <f>'03_Lap_Theta'!$AC389</f>
        <v/>
      </c>
      <c r="F389" s="5">
        <f>SUMPRODUCT(('01_Data'!$B389:$AW389&lt;&gt;"")*(1/(1+EXP(-('03_Lap_Theta'!$AC389-'03_Lap_b'!$B$45:$AW$45))))*(1-(1/(1+EXP(-('03_Lap_Theta'!$AC389-'03_Lap_b'!$B$45:$AW$45))))))</f>
        <v/>
      </c>
      <c r="G389" s="5">
        <f>IF(F389&lt;=0.000000001,"",1/SQRT(F389))</f>
        <v/>
      </c>
      <c r="H389">
        <f>IF(OR(C389=0,C389=D389),"BIÊN","")</f>
        <v/>
      </c>
    </row>
    <row r="390">
      <c r="A390" t="n">
        <v>389</v>
      </c>
      <c r="B390">
        <f>'01_Data'!A390</f>
        <v/>
      </c>
      <c r="C390">
        <f>'03_Lap_Theta'!C390</f>
        <v/>
      </c>
      <c r="D390">
        <f>'03_Lap_Theta'!D390</f>
        <v/>
      </c>
      <c r="E390" s="5">
        <f>'03_Lap_Theta'!$AC390</f>
        <v/>
      </c>
      <c r="F390" s="5">
        <f>SUMPRODUCT(('01_Data'!$B390:$AW390&lt;&gt;"")*(1/(1+EXP(-('03_Lap_Theta'!$AC390-'03_Lap_b'!$B$45:$AW$45))))*(1-(1/(1+EXP(-('03_Lap_Theta'!$AC390-'03_Lap_b'!$B$45:$AW$45))))))</f>
        <v/>
      </c>
      <c r="G390" s="5">
        <f>IF(F390&lt;=0.000000001,"",1/SQRT(F390))</f>
        <v/>
      </c>
      <c r="H390">
        <f>IF(OR(C390=0,C390=D390),"BIÊN","")</f>
        <v/>
      </c>
    </row>
    <row r="391">
      <c r="A391" t="n">
        <v>390</v>
      </c>
      <c r="B391">
        <f>'01_Data'!A391</f>
        <v/>
      </c>
      <c r="C391">
        <f>'03_Lap_Theta'!C391</f>
        <v/>
      </c>
      <c r="D391">
        <f>'03_Lap_Theta'!D391</f>
        <v/>
      </c>
      <c r="E391" s="5">
        <f>'03_Lap_Theta'!$AC391</f>
        <v/>
      </c>
      <c r="F391" s="5">
        <f>SUMPRODUCT(('01_Data'!$B391:$AW391&lt;&gt;"")*(1/(1+EXP(-('03_Lap_Theta'!$AC391-'03_Lap_b'!$B$45:$AW$45))))*(1-(1/(1+EXP(-('03_Lap_Theta'!$AC391-'03_Lap_b'!$B$45:$AW$45))))))</f>
        <v/>
      </c>
      <c r="G391" s="5">
        <f>IF(F391&lt;=0.000000001,"",1/SQRT(F391))</f>
        <v/>
      </c>
      <c r="H391">
        <f>IF(OR(C391=0,C391=D391),"BIÊN","")</f>
        <v/>
      </c>
    </row>
    <row r="392">
      <c r="A392" t="n">
        <v>391</v>
      </c>
      <c r="B392">
        <f>'01_Data'!A392</f>
        <v/>
      </c>
      <c r="C392">
        <f>'03_Lap_Theta'!C392</f>
        <v/>
      </c>
      <c r="D392">
        <f>'03_Lap_Theta'!D392</f>
        <v/>
      </c>
      <c r="E392" s="5">
        <f>'03_Lap_Theta'!$AC392</f>
        <v/>
      </c>
      <c r="F392" s="5">
        <f>SUMPRODUCT(('01_Data'!$B392:$AW392&lt;&gt;"")*(1/(1+EXP(-('03_Lap_Theta'!$AC392-'03_Lap_b'!$B$45:$AW$45))))*(1-(1/(1+EXP(-('03_Lap_Theta'!$AC392-'03_Lap_b'!$B$45:$AW$45))))))</f>
        <v/>
      </c>
      <c r="G392" s="5">
        <f>IF(F392&lt;=0.000000001,"",1/SQRT(F392))</f>
        <v/>
      </c>
      <c r="H392">
        <f>IF(OR(C392=0,C392=D392),"BIÊN","")</f>
        <v/>
      </c>
    </row>
    <row r="393">
      <c r="A393" t="n">
        <v>392</v>
      </c>
      <c r="B393">
        <f>'01_Data'!A393</f>
        <v/>
      </c>
      <c r="C393">
        <f>'03_Lap_Theta'!C393</f>
        <v/>
      </c>
      <c r="D393">
        <f>'03_Lap_Theta'!D393</f>
        <v/>
      </c>
      <c r="E393" s="5">
        <f>'03_Lap_Theta'!$AC393</f>
        <v/>
      </c>
      <c r="F393" s="5">
        <f>SUMPRODUCT(('01_Data'!$B393:$AW393&lt;&gt;"")*(1/(1+EXP(-('03_Lap_Theta'!$AC393-'03_Lap_b'!$B$45:$AW$45))))*(1-(1/(1+EXP(-('03_Lap_Theta'!$AC393-'03_Lap_b'!$B$45:$AW$45))))))</f>
        <v/>
      </c>
      <c r="G393" s="5">
        <f>IF(F393&lt;=0.000000001,"",1/SQRT(F393))</f>
        <v/>
      </c>
      <c r="H393">
        <f>IF(OR(C393=0,C393=D393),"BIÊN","")</f>
        <v/>
      </c>
    </row>
    <row r="394">
      <c r="A394" t="n">
        <v>393</v>
      </c>
      <c r="B394">
        <f>'01_Data'!A394</f>
        <v/>
      </c>
      <c r="C394">
        <f>'03_Lap_Theta'!C394</f>
        <v/>
      </c>
      <c r="D394">
        <f>'03_Lap_Theta'!D394</f>
        <v/>
      </c>
      <c r="E394" s="5">
        <f>'03_Lap_Theta'!$AC394</f>
        <v/>
      </c>
      <c r="F394" s="5">
        <f>SUMPRODUCT(('01_Data'!$B394:$AW394&lt;&gt;"")*(1/(1+EXP(-('03_Lap_Theta'!$AC394-'03_Lap_b'!$B$45:$AW$45))))*(1-(1/(1+EXP(-('03_Lap_Theta'!$AC394-'03_Lap_b'!$B$45:$AW$45))))))</f>
        <v/>
      </c>
      <c r="G394" s="5">
        <f>IF(F394&lt;=0.000000001,"",1/SQRT(F394))</f>
        <v/>
      </c>
      <c r="H394">
        <f>IF(OR(C394=0,C394=D394),"BIÊN","")</f>
        <v/>
      </c>
    </row>
    <row r="395">
      <c r="A395" t="n">
        <v>394</v>
      </c>
      <c r="B395">
        <f>'01_Data'!A395</f>
        <v/>
      </c>
      <c r="C395">
        <f>'03_Lap_Theta'!C395</f>
        <v/>
      </c>
      <c r="D395">
        <f>'03_Lap_Theta'!D395</f>
        <v/>
      </c>
      <c r="E395" s="5">
        <f>'03_Lap_Theta'!$AC395</f>
        <v/>
      </c>
      <c r="F395" s="5">
        <f>SUMPRODUCT(('01_Data'!$B395:$AW395&lt;&gt;"")*(1/(1+EXP(-('03_Lap_Theta'!$AC395-'03_Lap_b'!$B$45:$AW$45))))*(1-(1/(1+EXP(-('03_Lap_Theta'!$AC395-'03_Lap_b'!$B$45:$AW$45))))))</f>
        <v/>
      </c>
      <c r="G395" s="5">
        <f>IF(F395&lt;=0.000000001,"",1/SQRT(F395))</f>
        <v/>
      </c>
      <c r="H395">
        <f>IF(OR(C395=0,C395=D395),"BIÊN","")</f>
        <v/>
      </c>
    </row>
    <row r="396">
      <c r="A396" t="n">
        <v>395</v>
      </c>
      <c r="B396">
        <f>'01_Data'!A396</f>
        <v/>
      </c>
      <c r="C396">
        <f>'03_Lap_Theta'!C396</f>
        <v/>
      </c>
      <c r="D396">
        <f>'03_Lap_Theta'!D396</f>
        <v/>
      </c>
      <c r="E396" s="5">
        <f>'03_Lap_Theta'!$AC396</f>
        <v/>
      </c>
      <c r="F396" s="5">
        <f>SUMPRODUCT(('01_Data'!$B396:$AW396&lt;&gt;"")*(1/(1+EXP(-('03_Lap_Theta'!$AC396-'03_Lap_b'!$B$45:$AW$45))))*(1-(1/(1+EXP(-('03_Lap_Theta'!$AC396-'03_Lap_b'!$B$45:$AW$45))))))</f>
        <v/>
      </c>
      <c r="G396" s="5">
        <f>IF(F396&lt;=0.000000001,"",1/SQRT(F396))</f>
        <v/>
      </c>
      <c r="H396">
        <f>IF(OR(C396=0,C396=D396),"BIÊN","")</f>
        <v/>
      </c>
    </row>
    <row r="397">
      <c r="A397" t="n">
        <v>396</v>
      </c>
      <c r="B397">
        <f>'01_Data'!A397</f>
        <v/>
      </c>
      <c r="C397">
        <f>'03_Lap_Theta'!C397</f>
        <v/>
      </c>
      <c r="D397">
        <f>'03_Lap_Theta'!D397</f>
        <v/>
      </c>
      <c r="E397" s="5">
        <f>'03_Lap_Theta'!$AC397</f>
        <v/>
      </c>
      <c r="F397" s="5">
        <f>SUMPRODUCT(('01_Data'!$B397:$AW397&lt;&gt;"")*(1/(1+EXP(-('03_Lap_Theta'!$AC397-'03_Lap_b'!$B$45:$AW$45))))*(1-(1/(1+EXP(-('03_Lap_Theta'!$AC397-'03_Lap_b'!$B$45:$AW$45))))))</f>
        <v/>
      </c>
      <c r="G397" s="5">
        <f>IF(F397&lt;=0.000000001,"",1/SQRT(F397))</f>
        <v/>
      </c>
      <c r="H397">
        <f>IF(OR(C397=0,C397=D397),"BIÊN","")</f>
        <v/>
      </c>
    </row>
    <row r="398">
      <c r="A398" t="n">
        <v>397</v>
      </c>
      <c r="B398">
        <f>'01_Data'!A398</f>
        <v/>
      </c>
      <c r="C398">
        <f>'03_Lap_Theta'!C398</f>
        <v/>
      </c>
      <c r="D398">
        <f>'03_Lap_Theta'!D398</f>
        <v/>
      </c>
      <c r="E398" s="5">
        <f>'03_Lap_Theta'!$AC398</f>
        <v/>
      </c>
      <c r="F398" s="5">
        <f>SUMPRODUCT(('01_Data'!$B398:$AW398&lt;&gt;"")*(1/(1+EXP(-('03_Lap_Theta'!$AC398-'03_Lap_b'!$B$45:$AW$45))))*(1-(1/(1+EXP(-('03_Lap_Theta'!$AC398-'03_Lap_b'!$B$45:$AW$45))))))</f>
        <v/>
      </c>
      <c r="G398" s="5">
        <f>IF(F398&lt;=0.000000001,"",1/SQRT(F398))</f>
        <v/>
      </c>
      <c r="H398">
        <f>IF(OR(C398=0,C398=D398),"BIÊN","")</f>
        <v/>
      </c>
    </row>
    <row r="399">
      <c r="A399" t="n">
        <v>398</v>
      </c>
      <c r="B399">
        <f>'01_Data'!A399</f>
        <v/>
      </c>
      <c r="C399">
        <f>'03_Lap_Theta'!C399</f>
        <v/>
      </c>
      <c r="D399">
        <f>'03_Lap_Theta'!D399</f>
        <v/>
      </c>
      <c r="E399" s="5">
        <f>'03_Lap_Theta'!$AC399</f>
        <v/>
      </c>
      <c r="F399" s="5">
        <f>SUMPRODUCT(('01_Data'!$B399:$AW399&lt;&gt;"")*(1/(1+EXP(-('03_Lap_Theta'!$AC399-'03_Lap_b'!$B$45:$AW$45))))*(1-(1/(1+EXP(-('03_Lap_Theta'!$AC399-'03_Lap_b'!$B$45:$AW$45))))))</f>
        <v/>
      </c>
      <c r="G399" s="5">
        <f>IF(F399&lt;=0.000000001,"",1/SQRT(F399))</f>
        <v/>
      </c>
      <c r="H399">
        <f>IF(OR(C399=0,C399=D399),"BIÊN","")</f>
        <v/>
      </c>
    </row>
    <row r="400">
      <c r="A400" t="n">
        <v>399</v>
      </c>
      <c r="B400">
        <f>'01_Data'!A400</f>
        <v/>
      </c>
      <c r="C400">
        <f>'03_Lap_Theta'!C400</f>
        <v/>
      </c>
      <c r="D400">
        <f>'03_Lap_Theta'!D400</f>
        <v/>
      </c>
      <c r="E400" s="5">
        <f>'03_Lap_Theta'!$AC400</f>
        <v/>
      </c>
      <c r="F400" s="5">
        <f>SUMPRODUCT(('01_Data'!$B400:$AW400&lt;&gt;"")*(1/(1+EXP(-('03_Lap_Theta'!$AC400-'03_Lap_b'!$B$45:$AW$45))))*(1-(1/(1+EXP(-('03_Lap_Theta'!$AC400-'03_Lap_b'!$B$45:$AW$45))))))</f>
        <v/>
      </c>
      <c r="G400" s="5">
        <f>IF(F400&lt;=0.000000001,"",1/SQRT(F400))</f>
        <v/>
      </c>
      <c r="H400">
        <f>IF(OR(C400=0,C400=D400),"BIÊN","")</f>
        <v/>
      </c>
    </row>
    <row r="401">
      <c r="A401" t="n">
        <v>400</v>
      </c>
      <c r="B401">
        <f>'01_Data'!A401</f>
        <v/>
      </c>
      <c r="C401">
        <f>'03_Lap_Theta'!C401</f>
        <v/>
      </c>
      <c r="D401">
        <f>'03_Lap_Theta'!D401</f>
        <v/>
      </c>
      <c r="E401" s="5">
        <f>'03_Lap_Theta'!$AC401</f>
        <v/>
      </c>
      <c r="F401" s="5">
        <f>SUMPRODUCT(('01_Data'!$B401:$AW401&lt;&gt;"")*(1/(1+EXP(-('03_Lap_Theta'!$AC401-'03_Lap_b'!$B$45:$AW$45))))*(1-(1/(1+EXP(-('03_Lap_Theta'!$AC401-'03_Lap_b'!$B$45:$AW$45))))))</f>
        <v/>
      </c>
      <c r="G401" s="5">
        <f>IF(F401&lt;=0.000000001,"",1/SQRT(F401))</f>
        <v/>
      </c>
      <c r="H401">
        <f>IF(OR(C401=0,C401=D401),"BIÊN","")</f>
        <v/>
      </c>
    </row>
    <row r="402">
      <c r="A402" t="n">
        <v>401</v>
      </c>
      <c r="B402">
        <f>'01_Data'!A402</f>
        <v/>
      </c>
      <c r="C402">
        <f>'03_Lap_Theta'!C402</f>
        <v/>
      </c>
      <c r="D402">
        <f>'03_Lap_Theta'!D402</f>
        <v/>
      </c>
      <c r="E402" s="5">
        <f>'03_Lap_Theta'!$AC402</f>
        <v/>
      </c>
      <c r="F402" s="5">
        <f>SUMPRODUCT(('01_Data'!$B402:$AW402&lt;&gt;"")*(1/(1+EXP(-('03_Lap_Theta'!$AC402-'03_Lap_b'!$B$45:$AW$45))))*(1-(1/(1+EXP(-('03_Lap_Theta'!$AC402-'03_Lap_b'!$B$45:$AW$45))))))</f>
        <v/>
      </c>
      <c r="G402" s="5">
        <f>IF(F402&lt;=0.000000001,"",1/SQRT(F402))</f>
        <v/>
      </c>
      <c r="H402">
        <f>IF(OR(C402=0,C402=D402),"BIÊN","")</f>
        <v/>
      </c>
    </row>
    <row r="403">
      <c r="A403" t="n">
        <v>402</v>
      </c>
      <c r="B403">
        <f>'01_Data'!A403</f>
        <v/>
      </c>
      <c r="C403">
        <f>'03_Lap_Theta'!C403</f>
        <v/>
      </c>
      <c r="D403">
        <f>'03_Lap_Theta'!D403</f>
        <v/>
      </c>
      <c r="E403" s="5">
        <f>'03_Lap_Theta'!$AC403</f>
        <v/>
      </c>
      <c r="F403" s="5">
        <f>SUMPRODUCT(('01_Data'!$B403:$AW403&lt;&gt;"")*(1/(1+EXP(-('03_Lap_Theta'!$AC403-'03_Lap_b'!$B$45:$AW$45))))*(1-(1/(1+EXP(-('03_Lap_Theta'!$AC403-'03_Lap_b'!$B$45:$AW$45))))))</f>
        <v/>
      </c>
      <c r="G403" s="5">
        <f>IF(F403&lt;=0.000000001,"",1/SQRT(F403))</f>
        <v/>
      </c>
      <c r="H403">
        <f>IF(OR(C403=0,C403=D403),"BIÊN","")</f>
        <v/>
      </c>
    </row>
    <row r="404">
      <c r="A404" t="n">
        <v>403</v>
      </c>
      <c r="B404">
        <f>'01_Data'!A404</f>
        <v/>
      </c>
      <c r="C404">
        <f>'03_Lap_Theta'!C404</f>
        <v/>
      </c>
      <c r="D404">
        <f>'03_Lap_Theta'!D404</f>
        <v/>
      </c>
      <c r="E404" s="5">
        <f>'03_Lap_Theta'!$AC404</f>
        <v/>
      </c>
      <c r="F404" s="5">
        <f>SUMPRODUCT(('01_Data'!$B404:$AW404&lt;&gt;"")*(1/(1+EXP(-('03_Lap_Theta'!$AC404-'03_Lap_b'!$B$45:$AW$45))))*(1-(1/(1+EXP(-('03_Lap_Theta'!$AC404-'03_Lap_b'!$B$45:$AW$45))))))</f>
        <v/>
      </c>
      <c r="G404" s="5">
        <f>IF(F404&lt;=0.000000001,"",1/SQRT(F404))</f>
        <v/>
      </c>
      <c r="H404">
        <f>IF(OR(C404=0,C404=D404),"BIÊN","")</f>
        <v/>
      </c>
    </row>
    <row r="405">
      <c r="A405" t="n">
        <v>404</v>
      </c>
      <c r="B405">
        <f>'01_Data'!A405</f>
        <v/>
      </c>
      <c r="C405">
        <f>'03_Lap_Theta'!C405</f>
        <v/>
      </c>
      <c r="D405">
        <f>'03_Lap_Theta'!D405</f>
        <v/>
      </c>
      <c r="E405" s="5">
        <f>'03_Lap_Theta'!$AC405</f>
        <v/>
      </c>
      <c r="F405" s="5">
        <f>SUMPRODUCT(('01_Data'!$B405:$AW405&lt;&gt;"")*(1/(1+EXP(-('03_Lap_Theta'!$AC405-'03_Lap_b'!$B$45:$AW$45))))*(1-(1/(1+EXP(-('03_Lap_Theta'!$AC405-'03_Lap_b'!$B$45:$AW$45))))))</f>
        <v/>
      </c>
      <c r="G405" s="5">
        <f>IF(F405&lt;=0.000000001,"",1/SQRT(F405))</f>
        <v/>
      </c>
      <c r="H405">
        <f>IF(OR(C405=0,C405=D405),"BIÊN","")</f>
        <v/>
      </c>
    </row>
    <row r="406">
      <c r="A406" t="n">
        <v>405</v>
      </c>
      <c r="B406">
        <f>'01_Data'!A406</f>
        <v/>
      </c>
      <c r="C406">
        <f>'03_Lap_Theta'!C406</f>
        <v/>
      </c>
      <c r="D406">
        <f>'03_Lap_Theta'!D406</f>
        <v/>
      </c>
      <c r="E406" s="5">
        <f>'03_Lap_Theta'!$AC406</f>
        <v/>
      </c>
      <c r="F406" s="5">
        <f>SUMPRODUCT(('01_Data'!$B406:$AW406&lt;&gt;"")*(1/(1+EXP(-('03_Lap_Theta'!$AC406-'03_Lap_b'!$B$45:$AW$45))))*(1-(1/(1+EXP(-('03_Lap_Theta'!$AC406-'03_Lap_b'!$B$45:$AW$45))))))</f>
        <v/>
      </c>
      <c r="G406" s="5">
        <f>IF(F406&lt;=0.000000001,"",1/SQRT(F406))</f>
        <v/>
      </c>
      <c r="H406">
        <f>IF(OR(C406=0,C406=D406),"BIÊN","")</f>
        <v/>
      </c>
    </row>
    <row r="407">
      <c r="A407" t="n">
        <v>406</v>
      </c>
      <c r="B407">
        <f>'01_Data'!A407</f>
        <v/>
      </c>
      <c r="C407">
        <f>'03_Lap_Theta'!C407</f>
        <v/>
      </c>
      <c r="D407">
        <f>'03_Lap_Theta'!D407</f>
        <v/>
      </c>
      <c r="E407" s="5">
        <f>'03_Lap_Theta'!$AC407</f>
        <v/>
      </c>
      <c r="F407" s="5">
        <f>SUMPRODUCT(('01_Data'!$B407:$AW407&lt;&gt;"")*(1/(1+EXP(-('03_Lap_Theta'!$AC407-'03_Lap_b'!$B$45:$AW$45))))*(1-(1/(1+EXP(-('03_Lap_Theta'!$AC407-'03_Lap_b'!$B$45:$AW$45))))))</f>
        <v/>
      </c>
      <c r="G407" s="5">
        <f>IF(F407&lt;=0.000000001,"",1/SQRT(F407))</f>
        <v/>
      </c>
      <c r="H407">
        <f>IF(OR(C407=0,C407=D407),"BIÊN","")</f>
        <v/>
      </c>
    </row>
    <row r="408">
      <c r="A408" t="n">
        <v>407</v>
      </c>
      <c r="B408">
        <f>'01_Data'!A408</f>
        <v/>
      </c>
      <c r="C408">
        <f>'03_Lap_Theta'!C408</f>
        <v/>
      </c>
      <c r="D408">
        <f>'03_Lap_Theta'!D408</f>
        <v/>
      </c>
      <c r="E408" s="5">
        <f>'03_Lap_Theta'!$AC408</f>
        <v/>
      </c>
      <c r="F408" s="5">
        <f>SUMPRODUCT(('01_Data'!$B408:$AW408&lt;&gt;"")*(1/(1+EXP(-('03_Lap_Theta'!$AC408-'03_Lap_b'!$B$45:$AW$45))))*(1-(1/(1+EXP(-('03_Lap_Theta'!$AC408-'03_Lap_b'!$B$45:$AW$45))))))</f>
        <v/>
      </c>
      <c r="G408" s="5">
        <f>IF(F408&lt;=0.000000001,"",1/SQRT(F408))</f>
        <v/>
      </c>
      <c r="H408">
        <f>IF(OR(C408=0,C408=D408),"BIÊN","")</f>
        <v/>
      </c>
    </row>
    <row r="409">
      <c r="A409" t="n">
        <v>408</v>
      </c>
      <c r="B409">
        <f>'01_Data'!A409</f>
        <v/>
      </c>
      <c r="C409">
        <f>'03_Lap_Theta'!C409</f>
        <v/>
      </c>
      <c r="D409">
        <f>'03_Lap_Theta'!D409</f>
        <v/>
      </c>
      <c r="E409" s="5">
        <f>'03_Lap_Theta'!$AC409</f>
        <v/>
      </c>
      <c r="F409" s="5">
        <f>SUMPRODUCT(('01_Data'!$B409:$AW409&lt;&gt;"")*(1/(1+EXP(-('03_Lap_Theta'!$AC409-'03_Lap_b'!$B$45:$AW$45))))*(1-(1/(1+EXP(-('03_Lap_Theta'!$AC409-'03_Lap_b'!$B$45:$AW$45))))))</f>
        <v/>
      </c>
      <c r="G409" s="5">
        <f>IF(F409&lt;=0.000000001,"",1/SQRT(F409))</f>
        <v/>
      </c>
      <c r="H409">
        <f>IF(OR(C409=0,C409=D409),"BIÊN","")</f>
        <v/>
      </c>
    </row>
    <row r="410">
      <c r="A410" t="n">
        <v>409</v>
      </c>
      <c r="B410">
        <f>'01_Data'!A410</f>
        <v/>
      </c>
      <c r="C410">
        <f>'03_Lap_Theta'!C410</f>
        <v/>
      </c>
      <c r="D410">
        <f>'03_Lap_Theta'!D410</f>
        <v/>
      </c>
      <c r="E410" s="5">
        <f>'03_Lap_Theta'!$AC410</f>
        <v/>
      </c>
      <c r="F410" s="5">
        <f>SUMPRODUCT(('01_Data'!$B410:$AW410&lt;&gt;"")*(1/(1+EXP(-('03_Lap_Theta'!$AC410-'03_Lap_b'!$B$45:$AW$45))))*(1-(1/(1+EXP(-('03_Lap_Theta'!$AC410-'03_Lap_b'!$B$45:$AW$45))))))</f>
        <v/>
      </c>
      <c r="G410" s="5">
        <f>IF(F410&lt;=0.000000001,"",1/SQRT(F410))</f>
        <v/>
      </c>
      <c r="H410">
        <f>IF(OR(C410=0,C410=D410),"BIÊN","")</f>
        <v/>
      </c>
    </row>
    <row r="411">
      <c r="A411" t="n">
        <v>410</v>
      </c>
      <c r="B411">
        <f>'01_Data'!A411</f>
        <v/>
      </c>
      <c r="C411">
        <f>'03_Lap_Theta'!C411</f>
        <v/>
      </c>
      <c r="D411">
        <f>'03_Lap_Theta'!D411</f>
        <v/>
      </c>
      <c r="E411" s="5">
        <f>'03_Lap_Theta'!$AC411</f>
        <v/>
      </c>
      <c r="F411" s="5">
        <f>SUMPRODUCT(('01_Data'!$B411:$AW411&lt;&gt;"")*(1/(1+EXP(-('03_Lap_Theta'!$AC411-'03_Lap_b'!$B$45:$AW$45))))*(1-(1/(1+EXP(-('03_Lap_Theta'!$AC411-'03_Lap_b'!$B$45:$AW$45))))))</f>
        <v/>
      </c>
      <c r="G411" s="5">
        <f>IF(F411&lt;=0.000000001,"",1/SQRT(F411))</f>
        <v/>
      </c>
      <c r="H411">
        <f>IF(OR(C411=0,C411=D411),"BIÊN","")</f>
        <v/>
      </c>
    </row>
    <row r="412">
      <c r="A412" t="n">
        <v>411</v>
      </c>
      <c r="B412">
        <f>'01_Data'!A412</f>
        <v/>
      </c>
      <c r="C412">
        <f>'03_Lap_Theta'!C412</f>
        <v/>
      </c>
      <c r="D412">
        <f>'03_Lap_Theta'!D412</f>
        <v/>
      </c>
      <c r="E412" s="5">
        <f>'03_Lap_Theta'!$AC412</f>
        <v/>
      </c>
      <c r="F412" s="5">
        <f>SUMPRODUCT(('01_Data'!$B412:$AW412&lt;&gt;"")*(1/(1+EXP(-('03_Lap_Theta'!$AC412-'03_Lap_b'!$B$45:$AW$45))))*(1-(1/(1+EXP(-('03_Lap_Theta'!$AC412-'03_Lap_b'!$B$45:$AW$45))))))</f>
        <v/>
      </c>
      <c r="G412" s="5">
        <f>IF(F412&lt;=0.000000001,"",1/SQRT(F412))</f>
        <v/>
      </c>
      <c r="H412">
        <f>IF(OR(C412=0,C412=D412),"BIÊN","")</f>
        <v/>
      </c>
    </row>
    <row r="413">
      <c r="A413" t="n">
        <v>412</v>
      </c>
      <c r="B413">
        <f>'01_Data'!A413</f>
        <v/>
      </c>
      <c r="C413">
        <f>'03_Lap_Theta'!C413</f>
        <v/>
      </c>
      <c r="D413">
        <f>'03_Lap_Theta'!D413</f>
        <v/>
      </c>
      <c r="E413" s="5">
        <f>'03_Lap_Theta'!$AC413</f>
        <v/>
      </c>
      <c r="F413" s="5">
        <f>SUMPRODUCT(('01_Data'!$B413:$AW413&lt;&gt;"")*(1/(1+EXP(-('03_Lap_Theta'!$AC413-'03_Lap_b'!$B$45:$AW$45))))*(1-(1/(1+EXP(-('03_Lap_Theta'!$AC413-'03_Lap_b'!$B$45:$AW$45))))))</f>
        <v/>
      </c>
      <c r="G413" s="5">
        <f>IF(F413&lt;=0.000000001,"",1/SQRT(F413))</f>
        <v/>
      </c>
      <c r="H413">
        <f>IF(OR(C413=0,C413=D413),"BIÊN","")</f>
        <v/>
      </c>
    </row>
    <row r="414">
      <c r="A414" t="n">
        <v>413</v>
      </c>
      <c r="B414">
        <f>'01_Data'!A414</f>
        <v/>
      </c>
      <c r="C414">
        <f>'03_Lap_Theta'!C414</f>
        <v/>
      </c>
      <c r="D414">
        <f>'03_Lap_Theta'!D414</f>
        <v/>
      </c>
      <c r="E414" s="5">
        <f>'03_Lap_Theta'!$AC414</f>
        <v/>
      </c>
      <c r="F414" s="5">
        <f>SUMPRODUCT(('01_Data'!$B414:$AW414&lt;&gt;"")*(1/(1+EXP(-('03_Lap_Theta'!$AC414-'03_Lap_b'!$B$45:$AW$45))))*(1-(1/(1+EXP(-('03_Lap_Theta'!$AC414-'03_Lap_b'!$B$45:$AW$45))))))</f>
        <v/>
      </c>
      <c r="G414" s="5">
        <f>IF(F414&lt;=0.000000001,"",1/SQRT(F414))</f>
        <v/>
      </c>
      <c r="H414">
        <f>IF(OR(C414=0,C414=D414),"BIÊN","")</f>
        <v/>
      </c>
    </row>
    <row r="415">
      <c r="A415" t="n">
        <v>414</v>
      </c>
      <c r="B415">
        <f>'01_Data'!A415</f>
        <v/>
      </c>
      <c r="C415">
        <f>'03_Lap_Theta'!C415</f>
        <v/>
      </c>
      <c r="D415">
        <f>'03_Lap_Theta'!D415</f>
        <v/>
      </c>
      <c r="E415" s="5">
        <f>'03_Lap_Theta'!$AC415</f>
        <v/>
      </c>
      <c r="F415" s="5">
        <f>SUMPRODUCT(('01_Data'!$B415:$AW415&lt;&gt;"")*(1/(1+EXP(-('03_Lap_Theta'!$AC415-'03_Lap_b'!$B$45:$AW$45))))*(1-(1/(1+EXP(-('03_Lap_Theta'!$AC415-'03_Lap_b'!$B$45:$AW$45))))))</f>
        <v/>
      </c>
      <c r="G415" s="5">
        <f>IF(F415&lt;=0.000000001,"",1/SQRT(F415))</f>
        <v/>
      </c>
      <c r="H415">
        <f>IF(OR(C415=0,C415=D415),"BIÊN","")</f>
        <v/>
      </c>
    </row>
    <row r="416">
      <c r="A416" t="n">
        <v>415</v>
      </c>
      <c r="B416">
        <f>'01_Data'!A416</f>
        <v/>
      </c>
      <c r="C416">
        <f>'03_Lap_Theta'!C416</f>
        <v/>
      </c>
      <c r="D416">
        <f>'03_Lap_Theta'!D416</f>
        <v/>
      </c>
      <c r="E416" s="5">
        <f>'03_Lap_Theta'!$AC416</f>
        <v/>
      </c>
      <c r="F416" s="5">
        <f>SUMPRODUCT(('01_Data'!$B416:$AW416&lt;&gt;"")*(1/(1+EXP(-('03_Lap_Theta'!$AC416-'03_Lap_b'!$B$45:$AW$45))))*(1-(1/(1+EXP(-('03_Lap_Theta'!$AC416-'03_Lap_b'!$B$45:$AW$45))))))</f>
        <v/>
      </c>
      <c r="G416" s="5">
        <f>IF(F416&lt;=0.000000001,"",1/SQRT(F416))</f>
        <v/>
      </c>
      <c r="H416">
        <f>IF(OR(C416=0,C416=D416),"BIÊN","")</f>
        <v/>
      </c>
    </row>
    <row r="417">
      <c r="A417" t="n">
        <v>416</v>
      </c>
      <c r="B417">
        <f>'01_Data'!A417</f>
        <v/>
      </c>
      <c r="C417">
        <f>'03_Lap_Theta'!C417</f>
        <v/>
      </c>
      <c r="D417">
        <f>'03_Lap_Theta'!D417</f>
        <v/>
      </c>
      <c r="E417" s="5">
        <f>'03_Lap_Theta'!$AC417</f>
        <v/>
      </c>
      <c r="F417" s="5">
        <f>SUMPRODUCT(('01_Data'!$B417:$AW417&lt;&gt;"")*(1/(1+EXP(-('03_Lap_Theta'!$AC417-'03_Lap_b'!$B$45:$AW$45))))*(1-(1/(1+EXP(-('03_Lap_Theta'!$AC417-'03_Lap_b'!$B$45:$AW$45))))))</f>
        <v/>
      </c>
      <c r="G417" s="5">
        <f>IF(F417&lt;=0.000000001,"",1/SQRT(F417))</f>
        <v/>
      </c>
      <c r="H417">
        <f>IF(OR(C417=0,C417=D417),"BIÊN","")</f>
        <v/>
      </c>
    </row>
    <row r="418">
      <c r="A418" t="n">
        <v>417</v>
      </c>
      <c r="B418">
        <f>'01_Data'!A418</f>
        <v/>
      </c>
      <c r="C418">
        <f>'03_Lap_Theta'!C418</f>
        <v/>
      </c>
      <c r="D418">
        <f>'03_Lap_Theta'!D418</f>
        <v/>
      </c>
      <c r="E418" s="5">
        <f>'03_Lap_Theta'!$AC418</f>
        <v/>
      </c>
      <c r="F418" s="5">
        <f>SUMPRODUCT(('01_Data'!$B418:$AW418&lt;&gt;"")*(1/(1+EXP(-('03_Lap_Theta'!$AC418-'03_Lap_b'!$B$45:$AW$45))))*(1-(1/(1+EXP(-('03_Lap_Theta'!$AC418-'03_Lap_b'!$B$45:$AW$45))))))</f>
        <v/>
      </c>
      <c r="G418" s="5">
        <f>IF(F418&lt;=0.000000001,"",1/SQRT(F418))</f>
        <v/>
      </c>
      <c r="H418">
        <f>IF(OR(C418=0,C418=D418),"BIÊN","")</f>
        <v/>
      </c>
    </row>
    <row r="419">
      <c r="A419" t="n">
        <v>418</v>
      </c>
      <c r="B419">
        <f>'01_Data'!A419</f>
        <v/>
      </c>
      <c r="C419">
        <f>'03_Lap_Theta'!C419</f>
        <v/>
      </c>
      <c r="D419">
        <f>'03_Lap_Theta'!D419</f>
        <v/>
      </c>
      <c r="E419" s="5">
        <f>'03_Lap_Theta'!$AC419</f>
        <v/>
      </c>
      <c r="F419" s="5">
        <f>SUMPRODUCT(('01_Data'!$B419:$AW419&lt;&gt;"")*(1/(1+EXP(-('03_Lap_Theta'!$AC419-'03_Lap_b'!$B$45:$AW$45))))*(1-(1/(1+EXP(-('03_Lap_Theta'!$AC419-'03_Lap_b'!$B$45:$AW$45))))))</f>
        <v/>
      </c>
      <c r="G419" s="5">
        <f>IF(F419&lt;=0.000000001,"",1/SQRT(F419))</f>
        <v/>
      </c>
      <c r="H419">
        <f>IF(OR(C419=0,C419=D419),"BIÊN","")</f>
        <v/>
      </c>
    </row>
    <row r="420">
      <c r="A420" t="n">
        <v>419</v>
      </c>
      <c r="B420">
        <f>'01_Data'!A420</f>
        <v/>
      </c>
      <c r="C420">
        <f>'03_Lap_Theta'!C420</f>
        <v/>
      </c>
      <c r="D420">
        <f>'03_Lap_Theta'!D420</f>
        <v/>
      </c>
      <c r="E420" s="5">
        <f>'03_Lap_Theta'!$AC420</f>
        <v/>
      </c>
      <c r="F420" s="5">
        <f>SUMPRODUCT(('01_Data'!$B420:$AW420&lt;&gt;"")*(1/(1+EXP(-('03_Lap_Theta'!$AC420-'03_Lap_b'!$B$45:$AW$45))))*(1-(1/(1+EXP(-('03_Lap_Theta'!$AC420-'03_Lap_b'!$B$45:$AW$45))))))</f>
        <v/>
      </c>
      <c r="G420" s="5">
        <f>IF(F420&lt;=0.000000001,"",1/SQRT(F420))</f>
        <v/>
      </c>
      <c r="H420">
        <f>IF(OR(C420=0,C420=D420),"BIÊN","")</f>
        <v/>
      </c>
    </row>
    <row r="421">
      <c r="A421" t="n">
        <v>420</v>
      </c>
      <c r="B421">
        <f>'01_Data'!A421</f>
        <v/>
      </c>
      <c r="C421">
        <f>'03_Lap_Theta'!C421</f>
        <v/>
      </c>
      <c r="D421">
        <f>'03_Lap_Theta'!D421</f>
        <v/>
      </c>
      <c r="E421" s="5">
        <f>'03_Lap_Theta'!$AC421</f>
        <v/>
      </c>
      <c r="F421" s="5">
        <f>SUMPRODUCT(('01_Data'!$B421:$AW421&lt;&gt;"")*(1/(1+EXP(-('03_Lap_Theta'!$AC421-'03_Lap_b'!$B$45:$AW$45))))*(1-(1/(1+EXP(-('03_Lap_Theta'!$AC421-'03_Lap_b'!$B$45:$AW$45))))))</f>
        <v/>
      </c>
      <c r="G421" s="5">
        <f>IF(F421&lt;=0.000000001,"",1/SQRT(F421))</f>
        <v/>
      </c>
      <c r="H421">
        <f>IF(OR(C421=0,C421=D421),"BIÊN","")</f>
        <v/>
      </c>
    </row>
    <row r="422">
      <c r="A422" t="n">
        <v>421</v>
      </c>
      <c r="B422">
        <f>'01_Data'!A422</f>
        <v/>
      </c>
      <c r="C422">
        <f>'03_Lap_Theta'!C422</f>
        <v/>
      </c>
      <c r="D422">
        <f>'03_Lap_Theta'!D422</f>
        <v/>
      </c>
      <c r="E422" s="5">
        <f>'03_Lap_Theta'!$AC422</f>
        <v/>
      </c>
      <c r="F422" s="5">
        <f>SUMPRODUCT(('01_Data'!$B422:$AW422&lt;&gt;"")*(1/(1+EXP(-('03_Lap_Theta'!$AC422-'03_Lap_b'!$B$45:$AW$45))))*(1-(1/(1+EXP(-('03_Lap_Theta'!$AC422-'03_Lap_b'!$B$45:$AW$45))))))</f>
        <v/>
      </c>
      <c r="G422" s="5">
        <f>IF(F422&lt;=0.000000001,"",1/SQRT(F422))</f>
        <v/>
      </c>
      <c r="H422">
        <f>IF(OR(C422=0,C422=D422),"BIÊN","")</f>
        <v/>
      </c>
    </row>
    <row r="423">
      <c r="A423" t="n">
        <v>422</v>
      </c>
      <c r="B423">
        <f>'01_Data'!A423</f>
        <v/>
      </c>
      <c r="C423">
        <f>'03_Lap_Theta'!C423</f>
        <v/>
      </c>
      <c r="D423">
        <f>'03_Lap_Theta'!D423</f>
        <v/>
      </c>
      <c r="E423" s="5">
        <f>'03_Lap_Theta'!$AC423</f>
        <v/>
      </c>
      <c r="F423" s="5">
        <f>SUMPRODUCT(('01_Data'!$B423:$AW423&lt;&gt;"")*(1/(1+EXP(-('03_Lap_Theta'!$AC423-'03_Lap_b'!$B$45:$AW$45))))*(1-(1/(1+EXP(-('03_Lap_Theta'!$AC423-'03_Lap_b'!$B$45:$AW$45))))))</f>
        <v/>
      </c>
      <c r="G423" s="5">
        <f>IF(F423&lt;=0.000000001,"",1/SQRT(F423))</f>
        <v/>
      </c>
      <c r="H423">
        <f>IF(OR(C423=0,C423=D423),"BIÊN","")</f>
        <v/>
      </c>
    </row>
    <row r="424">
      <c r="A424" t="n">
        <v>423</v>
      </c>
      <c r="B424">
        <f>'01_Data'!A424</f>
        <v/>
      </c>
      <c r="C424">
        <f>'03_Lap_Theta'!C424</f>
        <v/>
      </c>
      <c r="D424">
        <f>'03_Lap_Theta'!D424</f>
        <v/>
      </c>
      <c r="E424" s="5">
        <f>'03_Lap_Theta'!$AC424</f>
        <v/>
      </c>
      <c r="F424" s="5">
        <f>SUMPRODUCT(('01_Data'!$B424:$AW424&lt;&gt;"")*(1/(1+EXP(-('03_Lap_Theta'!$AC424-'03_Lap_b'!$B$45:$AW$45))))*(1-(1/(1+EXP(-('03_Lap_Theta'!$AC424-'03_Lap_b'!$B$45:$AW$45))))))</f>
        <v/>
      </c>
      <c r="G424" s="5">
        <f>IF(F424&lt;=0.000000001,"",1/SQRT(F424))</f>
        <v/>
      </c>
      <c r="H424">
        <f>IF(OR(C424=0,C424=D424),"BIÊN","")</f>
        <v/>
      </c>
    </row>
    <row r="425">
      <c r="A425" t="n">
        <v>424</v>
      </c>
      <c r="B425">
        <f>'01_Data'!A425</f>
        <v/>
      </c>
      <c r="C425">
        <f>'03_Lap_Theta'!C425</f>
        <v/>
      </c>
      <c r="D425">
        <f>'03_Lap_Theta'!D425</f>
        <v/>
      </c>
      <c r="E425" s="5">
        <f>'03_Lap_Theta'!$AC425</f>
        <v/>
      </c>
      <c r="F425" s="5">
        <f>SUMPRODUCT(('01_Data'!$B425:$AW425&lt;&gt;"")*(1/(1+EXP(-('03_Lap_Theta'!$AC425-'03_Lap_b'!$B$45:$AW$45))))*(1-(1/(1+EXP(-('03_Lap_Theta'!$AC425-'03_Lap_b'!$B$45:$AW$45))))))</f>
        <v/>
      </c>
      <c r="G425" s="5">
        <f>IF(F425&lt;=0.000000001,"",1/SQRT(F425))</f>
        <v/>
      </c>
      <c r="H425">
        <f>IF(OR(C425=0,C425=D425),"BIÊN","")</f>
        <v/>
      </c>
    </row>
    <row r="426">
      <c r="A426" t="n">
        <v>425</v>
      </c>
      <c r="B426">
        <f>'01_Data'!A426</f>
        <v/>
      </c>
      <c r="C426">
        <f>'03_Lap_Theta'!C426</f>
        <v/>
      </c>
      <c r="D426">
        <f>'03_Lap_Theta'!D426</f>
        <v/>
      </c>
      <c r="E426" s="5">
        <f>'03_Lap_Theta'!$AC426</f>
        <v/>
      </c>
      <c r="F426" s="5">
        <f>SUMPRODUCT(('01_Data'!$B426:$AW426&lt;&gt;"")*(1/(1+EXP(-('03_Lap_Theta'!$AC426-'03_Lap_b'!$B$45:$AW$45))))*(1-(1/(1+EXP(-('03_Lap_Theta'!$AC426-'03_Lap_b'!$B$45:$AW$45))))))</f>
        <v/>
      </c>
      <c r="G426" s="5">
        <f>IF(F426&lt;=0.000000001,"",1/SQRT(F426))</f>
        <v/>
      </c>
      <c r="H426">
        <f>IF(OR(C426=0,C426=D426),"BIÊN","")</f>
        <v/>
      </c>
    </row>
    <row r="427">
      <c r="A427" t="n">
        <v>426</v>
      </c>
      <c r="B427">
        <f>'01_Data'!A427</f>
        <v/>
      </c>
      <c r="C427">
        <f>'03_Lap_Theta'!C427</f>
        <v/>
      </c>
      <c r="D427">
        <f>'03_Lap_Theta'!D427</f>
        <v/>
      </c>
      <c r="E427" s="5">
        <f>'03_Lap_Theta'!$AC427</f>
        <v/>
      </c>
      <c r="F427" s="5">
        <f>SUMPRODUCT(('01_Data'!$B427:$AW427&lt;&gt;"")*(1/(1+EXP(-('03_Lap_Theta'!$AC427-'03_Lap_b'!$B$45:$AW$45))))*(1-(1/(1+EXP(-('03_Lap_Theta'!$AC427-'03_Lap_b'!$B$45:$AW$45))))))</f>
        <v/>
      </c>
      <c r="G427" s="5">
        <f>IF(F427&lt;=0.000000001,"",1/SQRT(F427))</f>
        <v/>
      </c>
      <c r="H427">
        <f>IF(OR(C427=0,C427=D427),"BIÊN","")</f>
        <v/>
      </c>
    </row>
    <row r="428">
      <c r="A428" t="n">
        <v>427</v>
      </c>
      <c r="B428">
        <f>'01_Data'!A428</f>
        <v/>
      </c>
      <c r="C428">
        <f>'03_Lap_Theta'!C428</f>
        <v/>
      </c>
      <c r="D428">
        <f>'03_Lap_Theta'!D428</f>
        <v/>
      </c>
      <c r="E428" s="5">
        <f>'03_Lap_Theta'!$AC428</f>
        <v/>
      </c>
      <c r="F428" s="5">
        <f>SUMPRODUCT(('01_Data'!$B428:$AW428&lt;&gt;"")*(1/(1+EXP(-('03_Lap_Theta'!$AC428-'03_Lap_b'!$B$45:$AW$45))))*(1-(1/(1+EXP(-('03_Lap_Theta'!$AC428-'03_Lap_b'!$B$45:$AW$45))))))</f>
        <v/>
      </c>
      <c r="G428" s="5">
        <f>IF(F428&lt;=0.000000001,"",1/SQRT(F428))</f>
        <v/>
      </c>
      <c r="H428">
        <f>IF(OR(C428=0,C428=D428),"BIÊN","")</f>
        <v/>
      </c>
    </row>
    <row r="429">
      <c r="A429" t="n">
        <v>428</v>
      </c>
      <c r="B429">
        <f>'01_Data'!A429</f>
        <v/>
      </c>
      <c r="C429">
        <f>'03_Lap_Theta'!C429</f>
        <v/>
      </c>
      <c r="D429">
        <f>'03_Lap_Theta'!D429</f>
        <v/>
      </c>
      <c r="E429" s="5">
        <f>'03_Lap_Theta'!$AC429</f>
        <v/>
      </c>
      <c r="F429" s="5">
        <f>SUMPRODUCT(('01_Data'!$B429:$AW429&lt;&gt;"")*(1/(1+EXP(-('03_Lap_Theta'!$AC429-'03_Lap_b'!$B$45:$AW$45))))*(1-(1/(1+EXP(-('03_Lap_Theta'!$AC429-'03_Lap_b'!$B$45:$AW$45))))))</f>
        <v/>
      </c>
      <c r="G429" s="5">
        <f>IF(F429&lt;=0.000000001,"",1/SQRT(F429))</f>
        <v/>
      </c>
      <c r="H429">
        <f>IF(OR(C429=0,C429=D429),"BIÊN","")</f>
        <v/>
      </c>
    </row>
    <row r="430">
      <c r="A430" t="n">
        <v>429</v>
      </c>
      <c r="B430">
        <f>'01_Data'!A430</f>
        <v/>
      </c>
      <c r="C430">
        <f>'03_Lap_Theta'!C430</f>
        <v/>
      </c>
      <c r="D430">
        <f>'03_Lap_Theta'!D430</f>
        <v/>
      </c>
      <c r="E430" s="5">
        <f>'03_Lap_Theta'!$AC430</f>
        <v/>
      </c>
      <c r="F430" s="5">
        <f>SUMPRODUCT(('01_Data'!$B430:$AW430&lt;&gt;"")*(1/(1+EXP(-('03_Lap_Theta'!$AC430-'03_Lap_b'!$B$45:$AW$45))))*(1-(1/(1+EXP(-('03_Lap_Theta'!$AC430-'03_Lap_b'!$B$45:$AW$45))))))</f>
        <v/>
      </c>
      <c r="G430" s="5">
        <f>IF(F430&lt;=0.000000001,"",1/SQRT(F430))</f>
        <v/>
      </c>
      <c r="H430">
        <f>IF(OR(C430=0,C430=D430),"BIÊN","")</f>
        <v/>
      </c>
    </row>
    <row r="431">
      <c r="A431" t="n">
        <v>430</v>
      </c>
      <c r="B431">
        <f>'01_Data'!A431</f>
        <v/>
      </c>
      <c r="C431">
        <f>'03_Lap_Theta'!C431</f>
        <v/>
      </c>
      <c r="D431">
        <f>'03_Lap_Theta'!D431</f>
        <v/>
      </c>
      <c r="E431" s="5">
        <f>'03_Lap_Theta'!$AC431</f>
        <v/>
      </c>
      <c r="F431" s="5">
        <f>SUMPRODUCT(('01_Data'!$B431:$AW431&lt;&gt;"")*(1/(1+EXP(-('03_Lap_Theta'!$AC431-'03_Lap_b'!$B$45:$AW$45))))*(1-(1/(1+EXP(-('03_Lap_Theta'!$AC431-'03_Lap_b'!$B$45:$AW$45))))))</f>
        <v/>
      </c>
      <c r="G431" s="5">
        <f>IF(F431&lt;=0.000000001,"",1/SQRT(F431))</f>
        <v/>
      </c>
      <c r="H431">
        <f>IF(OR(C431=0,C431=D431),"BIÊN","")</f>
        <v/>
      </c>
    </row>
    <row r="432">
      <c r="A432" t="n">
        <v>431</v>
      </c>
      <c r="B432">
        <f>'01_Data'!A432</f>
        <v/>
      </c>
      <c r="C432">
        <f>'03_Lap_Theta'!C432</f>
        <v/>
      </c>
      <c r="D432">
        <f>'03_Lap_Theta'!D432</f>
        <v/>
      </c>
      <c r="E432" s="5">
        <f>'03_Lap_Theta'!$AC432</f>
        <v/>
      </c>
      <c r="F432" s="5">
        <f>SUMPRODUCT(('01_Data'!$B432:$AW432&lt;&gt;"")*(1/(1+EXP(-('03_Lap_Theta'!$AC432-'03_Lap_b'!$B$45:$AW$45))))*(1-(1/(1+EXP(-('03_Lap_Theta'!$AC432-'03_Lap_b'!$B$45:$AW$45))))))</f>
        <v/>
      </c>
      <c r="G432" s="5">
        <f>IF(F432&lt;=0.000000001,"",1/SQRT(F432))</f>
        <v/>
      </c>
      <c r="H432">
        <f>IF(OR(C432=0,C432=D432),"BIÊN","")</f>
        <v/>
      </c>
    </row>
    <row r="433">
      <c r="A433" t="n">
        <v>432</v>
      </c>
      <c r="B433">
        <f>'01_Data'!A433</f>
        <v/>
      </c>
      <c r="C433">
        <f>'03_Lap_Theta'!C433</f>
        <v/>
      </c>
      <c r="D433">
        <f>'03_Lap_Theta'!D433</f>
        <v/>
      </c>
      <c r="E433" s="5">
        <f>'03_Lap_Theta'!$AC433</f>
        <v/>
      </c>
      <c r="F433" s="5">
        <f>SUMPRODUCT(('01_Data'!$B433:$AW433&lt;&gt;"")*(1/(1+EXP(-('03_Lap_Theta'!$AC433-'03_Lap_b'!$B$45:$AW$45))))*(1-(1/(1+EXP(-('03_Lap_Theta'!$AC433-'03_Lap_b'!$B$45:$AW$45))))))</f>
        <v/>
      </c>
      <c r="G433" s="5">
        <f>IF(F433&lt;=0.000000001,"",1/SQRT(F433))</f>
        <v/>
      </c>
      <c r="H433">
        <f>IF(OR(C433=0,C433=D433),"BIÊN","")</f>
        <v/>
      </c>
    </row>
    <row r="434">
      <c r="A434" t="n">
        <v>433</v>
      </c>
      <c r="B434">
        <f>'01_Data'!A434</f>
        <v/>
      </c>
      <c r="C434">
        <f>'03_Lap_Theta'!C434</f>
        <v/>
      </c>
      <c r="D434">
        <f>'03_Lap_Theta'!D434</f>
        <v/>
      </c>
      <c r="E434" s="5">
        <f>'03_Lap_Theta'!$AC434</f>
        <v/>
      </c>
      <c r="F434" s="5">
        <f>SUMPRODUCT(('01_Data'!$B434:$AW434&lt;&gt;"")*(1/(1+EXP(-('03_Lap_Theta'!$AC434-'03_Lap_b'!$B$45:$AW$45))))*(1-(1/(1+EXP(-('03_Lap_Theta'!$AC434-'03_Lap_b'!$B$45:$AW$45))))))</f>
        <v/>
      </c>
      <c r="G434" s="5">
        <f>IF(F434&lt;=0.000000001,"",1/SQRT(F434))</f>
        <v/>
      </c>
      <c r="H434">
        <f>IF(OR(C434=0,C434=D434),"BIÊN","")</f>
        <v/>
      </c>
    </row>
    <row r="435">
      <c r="A435" t="n">
        <v>434</v>
      </c>
      <c r="B435">
        <f>'01_Data'!A435</f>
        <v/>
      </c>
      <c r="C435">
        <f>'03_Lap_Theta'!C435</f>
        <v/>
      </c>
      <c r="D435">
        <f>'03_Lap_Theta'!D435</f>
        <v/>
      </c>
      <c r="E435" s="5">
        <f>'03_Lap_Theta'!$AC435</f>
        <v/>
      </c>
      <c r="F435" s="5">
        <f>SUMPRODUCT(('01_Data'!$B435:$AW435&lt;&gt;"")*(1/(1+EXP(-('03_Lap_Theta'!$AC435-'03_Lap_b'!$B$45:$AW$45))))*(1-(1/(1+EXP(-('03_Lap_Theta'!$AC435-'03_Lap_b'!$B$45:$AW$45))))))</f>
        <v/>
      </c>
      <c r="G435" s="5">
        <f>IF(F435&lt;=0.000000001,"",1/SQRT(F435))</f>
        <v/>
      </c>
      <c r="H435">
        <f>IF(OR(C435=0,C435=D435),"BIÊN","")</f>
        <v/>
      </c>
    </row>
    <row r="436">
      <c r="A436" t="n">
        <v>435</v>
      </c>
      <c r="B436">
        <f>'01_Data'!A436</f>
        <v/>
      </c>
      <c r="C436">
        <f>'03_Lap_Theta'!C436</f>
        <v/>
      </c>
      <c r="D436">
        <f>'03_Lap_Theta'!D436</f>
        <v/>
      </c>
      <c r="E436" s="5">
        <f>'03_Lap_Theta'!$AC436</f>
        <v/>
      </c>
      <c r="F436" s="5">
        <f>SUMPRODUCT(('01_Data'!$B436:$AW436&lt;&gt;"")*(1/(1+EXP(-('03_Lap_Theta'!$AC436-'03_Lap_b'!$B$45:$AW$45))))*(1-(1/(1+EXP(-('03_Lap_Theta'!$AC436-'03_Lap_b'!$B$45:$AW$45))))))</f>
        <v/>
      </c>
      <c r="G436" s="5">
        <f>IF(F436&lt;=0.000000001,"",1/SQRT(F436))</f>
        <v/>
      </c>
      <c r="H436">
        <f>IF(OR(C436=0,C436=D436),"BIÊN","")</f>
        <v/>
      </c>
    </row>
    <row r="437">
      <c r="A437" t="n">
        <v>436</v>
      </c>
      <c r="B437">
        <f>'01_Data'!A437</f>
        <v/>
      </c>
      <c r="C437">
        <f>'03_Lap_Theta'!C437</f>
        <v/>
      </c>
      <c r="D437">
        <f>'03_Lap_Theta'!D437</f>
        <v/>
      </c>
      <c r="E437" s="5">
        <f>'03_Lap_Theta'!$AC437</f>
        <v/>
      </c>
      <c r="F437" s="5">
        <f>SUMPRODUCT(('01_Data'!$B437:$AW437&lt;&gt;"")*(1/(1+EXP(-('03_Lap_Theta'!$AC437-'03_Lap_b'!$B$45:$AW$45))))*(1-(1/(1+EXP(-('03_Lap_Theta'!$AC437-'03_Lap_b'!$B$45:$AW$45))))))</f>
        <v/>
      </c>
      <c r="G437" s="5">
        <f>IF(F437&lt;=0.000000001,"",1/SQRT(F437))</f>
        <v/>
      </c>
      <c r="H437">
        <f>IF(OR(C437=0,C437=D437),"BIÊN","")</f>
        <v/>
      </c>
    </row>
    <row r="438">
      <c r="A438" t="n">
        <v>437</v>
      </c>
      <c r="B438">
        <f>'01_Data'!A438</f>
        <v/>
      </c>
      <c r="C438">
        <f>'03_Lap_Theta'!C438</f>
        <v/>
      </c>
      <c r="D438">
        <f>'03_Lap_Theta'!D438</f>
        <v/>
      </c>
      <c r="E438" s="5">
        <f>'03_Lap_Theta'!$AC438</f>
        <v/>
      </c>
      <c r="F438" s="5">
        <f>SUMPRODUCT(('01_Data'!$B438:$AW438&lt;&gt;"")*(1/(1+EXP(-('03_Lap_Theta'!$AC438-'03_Lap_b'!$B$45:$AW$45))))*(1-(1/(1+EXP(-('03_Lap_Theta'!$AC438-'03_Lap_b'!$B$45:$AW$45))))))</f>
        <v/>
      </c>
      <c r="G438" s="5">
        <f>IF(F438&lt;=0.000000001,"",1/SQRT(F438))</f>
        <v/>
      </c>
      <c r="H438">
        <f>IF(OR(C438=0,C438=D438),"BIÊN","")</f>
        <v/>
      </c>
    </row>
    <row r="439">
      <c r="A439" t="n">
        <v>438</v>
      </c>
      <c r="B439">
        <f>'01_Data'!A439</f>
        <v/>
      </c>
      <c r="C439">
        <f>'03_Lap_Theta'!C439</f>
        <v/>
      </c>
      <c r="D439">
        <f>'03_Lap_Theta'!D439</f>
        <v/>
      </c>
      <c r="E439" s="5">
        <f>'03_Lap_Theta'!$AC439</f>
        <v/>
      </c>
      <c r="F439" s="5">
        <f>SUMPRODUCT(('01_Data'!$B439:$AW439&lt;&gt;"")*(1/(1+EXP(-('03_Lap_Theta'!$AC439-'03_Lap_b'!$B$45:$AW$45))))*(1-(1/(1+EXP(-('03_Lap_Theta'!$AC439-'03_Lap_b'!$B$45:$AW$45))))))</f>
        <v/>
      </c>
      <c r="G439" s="5">
        <f>IF(F439&lt;=0.000000001,"",1/SQRT(F439))</f>
        <v/>
      </c>
      <c r="H439">
        <f>IF(OR(C439=0,C439=D439),"BIÊN","")</f>
        <v/>
      </c>
    </row>
    <row r="440">
      <c r="A440" t="n">
        <v>439</v>
      </c>
      <c r="B440">
        <f>'01_Data'!A440</f>
        <v/>
      </c>
      <c r="C440">
        <f>'03_Lap_Theta'!C440</f>
        <v/>
      </c>
      <c r="D440">
        <f>'03_Lap_Theta'!D440</f>
        <v/>
      </c>
      <c r="E440" s="5">
        <f>'03_Lap_Theta'!$AC440</f>
        <v/>
      </c>
      <c r="F440" s="5">
        <f>SUMPRODUCT(('01_Data'!$B440:$AW440&lt;&gt;"")*(1/(1+EXP(-('03_Lap_Theta'!$AC440-'03_Lap_b'!$B$45:$AW$45))))*(1-(1/(1+EXP(-('03_Lap_Theta'!$AC440-'03_Lap_b'!$B$45:$AW$45))))))</f>
        <v/>
      </c>
      <c r="G440" s="5">
        <f>IF(F440&lt;=0.000000001,"",1/SQRT(F440))</f>
        <v/>
      </c>
      <c r="H440">
        <f>IF(OR(C440=0,C440=D440),"BIÊN","")</f>
        <v/>
      </c>
    </row>
    <row r="441">
      <c r="A441" t="n">
        <v>440</v>
      </c>
      <c r="B441">
        <f>'01_Data'!A441</f>
        <v/>
      </c>
      <c r="C441">
        <f>'03_Lap_Theta'!C441</f>
        <v/>
      </c>
      <c r="D441">
        <f>'03_Lap_Theta'!D441</f>
        <v/>
      </c>
      <c r="E441" s="5">
        <f>'03_Lap_Theta'!$AC441</f>
        <v/>
      </c>
      <c r="F441" s="5">
        <f>SUMPRODUCT(('01_Data'!$B441:$AW441&lt;&gt;"")*(1/(1+EXP(-('03_Lap_Theta'!$AC441-'03_Lap_b'!$B$45:$AW$45))))*(1-(1/(1+EXP(-('03_Lap_Theta'!$AC441-'03_Lap_b'!$B$45:$AW$45))))))</f>
        <v/>
      </c>
      <c r="G441" s="5">
        <f>IF(F441&lt;=0.000000001,"",1/SQRT(F441))</f>
        <v/>
      </c>
      <c r="H441">
        <f>IF(OR(C441=0,C441=D441),"BIÊN","")</f>
        <v/>
      </c>
    </row>
    <row r="442">
      <c r="A442" t="n">
        <v>441</v>
      </c>
      <c r="B442">
        <f>'01_Data'!A442</f>
        <v/>
      </c>
      <c r="C442">
        <f>'03_Lap_Theta'!C442</f>
        <v/>
      </c>
      <c r="D442">
        <f>'03_Lap_Theta'!D442</f>
        <v/>
      </c>
      <c r="E442" s="5">
        <f>'03_Lap_Theta'!$AC442</f>
        <v/>
      </c>
      <c r="F442" s="5">
        <f>SUMPRODUCT(('01_Data'!$B442:$AW442&lt;&gt;"")*(1/(1+EXP(-('03_Lap_Theta'!$AC442-'03_Lap_b'!$B$45:$AW$45))))*(1-(1/(1+EXP(-('03_Lap_Theta'!$AC442-'03_Lap_b'!$B$45:$AW$45))))))</f>
        <v/>
      </c>
      <c r="G442" s="5">
        <f>IF(F442&lt;=0.000000001,"",1/SQRT(F442))</f>
        <v/>
      </c>
      <c r="H442">
        <f>IF(OR(C442=0,C442=D442),"BIÊN","")</f>
        <v/>
      </c>
    </row>
    <row r="443">
      <c r="A443" t="n">
        <v>442</v>
      </c>
      <c r="B443">
        <f>'01_Data'!A443</f>
        <v/>
      </c>
      <c r="C443">
        <f>'03_Lap_Theta'!C443</f>
        <v/>
      </c>
      <c r="D443">
        <f>'03_Lap_Theta'!D443</f>
        <v/>
      </c>
      <c r="E443" s="5">
        <f>'03_Lap_Theta'!$AC443</f>
        <v/>
      </c>
      <c r="F443" s="5">
        <f>SUMPRODUCT(('01_Data'!$B443:$AW443&lt;&gt;"")*(1/(1+EXP(-('03_Lap_Theta'!$AC443-'03_Lap_b'!$B$45:$AW$45))))*(1-(1/(1+EXP(-('03_Lap_Theta'!$AC443-'03_Lap_b'!$B$45:$AW$45))))))</f>
        <v/>
      </c>
      <c r="G443" s="5">
        <f>IF(F443&lt;=0.000000001,"",1/SQRT(F443))</f>
        <v/>
      </c>
      <c r="H443">
        <f>IF(OR(C443=0,C443=D443),"BIÊN","")</f>
        <v/>
      </c>
    </row>
    <row r="444">
      <c r="A444" t="n">
        <v>443</v>
      </c>
      <c r="B444">
        <f>'01_Data'!A444</f>
        <v/>
      </c>
      <c r="C444">
        <f>'03_Lap_Theta'!C444</f>
        <v/>
      </c>
      <c r="D444">
        <f>'03_Lap_Theta'!D444</f>
        <v/>
      </c>
      <c r="E444" s="5">
        <f>'03_Lap_Theta'!$AC444</f>
        <v/>
      </c>
      <c r="F444" s="5">
        <f>SUMPRODUCT(('01_Data'!$B444:$AW444&lt;&gt;"")*(1/(1+EXP(-('03_Lap_Theta'!$AC444-'03_Lap_b'!$B$45:$AW$45))))*(1-(1/(1+EXP(-('03_Lap_Theta'!$AC444-'03_Lap_b'!$B$45:$AW$45))))))</f>
        <v/>
      </c>
      <c r="G444" s="5">
        <f>IF(F444&lt;=0.000000001,"",1/SQRT(F444))</f>
        <v/>
      </c>
      <c r="H444">
        <f>IF(OR(C444=0,C444=D444),"BIÊN","")</f>
        <v/>
      </c>
    </row>
    <row r="445">
      <c r="A445" t="n">
        <v>444</v>
      </c>
      <c r="B445">
        <f>'01_Data'!A445</f>
        <v/>
      </c>
      <c r="C445">
        <f>'03_Lap_Theta'!C445</f>
        <v/>
      </c>
      <c r="D445">
        <f>'03_Lap_Theta'!D445</f>
        <v/>
      </c>
      <c r="E445" s="5">
        <f>'03_Lap_Theta'!$AC445</f>
        <v/>
      </c>
      <c r="F445" s="5">
        <f>SUMPRODUCT(('01_Data'!$B445:$AW445&lt;&gt;"")*(1/(1+EXP(-('03_Lap_Theta'!$AC445-'03_Lap_b'!$B$45:$AW$45))))*(1-(1/(1+EXP(-('03_Lap_Theta'!$AC445-'03_Lap_b'!$B$45:$AW$45))))))</f>
        <v/>
      </c>
      <c r="G445" s="5">
        <f>IF(F445&lt;=0.000000001,"",1/SQRT(F445))</f>
        <v/>
      </c>
      <c r="H445">
        <f>IF(OR(C445=0,C445=D445),"BIÊN","")</f>
        <v/>
      </c>
    </row>
    <row r="446">
      <c r="A446" t="n">
        <v>445</v>
      </c>
      <c r="B446">
        <f>'01_Data'!A446</f>
        <v/>
      </c>
      <c r="C446">
        <f>'03_Lap_Theta'!C446</f>
        <v/>
      </c>
      <c r="D446">
        <f>'03_Lap_Theta'!D446</f>
        <v/>
      </c>
      <c r="E446" s="5">
        <f>'03_Lap_Theta'!$AC446</f>
        <v/>
      </c>
      <c r="F446" s="5">
        <f>SUMPRODUCT(('01_Data'!$B446:$AW446&lt;&gt;"")*(1/(1+EXP(-('03_Lap_Theta'!$AC446-'03_Lap_b'!$B$45:$AW$45))))*(1-(1/(1+EXP(-('03_Lap_Theta'!$AC446-'03_Lap_b'!$B$45:$AW$45))))))</f>
        <v/>
      </c>
      <c r="G446" s="5">
        <f>IF(F446&lt;=0.000000001,"",1/SQRT(F446))</f>
        <v/>
      </c>
      <c r="H446">
        <f>IF(OR(C446=0,C446=D446),"BIÊN","")</f>
        <v/>
      </c>
    </row>
    <row r="447">
      <c r="A447" t="n">
        <v>446</v>
      </c>
      <c r="B447">
        <f>'01_Data'!A447</f>
        <v/>
      </c>
      <c r="C447">
        <f>'03_Lap_Theta'!C447</f>
        <v/>
      </c>
      <c r="D447">
        <f>'03_Lap_Theta'!D447</f>
        <v/>
      </c>
      <c r="E447" s="5">
        <f>'03_Lap_Theta'!$AC447</f>
        <v/>
      </c>
      <c r="F447" s="5">
        <f>SUMPRODUCT(('01_Data'!$B447:$AW447&lt;&gt;"")*(1/(1+EXP(-('03_Lap_Theta'!$AC447-'03_Lap_b'!$B$45:$AW$45))))*(1-(1/(1+EXP(-('03_Lap_Theta'!$AC447-'03_Lap_b'!$B$45:$AW$45))))))</f>
        <v/>
      </c>
      <c r="G447" s="5">
        <f>IF(F447&lt;=0.000000001,"",1/SQRT(F447))</f>
        <v/>
      </c>
      <c r="H447">
        <f>IF(OR(C447=0,C447=D447),"BIÊN","")</f>
        <v/>
      </c>
    </row>
    <row r="448">
      <c r="A448" t="n">
        <v>447</v>
      </c>
      <c r="B448">
        <f>'01_Data'!A448</f>
        <v/>
      </c>
      <c r="C448">
        <f>'03_Lap_Theta'!C448</f>
        <v/>
      </c>
      <c r="D448">
        <f>'03_Lap_Theta'!D448</f>
        <v/>
      </c>
      <c r="E448" s="5">
        <f>'03_Lap_Theta'!$AC448</f>
        <v/>
      </c>
      <c r="F448" s="5">
        <f>SUMPRODUCT(('01_Data'!$B448:$AW448&lt;&gt;"")*(1/(1+EXP(-('03_Lap_Theta'!$AC448-'03_Lap_b'!$B$45:$AW$45))))*(1-(1/(1+EXP(-('03_Lap_Theta'!$AC448-'03_Lap_b'!$B$45:$AW$45))))))</f>
        <v/>
      </c>
      <c r="G448" s="5">
        <f>IF(F448&lt;=0.000000001,"",1/SQRT(F448))</f>
        <v/>
      </c>
      <c r="H448">
        <f>IF(OR(C448=0,C448=D448),"BIÊN","")</f>
        <v/>
      </c>
    </row>
    <row r="449">
      <c r="A449" t="n">
        <v>448</v>
      </c>
      <c r="B449">
        <f>'01_Data'!A449</f>
        <v/>
      </c>
      <c r="C449">
        <f>'03_Lap_Theta'!C449</f>
        <v/>
      </c>
      <c r="D449">
        <f>'03_Lap_Theta'!D449</f>
        <v/>
      </c>
      <c r="E449" s="5">
        <f>'03_Lap_Theta'!$AC449</f>
        <v/>
      </c>
      <c r="F449" s="5">
        <f>SUMPRODUCT(('01_Data'!$B449:$AW449&lt;&gt;"")*(1/(1+EXP(-('03_Lap_Theta'!$AC449-'03_Lap_b'!$B$45:$AW$45))))*(1-(1/(1+EXP(-('03_Lap_Theta'!$AC449-'03_Lap_b'!$B$45:$AW$45))))))</f>
        <v/>
      </c>
      <c r="G449" s="5">
        <f>IF(F449&lt;=0.000000001,"",1/SQRT(F449))</f>
        <v/>
      </c>
      <c r="H449">
        <f>IF(OR(C449=0,C449=D449),"BIÊN","")</f>
        <v/>
      </c>
    </row>
    <row r="450">
      <c r="A450" t="n">
        <v>449</v>
      </c>
      <c r="B450">
        <f>'01_Data'!A450</f>
        <v/>
      </c>
      <c r="C450">
        <f>'03_Lap_Theta'!C450</f>
        <v/>
      </c>
      <c r="D450">
        <f>'03_Lap_Theta'!D450</f>
        <v/>
      </c>
      <c r="E450" s="5">
        <f>'03_Lap_Theta'!$AC450</f>
        <v/>
      </c>
      <c r="F450" s="5">
        <f>SUMPRODUCT(('01_Data'!$B450:$AW450&lt;&gt;"")*(1/(1+EXP(-('03_Lap_Theta'!$AC450-'03_Lap_b'!$B$45:$AW$45))))*(1-(1/(1+EXP(-('03_Lap_Theta'!$AC450-'03_Lap_b'!$B$45:$AW$45))))))</f>
        <v/>
      </c>
      <c r="G450" s="5">
        <f>IF(F450&lt;=0.000000001,"",1/SQRT(F450))</f>
        <v/>
      </c>
      <c r="H450">
        <f>IF(OR(C450=0,C450=D450),"BIÊN","")</f>
        <v/>
      </c>
    </row>
    <row r="451">
      <c r="A451" t="n">
        <v>450</v>
      </c>
      <c r="B451">
        <f>'01_Data'!A451</f>
        <v/>
      </c>
      <c r="C451">
        <f>'03_Lap_Theta'!C451</f>
        <v/>
      </c>
      <c r="D451">
        <f>'03_Lap_Theta'!D451</f>
        <v/>
      </c>
      <c r="E451" s="5">
        <f>'03_Lap_Theta'!$AC451</f>
        <v/>
      </c>
      <c r="F451" s="5">
        <f>SUMPRODUCT(('01_Data'!$B451:$AW451&lt;&gt;"")*(1/(1+EXP(-('03_Lap_Theta'!$AC451-'03_Lap_b'!$B$45:$AW$45))))*(1-(1/(1+EXP(-('03_Lap_Theta'!$AC451-'03_Lap_b'!$B$45:$AW$45))))))</f>
        <v/>
      </c>
      <c r="G451" s="5">
        <f>IF(F451&lt;=0.000000001,"",1/SQRT(F451))</f>
        <v/>
      </c>
      <c r="H451">
        <f>IF(OR(C451=0,C451=D451),"BIÊN","")</f>
        <v/>
      </c>
    </row>
    <row r="452">
      <c r="A452" t="n">
        <v>451</v>
      </c>
      <c r="B452">
        <f>'01_Data'!A452</f>
        <v/>
      </c>
      <c r="C452">
        <f>'03_Lap_Theta'!C452</f>
        <v/>
      </c>
      <c r="D452">
        <f>'03_Lap_Theta'!D452</f>
        <v/>
      </c>
      <c r="E452" s="5">
        <f>'03_Lap_Theta'!$AC452</f>
        <v/>
      </c>
      <c r="F452" s="5">
        <f>SUMPRODUCT(('01_Data'!$B452:$AW452&lt;&gt;"")*(1/(1+EXP(-('03_Lap_Theta'!$AC452-'03_Lap_b'!$B$45:$AW$45))))*(1-(1/(1+EXP(-('03_Lap_Theta'!$AC452-'03_Lap_b'!$B$45:$AW$45))))))</f>
        <v/>
      </c>
      <c r="G452" s="5">
        <f>IF(F452&lt;=0.000000001,"",1/SQRT(F452))</f>
        <v/>
      </c>
      <c r="H452">
        <f>IF(OR(C452=0,C452=D452),"BIÊN","")</f>
        <v/>
      </c>
    </row>
    <row r="453">
      <c r="A453" t="n">
        <v>452</v>
      </c>
      <c r="B453">
        <f>'01_Data'!A453</f>
        <v/>
      </c>
      <c r="C453">
        <f>'03_Lap_Theta'!C453</f>
        <v/>
      </c>
      <c r="D453">
        <f>'03_Lap_Theta'!D453</f>
        <v/>
      </c>
      <c r="E453" s="5">
        <f>'03_Lap_Theta'!$AC453</f>
        <v/>
      </c>
      <c r="F453" s="5">
        <f>SUMPRODUCT(('01_Data'!$B453:$AW453&lt;&gt;"")*(1/(1+EXP(-('03_Lap_Theta'!$AC453-'03_Lap_b'!$B$45:$AW$45))))*(1-(1/(1+EXP(-('03_Lap_Theta'!$AC453-'03_Lap_b'!$B$45:$AW$45))))))</f>
        <v/>
      </c>
      <c r="G453" s="5">
        <f>IF(F453&lt;=0.000000001,"",1/SQRT(F453))</f>
        <v/>
      </c>
      <c r="H453">
        <f>IF(OR(C453=0,C453=D453),"BIÊN","")</f>
        <v/>
      </c>
    </row>
    <row r="454">
      <c r="A454" t="n">
        <v>453</v>
      </c>
      <c r="B454">
        <f>'01_Data'!A454</f>
        <v/>
      </c>
      <c r="C454">
        <f>'03_Lap_Theta'!C454</f>
        <v/>
      </c>
      <c r="D454">
        <f>'03_Lap_Theta'!D454</f>
        <v/>
      </c>
      <c r="E454" s="5">
        <f>'03_Lap_Theta'!$AC454</f>
        <v/>
      </c>
      <c r="F454" s="5">
        <f>SUMPRODUCT(('01_Data'!$B454:$AW454&lt;&gt;"")*(1/(1+EXP(-('03_Lap_Theta'!$AC454-'03_Lap_b'!$B$45:$AW$45))))*(1-(1/(1+EXP(-('03_Lap_Theta'!$AC454-'03_Lap_b'!$B$45:$AW$45))))))</f>
        <v/>
      </c>
      <c r="G454" s="5">
        <f>IF(F454&lt;=0.000000001,"",1/SQRT(F454))</f>
        <v/>
      </c>
      <c r="H454">
        <f>IF(OR(C454=0,C454=D454),"BIÊN","")</f>
        <v/>
      </c>
    </row>
    <row r="455">
      <c r="A455" t="n">
        <v>454</v>
      </c>
      <c r="B455">
        <f>'01_Data'!A455</f>
        <v/>
      </c>
      <c r="C455">
        <f>'03_Lap_Theta'!C455</f>
        <v/>
      </c>
      <c r="D455">
        <f>'03_Lap_Theta'!D455</f>
        <v/>
      </c>
      <c r="E455" s="5">
        <f>'03_Lap_Theta'!$AC455</f>
        <v/>
      </c>
      <c r="F455" s="5">
        <f>SUMPRODUCT(('01_Data'!$B455:$AW455&lt;&gt;"")*(1/(1+EXP(-('03_Lap_Theta'!$AC455-'03_Lap_b'!$B$45:$AW$45))))*(1-(1/(1+EXP(-('03_Lap_Theta'!$AC455-'03_Lap_b'!$B$45:$AW$45))))))</f>
        <v/>
      </c>
      <c r="G455" s="5">
        <f>IF(F455&lt;=0.000000001,"",1/SQRT(F455))</f>
        <v/>
      </c>
      <c r="H455">
        <f>IF(OR(C455=0,C455=D455),"BIÊN","")</f>
        <v/>
      </c>
    </row>
    <row r="456">
      <c r="A456" t="n">
        <v>455</v>
      </c>
      <c r="B456">
        <f>'01_Data'!A456</f>
        <v/>
      </c>
      <c r="C456">
        <f>'03_Lap_Theta'!C456</f>
        <v/>
      </c>
      <c r="D456">
        <f>'03_Lap_Theta'!D456</f>
        <v/>
      </c>
      <c r="E456" s="5">
        <f>'03_Lap_Theta'!$AC456</f>
        <v/>
      </c>
      <c r="F456" s="5">
        <f>SUMPRODUCT(('01_Data'!$B456:$AW456&lt;&gt;"")*(1/(1+EXP(-('03_Lap_Theta'!$AC456-'03_Lap_b'!$B$45:$AW$45))))*(1-(1/(1+EXP(-('03_Lap_Theta'!$AC456-'03_Lap_b'!$B$45:$AW$45))))))</f>
        <v/>
      </c>
      <c r="G456" s="5">
        <f>IF(F456&lt;=0.000000001,"",1/SQRT(F456))</f>
        <v/>
      </c>
      <c r="H456">
        <f>IF(OR(C456=0,C456=D456),"BIÊN","")</f>
        <v/>
      </c>
    </row>
    <row r="457">
      <c r="A457" t="n">
        <v>456</v>
      </c>
      <c r="B457">
        <f>'01_Data'!A457</f>
        <v/>
      </c>
      <c r="C457">
        <f>'03_Lap_Theta'!C457</f>
        <v/>
      </c>
      <c r="D457">
        <f>'03_Lap_Theta'!D457</f>
        <v/>
      </c>
      <c r="E457" s="5">
        <f>'03_Lap_Theta'!$AC457</f>
        <v/>
      </c>
      <c r="F457" s="5">
        <f>SUMPRODUCT(('01_Data'!$B457:$AW457&lt;&gt;"")*(1/(1+EXP(-('03_Lap_Theta'!$AC457-'03_Lap_b'!$B$45:$AW$45))))*(1-(1/(1+EXP(-('03_Lap_Theta'!$AC457-'03_Lap_b'!$B$45:$AW$45))))))</f>
        <v/>
      </c>
      <c r="G457" s="5">
        <f>IF(F457&lt;=0.000000001,"",1/SQRT(F457))</f>
        <v/>
      </c>
      <c r="H457">
        <f>IF(OR(C457=0,C457=D457),"BIÊN","")</f>
        <v/>
      </c>
    </row>
    <row r="458">
      <c r="A458" t="n">
        <v>457</v>
      </c>
      <c r="B458">
        <f>'01_Data'!A458</f>
        <v/>
      </c>
      <c r="C458">
        <f>'03_Lap_Theta'!C458</f>
        <v/>
      </c>
      <c r="D458">
        <f>'03_Lap_Theta'!D458</f>
        <v/>
      </c>
      <c r="E458" s="5">
        <f>'03_Lap_Theta'!$AC458</f>
        <v/>
      </c>
      <c r="F458" s="5">
        <f>SUMPRODUCT(('01_Data'!$B458:$AW458&lt;&gt;"")*(1/(1+EXP(-('03_Lap_Theta'!$AC458-'03_Lap_b'!$B$45:$AW$45))))*(1-(1/(1+EXP(-('03_Lap_Theta'!$AC458-'03_Lap_b'!$B$45:$AW$45))))))</f>
        <v/>
      </c>
      <c r="G458" s="5">
        <f>IF(F458&lt;=0.000000001,"",1/SQRT(F458))</f>
        <v/>
      </c>
      <c r="H458">
        <f>IF(OR(C458=0,C458=D458),"BIÊN","")</f>
        <v/>
      </c>
    </row>
    <row r="459">
      <c r="A459" t="n">
        <v>458</v>
      </c>
      <c r="B459">
        <f>'01_Data'!A459</f>
        <v/>
      </c>
      <c r="C459">
        <f>'03_Lap_Theta'!C459</f>
        <v/>
      </c>
      <c r="D459">
        <f>'03_Lap_Theta'!D459</f>
        <v/>
      </c>
      <c r="E459" s="5">
        <f>'03_Lap_Theta'!$AC459</f>
        <v/>
      </c>
      <c r="F459" s="5">
        <f>SUMPRODUCT(('01_Data'!$B459:$AW459&lt;&gt;"")*(1/(1+EXP(-('03_Lap_Theta'!$AC459-'03_Lap_b'!$B$45:$AW$45))))*(1-(1/(1+EXP(-('03_Lap_Theta'!$AC459-'03_Lap_b'!$B$45:$AW$45))))))</f>
        <v/>
      </c>
      <c r="G459" s="5">
        <f>IF(F459&lt;=0.000000001,"",1/SQRT(F459))</f>
        <v/>
      </c>
      <c r="H459">
        <f>IF(OR(C459=0,C459=D459),"BIÊN","")</f>
        <v/>
      </c>
    </row>
    <row r="460">
      <c r="A460" t="n">
        <v>459</v>
      </c>
      <c r="B460">
        <f>'01_Data'!A460</f>
        <v/>
      </c>
      <c r="C460">
        <f>'03_Lap_Theta'!C460</f>
        <v/>
      </c>
      <c r="D460">
        <f>'03_Lap_Theta'!D460</f>
        <v/>
      </c>
      <c r="E460" s="5">
        <f>'03_Lap_Theta'!$AC460</f>
        <v/>
      </c>
      <c r="F460" s="5">
        <f>SUMPRODUCT(('01_Data'!$B460:$AW460&lt;&gt;"")*(1/(1+EXP(-('03_Lap_Theta'!$AC460-'03_Lap_b'!$B$45:$AW$45))))*(1-(1/(1+EXP(-('03_Lap_Theta'!$AC460-'03_Lap_b'!$B$45:$AW$45))))))</f>
        <v/>
      </c>
      <c r="G460" s="5">
        <f>IF(F460&lt;=0.000000001,"",1/SQRT(F460))</f>
        <v/>
      </c>
      <c r="H460">
        <f>IF(OR(C460=0,C460=D460),"BIÊN","")</f>
        <v/>
      </c>
    </row>
    <row r="461">
      <c r="A461" t="n">
        <v>460</v>
      </c>
      <c r="B461">
        <f>'01_Data'!A461</f>
        <v/>
      </c>
      <c r="C461">
        <f>'03_Lap_Theta'!C461</f>
        <v/>
      </c>
      <c r="D461">
        <f>'03_Lap_Theta'!D461</f>
        <v/>
      </c>
      <c r="E461" s="5">
        <f>'03_Lap_Theta'!$AC461</f>
        <v/>
      </c>
      <c r="F461" s="5">
        <f>SUMPRODUCT(('01_Data'!$B461:$AW461&lt;&gt;"")*(1/(1+EXP(-('03_Lap_Theta'!$AC461-'03_Lap_b'!$B$45:$AW$45))))*(1-(1/(1+EXP(-('03_Lap_Theta'!$AC461-'03_Lap_b'!$B$45:$AW$45))))))</f>
        <v/>
      </c>
      <c r="G461" s="5">
        <f>IF(F461&lt;=0.000000001,"",1/SQRT(F461))</f>
        <v/>
      </c>
      <c r="H461">
        <f>IF(OR(C461=0,C461=D461),"BIÊN","")</f>
        <v/>
      </c>
    </row>
    <row r="462">
      <c r="A462" t="n">
        <v>461</v>
      </c>
      <c r="B462">
        <f>'01_Data'!A462</f>
        <v/>
      </c>
      <c r="C462">
        <f>'03_Lap_Theta'!C462</f>
        <v/>
      </c>
      <c r="D462">
        <f>'03_Lap_Theta'!D462</f>
        <v/>
      </c>
      <c r="E462" s="5">
        <f>'03_Lap_Theta'!$AC462</f>
        <v/>
      </c>
      <c r="F462" s="5">
        <f>SUMPRODUCT(('01_Data'!$B462:$AW462&lt;&gt;"")*(1/(1+EXP(-('03_Lap_Theta'!$AC462-'03_Lap_b'!$B$45:$AW$45))))*(1-(1/(1+EXP(-('03_Lap_Theta'!$AC462-'03_Lap_b'!$B$45:$AW$45))))))</f>
        <v/>
      </c>
      <c r="G462" s="5">
        <f>IF(F462&lt;=0.000000001,"",1/SQRT(F462))</f>
        <v/>
      </c>
      <c r="H462">
        <f>IF(OR(C462=0,C462=D462),"BIÊN","")</f>
        <v/>
      </c>
    </row>
    <row r="463">
      <c r="A463" t="n">
        <v>462</v>
      </c>
      <c r="B463">
        <f>'01_Data'!A463</f>
        <v/>
      </c>
      <c r="C463">
        <f>'03_Lap_Theta'!C463</f>
        <v/>
      </c>
      <c r="D463">
        <f>'03_Lap_Theta'!D463</f>
        <v/>
      </c>
      <c r="E463" s="5">
        <f>'03_Lap_Theta'!$AC463</f>
        <v/>
      </c>
      <c r="F463" s="5">
        <f>SUMPRODUCT(('01_Data'!$B463:$AW463&lt;&gt;"")*(1/(1+EXP(-('03_Lap_Theta'!$AC463-'03_Lap_b'!$B$45:$AW$45))))*(1-(1/(1+EXP(-('03_Lap_Theta'!$AC463-'03_Lap_b'!$B$45:$AW$45))))))</f>
        <v/>
      </c>
      <c r="G463" s="5">
        <f>IF(F463&lt;=0.000000001,"",1/SQRT(F463))</f>
        <v/>
      </c>
      <c r="H463">
        <f>IF(OR(C463=0,C463=D463),"BIÊN","")</f>
        <v/>
      </c>
    </row>
    <row r="464">
      <c r="A464" t="n">
        <v>463</v>
      </c>
      <c r="B464">
        <f>'01_Data'!A464</f>
        <v/>
      </c>
      <c r="C464">
        <f>'03_Lap_Theta'!C464</f>
        <v/>
      </c>
      <c r="D464">
        <f>'03_Lap_Theta'!D464</f>
        <v/>
      </c>
      <c r="E464" s="5">
        <f>'03_Lap_Theta'!$AC464</f>
        <v/>
      </c>
      <c r="F464" s="5">
        <f>SUMPRODUCT(('01_Data'!$B464:$AW464&lt;&gt;"")*(1/(1+EXP(-('03_Lap_Theta'!$AC464-'03_Lap_b'!$B$45:$AW$45))))*(1-(1/(1+EXP(-('03_Lap_Theta'!$AC464-'03_Lap_b'!$B$45:$AW$45))))))</f>
        <v/>
      </c>
      <c r="G464" s="5">
        <f>IF(F464&lt;=0.000000001,"",1/SQRT(F464))</f>
        <v/>
      </c>
      <c r="H464">
        <f>IF(OR(C464=0,C464=D464),"BIÊN","")</f>
        <v/>
      </c>
    </row>
    <row r="465">
      <c r="A465" t="n">
        <v>464</v>
      </c>
      <c r="B465">
        <f>'01_Data'!A465</f>
        <v/>
      </c>
      <c r="C465">
        <f>'03_Lap_Theta'!C465</f>
        <v/>
      </c>
      <c r="D465">
        <f>'03_Lap_Theta'!D465</f>
        <v/>
      </c>
      <c r="E465" s="5">
        <f>'03_Lap_Theta'!$AC465</f>
        <v/>
      </c>
      <c r="F465" s="5">
        <f>SUMPRODUCT(('01_Data'!$B465:$AW465&lt;&gt;"")*(1/(1+EXP(-('03_Lap_Theta'!$AC465-'03_Lap_b'!$B$45:$AW$45))))*(1-(1/(1+EXP(-('03_Lap_Theta'!$AC465-'03_Lap_b'!$B$45:$AW$45))))))</f>
        <v/>
      </c>
      <c r="G465" s="5">
        <f>IF(F465&lt;=0.000000001,"",1/SQRT(F465))</f>
        <v/>
      </c>
      <c r="H465">
        <f>IF(OR(C465=0,C465=D465),"BIÊN","")</f>
        <v/>
      </c>
    </row>
    <row r="466">
      <c r="A466" t="n">
        <v>465</v>
      </c>
      <c r="B466">
        <f>'01_Data'!A466</f>
        <v/>
      </c>
      <c r="C466">
        <f>'03_Lap_Theta'!C466</f>
        <v/>
      </c>
      <c r="D466">
        <f>'03_Lap_Theta'!D466</f>
        <v/>
      </c>
      <c r="E466" s="5">
        <f>'03_Lap_Theta'!$AC466</f>
        <v/>
      </c>
      <c r="F466" s="5">
        <f>SUMPRODUCT(('01_Data'!$B466:$AW466&lt;&gt;"")*(1/(1+EXP(-('03_Lap_Theta'!$AC466-'03_Lap_b'!$B$45:$AW$45))))*(1-(1/(1+EXP(-('03_Lap_Theta'!$AC466-'03_Lap_b'!$B$45:$AW$45))))))</f>
        <v/>
      </c>
      <c r="G466" s="5">
        <f>IF(F466&lt;=0.000000001,"",1/SQRT(F466))</f>
        <v/>
      </c>
      <c r="H466">
        <f>IF(OR(C466=0,C466=D466),"BIÊN","")</f>
        <v/>
      </c>
    </row>
    <row r="467">
      <c r="A467" t="n">
        <v>466</v>
      </c>
      <c r="B467">
        <f>'01_Data'!A467</f>
        <v/>
      </c>
      <c r="C467">
        <f>'03_Lap_Theta'!C467</f>
        <v/>
      </c>
      <c r="D467">
        <f>'03_Lap_Theta'!D467</f>
        <v/>
      </c>
      <c r="E467" s="5">
        <f>'03_Lap_Theta'!$AC467</f>
        <v/>
      </c>
      <c r="F467" s="5">
        <f>SUMPRODUCT(('01_Data'!$B467:$AW467&lt;&gt;"")*(1/(1+EXP(-('03_Lap_Theta'!$AC467-'03_Lap_b'!$B$45:$AW$45))))*(1-(1/(1+EXP(-('03_Lap_Theta'!$AC467-'03_Lap_b'!$B$45:$AW$45))))))</f>
        <v/>
      </c>
      <c r="G467" s="5">
        <f>IF(F467&lt;=0.000000001,"",1/SQRT(F467))</f>
        <v/>
      </c>
      <c r="H467">
        <f>IF(OR(C467=0,C467=D467),"BIÊN","")</f>
        <v/>
      </c>
    </row>
    <row r="468">
      <c r="A468" t="n">
        <v>467</v>
      </c>
      <c r="B468">
        <f>'01_Data'!A468</f>
        <v/>
      </c>
      <c r="C468">
        <f>'03_Lap_Theta'!C468</f>
        <v/>
      </c>
      <c r="D468">
        <f>'03_Lap_Theta'!D468</f>
        <v/>
      </c>
      <c r="E468" s="5">
        <f>'03_Lap_Theta'!$AC468</f>
        <v/>
      </c>
      <c r="F468" s="5">
        <f>SUMPRODUCT(('01_Data'!$B468:$AW468&lt;&gt;"")*(1/(1+EXP(-('03_Lap_Theta'!$AC468-'03_Lap_b'!$B$45:$AW$45))))*(1-(1/(1+EXP(-('03_Lap_Theta'!$AC468-'03_Lap_b'!$B$45:$AW$45))))))</f>
        <v/>
      </c>
      <c r="G468" s="5">
        <f>IF(F468&lt;=0.000000001,"",1/SQRT(F468))</f>
        <v/>
      </c>
      <c r="H468">
        <f>IF(OR(C468=0,C468=D468),"BIÊN","")</f>
        <v/>
      </c>
    </row>
    <row r="469">
      <c r="A469" t="n">
        <v>468</v>
      </c>
      <c r="B469">
        <f>'01_Data'!A469</f>
        <v/>
      </c>
      <c r="C469">
        <f>'03_Lap_Theta'!C469</f>
        <v/>
      </c>
      <c r="D469">
        <f>'03_Lap_Theta'!D469</f>
        <v/>
      </c>
      <c r="E469" s="5">
        <f>'03_Lap_Theta'!$AC469</f>
        <v/>
      </c>
      <c r="F469" s="5">
        <f>SUMPRODUCT(('01_Data'!$B469:$AW469&lt;&gt;"")*(1/(1+EXP(-('03_Lap_Theta'!$AC469-'03_Lap_b'!$B$45:$AW$45))))*(1-(1/(1+EXP(-('03_Lap_Theta'!$AC469-'03_Lap_b'!$B$45:$AW$45))))))</f>
        <v/>
      </c>
      <c r="G469" s="5">
        <f>IF(F469&lt;=0.000000001,"",1/SQRT(F469))</f>
        <v/>
      </c>
      <c r="H469">
        <f>IF(OR(C469=0,C469=D469),"BIÊN","")</f>
        <v/>
      </c>
    </row>
    <row r="470">
      <c r="A470" t="n">
        <v>469</v>
      </c>
      <c r="B470">
        <f>'01_Data'!A470</f>
        <v/>
      </c>
      <c r="C470">
        <f>'03_Lap_Theta'!C470</f>
        <v/>
      </c>
      <c r="D470">
        <f>'03_Lap_Theta'!D470</f>
        <v/>
      </c>
      <c r="E470" s="5">
        <f>'03_Lap_Theta'!$AC470</f>
        <v/>
      </c>
      <c r="F470" s="5">
        <f>SUMPRODUCT(('01_Data'!$B470:$AW470&lt;&gt;"")*(1/(1+EXP(-('03_Lap_Theta'!$AC470-'03_Lap_b'!$B$45:$AW$45))))*(1-(1/(1+EXP(-('03_Lap_Theta'!$AC470-'03_Lap_b'!$B$45:$AW$45))))))</f>
        <v/>
      </c>
      <c r="G470" s="5">
        <f>IF(F470&lt;=0.000000001,"",1/SQRT(F470))</f>
        <v/>
      </c>
      <c r="H470">
        <f>IF(OR(C470=0,C470=D470),"BIÊN","")</f>
        <v/>
      </c>
    </row>
    <row r="471">
      <c r="A471" t="n">
        <v>470</v>
      </c>
      <c r="B471">
        <f>'01_Data'!A471</f>
        <v/>
      </c>
      <c r="C471">
        <f>'03_Lap_Theta'!C471</f>
        <v/>
      </c>
      <c r="D471">
        <f>'03_Lap_Theta'!D471</f>
        <v/>
      </c>
      <c r="E471" s="5">
        <f>'03_Lap_Theta'!$AC471</f>
        <v/>
      </c>
      <c r="F471" s="5">
        <f>SUMPRODUCT(('01_Data'!$B471:$AW471&lt;&gt;"")*(1/(1+EXP(-('03_Lap_Theta'!$AC471-'03_Lap_b'!$B$45:$AW$45))))*(1-(1/(1+EXP(-('03_Lap_Theta'!$AC471-'03_Lap_b'!$B$45:$AW$45))))))</f>
        <v/>
      </c>
      <c r="G471" s="5">
        <f>IF(F471&lt;=0.000000001,"",1/SQRT(F471))</f>
        <v/>
      </c>
      <c r="H471">
        <f>IF(OR(C471=0,C471=D471),"BIÊN","")</f>
        <v/>
      </c>
    </row>
    <row r="472">
      <c r="A472" t="n">
        <v>471</v>
      </c>
      <c r="B472">
        <f>'01_Data'!A472</f>
        <v/>
      </c>
      <c r="C472">
        <f>'03_Lap_Theta'!C472</f>
        <v/>
      </c>
      <c r="D472">
        <f>'03_Lap_Theta'!D472</f>
        <v/>
      </c>
      <c r="E472" s="5">
        <f>'03_Lap_Theta'!$AC472</f>
        <v/>
      </c>
      <c r="F472" s="5">
        <f>SUMPRODUCT(('01_Data'!$B472:$AW472&lt;&gt;"")*(1/(1+EXP(-('03_Lap_Theta'!$AC472-'03_Lap_b'!$B$45:$AW$45))))*(1-(1/(1+EXP(-('03_Lap_Theta'!$AC472-'03_Lap_b'!$B$45:$AW$45))))))</f>
        <v/>
      </c>
      <c r="G472" s="5">
        <f>IF(F472&lt;=0.000000001,"",1/SQRT(F472))</f>
        <v/>
      </c>
      <c r="H472">
        <f>IF(OR(C472=0,C472=D472),"BIÊN","")</f>
        <v/>
      </c>
    </row>
    <row r="473">
      <c r="A473" t="n">
        <v>472</v>
      </c>
      <c r="B473">
        <f>'01_Data'!A473</f>
        <v/>
      </c>
      <c r="C473">
        <f>'03_Lap_Theta'!C473</f>
        <v/>
      </c>
      <c r="D473">
        <f>'03_Lap_Theta'!D473</f>
        <v/>
      </c>
      <c r="E473" s="5">
        <f>'03_Lap_Theta'!$AC473</f>
        <v/>
      </c>
      <c r="F473" s="5">
        <f>SUMPRODUCT(('01_Data'!$B473:$AW473&lt;&gt;"")*(1/(1+EXP(-('03_Lap_Theta'!$AC473-'03_Lap_b'!$B$45:$AW$45))))*(1-(1/(1+EXP(-('03_Lap_Theta'!$AC473-'03_Lap_b'!$B$45:$AW$45))))))</f>
        <v/>
      </c>
      <c r="G473" s="5">
        <f>IF(F473&lt;=0.000000001,"",1/SQRT(F473))</f>
        <v/>
      </c>
      <c r="H473">
        <f>IF(OR(C473=0,C473=D473),"BIÊN","")</f>
        <v/>
      </c>
    </row>
    <row r="474">
      <c r="A474" t="n">
        <v>473</v>
      </c>
      <c r="B474">
        <f>'01_Data'!A474</f>
        <v/>
      </c>
      <c r="C474">
        <f>'03_Lap_Theta'!C474</f>
        <v/>
      </c>
      <c r="D474">
        <f>'03_Lap_Theta'!D474</f>
        <v/>
      </c>
      <c r="E474" s="5">
        <f>'03_Lap_Theta'!$AC474</f>
        <v/>
      </c>
      <c r="F474" s="5">
        <f>SUMPRODUCT(('01_Data'!$B474:$AW474&lt;&gt;"")*(1/(1+EXP(-('03_Lap_Theta'!$AC474-'03_Lap_b'!$B$45:$AW$45))))*(1-(1/(1+EXP(-('03_Lap_Theta'!$AC474-'03_Lap_b'!$B$45:$AW$45))))))</f>
        <v/>
      </c>
      <c r="G474" s="5">
        <f>IF(F474&lt;=0.000000001,"",1/SQRT(F474))</f>
        <v/>
      </c>
      <c r="H474">
        <f>IF(OR(C474=0,C474=D474),"BIÊN","")</f>
        <v/>
      </c>
    </row>
    <row r="475">
      <c r="A475" t="n">
        <v>474</v>
      </c>
      <c r="B475">
        <f>'01_Data'!A475</f>
        <v/>
      </c>
      <c r="C475">
        <f>'03_Lap_Theta'!C475</f>
        <v/>
      </c>
      <c r="D475">
        <f>'03_Lap_Theta'!D475</f>
        <v/>
      </c>
      <c r="E475" s="5">
        <f>'03_Lap_Theta'!$AC475</f>
        <v/>
      </c>
      <c r="F475" s="5">
        <f>SUMPRODUCT(('01_Data'!$B475:$AW475&lt;&gt;"")*(1/(1+EXP(-('03_Lap_Theta'!$AC475-'03_Lap_b'!$B$45:$AW$45))))*(1-(1/(1+EXP(-('03_Lap_Theta'!$AC475-'03_Lap_b'!$B$45:$AW$45))))))</f>
        <v/>
      </c>
      <c r="G475" s="5">
        <f>IF(F475&lt;=0.000000001,"",1/SQRT(F475))</f>
        <v/>
      </c>
      <c r="H475">
        <f>IF(OR(C475=0,C475=D475),"BIÊN","")</f>
        <v/>
      </c>
    </row>
    <row r="476">
      <c r="A476" t="n">
        <v>475</v>
      </c>
      <c r="B476">
        <f>'01_Data'!A476</f>
        <v/>
      </c>
      <c r="C476">
        <f>'03_Lap_Theta'!C476</f>
        <v/>
      </c>
      <c r="D476">
        <f>'03_Lap_Theta'!D476</f>
        <v/>
      </c>
      <c r="E476" s="5">
        <f>'03_Lap_Theta'!$AC476</f>
        <v/>
      </c>
      <c r="F476" s="5">
        <f>SUMPRODUCT(('01_Data'!$B476:$AW476&lt;&gt;"")*(1/(1+EXP(-('03_Lap_Theta'!$AC476-'03_Lap_b'!$B$45:$AW$45))))*(1-(1/(1+EXP(-('03_Lap_Theta'!$AC476-'03_Lap_b'!$B$45:$AW$45))))))</f>
        <v/>
      </c>
      <c r="G476" s="5">
        <f>IF(F476&lt;=0.000000001,"",1/SQRT(F476))</f>
        <v/>
      </c>
      <c r="H476">
        <f>IF(OR(C476=0,C476=D476),"BIÊN","")</f>
        <v/>
      </c>
    </row>
    <row r="477">
      <c r="A477" t="n">
        <v>476</v>
      </c>
      <c r="B477">
        <f>'01_Data'!A477</f>
        <v/>
      </c>
      <c r="C477">
        <f>'03_Lap_Theta'!C477</f>
        <v/>
      </c>
      <c r="D477">
        <f>'03_Lap_Theta'!D477</f>
        <v/>
      </c>
      <c r="E477" s="5">
        <f>'03_Lap_Theta'!$AC477</f>
        <v/>
      </c>
      <c r="F477" s="5">
        <f>SUMPRODUCT(('01_Data'!$B477:$AW477&lt;&gt;"")*(1/(1+EXP(-('03_Lap_Theta'!$AC477-'03_Lap_b'!$B$45:$AW$45))))*(1-(1/(1+EXP(-('03_Lap_Theta'!$AC477-'03_Lap_b'!$B$45:$AW$45))))))</f>
        <v/>
      </c>
      <c r="G477" s="5">
        <f>IF(F477&lt;=0.000000001,"",1/SQRT(F477))</f>
        <v/>
      </c>
      <c r="H477">
        <f>IF(OR(C477=0,C477=D477),"BIÊN","")</f>
        <v/>
      </c>
    </row>
    <row r="478">
      <c r="A478" t="n">
        <v>477</v>
      </c>
      <c r="B478">
        <f>'01_Data'!A478</f>
        <v/>
      </c>
      <c r="C478">
        <f>'03_Lap_Theta'!C478</f>
        <v/>
      </c>
      <c r="D478">
        <f>'03_Lap_Theta'!D478</f>
        <v/>
      </c>
      <c r="E478" s="5">
        <f>'03_Lap_Theta'!$AC478</f>
        <v/>
      </c>
      <c r="F478" s="5">
        <f>SUMPRODUCT(('01_Data'!$B478:$AW478&lt;&gt;"")*(1/(1+EXP(-('03_Lap_Theta'!$AC478-'03_Lap_b'!$B$45:$AW$45))))*(1-(1/(1+EXP(-('03_Lap_Theta'!$AC478-'03_Lap_b'!$B$45:$AW$45))))))</f>
        <v/>
      </c>
      <c r="G478" s="5">
        <f>IF(F478&lt;=0.000000001,"",1/SQRT(F478))</f>
        <v/>
      </c>
      <c r="H478">
        <f>IF(OR(C478=0,C478=D478),"BIÊN","")</f>
        <v/>
      </c>
    </row>
    <row r="479">
      <c r="A479" t="n">
        <v>478</v>
      </c>
      <c r="B479">
        <f>'01_Data'!A479</f>
        <v/>
      </c>
      <c r="C479">
        <f>'03_Lap_Theta'!C479</f>
        <v/>
      </c>
      <c r="D479">
        <f>'03_Lap_Theta'!D479</f>
        <v/>
      </c>
      <c r="E479" s="5">
        <f>'03_Lap_Theta'!$AC479</f>
        <v/>
      </c>
      <c r="F479" s="5">
        <f>SUMPRODUCT(('01_Data'!$B479:$AW479&lt;&gt;"")*(1/(1+EXP(-('03_Lap_Theta'!$AC479-'03_Lap_b'!$B$45:$AW$45))))*(1-(1/(1+EXP(-('03_Lap_Theta'!$AC479-'03_Lap_b'!$B$45:$AW$45))))))</f>
        <v/>
      </c>
      <c r="G479" s="5">
        <f>IF(F479&lt;=0.000000001,"",1/SQRT(F479))</f>
        <v/>
      </c>
      <c r="H479">
        <f>IF(OR(C479=0,C479=D479),"BIÊN","")</f>
        <v/>
      </c>
    </row>
    <row r="480">
      <c r="A480" t="n">
        <v>479</v>
      </c>
      <c r="B480">
        <f>'01_Data'!A480</f>
        <v/>
      </c>
      <c r="C480">
        <f>'03_Lap_Theta'!C480</f>
        <v/>
      </c>
      <c r="D480">
        <f>'03_Lap_Theta'!D480</f>
        <v/>
      </c>
      <c r="E480" s="5">
        <f>'03_Lap_Theta'!$AC480</f>
        <v/>
      </c>
      <c r="F480" s="5">
        <f>SUMPRODUCT(('01_Data'!$B480:$AW480&lt;&gt;"")*(1/(1+EXP(-('03_Lap_Theta'!$AC480-'03_Lap_b'!$B$45:$AW$45))))*(1-(1/(1+EXP(-('03_Lap_Theta'!$AC480-'03_Lap_b'!$B$45:$AW$45))))))</f>
        <v/>
      </c>
      <c r="G480" s="5">
        <f>IF(F480&lt;=0.000000001,"",1/SQRT(F480))</f>
        <v/>
      </c>
      <c r="H480">
        <f>IF(OR(C480=0,C480=D480),"BIÊN","")</f>
        <v/>
      </c>
    </row>
    <row r="481">
      <c r="A481" t="n">
        <v>480</v>
      </c>
      <c r="B481">
        <f>'01_Data'!A481</f>
        <v/>
      </c>
      <c r="C481">
        <f>'03_Lap_Theta'!C481</f>
        <v/>
      </c>
      <c r="D481">
        <f>'03_Lap_Theta'!D481</f>
        <v/>
      </c>
      <c r="E481" s="5">
        <f>'03_Lap_Theta'!$AC481</f>
        <v/>
      </c>
      <c r="F481" s="5">
        <f>SUMPRODUCT(('01_Data'!$B481:$AW481&lt;&gt;"")*(1/(1+EXP(-('03_Lap_Theta'!$AC481-'03_Lap_b'!$B$45:$AW$45))))*(1-(1/(1+EXP(-('03_Lap_Theta'!$AC481-'03_Lap_b'!$B$45:$AW$45))))))</f>
        <v/>
      </c>
      <c r="G481" s="5">
        <f>IF(F481&lt;=0.000000001,"",1/SQRT(F481))</f>
        <v/>
      </c>
      <c r="H481">
        <f>IF(OR(C481=0,C481=D481),"BIÊN","")</f>
        <v/>
      </c>
    </row>
    <row r="482">
      <c r="A482" t="n">
        <v>481</v>
      </c>
      <c r="B482">
        <f>'01_Data'!A482</f>
        <v/>
      </c>
      <c r="C482">
        <f>'03_Lap_Theta'!C482</f>
        <v/>
      </c>
      <c r="D482">
        <f>'03_Lap_Theta'!D482</f>
        <v/>
      </c>
      <c r="E482" s="5">
        <f>'03_Lap_Theta'!$AC482</f>
        <v/>
      </c>
      <c r="F482" s="5">
        <f>SUMPRODUCT(('01_Data'!$B482:$AW482&lt;&gt;"")*(1/(1+EXP(-('03_Lap_Theta'!$AC482-'03_Lap_b'!$B$45:$AW$45))))*(1-(1/(1+EXP(-('03_Lap_Theta'!$AC482-'03_Lap_b'!$B$45:$AW$45))))))</f>
        <v/>
      </c>
      <c r="G482" s="5">
        <f>IF(F482&lt;=0.000000001,"",1/SQRT(F482))</f>
        <v/>
      </c>
      <c r="H482">
        <f>IF(OR(C482=0,C482=D482),"BIÊN","")</f>
        <v/>
      </c>
    </row>
    <row r="483">
      <c r="A483" t="n">
        <v>482</v>
      </c>
      <c r="B483">
        <f>'01_Data'!A483</f>
        <v/>
      </c>
      <c r="C483">
        <f>'03_Lap_Theta'!C483</f>
        <v/>
      </c>
      <c r="D483">
        <f>'03_Lap_Theta'!D483</f>
        <v/>
      </c>
      <c r="E483" s="5">
        <f>'03_Lap_Theta'!$AC483</f>
        <v/>
      </c>
      <c r="F483" s="5">
        <f>SUMPRODUCT(('01_Data'!$B483:$AW483&lt;&gt;"")*(1/(1+EXP(-('03_Lap_Theta'!$AC483-'03_Lap_b'!$B$45:$AW$45))))*(1-(1/(1+EXP(-('03_Lap_Theta'!$AC483-'03_Lap_b'!$B$45:$AW$45))))))</f>
        <v/>
      </c>
      <c r="G483" s="5">
        <f>IF(F483&lt;=0.000000001,"",1/SQRT(F483))</f>
        <v/>
      </c>
      <c r="H483">
        <f>IF(OR(C483=0,C483=D483),"BIÊN","")</f>
        <v/>
      </c>
    </row>
    <row r="484">
      <c r="A484" t="n">
        <v>483</v>
      </c>
      <c r="B484">
        <f>'01_Data'!A484</f>
        <v/>
      </c>
      <c r="C484">
        <f>'03_Lap_Theta'!C484</f>
        <v/>
      </c>
      <c r="D484">
        <f>'03_Lap_Theta'!D484</f>
        <v/>
      </c>
      <c r="E484" s="5">
        <f>'03_Lap_Theta'!$AC484</f>
        <v/>
      </c>
      <c r="F484" s="5">
        <f>SUMPRODUCT(('01_Data'!$B484:$AW484&lt;&gt;"")*(1/(1+EXP(-('03_Lap_Theta'!$AC484-'03_Lap_b'!$B$45:$AW$45))))*(1-(1/(1+EXP(-('03_Lap_Theta'!$AC484-'03_Lap_b'!$B$45:$AW$45))))))</f>
        <v/>
      </c>
      <c r="G484" s="5">
        <f>IF(F484&lt;=0.000000001,"",1/SQRT(F484))</f>
        <v/>
      </c>
      <c r="H484">
        <f>IF(OR(C484=0,C484=D484),"BIÊN","")</f>
        <v/>
      </c>
    </row>
    <row r="485">
      <c r="A485" t="n">
        <v>484</v>
      </c>
      <c r="B485">
        <f>'01_Data'!A485</f>
        <v/>
      </c>
      <c r="C485">
        <f>'03_Lap_Theta'!C485</f>
        <v/>
      </c>
      <c r="D485">
        <f>'03_Lap_Theta'!D485</f>
        <v/>
      </c>
      <c r="E485" s="5">
        <f>'03_Lap_Theta'!$AC485</f>
        <v/>
      </c>
      <c r="F485" s="5">
        <f>SUMPRODUCT(('01_Data'!$B485:$AW485&lt;&gt;"")*(1/(1+EXP(-('03_Lap_Theta'!$AC485-'03_Lap_b'!$B$45:$AW$45))))*(1-(1/(1+EXP(-('03_Lap_Theta'!$AC485-'03_Lap_b'!$B$45:$AW$45))))))</f>
        <v/>
      </c>
      <c r="G485" s="5">
        <f>IF(F485&lt;=0.000000001,"",1/SQRT(F485))</f>
        <v/>
      </c>
      <c r="H485">
        <f>IF(OR(C485=0,C485=D485),"BIÊN","")</f>
        <v/>
      </c>
    </row>
    <row r="486">
      <c r="A486" t="n">
        <v>485</v>
      </c>
      <c r="B486">
        <f>'01_Data'!A486</f>
        <v/>
      </c>
      <c r="C486">
        <f>'03_Lap_Theta'!C486</f>
        <v/>
      </c>
      <c r="D486">
        <f>'03_Lap_Theta'!D486</f>
        <v/>
      </c>
      <c r="E486" s="5">
        <f>'03_Lap_Theta'!$AC486</f>
        <v/>
      </c>
      <c r="F486" s="5">
        <f>SUMPRODUCT(('01_Data'!$B486:$AW486&lt;&gt;"")*(1/(1+EXP(-('03_Lap_Theta'!$AC486-'03_Lap_b'!$B$45:$AW$45))))*(1-(1/(1+EXP(-('03_Lap_Theta'!$AC486-'03_Lap_b'!$B$45:$AW$45))))))</f>
        <v/>
      </c>
      <c r="G486" s="5">
        <f>IF(F486&lt;=0.000000001,"",1/SQRT(F486))</f>
        <v/>
      </c>
      <c r="H486">
        <f>IF(OR(C486=0,C486=D486),"BIÊN","")</f>
        <v/>
      </c>
    </row>
    <row r="487">
      <c r="A487" t="n">
        <v>486</v>
      </c>
      <c r="B487">
        <f>'01_Data'!A487</f>
        <v/>
      </c>
      <c r="C487">
        <f>'03_Lap_Theta'!C487</f>
        <v/>
      </c>
      <c r="D487">
        <f>'03_Lap_Theta'!D487</f>
        <v/>
      </c>
      <c r="E487" s="5">
        <f>'03_Lap_Theta'!$AC487</f>
        <v/>
      </c>
      <c r="F487" s="5">
        <f>SUMPRODUCT(('01_Data'!$B487:$AW487&lt;&gt;"")*(1/(1+EXP(-('03_Lap_Theta'!$AC487-'03_Lap_b'!$B$45:$AW$45))))*(1-(1/(1+EXP(-('03_Lap_Theta'!$AC487-'03_Lap_b'!$B$45:$AW$45))))))</f>
        <v/>
      </c>
      <c r="G487" s="5">
        <f>IF(F487&lt;=0.000000001,"",1/SQRT(F487))</f>
        <v/>
      </c>
      <c r="H487">
        <f>IF(OR(C487=0,C487=D487),"BIÊN","")</f>
        <v/>
      </c>
    </row>
    <row r="488">
      <c r="A488" t="n">
        <v>487</v>
      </c>
      <c r="B488">
        <f>'01_Data'!A488</f>
        <v/>
      </c>
      <c r="C488">
        <f>'03_Lap_Theta'!C488</f>
        <v/>
      </c>
      <c r="D488">
        <f>'03_Lap_Theta'!D488</f>
        <v/>
      </c>
      <c r="E488" s="5">
        <f>'03_Lap_Theta'!$AC488</f>
        <v/>
      </c>
      <c r="F488" s="5">
        <f>SUMPRODUCT(('01_Data'!$B488:$AW488&lt;&gt;"")*(1/(1+EXP(-('03_Lap_Theta'!$AC488-'03_Lap_b'!$B$45:$AW$45))))*(1-(1/(1+EXP(-('03_Lap_Theta'!$AC488-'03_Lap_b'!$B$45:$AW$45))))))</f>
        <v/>
      </c>
      <c r="G488" s="5">
        <f>IF(F488&lt;=0.000000001,"",1/SQRT(F488))</f>
        <v/>
      </c>
      <c r="H488">
        <f>IF(OR(C488=0,C488=D488),"BIÊN","")</f>
        <v/>
      </c>
    </row>
    <row r="489">
      <c r="A489" t="n">
        <v>488</v>
      </c>
      <c r="B489">
        <f>'01_Data'!A489</f>
        <v/>
      </c>
      <c r="C489">
        <f>'03_Lap_Theta'!C489</f>
        <v/>
      </c>
      <c r="D489">
        <f>'03_Lap_Theta'!D489</f>
        <v/>
      </c>
      <c r="E489" s="5">
        <f>'03_Lap_Theta'!$AC489</f>
        <v/>
      </c>
      <c r="F489" s="5">
        <f>SUMPRODUCT(('01_Data'!$B489:$AW489&lt;&gt;"")*(1/(1+EXP(-('03_Lap_Theta'!$AC489-'03_Lap_b'!$B$45:$AW$45))))*(1-(1/(1+EXP(-('03_Lap_Theta'!$AC489-'03_Lap_b'!$B$45:$AW$45))))))</f>
        <v/>
      </c>
      <c r="G489" s="5">
        <f>IF(F489&lt;=0.000000001,"",1/SQRT(F489))</f>
        <v/>
      </c>
      <c r="H489">
        <f>IF(OR(C489=0,C489=D489),"BIÊN","")</f>
        <v/>
      </c>
    </row>
    <row r="490">
      <c r="A490" t="n">
        <v>489</v>
      </c>
      <c r="B490">
        <f>'01_Data'!A490</f>
        <v/>
      </c>
      <c r="C490">
        <f>'03_Lap_Theta'!C490</f>
        <v/>
      </c>
      <c r="D490">
        <f>'03_Lap_Theta'!D490</f>
        <v/>
      </c>
      <c r="E490" s="5">
        <f>'03_Lap_Theta'!$AC490</f>
        <v/>
      </c>
      <c r="F490" s="5">
        <f>SUMPRODUCT(('01_Data'!$B490:$AW490&lt;&gt;"")*(1/(1+EXP(-('03_Lap_Theta'!$AC490-'03_Lap_b'!$B$45:$AW$45))))*(1-(1/(1+EXP(-('03_Lap_Theta'!$AC490-'03_Lap_b'!$B$45:$AW$45))))))</f>
        <v/>
      </c>
      <c r="G490" s="5">
        <f>IF(F490&lt;=0.000000001,"",1/SQRT(F490))</f>
        <v/>
      </c>
      <c r="H490">
        <f>IF(OR(C490=0,C490=D490),"BIÊN","")</f>
        <v/>
      </c>
    </row>
    <row r="491">
      <c r="A491" t="n">
        <v>490</v>
      </c>
      <c r="B491">
        <f>'01_Data'!A491</f>
        <v/>
      </c>
      <c r="C491">
        <f>'03_Lap_Theta'!C491</f>
        <v/>
      </c>
      <c r="D491">
        <f>'03_Lap_Theta'!D491</f>
        <v/>
      </c>
      <c r="E491" s="5">
        <f>'03_Lap_Theta'!$AC491</f>
        <v/>
      </c>
      <c r="F491" s="5">
        <f>SUMPRODUCT(('01_Data'!$B491:$AW491&lt;&gt;"")*(1/(1+EXP(-('03_Lap_Theta'!$AC491-'03_Lap_b'!$B$45:$AW$45))))*(1-(1/(1+EXP(-('03_Lap_Theta'!$AC491-'03_Lap_b'!$B$45:$AW$45))))))</f>
        <v/>
      </c>
      <c r="G491" s="5">
        <f>IF(F491&lt;=0.000000001,"",1/SQRT(F491))</f>
        <v/>
      </c>
      <c r="H491">
        <f>IF(OR(C491=0,C491=D491),"BIÊN","")</f>
        <v/>
      </c>
    </row>
    <row r="492">
      <c r="A492" t="n">
        <v>491</v>
      </c>
      <c r="B492">
        <f>'01_Data'!A492</f>
        <v/>
      </c>
      <c r="C492">
        <f>'03_Lap_Theta'!C492</f>
        <v/>
      </c>
      <c r="D492">
        <f>'03_Lap_Theta'!D492</f>
        <v/>
      </c>
      <c r="E492" s="5">
        <f>'03_Lap_Theta'!$AC492</f>
        <v/>
      </c>
      <c r="F492" s="5">
        <f>SUMPRODUCT(('01_Data'!$B492:$AW492&lt;&gt;"")*(1/(1+EXP(-('03_Lap_Theta'!$AC492-'03_Lap_b'!$B$45:$AW$45))))*(1-(1/(1+EXP(-('03_Lap_Theta'!$AC492-'03_Lap_b'!$B$45:$AW$45))))))</f>
        <v/>
      </c>
      <c r="G492" s="5">
        <f>IF(F492&lt;=0.000000001,"",1/SQRT(F492))</f>
        <v/>
      </c>
      <c r="H492">
        <f>IF(OR(C492=0,C492=D492),"BIÊN","")</f>
        <v/>
      </c>
    </row>
    <row r="493">
      <c r="A493" t="n">
        <v>492</v>
      </c>
      <c r="B493">
        <f>'01_Data'!A493</f>
        <v/>
      </c>
      <c r="C493">
        <f>'03_Lap_Theta'!C493</f>
        <v/>
      </c>
      <c r="D493">
        <f>'03_Lap_Theta'!D493</f>
        <v/>
      </c>
      <c r="E493" s="5">
        <f>'03_Lap_Theta'!$AC493</f>
        <v/>
      </c>
      <c r="F493" s="5">
        <f>SUMPRODUCT(('01_Data'!$B493:$AW493&lt;&gt;"")*(1/(1+EXP(-('03_Lap_Theta'!$AC493-'03_Lap_b'!$B$45:$AW$45))))*(1-(1/(1+EXP(-('03_Lap_Theta'!$AC493-'03_Lap_b'!$B$45:$AW$45))))))</f>
        <v/>
      </c>
      <c r="G493" s="5">
        <f>IF(F493&lt;=0.000000001,"",1/SQRT(F493))</f>
        <v/>
      </c>
      <c r="H493">
        <f>IF(OR(C493=0,C493=D493),"BIÊN","")</f>
        <v/>
      </c>
    </row>
    <row r="494">
      <c r="A494" t="n">
        <v>493</v>
      </c>
      <c r="B494">
        <f>'01_Data'!A494</f>
        <v/>
      </c>
      <c r="C494">
        <f>'03_Lap_Theta'!C494</f>
        <v/>
      </c>
      <c r="D494">
        <f>'03_Lap_Theta'!D494</f>
        <v/>
      </c>
      <c r="E494" s="5">
        <f>'03_Lap_Theta'!$AC494</f>
        <v/>
      </c>
      <c r="F494" s="5">
        <f>SUMPRODUCT(('01_Data'!$B494:$AW494&lt;&gt;"")*(1/(1+EXP(-('03_Lap_Theta'!$AC494-'03_Lap_b'!$B$45:$AW$45))))*(1-(1/(1+EXP(-('03_Lap_Theta'!$AC494-'03_Lap_b'!$B$45:$AW$45))))))</f>
        <v/>
      </c>
      <c r="G494" s="5">
        <f>IF(F494&lt;=0.000000001,"",1/SQRT(F494))</f>
        <v/>
      </c>
      <c r="H494">
        <f>IF(OR(C494=0,C494=D494),"BIÊN","")</f>
        <v/>
      </c>
    </row>
    <row r="495">
      <c r="A495" t="n">
        <v>494</v>
      </c>
      <c r="B495">
        <f>'01_Data'!A495</f>
        <v/>
      </c>
      <c r="C495">
        <f>'03_Lap_Theta'!C495</f>
        <v/>
      </c>
      <c r="D495">
        <f>'03_Lap_Theta'!D495</f>
        <v/>
      </c>
      <c r="E495" s="5">
        <f>'03_Lap_Theta'!$AC495</f>
        <v/>
      </c>
      <c r="F495" s="5">
        <f>SUMPRODUCT(('01_Data'!$B495:$AW495&lt;&gt;"")*(1/(1+EXP(-('03_Lap_Theta'!$AC495-'03_Lap_b'!$B$45:$AW$45))))*(1-(1/(1+EXP(-('03_Lap_Theta'!$AC495-'03_Lap_b'!$B$45:$AW$45))))))</f>
        <v/>
      </c>
      <c r="G495" s="5">
        <f>IF(F495&lt;=0.000000001,"",1/SQRT(F495))</f>
        <v/>
      </c>
      <c r="H495">
        <f>IF(OR(C495=0,C495=D495),"BIÊN","")</f>
        <v/>
      </c>
    </row>
    <row r="496">
      <c r="A496" t="n">
        <v>495</v>
      </c>
      <c r="B496">
        <f>'01_Data'!A496</f>
        <v/>
      </c>
      <c r="C496">
        <f>'03_Lap_Theta'!C496</f>
        <v/>
      </c>
      <c r="D496">
        <f>'03_Lap_Theta'!D496</f>
        <v/>
      </c>
      <c r="E496" s="5">
        <f>'03_Lap_Theta'!$AC496</f>
        <v/>
      </c>
      <c r="F496" s="5">
        <f>SUMPRODUCT(('01_Data'!$B496:$AW496&lt;&gt;"")*(1/(1+EXP(-('03_Lap_Theta'!$AC496-'03_Lap_b'!$B$45:$AW$45))))*(1-(1/(1+EXP(-('03_Lap_Theta'!$AC496-'03_Lap_b'!$B$45:$AW$45))))))</f>
        <v/>
      </c>
      <c r="G496" s="5">
        <f>IF(F496&lt;=0.000000001,"",1/SQRT(F496))</f>
        <v/>
      </c>
      <c r="H496">
        <f>IF(OR(C496=0,C496=D496),"BIÊN","")</f>
        <v/>
      </c>
    </row>
    <row r="497">
      <c r="A497" t="n">
        <v>496</v>
      </c>
      <c r="B497">
        <f>'01_Data'!A497</f>
        <v/>
      </c>
      <c r="C497">
        <f>'03_Lap_Theta'!C497</f>
        <v/>
      </c>
      <c r="D497">
        <f>'03_Lap_Theta'!D497</f>
        <v/>
      </c>
      <c r="E497" s="5">
        <f>'03_Lap_Theta'!$AC497</f>
        <v/>
      </c>
      <c r="F497" s="5">
        <f>SUMPRODUCT(('01_Data'!$B497:$AW497&lt;&gt;"")*(1/(1+EXP(-('03_Lap_Theta'!$AC497-'03_Lap_b'!$B$45:$AW$45))))*(1-(1/(1+EXP(-('03_Lap_Theta'!$AC497-'03_Lap_b'!$B$45:$AW$45))))))</f>
        <v/>
      </c>
      <c r="G497" s="5">
        <f>IF(F497&lt;=0.000000001,"",1/SQRT(F497))</f>
        <v/>
      </c>
      <c r="H497">
        <f>IF(OR(C497=0,C497=D497),"BIÊN","")</f>
        <v/>
      </c>
    </row>
    <row r="498">
      <c r="A498" t="n">
        <v>497</v>
      </c>
      <c r="B498">
        <f>'01_Data'!A498</f>
        <v/>
      </c>
      <c r="C498">
        <f>'03_Lap_Theta'!C498</f>
        <v/>
      </c>
      <c r="D498">
        <f>'03_Lap_Theta'!D498</f>
        <v/>
      </c>
      <c r="E498" s="5">
        <f>'03_Lap_Theta'!$AC498</f>
        <v/>
      </c>
      <c r="F498" s="5">
        <f>SUMPRODUCT(('01_Data'!$B498:$AW498&lt;&gt;"")*(1/(1+EXP(-('03_Lap_Theta'!$AC498-'03_Lap_b'!$B$45:$AW$45))))*(1-(1/(1+EXP(-('03_Lap_Theta'!$AC498-'03_Lap_b'!$B$45:$AW$45))))))</f>
        <v/>
      </c>
      <c r="G498" s="5">
        <f>IF(F498&lt;=0.000000001,"",1/SQRT(F498))</f>
        <v/>
      </c>
      <c r="H498">
        <f>IF(OR(C498=0,C498=D498),"BIÊN","")</f>
        <v/>
      </c>
    </row>
    <row r="499">
      <c r="A499" t="n">
        <v>498</v>
      </c>
      <c r="B499">
        <f>'01_Data'!A499</f>
        <v/>
      </c>
      <c r="C499">
        <f>'03_Lap_Theta'!C499</f>
        <v/>
      </c>
      <c r="D499">
        <f>'03_Lap_Theta'!D499</f>
        <v/>
      </c>
      <c r="E499" s="5">
        <f>'03_Lap_Theta'!$AC499</f>
        <v/>
      </c>
      <c r="F499" s="5">
        <f>SUMPRODUCT(('01_Data'!$B499:$AW499&lt;&gt;"")*(1/(1+EXP(-('03_Lap_Theta'!$AC499-'03_Lap_b'!$B$45:$AW$45))))*(1-(1/(1+EXP(-('03_Lap_Theta'!$AC499-'03_Lap_b'!$B$45:$AW$45))))))</f>
        <v/>
      </c>
      <c r="G499" s="5">
        <f>IF(F499&lt;=0.000000001,"",1/SQRT(F499))</f>
        <v/>
      </c>
      <c r="H499">
        <f>IF(OR(C499=0,C499=D499),"BIÊN","")</f>
        <v/>
      </c>
    </row>
    <row r="500">
      <c r="A500" t="n">
        <v>499</v>
      </c>
      <c r="B500">
        <f>'01_Data'!A500</f>
        <v/>
      </c>
      <c r="C500">
        <f>'03_Lap_Theta'!C500</f>
        <v/>
      </c>
      <c r="D500">
        <f>'03_Lap_Theta'!D500</f>
        <v/>
      </c>
      <c r="E500" s="5">
        <f>'03_Lap_Theta'!$AC500</f>
        <v/>
      </c>
      <c r="F500" s="5">
        <f>SUMPRODUCT(('01_Data'!$B500:$AW500&lt;&gt;"")*(1/(1+EXP(-('03_Lap_Theta'!$AC500-'03_Lap_b'!$B$45:$AW$45))))*(1-(1/(1+EXP(-('03_Lap_Theta'!$AC500-'03_Lap_b'!$B$45:$AW$45))))))</f>
        <v/>
      </c>
      <c r="G500" s="5">
        <f>IF(F500&lt;=0.000000001,"",1/SQRT(F500))</f>
        <v/>
      </c>
      <c r="H500">
        <f>IF(OR(C500=0,C500=D500),"BIÊN","")</f>
        <v/>
      </c>
    </row>
    <row r="501">
      <c r="A501" t="n">
        <v>500</v>
      </c>
      <c r="B501">
        <f>'01_Data'!A501</f>
        <v/>
      </c>
      <c r="C501">
        <f>'03_Lap_Theta'!C501</f>
        <v/>
      </c>
      <c r="D501">
        <f>'03_Lap_Theta'!D501</f>
        <v/>
      </c>
      <c r="E501" s="5">
        <f>'03_Lap_Theta'!$AC501</f>
        <v/>
      </c>
      <c r="F501" s="5">
        <f>SUMPRODUCT(('01_Data'!$B501:$AW501&lt;&gt;"")*(1/(1+EXP(-('03_Lap_Theta'!$AC501-'03_Lap_b'!$B$45:$AW$45))))*(1-(1/(1+EXP(-('03_Lap_Theta'!$AC501-'03_Lap_b'!$B$45:$AW$45))))))</f>
        <v/>
      </c>
      <c r="G501" s="5">
        <f>IF(F501&lt;=0.000000001,"",1/SQRT(F501))</f>
        <v/>
      </c>
      <c r="H501">
        <f>IF(OR(C501=0,C501=D501),"BIÊN","")</f>
        <v/>
      </c>
    </row>
    <row r="502">
      <c r="A502" t="n">
        <v>501</v>
      </c>
      <c r="B502">
        <f>'01_Data'!A502</f>
        <v/>
      </c>
      <c r="C502">
        <f>'03_Lap_Theta'!C502</f>
        <v/>
      </c>
      <c r="D502">
        <f>'03_Lap_Theta'!D502</f>
        <v/>
      </c>
      <c r="E502" s="5">
        <f>'03_Lap_Theta'!$AC502</f>
        <v/>
      </c>
      <c r="F502" s="5">
        <f>SUMPRODUCT(('01_Data'!$B502:$AW502&lt;&gt;"")*(1/(1+EXP(-('03_Lap_Theta'!$AC502-'03_Lap_b'!$B$45:$AW$45))))*(1-(1/(1+EXP(-('03_Lap_Theta'!$AC502-'03_Lap_b'!$B$45:$AW$45))))))</f>
        <v/>
      </c>
      <c r="G502" s="5">
        <f>IF(F502&lt;=0.000000001,"",1/SQRT(F502))</f>
        <v/>
      </c>
      <c r="H502">
        <f>IF(OR(C502=0,C502=D502),"BIÊN","")</f>
        <v/>
      </c>
    </row>
    <row r="503">
      <c r="A503" t="n">
        <v>502</v>
      </c>
      <c r="B503">
        <f>'01_Data'!A503</f>
        <v/>
      </c>
      <c r="C503">
        <f>'03_Lap_Theta'!C503</f>
        <v/>
      </c>
      <c r="D503">
        <f>'03_Lap_Theta'!D503</f>
        <v/>
      </c>
      <c r="E503" s="5">
        <f>'03_Lap_Theta'!$AC503</f>
        <v/>
      </c>
      <c r="F503" s="5">
        <f>SUMPRODUCT(('01_Data'!$B503:$AW503&lt;&gt;"")*(1/(1+EXP(-('03_Lap_Theta'!$AC503-'03_Lap_b'!$B$45:$AW$45))))*(1-(1/(1+EXP(-('03_Lap_Theta'!$AC503-'03_Lap_b'!$B$45:$AW$45))))))</f>
        <v/>
      </c>
      <c r="G503" s="5">
        <f>IF(F503&lt;=0.000000001,"",1/SQRT(F503))</f>
        <v/>
      </c>
      <c r="H503">
        <f>IF(OR(C503=0,C503=D503),"BIÊN","")</f>
        <v/>
      </c>
    </row>
    <row r="504">
      <c r="A504" t="n">
        <v>503</v>
      </c>
      <c r="B504">
        <f>'01_Data'!A504</f>
        <v/>
      </c>
      <c r="C504">
        <f>'03_Lap_Theta'!C504</f>
        <v/>
      </c>
      <c r="D504">
        <f>'03_Lap_Theta'!D504</f>
        <v/>
      </c>
      <c r="E504" s="5">
        <f>'03_Lap_Theta'!$AC504</f>
        <v/>
      </c>
      <c r="F504" s="5">
        <f>SUMPRODUCT(('01_Data'!$B504:$AW504&lt;&gt;"")*(1/(1+EXP(-('03_Lap_Theta'!$AC504-'03_Lap_b'!$B$45:$AW$45))))*(1-(1/(1+EXP(-('03_Lap_Theta'!$AC504-'03_Lap_b'!$B$45:$AW$45))))))</f>
        <v/>
      </c>
      <c r="G504" s="5">
        <f>IF(F504&lt;=0.000000001,"",1/SQRT(F504))</f>
        <v/>
      </c>
      <c r="H504">
        <f>IF(OR(C504=0,C504=D504),"BIÊN","")</f>
        <v/>
      </c>
    </row>
    <row r="505">
      <c r="A505" t="n">
        <v>504</v>
      </c>
      <c r="B505">
        <f>'01_Data'!A505</f>
        <v/>
      </c>
      <c r="C505">
        <f>'03_Lap_Theta'!C505</f>
        <v/>
      </c>
      <c r="D505">
        <f>'03_Lap_Theta'!D505</f>
        <v/>
      </c>
      <c r="E505" s="5">
        <f>'03_Lap_Theta'!$AC505</f>
        <v/>
      </c>
      <c r="F505" s="5">
        <f>SUMPRODUCT(('01_Data'!$B505:$AW505&lt;&gt;"")*(1/(1+EXP(-('03_Lap_Theta'!$AC505-'03_Lap_b'!$B$45:$AW$45))))*(1-(1/(1+EXP(-('03_Lap_Theta'!$AC505-'03_Lap_b'!$B$45:$AW$45))))))</f>
        <v/>
      </c>
      <c r="G505" s="5">
        <f>IF(F505&lt;=0.000000001,"",1/SQRT(F505))</f>
        <v/>
      </c>
      <c r="H505">
        <f>IF(OR(C505=0,C505=D505),"BIÊN","")</f>
        <v/>
      </c>
    </row>
    <row r="506">
      <c r="A506" t="n">
        <v>505</v>
      </c>
      <c r="B506">
        <f>'01_Data'!A506</f>
        <v/>
      </c>
      <c r="C506">
        <f>'03_Lap_Theta'!C506</f>
        <v/>
      </c>
      <c r="D506">
        <f>'03_Lap_Theta'!D506</f>
        <v/>
      </c>
      <c r="E506" s="5">
        <f>'03_Lap_Theta'!$AC506</f>
        <v/>
      </c>
      <c r="F506" s="5">
        <f>SUMPRODUCT(('01_Data'!$B506:$AW506&lt;&gt;"")*(1/(1+EXP(-('03_Lap_Theta'!$AC506-'03_Lap_b'!$B$45:$AW$45))))*(1-(1/(1+EXP(-('03_Lap_Theta'!$AC506-'03_Lap_b'!$B$45:$AW$45))))))</f>
        <v/>
      </c>
      <c r="G506" s="5">
        <f>IF(F506&lt;=0.000000001,"",1/SQRT(F506))</f>
        <v/>
      </c>
      <c r="H506">
        <f>IF(OR(C506=0,C506=D506),"BIÊN","")</f>
        <v/>
      </c>
    </row>
    <row r="507">
      <c r="A507" t="n">
        <v>506</v>
      </c>
      <c r="B507">
        <f>'01_Data'!A507</f>
        <v/>
      </c>
      <c r="C507">
        <f>'03_Lap_Theta'!C507</f>
        <v/>
      </c>
      <c r="D507">
        <f>'03_Lap_Theta'!D507</f>
        <v/>
      </c>
      <c r="E507" s="5">
        <f>'03_Lap_Theta'!$AC507</f>
        <v/>
      </c>
      <c r="F507" s="5">
        <f>SUMPRODUCT(('01_Data'!$B507:$AW507&lt;&gt;"")*(1/(1+EXP(-('03_Lap_Theta'!$AC507-'03_Lap_b'!$B$45:$AW$45))))*(1-(1/(1+EXP(-('03_Lap_Theta'!$AC507-'03_Lap_b'!$B$45:$AW$45))))))</f>
        <v/>
      </c>
      <c r="G507" s="5">
        <f>IF(F507&lt;=0.000000001,"",1/SQRT(F507))</f>
        <v/>
      </c>
      <c r="H507">
        <f>IF(OR(C507=0,C507=D507),"BIÊN","")</f>
        <v/>
      </c>
    </row>
    <row r="508">
      <c r="A508" t="n">
        <v>507</v>
      </c>
      <c r="B508">
        <f>'01_Data'!A508</f>
        <v/>
      </c>
      <c r="C508">
        <f>'03_Lap_Theta'!C508</f>
        <v/>
      </c>
      <c r="D508">
        <f>'03_Lap_Theta'!D508</f>
        <v/>
      </c>
      <c r="E508" s="5">
        <f>'03_Lap_Theta'!$AC508</f>
        <v/>
      </c>
      <c r="F508" s="5">
        <f>SUMPRODUCT(('01_Data'!$B508:$AW508&lt;&gt;"")*(1/(1+EXP(-('03_Lap_Theta'!$AC508-'03_Lap_b'!$B$45:$AW$45))))*(1-(1/(1+EXP(-('03_Lap_Theta'!$AC508-'03_Lap_b'!$B$45:$AW$45))))))</f>
        <v/>
      </c>
      <c r="G508" s="5">
        <f>IF(F508&lt;=0.000000001,"",1/SQRT(F508))</f>
        <v/>
      </c>
      <c r="H508">
        <f>IF(OR(C508=0,C508=D508),"BIÊN","")</f>
        <v/>
      </c>
    </row>
    <row r="509">
      <c r="A509" t="n">
        <v>508</v>
      </c>
      <c r="B509">
        <f>'01_Data'!A509</f>
        <v/>
      </c>
      <c r="C509">
        <f>'03_Lap_Theta'!C509</f>
        <v/>
      </c>
      <c r="D509">
        <f>'03_Lap_Theta'!D509</f>
        <v/>
      </c>
      <c r="E509" s="5">
        <f>'03_Lap_Theta'!$AC509</f>
        <v/>
      </c>
      <c r="F509" s="5">
        <f>SUMPRODUCT(('01_Data'!$B509:$AW509&lt;&gt;"")*(1/(1+EXP(-('03_Lap_Theta'!$AC509-'03_Lap_b'!$B$45:$AW$45))))*(1-(1/(1+EXP(-('03_Lap_Theta'!$AC509-'03_Lap_b'!$B$45:$AW$45))))))</f>
        <v/>
      </c>
      <c r="G509" s="5">
        <f>IF(F509&lt;=0.000000001,"",1/SQRT(F509))</f>
        <v/>
      </c>
      <c r="H509">
        <f>IF(OR(C509=0,C509=D509),"BIÊN","")</f>
        <v/>
      </c>
    </row>
    <row r="510">
      <c r="A510" t="n">
        <v>509</v>
      </c>
      <c r="B510">
        <f>'01_Data'!A510</f>
        <v/>
      </c>
      <c r="C510">
        <f>'03_Lap_Theta'!C510</f>
        <v/>
      </c>
      <c r="D510">
        <f>'03_Lap_Theta'!D510</f>
        <v/>
      </c>
      <c r="E510" s="5">
        <f>'03_Lap_Theta'!$AC510</f>
        <v/>
      </c>
      <c r="F510" s="5">
        <f>SUMPRODUCT(('01_Data'!$B510:$AW510&lt;&gt;"")*(1/(1+EXP(-('03_Lap_Theta'!$AC510-'03_Lap_b'!$B$45:$AW$45))))*(1-(1/(1+EXP(-('03_Lap_Theta'!$AC510-'03_Lap_b'!$B$45:$AW$45))))))</f>
        <v/>
      </c>
      <c r="G510" s="5">
        <f>IF(F510&lt;=0.000000001,"",1/SQRT(F510))</f>
        <v/>
      </c>
      <c r="H510">
        <f>IF(OR(C510=0,C510=D510),"BIÊN","")</f>
        <v/>
      </c>
    </row>
    <row r="511">
      <c r="A511" t="n">
        <v>510</v>
      </c>
      <c r="B511">
        <f>'01_Data'!A511</f>
        <v/>
      </c>
      <c r="C511">
        <f>'03_Lap_Theta'!C511</f>
        <v/>
      </c>
      <c r="D511">
        <f>'03_Lap_Theta'!D511</f>
        <v/>
      </c>
      <c r="E511" s="5">
        <f>'03_Lap_Theta'!$AC511</f>
        <v/>
      </c>
      <c r="F511" s="5">
        <f>SUMPRODUCT(('01_Data'!$B511:$AW511&lt;&gt;"")*(1/(1+EXP(-('03_Lap_Theta'!$AC511-'03_Lap_b'!$B$45:$AW$45))))*(1-(1/(1+EXP(-('03_Lap_Theta'!$AC511-'03_Lap_b'!$B$45:$AW$45))))))</f>
        <v/>
      </c>
      <c r="G511" s="5">
        <f>IF(F511&lt;=0.000000001,"",1/SQRT(F511))</f>
        <v/>
      </c>
      <c r="H511">
        <f>IF(OR(C511=0,C511=D511),"BIÊN","")</f>
        <v/>
      </c>
    </row>
    <row r="512">
      <c r="A512" t="n">
        <v>511</v>
      </c>
      <c r="B512">
        <f>'01_Data'!A512</f>
        <v/>
      </c>
      <c r="C512">
        <f>'03_Lap_Theta'!C512</f>
        <v/>
      </c>
      <c r="D512">
        <f>'03_Lap_Theta'!D512</f>
        <v/>
      </c>
      <c r="E512" s="5">
        <f>'03_Lap_Theta'!$AC512</f>
        <v/>
      </c>
      <c r="F512" s="5">
        <f>SUMPRODUCT(('01_Data'!$B512:$AW512&lt;&gt;"")*(1/(1+EXP(-('03_Lap_Theta'!$AC512-'03_Lap_b'!$B$45:$AW$45))))*(1-(1/(1+EXP(-('03_Lap_Theta'!$AC512-'03_Lap_b'!$B$45:$AW$45))))))</f>
        <v/>
      </c>
      <c r="G512" s="5">
        <f>IF(F512&lt;=0.000000001,"",1/SQRT(F512))</f>
        <v/>
      </c>
      <c r="H512">
        <f>IF(OR(C512=0,C512=D512),"BIÊN","")</f>
        <v/>
      </c>
    </row>
    <row r="513">
      <c r="A513" t="n">
        <v>512</v>
      </c>
      <c r="B513">
        <f>'01_Data'!A513</f>
        <v/>
      </c>
      <c r="C513">
        <f>'03_Lap_Theta'!C513</f>
        <v/>
      </c>
      <c r="D513">
        <f>'03_Lap_Theta'!D513</f>
        <v/>
      </c>
      <c r="E513" s="5">
        <f>'03_Lap_Theta'!$AC513</f>
        <v/>
      </c>
      <c r="F513" s="5">
        <f>SUMPRODUCT(('01_Data'!$B513:$AW513&lt;&gt;"")*(1/(1+EXP(-('03_Lap_Theta'!$AC513-'03_Lap_b'!$B$45:$AW$45))))*(1-(1/(1+EXP(-('03_Lap_Theta'!$AC513-'03_Lap_b'!$B$45:$AW$45))))))</f>
        <v/>
      </c>
      <c r="G513" s="5">
        <f>IF(F513&lt;=0.000000001,"",1/SQRT(F513))</f>
        <v/>
      </c>
      <c r="H513">
        <f>IF(OR(C513=0,C513=D513),"BIÊN","")</f>
        <v/>
      </c>
    </row>
    <row r="514">
      <c r="A514" t="n">
        <v>513</v>
      </c>
      <c r="B514">
        <f>'01_Data'!A514</f>
        <v/>
      </c>
      <c r="C514">
        <f>'03_Lap_Theta'!C514</f>
        <v/>
      </c>
      <c r="D514">
        <f>'03_Lap_Theta'!D514</f>
        <v/>
      </c>
      <c r="E514" s="5">
        <f>'03_Lap_Theta'!$AC514</f>
        <v/>
      </c>
      <c r="F514" s="5">
        <f>SUMPRODUCT(('01_Data'!$B514:$AW514&lt;&gt;"")*(1/(1+EXP(-('03_Lap_Theta'!$AC514-'03_Lap_b'!$B$45:$AW$45))))*(1-(1/(1+EXP(-('03_Lap_Theta'!$AC514-'03_Lap_b'!$B$45:$AW$45))))))</f>
        <v/>
      </c>
      <c r="G514" s="5">
        <f>IF(F514&lt;=0.000000001,"",1/SQRT(F514))</f>
        <v/>
      </c>
      <c r="H514">
        <f>IF(OR(C514=0,C514=D514),"BIÊN","")</f>
        <v/>
      </c>
    </row>
    <row r="515">
      <c r="A515" t="n">
        <v>514</v>
      </c>
      <c r="B515">
        <f>'01_Data'!A515</f>
        <v/>
      </c>
      <c r="C515">
        <f>'03_Lap_Theta'!C515</f>
        <v/>
      </c>
      <c r="D515">
        <f>'03_Lap_Theta'!D515</f>
        <v/>
      </c>
      <c r="E515" s="5">
        <f>'03_Lap_Theta'!$AC515</f>
        <v/>
      </c>
      <c r="F515" s="5">
        <f>SUMPRODUCT(('01_Data'!$B515:$AW515&lt;&gt;"")*(1/(1+EXP(-('03_Lap_Theta'!$AC515-'03_Lap_b'!$B$45:$AW$45))))*(1-(1/(1+EXP(-('03_Lap_Theta'!$AC515-'03_Lap_b'!$B$45:$AW$45))))))</f>
        <v/>
      </c>
      <c r="G515" s="5">
        <f>IF(F515&lt;=0.000000001,"",1/SQRT(F515))</f>
        <v/>
      </c>
      <c r="H515">
        <f>IF(OR(C515=0,C515=D515),"BIÊN","")</f>
        <v/>
      </c>
    </row>
    <row r="516">
      <c r="A516" t="n">
        <v>515</v>
      </c>
      <c r="B516">
        <f>'01_Data'!A516</f>
        <v/>
      </c>
      <c r="C516">
        <f>'03_Lap_Theta'!C516</f>
        <v/>
      </c>
      <c r="D516">
        <f>'03_Lap_Theta'!D516</f>
        <v/>
      </c>
      <c r="E516" s="5">
        <f>'03_Lap_Theta'!$AC516</f>
        <v/>
      </c>
      <c r="F516" s="5">
        <f>SUMPRODUCT(('01_Data'!$B516:$AW516&lt;&gt;"")*(1/(1+EXP(-('03_Lap_Theta'!$AC516-'03_Lap_b'!$B$45:$AW$45))))*(1-(1/(1+EXP(-('03_Lap_Theta'!$AC516-'03_Lap_b'!$B$45:$AW$45))))))</f>
        <v/>
      </c>
      <c r="G516" s="5">
        <f>IF(F516&lt;=0.000000001,"",1/SQRT(F516))</f>
        <v/>
      </c>
      <c r="H516">
        <f>IF(OR(C516=0,C516=D516),"BIÊN","")</f>
        <v/>
      </c>
    </row>
    <row r="517">
      <c r="A517" t="n">
        <v>516</v>
      </c>
      <c r="B517">
        <f>'01_Data'!A517</f>
        <v/>
      </c>
      <c r="C517">
        <f>'03_Lap_Theta'!C517</f>
        <v/>
      </c>
      <c r="D517">
        <f>'03_Lap_Theta'!D517</f>
        <v/>
      </c>
      <c r="E517" s="5">
        <f>'03_Lap_Theta'!$AC517</f>
        <v/>
      </c>
      <c r="F517" s="5">
        <f>SUMPRODUCT(('01_Data'!$B517:$AW517&lt;&gt;"")*(1/(1+EXP(-('03_Lap_Theta'!$AC517-'03_Lap_b'!$B$45:$AW$45))))*(1-(1/(1+EXP(-('03_Lap_Theta'!$AC517-'03_Lap_b'!$B$45:$AW$45))))))</f>
        <v/>
      </c>
      <c r="G517" s="5">
        <f>IF(F517&lt;=0.000000001,"",1/SQRT(F517))</f>
        <v/>
      </c>
      <c r="H517">
        <f>IF(OR(C517=0,C517=D517),"BIÊN","")</f>
        <v/>
      </c>
    </row>
    <row r="518">
      <c r="A518" t="n">
        <v>517</v>
      </c>
      <c r="B518">
        <f>'01_Data'!A518</f>
        <v/>
      </c>
      <c r="C518">
        <f>'03_Lap_Theta'!C518</f>
        <v/>
      </c>
      <c r="D518">
        <f>'03_Lap_Theta'!D518</f>
        <v/>
      </c>
      <c r="E518" s="5">
        <f>'03_Lap_Theta'!$AC518</f>
        <v/>
      </c>
      <c r="F518" s="5">
        <f>SUMPRODUCT(('01_Data'!$B518:$AW518&lt;&gt;"")*(1/(1+EXP(-('03_Lap_Theta'!$AC518-'03_Lap_b'!$B$45:$AW$45))))*(1-(1/(1+EXP(-('03_Lap_Theta'!$AC518-'03_Lap_b'!$B$45:$AW$45))))))</f>
        <v/>
      </c>
      <c r="G518" s="5">
        <f>IF(F518&lt;=0.000000001,"",1/SQRT(F518))</f>
        <v/>
      </c>
      <c r="H518">
        <f>IF(OR(C518=0,C518=D518),"BIÊN","")</f>
        <v/>
      </c>
    </row>
    <row r="519">
      <c r="A519" t="n">
        <v>518</v>
      </c>
      <c r="B519">
        <f>'01_Data'!A519</f>
        <v/>
      </c>
      <c r="C519">
        <f>'03_Lap_Theta'!C519</f>
        <v/>
      </c>
      <c r="D519">
        <f>'03_Lap_Theta'!D519</f>
        <v/>
      </c>
      <c r="E519" s="5">
        <f>'03_Lap_Theta'!$AC519</f>
        <v/>
      </c>
      <c r="F519" s="5">
        <f>SUMPRODUCT(('01_Data'!$B519:$AW519&lt;&gt;"")*(1/(1+EXP(-('03_Lap_Theta'!$AC519-'03_Lap_b'!$B$45:$AW$45))))*(1-(1/(1+EXP(-('03_Lap_Theta'!$AC519-'03_Lap_b'!$B$45:$AW$45))))))</f>
        <v/>
      </c>
      <c r="G519" s="5">
        <f>IF(F519&lt;=0.000000001,"",1/SQRT(F519))</f>
        <v/>
      </c>
      <c r="H519">
        <f>IF(OR(C519=0,C519=D519),"BIÊN","")</f>
        <v/>
      </c>
    </row>
    <row r="520">
      <c r="A520" t="n">
        <v>519</v>
      </c>
      <c r="B520">
        <f>'01_Data'!A520</f>
        <v/>
      </c>
      <c r="C520">
        <f>'03_Lap_Theta'!C520</f>
        <v/>
      </c>
      <c r="D520">
        <f>'03_Lap_Theta'!D520</f>
        <v/>
      </c>
      <c r="E520" s="5">
        <f>'03_Lap_Theta'!$AC520</f>
        <v/>
      </c>
      <c r="F520" s="5">
        <f>SUMPRODUCT(('01_Data'!$B520:$AW520&lt;&gt;"")*(1/(1+EXP(-('03_Lap_Theta'!$AC520-'03_Lap_b'!$B$45:$AW$45))))*(1-(1/(1+EXP(-('03_Lap_Theta'!$AC520-'03_Lap_b'!$B$45:$AW$45))))))</f>
        <v/>
      </c>
      <c r="G520" s="5">
        <f>IF(F520&lt;=0.000000001,"",1/SQRT(F520))</f>
        <v/>
      </c>
      <c r="H520">
        <f>IF(OR(C520=0,C520=D520),"BIÊN","")</f>
        <v/>
      </c>
    </row>
    <row r="521">
      <c r="A521" t="n">
        <v>520</v>
      </c>
      <c r="B521">
        <f>'01_Data'!A521</f>
        <v/>
      </c>
      <c r="C521">
        <f>'03_Lap_Theta'!C521</f>
        <v/>
      </c>
      <c r="D521">
        <f>'03_Lap_Theta'!D521</f>
        <v/>
      </c>
      <c r="E521" s="5">
        <f>'03_Lap_Theta'!$AC521</f>
        <v/>
      </c>
      <c r="F521" s="5">
        <f>SUMPRODUCT(('01_Data'!$B521:$AW521&lt;&gt;"")*(1/(1+EXP(-('03_Lap_Theta'!$AC521-'03_Lap_b'!$B$45:$AW$45))))*(1-(1/(1+EXP(-('03_Lap_Theta'!$AC521-'03_Lap_b'!$B$45:$AW$45))))))</f>
        <v/>
      </c>
      <c r="G521" s="5">
        <f>IF(F521&lt;=0.000000001,"",1/SQRT(F521))</f>
        <v/>
      </c>
      <c r="H521">
        <f>IF(OR(C521=0,C521=D521),"BIÊN","")</f>
        <v/>
      </c>
    </row>
    <row r="522">
      <c r="A522" t="n">
        <v>521</v>
      </c>
      <c r="B522">
        <f>'01_Data'!A522</f>
        <v/>
      </c>
      <c r="C522">
        <f>'03_Lap_Theta'!C522</f>
        <v/>
      </c>
      <c r="D522">
        <f>'03_Lap_Theta'!D522</f>
        <v/>
      </c>
      <c r="E522" s="5">
        <f>'03_Lap_Theta'!$AC522</f>
        <v/>
      </c>
      <c r="F522" s="5">
        <f>SUMPRODUCT(('01_Data'!$B522:$AW522&lt;&gt;"")*(1/(1+EXP(-('03_Lap_Theta'!$AC522-'03_Lap_b'!$B$45:$AW$45))))*(1-(1/(1+EXP(-('03_Lap_Theta'!$AC522-'03_Lap_b'!$B$45:$AW$45))))))</f>
        <v/>
      </c>
      <c r="G522" s="5">
        <f>IF(F522&lt;=0.000000001,"",1/SQRT(F522))</f>
        <v/>
      </c>
      <c r="H522">
        <f>IF(OR(C522=0,C522=D522),"BIÊN","")</f>
        <v/>
      </c>
    </row>
    <row r="523">
      <c r="A523" t="n">
        <v>522</v>
      </c>
      <c r="B523">
        <f>'01_Data'!A523</f>
        <v/>
      </c>
      <c r="C523">
        <f>'03_Lap_Theta'!C523</f>
        <v/>
      </c>
      <c r="D523">
        <f>'03_Lap_Theta'!D523</f>
        <v/>
      </c>
      <c r="E523" s="5">
        <f>'03_Lap_Theta'!$AC523</f>
        <v/>
      </c>
      <c r="F523" s="5">
        <f>SUMPRODUCT(('01_Data'!$B523:$AW523&lt;&gt;"")*(1/(1+EXP(-('03_Lap_Theta'!$AC523-'03_Lap_b'!$B$45:$AW$45))))*(1-(1/(1+EXP(-('03_Lap_Theta'!$AC523-'03_Lap_b'!$B$45:$AW$45))))))</f>
        <v/>
      </c>
      <c r="G523" s="5">
        <f>IF(F523&lt;=0.000000001,"",1/SQRT(F523))</f>
        <v/>
      </c>
      <c r="H523">
        <f>IF(OR(C523=0,C523=D523),"BIÊN","")</f>
        <v/>
      </c>
    </row>
    <row r="524">
      <c r="A524" t="n">
        <v>523</v>
      </c>
      <c r="B524">
        <f>'01_Data'!A524</f>
        <v/>
      </c>
      <c r="C524">
        <f>'03_Lap_Theta'!C524</f>
        <v/>
      </c>
      <c r="D524">
        <f>'03_Lap_Theta'!D524</f>
        <v/>
      </c>
      <c r="E524" s="5">
        <f>'03_Lap_Theta'!$AC524</f>
        <v/>
      </c>
      <c r="F524" s="5">
        <f>SUMPRODUCT(('01_Data'!$B524:$AW524&lt;&gt;"")*(1/(1+EXP(-('03_Lap_Theta'!$AC524-'03_Lap_b'!$B$45:$AW$45))))*(1-(1/(1+EXP(-('03_Lap_Theta'!$AC524-'03_Lap_b'!$B$45:$AW$45))))))</f>
        <v/>
      </c>
      <c r="G524" s="5">
        <f>IF(F524&lt;=0.000000001,"",1/SQRT(F524))</f>
        <v/>
      </c>
      <c r="H524">
        <f>IF(OR(C524=0,C524=D524),"BIÊN","")</f>
        <v/>
      </c>
    </row>
    <row r="525">
      <c r="A525" t="n">
        <v>524</v>
      </c>
      <c r="B525">
        <f>'01_Data'!A525</f>
        <v/>
      </c>
      <c r="C525">
        <f>'03_Lap_Theta'!C525</f>
        <v/>
      </c>
      <c r="D525">
        <f>'03_Lap_Theta'!D525</f>
        <v/>
      </c>
      <c r="E525" s="5">
        <f>'03_Lap_Theta'!$AC525</f>
        <v/>
      </c>
      <c r="F525" s="5">
        <f>SUMPRODUCT(('01_Data'!$B525:$AW525&lt;&gt;"")*(1/(1+EXP(-('03_Lap_Theta'!$AC525-'03_Lap_b'!$B$45:$AW$45))))*(1-(1/(1+EXP(-('03_Lap_Theta'!$AC525-'03_Lap_b'!$B$45:$AW$45))))))</f>
        <v/>
      </c>
      <c r="G525" s="5">
        <f>IF(F525&lt;=0.000000001,"",1/SQRT(F525))</f>
        <v/>
      </c>
      <c r="H525">
        <f>IF(OR(C525=0,C525=D525),"BIÊN","")</f>
        <v/>
      </c>
    </row>
    <row r="526">
      <c r="A526" t="n">
        <v>525</v>
      </c>
      <c r="B526">
        <f>'01_Data'!A526</f>
        <v/>
      </c>
      <c r="C526">
        <f>'03_Lap_Theta'!C526</f>
        <v/>
      </c>
      <c r="D526">
        <f>'03_Lap_Theta'!D526</f>
        <v/>
      </c>
      <c r="E526" s="5">
        <f>'03_Lap_Theta'!$AC526</f>
        <v/>
      </c>
      <c r="F526" s="5">
        <f>SUMPRODUCT(('01_Data'!$B526:$AW526&lt;&gt;"")*(1/(1+EXP(-('03_Lap_Theta'!$AC526-'03_Lap_b'!$B$45:$AW$45))))*(1-(1/(1+EXP(-('03_Lap_Theta'!$AC526-'03_Lap_b'!$B$45:$AW$45))))))</f>
        <v/>
      </c>
      <c r="G526" s="5">
        <f>IF(F526&lt;=0.000000001,"",1/SQRT(F526))</f>
        <v/>
      </c>
      <c r="H526">
        <f>IF(OR(C526=0,C526=D526),"BIÊN","")</f>
        <v/>
      </c>
    </row>
    <row r="527">
      <c r="A527" t="n">
        <v>526</v>
      </c>
      <c r="B527">
        <f>'01_Data'!A527</f>
        <v/>
      </c>
      <c r="C527">
        <f>'03_Lap_Theta'!C527</f>
        <v/>
      </c>
      <c r="D527">
        <f>'03_Lap_Theta'!D527</f>
        <v/>
      </c>
      <c r="E527" s="5">
        <f>'03_Lap_Theta'!$AC527</f>
        <v/>
      </c>
      <c r="F527" s="5">
        <f>SUMPRODUCT(('01_Data'!$B527:$AW527&lt;&gt;"")*(1/(1+EXP(-('03_Lap_Theta'!$AC527-'03_Lap_b'!$B$45:$AW$45))))*(1-(1/(1+EXP(-('03_Lap_Theta'!$AC527-'03_Lap_b'!$B$45:$AW$45))))))</f>
        <v/>
      </c>
      <c r="G527" s="5">
        <f>IF(F527&lt;=0.000000001,"",1/SQRT(F527))</f>
        <v/>
      </c>
      <c r="H527">
        <f>IF(OR(C527=0,C527=D527),"BIÊN","")</f>
        <v/>
      </c>
    </row>
    <row r="528">
      <c r="A528" t="n">
        <v>527</v>
      </c>
      <c r="B528">
        <f>'01_Data'!A528</f>
        <v/>
      </c>
      <c r="C528">
        <f>'03_Lap_Theta'!C528</f>
        <v/>
      </c>
      <c r="D528">
        <f>'03_Lap_Theta'!D528</f>
        <v/>
      </c>
      <c r="E528" s="5">
        <f>'03_Lap_Theta'!$AC528</f>
        <v/>
      </c>
      <c r="F528" s="5">
        <f>SUMPRODUCT(('01_Data'!$B528:$AW528&lt;&gt;"")*(1/(1+EXP(-('03_Lap_Theta'!$AC528-'03_Lap_b'!$B$45:$AW$45))))*(1-(1/(1+EXP(-('03_Lap_Theta'!$AC528-'03_Lap_b'!$B$45:$AW$45))))))</f>
        <v/>
      </c>
      <c r="G528" s="5">
        <f>IF(F528&lt;=0.000000001,"",1/SQRT(F528))</f>
        <v/>
      </c>
      <c r="H528">
        <f>IF(OR(C528=0,C528=D528),"BIÊN","")</f>
        <v/>
      </c>
    </row>
    <row r="529">
      <c r="A529" t="n">
        <v>528</v>
      </c>
      <c r="B529">
        <f>'01_Data'!A529</f>
        <v/>
      </c>
      <c r="C529">
        <f>'03_Lap_Theta'!C529</f>
        <v/>
      </c>
      <c r="D529">
        <f>'03_Lap_Theta'!D529</f>
        <v/>
      </c>
      <c r="E529" s="5">
        <f>'03_Lap_Theta'!$AC529</f>
        <v/>
      </c>
      <c r="F529" s="5">
        <f>SUMPRODUCT(('01_Data'!$B529:$AW529&lt;&gt;"")*(1/(1+EXP(-('03_Lap_Theta'!$AC529-'03_Lap_b'!$B$45:$AW$45))))*(1-(1/(1+EXP(-('03_Lap_Theta'!$AC529-'03_Lap_b'!$B$45:$AW$45))))))</f>
        <v/>
      </c>
      <c r="G529" s="5">
        <f>IF(F529&lt;=0.000000001,"",1/SQRT(F529))</f>
        <v/>
      </c>
      <c r="H529">
        <f>IF(OR(C529=0,C529=D529),"BIÊN","")</f>
        <v/>
      </c>
    </row>
    <row r="530">
      <c r="A530" t="n">
        <v>529</v>
      </c>
      <c r="B530">
        <f>'01_Data'!A530</f>
        <v/>
      </c>
      <c r="C530">
        <f>'03_Lap_Theta'!C530</f>
        <v/>
      </c>
      <c r="D530">
        <f>'03_Lap_Theta'!D530</f>
        <v/>
      </c>
      <c r="E530" s="5">
        <f>'03_Lap_Theta'!$AC530</f>
        <v/>
      </c>
      <c r="F530" s="5">
        <f>SUMPRODUCT(('01_Data'!$B530:$AW530&lt;&gt;"")*(1/(1+EXP(-('03_Lap_Theta'!$AC530-'03_Lap_b'!$B$45:$AW$45))))*(1-(1/(1+EXP(-('03_Lap_Theta'!$AC530-'03_Lap_b'!$B$45:$AW$45))))))</f>
        <v/>
      </c>
      <c r="G530" s="5">
        <f>IF(F530&lt;=0.000000001,"",1/SQRT(F530))</f>
        <v/>
      </c>
      <c r="H530">
        <f>IF(OR(C530=0,C530=D530),"BIÊN","")</f>
        <v/>
      </c>
    </row>
    <row r="531">
      <c r="A531" t="n">
        <v>530</v>
      </c>
      <c r="B531">
        <f>'01_Data'!A531</f>
        <v/>
      </c>
      <c r="C531">
        <f>'03_Lap_Theta'!C531</f>
        <v/>
      </c>
      <c r="D531">
        <f>'03_Lap_Theta'!D531</f>
        <v/>
      </c>
      <c r="E531" s="5">
        <f>'03_Lap_Theta'!$AC531</f>
        <v/>
      </c>
      <c r="F531" s="5">
        <f>SUMPRODUCT(('01_Data'!$B531:$AW531&lt;&gt;"")*(1/(1+EXP(-('03_Lap_Theta'!$AC531-'03_Lap_b'!$B$45:$AW$45))))*(1-(1/(1+EXP(-('03_Lap_Theta'!$AC531-'03_Lap_b'!$B$45:$AW$45))))))</f>
        <v/>
      </c>
      <c r="G531" s="5">
        <f>IF(F531&lt;=0.000000001,"",1/SQRT(F531))</f>
        <v/>
      </c>
      <c r="H531">
        <f>IF(OR(C531=0,C531=D531),"BIÊN","")</f>
        <v/>
      </c>
    </row>
    <row r="532">
      <c r="A532" t="n">
        <v>531</v>
      </c>
      <c r="B532">
        <f>'01_Data'!A532</f>
        <v/>
      </c>
      <c r="C532">
        <f>'03_Lap_Theta'!C532</f>
        <v/>
      </c>
      <c r="D532">
        <f>'03_Lap_Theta'!D532</f>
        <v/>
      </c>
      <c r="E532" s="5">
        <f>'03_Lap_Theta'!$AC532</f>
        <v/>
      </c>
      <c r="F532" s="5">
        <f>SUMPRODUCT(('01_Data'!$B532:$AW532&lt;&gt;"")*(1/(1+EXP(-('03_Lap_Theta'!$AC532-'03_Lap_b'!$B$45:$AW$45))))*(1-(1/(1+EXP(-('03_Lap_Theta'!$AC532-'03_Lap_b'!$B$45:$AW$45))))))</f>
        <v/>
      </c>
      <c r="G532" s="5">
        <f>IF(F532&lt;=0.000000001,"",1/SQRT(F532))</f>
        <v/>
      </c>
      <c r="H532">
        <f>IF(OR(C532=0,C532=D532),"BIÊN","")</f>
        <v/>
      </c>
    </row>
    <row r="533">
      <c r="A533" t="n">
        <v>532</v>
      </c>
      <c r="B533">
        <f>'01_Data'!A533</f>
        <v/>
      </c>
      <c r="C533">
        <f>'03_Lap_Theta'!C533</f>
        <v/>
      </c>
      <c r="D533">
        <f>'03_Lap_Theta'!D533</f>
        <v/>
      </c>
      <c r="E533" s="5">
        <f>'03_Lap_Theta'!$AC533</f>
        <v/>
      </c>
      <c r="F533" s="5">
        <f>SUMPRODUCT(('01_Data'!$B533:$AW533&lt;&gt;"")*(1/(1+EXP(-('03_Lap_Theta'!$AC533-'03_Lap_b'!$B$45:$AW$45))))*(1-(1/(1+EXP(-('03_Lap_Theta'!$AC533-'03_Lap_b'!$B$45:$AW$45))))))</f>
        <v/>
      </c>
      <c r="G533" s="5">
        <f>IF(F533&lt;=0.000000001,"",1/SQRT(F533))</f>
        <v/>
      </c>
      <c r="H533">
        <f>IF(OR(C533=0,C533=D533),"BIÊN","")</f>
        <v/>
      </c>
    </row>
    <row r="534">
      <c r="A534" t="n">
        <v>533</v>
      </c>
      <c r="B534">
        <f>'01_Data'!A534</f>
        <v/>
      </c>
      <c r="C534">
        <f>'03_Lap_Theta'!C534</f>
        <v/>
      </c>
      <c r="D534">
        <f>'03_Lap_Theta'!D534</f>
        <v/>
      </c>
      <c r="E534" s="5">
        <f>'03_Lap_Theta'!$AC534</f>
        <v/>
      </c>
      <c r="F534" s="5">
        <f>SUMPRODUCT(('01_Data'!$B534:$AW534&lt;&gt;"")*(1/(1+EXP(-('03_Lap_Theta'!$AC534-'03_Lap_b'!$B$45:$AW$45))))*(1-(1/(1+EXP(-('03_Lap_Theta'!$AC534-'03_Lap_b'!$B$45:$AW$45))))))</f>
        <v/>
      </c>
      <c r="G534" s="5">
        <f>IF(F534&lt;=0.000000001,"",1/SQRT(F534))</f>
        <v/>
      </c>
      <c r="H534">
        <f>IF(OR(C534=0,C534=D534),"BIÊN","")</f>
        <v/>
      </c>
    </row>
    <row r="535">
      <c r="A535" t="n">
        <v>534</v>
      </c>
      <c r="B535">
        <f>'01_Data'!A535</f>
        <v/>
      </c>
      <c r="C535">
        <f>'03_Lap_Theta'!C535</f>
        <v/>
      </c>
      <c r="D535">
        <f>'03_Lap_Theta'!D535</f>
        <v/>
      </c>
      <c r="E535" s="5">
        <f>'03_Lap_Theta'!$AC535</f>
        <v/>
      </c>
      <c r="F535" s="5">
        <f>SUMPRODUCT(('01_Data'!$B535:$AW535&lt;&gt;"")*(1/(1+EXP(-('03_Lap_Theta'!$AC535-'03_Lap_b'!$B$45:$AW$45))))*(1-(1/(1+EXP(-('03_Lap_Theta'!$AC535-'03_Lap_b'!$B$45:$AW$45))))))</f>
        <v/>
      </c>
      <c r="G535" s="5">
        <f>IF(F535&lt;=0.000000001,"",1/SQRT(F535))</f>
        <v/>
      </c>
      <c r="H535">
        <f>IF(OR(C535=0,C535=D535),"BIÊN","")</f>
        <v/>
      </c>
    </row>
    <row r="536">
      <c r="A536" t="n">
        <v>535</v>
      </c>
      <c r="B536">
        <f>'01_Data'!A536</f>
        <v/>
      </c>
      <c r="C536">
        <f>'03_Lap_Theta'!C536</f>
        <v/>
      </c>
      <c r="D536">
        <f>'03_Lap_Theta'!D536</f>
        <v/>
      </c>
      <c r="E536" s="5">
        <f>'03_Lap_Theta'!$AC536</f>
        <v/>
      </c>
      <c r="F536" s="5">
        <f>SUMPRODUCT(('01_Data'!$B536:$AW536&lt;&gt;"")*(1/(1+EXP(-('03_Lap_Theta'!$AC536-'03_Lap_b'!$B$45:$AW$45))))*(1-(1/(1+EXP(-('03_Lap_Theta'!$AC536-'03_Lap_b'!$B$45:$AW$45))))))</f>
        <v/>
      </c>
      <c r="G536" s="5">
        <f>IF(F536&lt;=0.000000001,"",1/SQRT(F536))</f>
        <v/>
      </c>
      <c r="H536">
        <f>IF(OR(C536=0,C536=D536),"BIÊN","")</f>
        <v/>
      </c>
    </row>
    <row r="537">
      <c r="A537" t="n">
        <v>536</v>
      </c>
      <c r="B537">
        <f>'01_Data'!A537</f>
        <v/>
      </c>
      <c r="C537">
        <f>'03_Lap_Theta'!C537</f>
        <v/>
      </c>
      <c r="D537">
        <f>'03_Lap_Theta'!D537</f>
        <v/>
      </c>
      <c r="E537" s="5">
        <f>'03_Lap_Theta'!$AC537</f>
        <v/>
      </c>
      <c r="F537" s="5">
        <f>SUMPRODUCT(('01_Data'!$B537:$AW537&lt;&gt;"")*(1/(1+EXP(-('03_Lap_Theta'!$AC537-'03_Lap_b'!$B$45:$AW$45))))*(1-(1/(1+EXP(-('03_Lap_Theta'!$AC537-'03_Lap_b'!$B$45:$AW$45))))))</f>
        <v/>
      </c>
      <c r="G537" s="5">
        <f>IF(F537&lt;=0.000000001,"",1/SQRT(F537))</f>
        <v/>
      </c>
      <c r="H537">
        <f>IF(OR(C537=0,C537=D537),"BIÊN","")</f>
        <v/>
      </c>
    </row>
    <row r="538">
      <c r="A538" t="n">
        <v>537</v>
      </c>
      <c r="B538">
        <f>'01_Data'!A538</f>
        <v/>
      </c>
      <c r="C538">
        <f>'03_Lap_Theta'!C538</f>
        <v/>
      </c>
      <c r="D538">
        <f>'03_Lap_Theta'!D538</f>
        <v/>
      </c>
      <c r="E538" s="5">
        <f>'03_Lap_Theta'!$AC538</f>
        <v/>
      </c>
      <c r="F538" s="5">
        <f>SUMPRODUCT(('01_Data'!$B538:$AW538&lt;&gt;"")*(1/(1+EXP(-('03_Lap_Theta'!$AC538-'03_Lap_b'!$B$45:$AW$45))))*(1-(1/(1+EXP(-('03_Lap_Theta'!$AC538-'03_Lap_b'!$B$45:$AW$45))))))</f>
        <v/>
      </c>
      <c r="G538" s="5">
        <f>IF(F538&lt;=0.000000001,"",1/SQRT(F538))</f>
        <v/>
      </c>
      <c r="H538">
        <f>IF(OR(C538=0,C538=D538),"BIÊN","")</f>
        <v/>
      </c>
    </row>
    <row r="539">
      <c r="A539" t="n">
        <v>538</v>
      </c>
      <c r="B539">
        <f>'01_Data'!A539</f>
        <v/>
      </c>
      <c r="C539">
        <f>'03_Lap_Theta'!C539</f>
        <v/>
      </c>
      <c r="D539">
        <f>'03_Lap_Theta'!D539</f>
        <v/>
      </c>
      <c r="E539" s="5">
        <f>'03_Lap_Theta'!$AC539</f>
        <v/>
      </c>
      <c r="F539" s="5">
        <f>SUMPRODUCT(('01_Data'!$B539:$AW539&lt;&gt;"")*(1/(1+EXP(-('03_Lap_Theta'!$AC539-'03_Lap_b'!$B$45:$AW$45))))*(1-(1/(1+EXP(-('03_Lap_Theta'!$AC539-'03_Lap_b'!$B$45:$AW$45))))))</f>
        <v/>
      </c>
      <c r="G539" s="5">
        <f>IF(F539&lt;=0.000000001,"",1/SQRT(F539))</f>
        <v/>
      </c>
      <c r="H539">
        <f>IF(OR(C539=0,C539=D539),"BIÊN","")</f>
        <v/>
      </c>
    </row>
    <row r="540">
      <c r="A540" t="n">
        <v>539</v>
      </c>
      <c r="B540">
        <f>'01_Data'!A540</f>
        <v/>
      </c>
      <c r="C540">
        <f>'03_Lap_Theta'!C540</f>
        <v/>
      </c>
      <c r="D540">
        <f>'03_Lap_Theta'!D540</f>
        <v/>
      </c>
      <c r="E540" s="5">
        <f>'03_Lap_Theta'!$AC540</f>
        <v/>
      </c>
      <c r="F540" s="5">
        <f>SUMPRODUCT(('01_Data'!$B540:$AW540&lt;&gt;"")*(1/(1+EXP(-('03_Lap_Theta'!$AC540-'03_Lap_b'!$B$45:$AW$45))))*(1-(1/(1+EXP(-('03_Lap_Theta'!$AC540-'03_Lap_b'!$B$45:$AW$45))))))</f>
        <v/>
      </c>
      <c r="G540" s="5">
        <f>IF(F540&lt;=0.000000001,"",1/SQRT(F540))</f>
        <v/>
      </c>
      <c r="H540">
        <f>IF(OR(C540=0,C540=D540),"BIÊN","")</f>
        <v/>
      </c>
    </row>
    <row r="541">
      <c r="A541" t="n">
        <v>540</v>
      </c>
      <c r="B541">
        <f>'01_Data'!A541</f>
        <v/>
      </c>
      <c r="C541">
        <f>'03_Lap_Theta'!C541</f>
        <v/>
      </c>
      <c r="D541">
        <f>'03_Lap_Theta'!D541</f>
        <v/>
      </c>
      <c r="E541" s="5">
        <f>'03_Lap_Theta'!$AC541</f>
        <v/>
      </c>
      <c r="F541" s="5">
        <f>SUMPRODUCT(('01_Data'!$B541:$AW541&lt;&gt;"")*(1/(1+EXP(-('03_Lap_Theta'!$AC541-'03_Lap_b'!$B$45:$AW$45))))*(1-(1/(1+EXP(-('03_Lap_Theta'!$AC541-'03_Lap_b'!$B$45:$AW$45))))))</f>
        <v/>
      </c>
      <c r="G541" s="5">
        <f>IF(F541&lt;=0.000000001,"",1/SQRT(F541))</f>
        <v/>
      </c>
      <c r="H541">
        <f>IF(OR(C541=0,C541=D541),"BIÊN","")</f>
        <v/>
      </c>
    </row>
    <row r="542">
      <c r="A542" t="n">
        <v>541</v>
      </c>
      <c r="B542">
        <f>'01_Data'!A542</f>
        <v/>
      </c>
      <c r="C542">
        <f>'03_Lap_Theta'!C542</f>
        <v/>
      </c>
      <c r="D542">
        <f>'03_Lap_Theta'!D542</f>
        <v/>
      </c>
      <c r="E542" s="5">
        <f>'03_Lap_Theta'!$AC542</f>
        <v/>
      </c>
      <c r="F542" s="5">
        <f>SUMPRODUCT(('01_Data'!$B542:$AW542&lt;&gt;"")*(1/(1+EXP(-('03_Lap_Theta'!$AC542-'03_Lap_b'!$B$45:$AW$45))))*(1-(1/(1+EXP(-('03_Lap_Theta'!$AC542-'03_Lap_b'!$B$45:$AW$45))))))</f>
        <v/>
      </c>
      <c r="G542" s="5">
        <f>IF(F542&lt;=0.000000001,"",1/SQRT(F542))</f>
        <v/>
      </c>
      <c r="H542">
        <f>IF(OR(C542=0,C542=D542),"BIÊN","")</f>
        <v/>
      </c>
    </row>
    <row r="543">
      <c r="A543" t="n">
        <v>542</v>
      </c>
      <c r="B543">
        <f>'01_Data'!A543</f>
        <v/>
      </c>
      <c r="C543">
        <f>'03_Lap_Theta'!C543</f>
        <v/>
      </c>
      <c r="D543">
        <f>'03_Lap_Theta'!D543</f>
        <v/>
      </c>
      <c r="E543" s="5">
        <f>'03_Lap_Theta'!$AC543</f>
        <v/>
      </c>
      <c r="F543" s="5">
        <f>SUMPRODUCT(('01_Data'!$B543:$AW543&lt;&gt;"")*(1/(1+EXP(-('03_Lap_Theta'!$AC543-'03_Lap_b'!$B$45:$AW$45))))*(1-(1/(1+EXP(-('03_Lap_Theta'!$AC543-'03_Lap_b'!$B$45:$AW$45))))))</f>
        <v/>
      </c>
      <c r="G543" s="5">
        <f>IF(F543&lt;=0.000000001,"",1/SQRT(F543))</f>
        <v/>
      </c>
      <c r="H543">
        <f>IF(OR(C543=0,C543=D543),"BIÊN","")</f>
        <v/>
      </c>
    </row>
    <row r="544">
      <c r="A544" t="n">
        <v>543</v>
      </c>
      <c r="B544">
        <f>'01_Data'!A544</f>
        <v/>
      </c>
      <c r="C544">
        <f>'03_Lap_Theta'!C544</f>
        <v/>
      </c>
      <c r="D544">
        <f>'03_Lap_Theta'!D544</f>
        <v/>
      </c>
      <c r="E544" s="5">
        <f>'03_Lap_Theta'!$AC544</f>
        <v/>
      </c>
      <c r="F544" s="5">
        <f>SUMPRODUCT(('01_Data'!$B544:$AW544&lt;&gt;"")*(1/(1+EXP(-('03_Lap_Theta'!$AC544-'03_Lap_b'!$B$45:$AW$45))))*(1-(1/(1+EXP(-('03_Lap_Theta'!$AC544-'03_Lap_b'!$B$45:$AW$45))))))</f>
        <v/>
      </c>
      <c r="G544" s="5">
        <f>IF(F544&lt;=0.000000001,"",1/SQRT(F544))</f>
        <v/>
      </c>
      <c r="H544">
        <f>IF(OR(C544=0,C544=D544),"BIÊN","")</f>
        <v/>
      </c>
    </row>
    <row r="545">
      <c r="A545" t="n">
        <v>544</v>
      </c>
      <c r="B545">
        <f>'01_Data'!A545</f>
        <v/>
      </c>
      <c r="C545">
        <f>'03_Lap_Theta'!C545</f>
        <v/>
      </c>
      <c r="D545">
        <f>'03_Lap_Theta'!D545</f>
        <v/>
      </c>
      <c r="E545" s="5">
        <f>'03_Lap_Theta'!$AC545</f>
        <v/>
      </c>
      <c r="F545" s="5">
        <f>SUMPRODUCT(('01_Data'!$B545:$AW545&lt;&gt;"")*(1/(1+EXP(-('03_Lap_Theta'!$AC545-'03_Lap_b'!$B$45:$AW$45))))*(1-(1/(1+EXP(-('03_Lap_Theta'!$AC545-'03_Lap_b'!$B$45:$AW$45))))))</f>
        <v/>
      </c>
      <c r="G545" s="5">
        <f>IF(F545&lt;=0.000000001,"",1/SQRT(F545))</f>
        <v/>
      </c>
      <c r="H545">
        <f>IF(OR(C545=0,C545=D545),"BIÊN","")</f>
        <v/>
      </c>
    </row>
    <row r="546">
      <c r="A546" t="n">
        <v>545</v>
      </c>
      <c r="B546">
        <f>'01_Data'!A546</f>
        <v/>
      </c>
      <c r="C546">
        <f>'03_Lap_Theta'!C546</f>
        <v/>
      </c>
      <c r="D546">
        <f>'03_Lap_Theta'!D546</f>
        <v/>
      </c>
      <c r="E546" s="5">
        <f>'03_Lap_Theta'!$AC546</f>
        <v/>
      </c>
      <c r="F546" s="5">
        <f>SUMPRODUCT(('01_Data'!$B546:$AW546&lt;&gt;"")*(1/(1+EXP(-('03_Lap_Theta'!$AC546-'03_Lap_b'!$B$45:$AW$45))))*(1-(1/(1+EXP(-('03_Lap_Theta'!$AC546-'03_Lap_b'!$B$45:$AW$45))))))</f>
        <v/>
      </c>
      <c r="G546" s="5">
        <f>IF(F546&lt;=0.000000001,"",1/SQRT(F546))</f>
        <v/>
      </c>
      <c r="H546">
        <f>IF(OR(C546=0,C546=D546),"BIÊN","")</f>
        <v/>
      </c>
    </row>
    <row r="547">
      <c r="A547" t="n">
        <v>546</v>
      </c>
      <c r="B547">
        <f>'01_Data'!A547</f>
        <v/>
      </c>
      <c r="C547">
        <f>'03_Lap_Theta'!C547</f>
        <v/>
      </c>
      <c r="D547">
        <f>'03_Lap_Theta'!D547</f>
        <v/>
      </c>
      <c r="E547" s="5">
        <f>'03_Lap_Theta'!$AC547</f>
        <v/>
      </c>
      <c r="F547" s="5">
        <f>SUMPRODUCT(('01_Data'!$B547:$AW547&lt;&gt;"")*(1/(1+EXP(-('03_Lap_Theta'!$AC547-'03_Lap_b'!$B$45:$AW$45))))*(1-(1/(1+EXP(-('03_Lap_Theta'!$AC547-'03_Lap_b'!$B$45:$AW$45))))))</f>
        <v/>
      </c>
      <c r="G547" s="5">
        <f>IF(F547&lt;=0.000000001,"",1/SQRT(F547))</f>
        <v/>
      </c>
      <c r="H547">
        <f>IF(OR(C547=0,C547=D547),"BIÊN","")</f>
        <v/>
      </c>
    </row>
    <row r="548">
      <c r="A548" t="n">
        <v>547</v>
      </c>
      <c r="B548">
        <f>'01_Data'!A548</f>
        <v/>
      </c>
      <c r="C548">
        <f>'03_Lap_Theta'!C548</f>
        <v/>
      </c>
      <c r="D548">
        <f>'03_Lap_Theta'!D548</f>
        <v/>
      </c>
      <c r="E548" s="5">
        <f>'03_Lap_Theta'!$AC548</f>
        <v/>
      </c>
      <c r="F548" s="5">
        <f>SUMPRODUCT(('01_Data'!$B548:$AW548&lt;&gt;"")*(1/(1+EXP(-('03_Lap_Theta'!$AC548-'03_Lap_b'!$B$45:$AW$45))))*(1-(1/(1+EXP(-('03_Lap_Theta'!$AC548-'03_Lap_b'!$B$45:$AW$45))))))</f>
        <v/>
      </c>
      <c r="G548" s="5">
        <f>IF(F548&lt;=0.000000001,"",1/SQRT(F548))</f>
        <v/>
      </c>
      <c r="H548">
        <f>IF(OR(C548=0,C548=D548),"BIÊN","")</f>
        <v/>
      </c>
    </row>
    <row r="549">
      <c r="A549" t="n">
        <v>548</v>
      </c>
      <c r="B549">
        <f>'01_Data'!A549</f>
        <v/>
      </c>
      <c r="C549">
        <f>'03_Lap_Theta'!C549</f>
        <v/>
      </c>
      <c r="D549">
        <f>'03_Lap_Theta'!D549</f>
        <v/>
      </c>
      <c r="E549" s="5">
        <f>'03_Lap_Theta'!$AC549</f>
        <v/>
      </c>
      <c r="F549" s="5">
        <f>SUMPRODUCT(('01_Data'!$B549:$AW549&lt;&gt;"")*(1/(1+EXP(-('03_Lap_Theta'!$AC549-'03_Lap_b'!$B$45:$AW$45))))*(1-(1/(1+EXP(-('03_Lap_Theta'!$AC549-'03_Lap_b'!$B$45:$AW$45))))))</f>
        <v/>
      </c>
      <c r="G549" s="5">
        <f>IF(F549&lt;=0.000000001,"",1/SQRT(F549))</f>
        <v/>
      </c>
      <c r="H549">
        <f>IF(OR(C549=0,C549=D549),"BIÊN","")</f>
        <v/>
      </c>
    </row>
    <row r="550">
      <c r="A550" t="n">
        <v>549</v>
      </c>
      <c r="B550">
        <f>'01_Data'!A550</f>
        <v/>
      </c>
      <c r="C550">
        <f>'03_Lap_Theta'!C550</f>
        <v/>
      </c>
      <c r="D550">
        <f>'03_Lap_Theta'!D550</f>
        <v/>
      </c>
      <c r="E550" s="5">
        <f>'03_Lap_Theta'!$AC550</f>
        <v/>
      </c>
      <c r="F550" s="5">
        <f>SUMPRODUCT(('01_Data'!$B550:$AW550&lt;&gt;"")*(1/(1+EXP(-('03_Lap_Theta'!$AC550-'03_Lap_b'!$B$45:$AW$45))))*(1-(1/(1+EXP(-('03_Lap_Theta'!$AC550-'03_Lap_b'!$B$45:$AW$45))))))</f>
        <v/>
      </c>
      <c r="G550" s="5">
        <f>IF(F550&lt;=0.000000001,"",1/SQRT(F550))</f>
        <v/>
      </c>
      <c r="H550">
        <f>IF(OR(C550=0,C550=D550),"BIÊN","")</f>
        <v/>
      </c>
    </row>
    <row r="551">
      <c r="A551" t="n">
        <v>550</v>
      </c>
      <c r="B551">
        <f>'01_Data'!A551</f>
        <v/>
      </c>
      <c r="C551">
        <f>'03_Lap_Theta'!C551</f>
        <v/>
      </c>
      <c r="D551">
        <f>'03_Lap_Theta'!D551</f>
        <v/>
      </c>
      <c r="E551" s="5">
        <f>'03_Lap_Theta'!$AC551</f>
        <v/>
      </c>
      <c r="F551" s="5">
        <f>SUMPRODUCT(('01_Data'!$B551:$AW551&lt;&gt;"")*(1/(1+EXP(-('03_Lap_Theta'!$AC551-'03_Lap_b'!$B$45:$AW$45))))*(1-(1/(1+EXP(-('03_Lap_Theta'!$AC551-'03_Lap_b'!$B$45:$AW$45))))))</f>
        <v/>
      </c>
      <c r="G551" s="5">
        <f>IF(F551&lt;=0.000000001,"",1/SQRT(F551))</f>
        <v/>
      </c>
      <c r="H551">
        <f>IF(OR(C551=0,C551=D551),"BIÊN","")</f>
        <v/>
      </c>
    </row>
    <row r="552">
      <c r="A552" t="n">
        <v>551</v>
      </c>
      <c r="B552">
        <f>'01_Data'!A552</f>
        <v/>
      </c>
      <c r="C552">
        <f>'03_Lap_Theta'!C552</f>
        <v/>
      </c>
      <c r="D552">
        <f>'03_Lap_Theta'!D552</f>
        <v/>
      </c>
      <c r="E552" s="5">
        <f>'03_Lap_Theta'!$AC552</f>
        <v/>
      </c>
      <c r="F552" s="5">
        <f>SUMPRODUCT(('01_Data'!$B552:$AW552&lt;&gt;"")*(1/(1+EXP(-('03_Lap_Theta'!$AC552-'03_Lap_b'!$B$45:$AW$45))))*(1-(1/(1+EXP(-('03_Lap_Theta'!$AC552-'03_Lap_b'!$B$45:$AW$45))))))</f>
        <v/>
      </c>
      <c r="G552" s="5">
        <f>IF(F552&lt;=0.000000001,"",1/SQRT(F552))</f>
        <v/>
      </c>
      <c r="H552">
        <f>IF(OR(C552=0,C552=D552),"BIÊN","")</f>
        <v/>
      </c>
    </row>
    <row r="553">
      <c r="A553" t="n">
        <v>552</v>
      </c>
      <c r="B553">
        <f>'01_Data'!A553</f>
        <v/>
      </c>
      <c r="C553">
        <f>'03_Lap_Theta'!C553</f>
        <v/>
      </c>
      <c r="D553">
        <f>'03_Lap_Theta'!D553</f>
        <v/>
      </c>
      <c r="E553" s="5">
        <f>'03_Lap_Theta'!$AC553</f>
        <v/>
      </c>
      <c r="F553" s="5">
        <f>SUMPRODUCT(('01_Data'!$B553:$AW553&lt;&gt;"")*(1/(1+EXP(-('03_Lap_Theta'!$AC553-'03_Lap_b'!$B$45:$AW$45))))*(1-(1/(1+EXP(-('03_Lap_Theta'!$AC553-'03_Lap_b'!$B$45:$AW$45))))))</f>
        <v/>
      </c>
      <c r="G553" s="5">
        <f>IF(F553&lt;=0.000000001,"",1/SQRT(F553))</f>
        <v/>
      </c>
      <c r="H553">
        <f>IF(OR(C553=0,C553=D553),"BIÊN","")</f>
        <v/>
      </c>
    </row>
    <row r="554">
      <c r="A554" t="n">
        <v>553</v>
      </c>
      <c r="B554">
        <f>'01_Data'!A554</f>
        <v/>
      </c>
      <c r="C554">
        <f>'03_Lap_Theta'!C554</f>
        <v/>
      </c>
      <c r="D554">
        <f>'03_Lap_Theta'!D554</f>
        <v/>
      </c>
      <c r="E554" s="5">
        <f>'03_Lap_Theta'!$AC554</f>
        <v/>
      </c>
      <c r="F554" s="5">
        <f>SUMPRODUCT(('01_Data'!$B554:$AW554&lt;&gt;"")*(1/(1+EXP(-('03_Lap_Theta'!$AC554-'03_Lap_b'!$B$45:$AW$45))))*(1-(1/(1+EXP(-('03_Lap_Theta'!$AC554-'03_Lap_b'!$B$45:$AW$45))))))</f>
        <v/>
      </c>
      <c r="G554" s="5">
        <f>IF(F554&lt;=0.000000001,"",1/SQRT(F554))</f>
        <v/>
      </c>
      <c r="H554">
        <f>IF(OR(C554=0,C554=D554),"BIÊN","")</f>
        <v/>
      </c>
    </row>
    <row r="555">
      <c r="A555" t="n">
        <v>554</v>
      </c>
      <c r="B555">
        <f>'01_Data'!A555</f>
        <v/>
      </c>
      <c r="C555">
        <f>'03_Lap_Theta'!C555</f>
        <v/>
      </c>
      <c r="D555">
        <f>'03_Lap_Theta'!D555</f>
        <v/>
      </c>
      <c r="E555" s="5">
        <f>'03_Lap_Theta'!$AC555</f>
        <v/>
      </c>
      <c r="F555" s="5">
        <f>SUMPRODUCT(('01_Data'!$B555:$AW555&lt;&gt;"")*(1/(1+EXP(-('03_Lap_Theta'!$AC555-'03_Lap_b'!$B$45:$AW$45))))*(1-(1/(1+EXP(-('03_Lap_Theta'!$AC555-'03_Lap_b'!$B$45:$AW$45))))))</f>
        <v/>
      </c>
      <c r="G555" s="5">
        <f>IF(F555&lt;=0.000000001,"",1/SQRT(F555))</f>
        <v/>
      </c>
      <c r="H555">
        <f>IF(OR(C555=0,C555=D555),"BIÊN","")</f>
        <v/>
      </c>
    </row>
    <row r="556">
      <c r="A556" t="n">
        <v>555</v>
      </c>
      <c r="B556">
        <f>'01_Data'!A556</f>
        <v/>
      </c>
      <c r="C556">
        <f>'03_Lap_Theta'!C556</f>
        <v/>
      </c>
      <c r="D556">
        <f>'03_Lap_Theta'!D556</f>
        <v/>
      </c>
      <c r="E556" s="5">
        <f>'03_Lap_Theta'!$AC556</f>
        <v/>
      </c>
      <c r="F556" s="5">
        <f>SUMPRODUCT(('01_Data'!$B556:$AW556&lt;&gt;"")*(1/(1+EXP(-('03_Lap_Theta'!$AC556-'03_Lap_b'!$B$45:$AW$45))))*(1-(1/(1+EXP(-('03_Lap_Theta'!$AC556-'03_Lap_b'!$B$45:$AW$45))))))</f>
        <v/>
      </c>
      <c r="G556" s="5">
        <f>IF(F556&lt;=0.000000001,"",1/SQRT(F556))</f>
        <v/>
      </c>
      <c r="H556">
        <f>IF(OR(C556=0,C556=D556),"BIÊN","")</f>
        <v/>
      </c>
    </row>
    <row r="557">
      <c r="A557" t="n">
        <v>556</v>
      </c>
      <c r="B557">
        <f>'01_Data'!A557</f>
        <v/>
      </c>
      <c r="C557">
        <f>'03_Lap_Theta'!C557</f>
        <v/>
      </c>
      <c r="D557">
        <f>'03_Lap_Theta'!D557</f>
        <v/>
      </c>
      <c r="E557" s="5">
        <f>'03_Lap_Theta'!$AC557</f>
        <v/>
      </c>
      <c r="F557" s="5">
        <f>SUMPRODUCT(('01_Data'!$B557:$AW557&lt;&gt;"")*(1/(1+EXP(-('03_Lap_Theta'!$AC557-'03_Lap_b'!$B$45:$AW$45))))*(1-(1/(1+EXP(-('03_Lap_Theta'!$AC557-'03_Lap_b'!$B$45:$AW$45))))))</f>
        <v/>
      </c>
      <c r="G557" s="5">
        <f>IF(F557&lt;=0.000000001,"",1/SQRT(F557))</f>
        <v/>
      </c>
      <c r="H557">
        <f>IF(OR(C557=0,C557=D557),"BIÊN","")</f>
        <v/>
      </c>
    </row>
    <row r="558">
      <c r="A558" t="n">
        <v>557</v>
      </c>
      <c r="B558">
        <f>'01_Data'!A558</f>
        <v/>
      </c>
      <c r="C558">
        <f>'03_Lap_Theta'!C558</f>
        <v/>
      </c>
      <c r="D558">
        <f>'03_Lap_Theta'!D558</f>
        <v/>
      </c>
      <c r="E558" s="5">
        <f>'03_Lap_Theta'!$AC558</f>
        <v/>
      </c>
      <c r="F558" s="5">
        <f>SUMPRODUCT(('01_Data'!$B558:$AW558&lt;&gt;"")*(1/(1+EXP(-('03_Lap_Theta'!$AC558-'03_Lap_b'!$B$45:$AW$45))))*(1-(1/(1+EXP(-('03_Lap_Theta'!$AC558-'03_Lap_b'!$B$45:$AW$45))))))</f>
        <v/>
      </c>
      <c r="G558" s="5">
        <f>IF(F558&lt;=0.000000001,"",1/SQRT(F558))</f>
        <v/>
      </c>
      <c r="H558">
        <f>IF(OR(C558=0,C558=D558),"BIÊN","")</f>
        <v/>
      </c>
    </row>
    <row r="559">
      <c r="A559" t="n">
        <v>558</v>
      </c>
      <c r="B559">
        <f>'01_Data'!A559</f>
        <v/>
      </c>
      <c r="C559">
        <f>'03_Lap_Theta'!C559</f>
        <v/>
      </c>
      <c r="D559">
        <f>'03_Lap_Theta'!D559</f>
        <v/>
      </c>
      <c r="E559" s="5">
        <f>'03_Lap_Theta'!$AC559</f>
        <v/>
      </c>
      <c r="F559" s="5">
        <f>SUMPRODUCT(('01_Data'!$B559:$AW559&lt;&gt;"")*(1/(1+EXP(-('03_Lap_Theta'!$AC559-'03_Lap_b'!$B$45:$AW$45))))*(1-(1/(1+EXP(-('03_Lap_Theta'!$AC559-'03_Lap_b'!$B$45:$AW$45))))))</f>
        <v/>
      </c>
      <c r="G559" s="5">
        <f>IF(F559&lt;=0.000000001,"",1/SQRT(F559))</f>
        <v/>
      </c>
      <c r="H559">
        <f>IF(OR(C559=0,C559=D559),"BIÊN","")</f>
        <v/>
      </c>
    </row>
    <row r="560">
      <c r="A560" t="n">
        <v>559</v>
      </c>
      <c r="B560">
        <f>'01_Data'!A560</f>
        <v/>
      </c>
      <c r="C560">
        <f>'03_Lap_Theta'!C560</f>
        <v/>
      </c>
      <c r="D560">
        <f>'03_Lap_Theta'!D560</f>
        <v/>
      </c>
      <c r="E560" s="5">
        <f>'03_Lap_Theta'!$AC560</f>
        <v/>
      </c>
      <c r="F560" s="5">
        <f>SUMPRODUCT(('01_Data'!$B560:$AW560&lt;&gt;"")*(1/(1+EXP(-('03_Lap_Theta'!$AC560-'03_Lap_b'!$B$45:$AW$45))))*(1-(1/(1+EXP(-('03_Lap_Theta'!$AC560-'03_Lap_b'!$B$45:$AW$45))))))</f>
        <v/>
      </c>
      <c r="G560" s="5">
        <f>IF(F560&lt;=0.000000001,"",1/SQRT(F560))</f>
        <v/>
      </c>
      <c r="H560">
        <f>IF(OR(C560=0,C560=D560),"BIÊN","")</f>
        <v/>
      </c>
    </row>
    <row r="561">
      <c r="A561" t="n">
        <v>560</v>
      </c>
      <c r="B561">
        <f>'01_Data'!A561</f>
        <v/>
      </c>
      <c r="C561">
        <f>'03_Lap_Theta'!C561</f>
        <v/>
      </c>
      <c r="D561">
        <f>'03_Lap_Theta'!D561</f>
        <v/>
      </c>
      <c r="E561" s="5">
        <f>'03_Lap_Theta'!$AC561</f>
        <v/>
      </c>
      <c r="F561" s="5">
        <f>SUMPRODUCT(('01_Data'!$B561:$AW561&lt;&gt;"")*(1/(1+EXP(-('03_Lap_Theta'!$AC561-'03_Lap_b'!$B$45:$AW$45))))*(1-(1/(1+EXP(-('03_Lap_Theta'!$AC561-'03_Lap_b'!$B$45:$AW$45))))))</f>
        <v/>
      </c>
      <c r="G561" s="5">
        <f>IF(F561&lt;=0.000000001,"",1/SQRT(F561))</f>
        <v/>
      </c>
      <c r="H561">
        <f>IF(OR(C561=0,C561=D561),"BIÊN","")</f>
        <v/>
      </c>
    </row>
    <row r="562">
      <c r="A562" t="n">
        <v>561</v>
      </c>
      <c r="B562">
        <f>'01_Data'!A562</f>
        <v/>
      </c>
      <c r="C562">
        <f>'03_Lap_Theta'!C562</f>
        <v/>
      </c>
      <c r="D562">
        <f>'03_Lap_Theta'!D562</f>
        <v/>
      </c>
      <c r="E562" s="5">
        <f>'03_Lap_Theta'!$AC562</f>
        <v/>
      </c>
      <c r="F562" s="5">
        <f>SUMPRODUCT(('01_Data'!$B562:$AW562&lt;&gt;"")*(1/(1+EXP(-('03_Lap_Theta'!$AC562-'03_Lap_b'!$B$45:$AW$45))))*(1-(1/(1+EXP(-('03_Lap_Theta'!$AC562-'03_Lap_b'!$B$45:$AW$45))))))</f>
        <v/>
      </c>
      <c r="G562" s="5">
        <f>IF(F562&lt;=0.000000001,"",1/SQRT(F562))</f>
        <v/>
      </c>
      <c r="H562">
        <f>IF(OR(C562=0,C562=D562),"BIÊN","")</f>
        <v/>
      </c>
    </row>
    <row r="563">
      <c r="A563" t="n">
        <v>562</v>
      </c>
      <c r="B563">
        <f>'01_Data'!A563</f>
        <v/>
      </c>
      <c r="C563">
        <f>'03_Lap_Theta'!C563</f>
        <v/>
      </c>
      <c r="D563">
        <f>'03_Lap_Theta'!D563</f>
        <v/>
      </c>
      <c r="E563" s="5">
        <f>'03_Lap_Theta'!$AC563</f>
        <v/>
      </c>
      <c r="F563" s="5">
        <f>SUMPRODUCT(('01_Data'!$B563:$AW563&lt;&gt;"")*(1/(1+EXP(-('03_Lap_Theta'!$AC563-'03_Lap_b'!$B$45:$AW$45))))*(1-(1/(1+EXP(-('03_Lap_Theta'!$AC563-'03_Lap_b'!$B$45:$AW$45))))))</f>
        <v/>
      </c>
      <c r="G563" s="5">
        <f>IF(F563&lt;=0.000000001,"",1/SQRT(F563))</f>
        <v/>
      </c>
      <c r="H563">
        <f>IF(OR(C563=0,C563=D563),"BIÊN","")</f>
        <v/>
      </c>
    </row>
    <row r="564">
      <c r="A564" t="n">
        <v>563</v>
      </c>
      <c r="B564">
        <f>'01_Data'!A564</f>
        <v/>
      </c>
      <c r="C564">
        <f>'03_Lap_Theta'!C564</f>
        <v/>
      </c>
      <c r="D564">
        <f>'03_Lap_Theta'!D564</f>
        <v/>
      </c>
      <c r="E564" s="5">
        <f>'03_Lap_Theta'!$AC564</f>
        <v/>
      </c>
      <c r="F564" s="5">
        <f>SUMPRODUCT(('01_Data'!$B564:$AW564&lt;&gt;"")*(1/(1+EXP(-('03_Lap_Theta'!$AC564-'03_Lap_b'!$B$45:$AW$45))))*(1-(1/(1+EXP(-('03_Lap_Theta'!$AC564-'03_Lap_b'!$B$45:$AW$45))))))</f>
        <v/>
      </c>
      <c r="G564" s="5">
        <f>IF(F564&lt;=0.000000001,"",1/SQRT(F564))</f>
        <v/>
      </c>
      <c r="H564">
        <f>IF(OR(C564=0,C564=D564),"BIÊN","")</f>
        <v/>
      </c>
    </row>
    <row r="565">
      <c r="A565" t="n">
        <v>564</v>
      </c>
      <c r="B565">
        <f>'01_Data'!A565</f>
        <v/>
      </c>
      <c r="C565">
        <f>'03_Lap_Theta'!C565</f>
        <v/>
      </c>
      <c r="D565">
        <f>'03_Lap_Theta'!D565</f>
        <v/>
      </c>
      <c r="E565" s="5">
        <f>'03_Lap_Theta'!$AC565</f>
        <v/>
      </c>
      <c r="F565" s="5">
        <f>SUMPRODUCT(('01_Data'!$B565:$AW565&lt;&gt;"")*(1/(1+EXP(-('03_Lap_Theta'!$AC565-'03_Lap_b'!$B$45:$AW$45))))*(1-(1/(1+EXP(-('03_Lap_Theta'!$AC565-'03_Lap_b'!$B$45:$AW$45))))))</f>
        <v/>
      </c>
      <c r="G565" s="5">
        <f>IF(F565&lt;=0.000000001,"",1/SQRT(F565))</f>
        <v/>
      </c>
      <c r="H565">
        <f>IF(OR(C565=0,C565=D565),"BIÊN","")</f>
        <v/>
      </c>
    </row>
    <row r="566">
      <c r="A566" t="n">
        <v>565</v>
      </c>
      <c r="B566">
        <f>'01_Data'!A566</f>
        <v/>
      </c>
      <c r="C566">
        <f>'03_Lap_Theta'!C566</f>
        <v/>
      </c>
      <c r="D566">
        <f>'03_Lap_Theta'!D566</f>
        <v/>
      </c>
      <c r="E566" s="5">
        <f>'03_Lap_Theta'!$AC566</f>
        <v/>
      </c>
      <c r="F566" s="5">
        <f>SUMPRODUCT(('01_Data'!$B566:$AW566&lt;&gt;"")*(1/(1+EXP(-('03_Lap_Theta'!$AC566-'03_Lap_b'!$B$45:$AW$45))))*(1-(1/(1+EXP(-('03_Lap_Theta'!$AC566-'03_Lap_b'!$B$45:$AW$45))))))</f>
        <v/>
      </c>
      <c r="G566" s="5">
        <f>IF(F566&lt;=0.000000001,"",1/SQRT(F566))</f>
        <v/>
      </c>
      <c r="H566">
        <f>IF(OR(C566=0,C566=D566),"BIÊN","")</f>
        <v/>
      </c>
    </row>
    <row r="567">
      <c r="A567" t="n">
        <v>566</v>
      </c>
      <c r="B567">
        <f>'01_Data'!A567</f>
        <v/>
      </c>
      <c r="C567">
        <f>'03_Lap_Theta'!C567</f>
        <v/>
      </c>
      <c r="D567">
        <f>'03_Lap_Theta'!D567</f>
        <v/>
      </c>
      <c r="E567" s="5">
        <f>'03_Lap_Theta'!$AC567</f>
        <v/>
      </c>
      <c r="F567" s="5">
        <f>SUMPRODUCT(('01_Data'!$B567:$AW567&lt;&gt;"")*(1/(1+EXP(-('03_Lap_Theta'!$AC567-'03_Lap_b'!$B$45:$AW$45))))*(1-(1/(1+EXP(-('03_Lap_Theta'!$AC567-'03_Lap_b'!$B$45:$AW$45))))))</f>
        <v/>
      </c>
      <c r="G567" s="5">
        <f>IF(F567&lt;=0.000000001,"",1/SQRT(F567))</f>
        <v/>
      </c>
      <c r="H567">
        <f>IF(OR(C567=0,C567=D567),"BIÊN","")</f>
        <v/>
      </c>
    </row>
    <row r="568">
      <c r="A568" t="n">
        <v>567</v>
      </c>
      <c r="B568">
        <f>'01_Data'!A568</f>
        <v/>
      </c>
      <c r="C568">
        <f>'03_Lap_Theta'!C568</f>
        <v/>
      </c>
      <c r="D568">
        <f>'03_Lap_Theta'!D568</f>
        <v/>
      </c>
      <c r="E568" s="5">
        <f>'03_Lap_Theta'!$AC568</f>
        <v/>
      </c>
      <c r="F568" s="5">
        <f>SUMPRODUCT(('01_Data'!$B568:$AW568&lt;&gt;"")*(1/(1+EXP(-('03_Lap_Theta'!$AC568-'03_Lap_b'!$B$45:$AW$45))))*(1-(1/(1+EXP(-('03_Lap_Theta'!$AC568-'03_Lap_b'!$B$45:$AW$45))))))</f>
        <v/>
      </c>
      <c r="G568" s="5">
        <f>IF(F568&lt;=0.000000001,"",1/SQRT(F568))</f>
        <v/>
      </c>
      <c r="H568">
        <f>IF(OR(C568=0,C568=D568),"BIÊN","")</f>
        <v/>
      </c>
    </row>
    <row r="569">
      <c r="A569" t="n">
        <v>568</v>
      </c>
      <c r="B569">
        <f>'01_Data'!A569</f>
        <v/>
      </c>
      <c r="C569">
        <f>'03_Lap_Theta'!C569</f>
        <v/>
      </c>
      <c r="D569">
        <f>'03_Lap_Theta'!D569</f>
        <v/>
      </c>
      <c r="E569" s="5">
        <f>'03_Lap_Theta'!$AC569</f>
        <v/>
      </c>
      <c r="F569" s="5">
        <f>SUMPRODUCT(('01_Data'!$B569:$AW569&lt;&gt;"")*(1/(1+EXP(-('03_Lap_Theta'!$AC569-'03_Lap_b'!$B$45:$AW$45))))*(1-(1/(1+EXP(-('03_Lap_Theta'!$AC569-'03_Lap_b'!$B$45:$AW$45))))))</f>
        <v/>
      </c>
      <c r="G569" s="5">
        <f>IF(F569&lt;=0.000000001,"",1/SQRT(F569))</f>
        <v/>
      </c>
      <c r="H569">
        <f>IF(OR(C569=0,C569=D569),"BIÊN","")</f>
        <v/>
      </c>
    </row>
    <row r="570">
      <c r="A570" t="n">
        <v>569</v>
      </c>
      <c r="B570">
        <f>'01_Data'!A570</f>
        <v/>
      </c>
      <c r="C570">
        <f>'03_Lap_Theta'!C570</f>
        <v/>
      </c>
      <c r="D570">
        <f>'03_Lap_Theta'!D570</f>
        <v/>
      </c>
      <c r="E570" s="5">
        <f>'03_Lap_Theta'!$AC570</f>
        <v/>
      </c>
      <c r="F570" s="5">
        <f>SUMPRODUCT(('01_Data'!$B570:$AW570&lt;&gt;"")*(1/(1+EXP(-('03_Lap_Theta'!$AC570-'03_Lap_b'!$B$45:$AW$45))))*(1-(1/(1+EXP(-('03_Lap_Theta'!$AC570-'03_Lap_b'!$B$45:$AW$45))))))</f>
        <v/>
      </c>
      <c r="G570" s="5">
        <f>IF(F570&lt;=0.000000001,"",1/SQRT(F570))</f>
        <v/>
      </c>
      <c r="H570">
        <f>IF(OR(C570=0,C570=D570),"BIÊN","")</f>
        <v/>
      </c>
    </row>
    <row r="571">
      <c r="A571" t="n">
        <v>570</v>
      </c>
      <c r="B571">
        <f>'01_Data'!A571</f>
        <v/>
      </c>
      <c r="C571">
        <f>'03_Lap_Theta'!C571</f>
        <v/>
      </c>
      <c r="D571">
        <f>'03_Lap_Theta'!D571</f>
        <v/>
      </c>
      <c r="E571" s="5">
        <f>'03_Lap_Theta'!$AC571</f>
        <v/>
      </c>
      <c r="F571" s="5">
        <f>SUMPRODUCT(('01_Data'!$B571:$AW571&lt;&gt;"")*(1/(1+EXP(-('03_Lap_Theta'!$AC571-'03_Lap_b'!$B$45:$AW$45))))*(1-(1/(1+EXP(-('03_Lap_Theta'!$AC571-'03_Lap_b'!$B$45:$AW$45))))))</f>
        <v/>
      </c>
      <c r="G571" s="5">
        <f>IF(F571&lt;=0.000000001,"",1/SQRT(F571))</f>
        <v/>
      </c>
      <c r="H571">
        <f>IF(OR(C571=0,C571=D571),"BIÊN","")</f>
        <v/>
      </c>
    </row>
    <row r="572">
      <c r="A572" t="n">
        <v>571</v>
      </c>
      <c r="B572">
        <f>'01_Data'!A572</f>
        <v/>
      </c>
      <c r="C572">
        <f>'03_Lap_Theta'!C572</f>
        <v/>
      </c>
      <c r="D572">
        <f>'03_Lap_Theta'!D572</f>
        <v/>
      </c>
      <c r="E572" s="5">
        <f>'03_Lap_Theta'!$AC572</f>
        <v/>
      </c>
      <c r="F572" s="5">
        <f>SUMPRODUCT(('01_Data'!$B572:$AW572&lt;&gt;"")*(1/(1+EXP(-('03_Lap_Theta'!$AC572-'03_Lap_b'!$B$45:$AW$45))))*(1-(1/(1+EXP(-('03_Lap_Theta'!$AC572-'03_Lap_b'!$B$45:$AW$45))))))</f>
        <v/>
      </c>
      <c r="G572" s="5">
        <f>IF(F572&lt;=0.000000001,"",1/SQRT(F572))</f>
        <v/>
      </c>
      <c r="H572">
        <f>IF(OR(C572=0,C572=D572),"BIÊN","")</f>
        <v/>
      </c>
    </row>
    <row r="573">
      <c r="A573" t="n">
        <v>572</v>
      </c>
      <c r="B573">
        <f>'01_Data'!A573</f>
        <v/>
      </c>
      <c r="C573">
        <f>'03_Lap_Theta'!C573</f>
        <v/>
      </c>
      <c r="D573">
        <f>'03_Lap_Theta'!D573</f>
        <v/>
      </c>
      <c r="E573" s="5">
        <f>'03_Lap_Theta'!$AC573</f>
        <v/>
      </c>
      <c r="F573" s="5">
        <f>SUMPRODUCT(('01_Data'!$B573:$AW573&lt;&gt;"")*(1/(1+EXP(-('03_Lap_Theta'!$AC573-'03_Lap_b'!$B$45:$AW$45))))*(1-(1/(1+EXP(-('03_Lap_Theta'!$AC573-'03_Lap_b'!$B$45:$AW$45))))))</f>
        <v/>
      </c>
      <c r="G573" s="5">
        <f>IF(F573&lt;=0.000000001,"",1/SQRT(F573))</f>
        <v/>
      </c>
      <c r="H573">
        <f>IF(OR(C573=0,C573=D573),"BIÊN","")</f>
        <v/>
      </c>
    </row>
    <row r="574">
      <c r="A574" t="n">
        <v>573</v>
      </c>
      <c r="B574">
        <f>'01_Data'!A574</f>
        <v/>
      </c>
      <c r="C574">
        <f>'03_Lap_Theta'!C574</f>
        <v/>
      </c>
      <c r="D574">
        <f>'03_Lap_Theta'!D574</f>
        <v/>
      </c>
      <c r="E574" s="5">
        <f>'03_Lap_Theta'!$AC574</f>
        <v/>
      </c>
      <c r="F574" s="5">
        <f>SUMPRODUCT(('01_Data'!$B574:$AW574&lt;&gt;"")*(1/(1+EXP(-('03_Lap_Theta'!$AC574-'03_Lap_b'!$B$45:$AW$45))))*(1-(1/(1+EXP(-('03_Lap_Theta'!$AC574-'03_Lap_b'!$B$45:$AW$45))))))</f>
        <v/>
      </c>
      <c r="G574" s="5">
        <f>IF(F574&lt;=0.000000001,"",1/SQRT(F574))</f>
        <v/>
      </c>
      <c r="H574">
        <f>IF(OR(C574=0,C574=D574),"BIÊN","")</f>
        <v/>
      </c>
    </row>
    <row r="575">
      <c r="A575" t="n">
        <v>574</v>
      </c>
      <c r="B575">
        <f>'01_Data'!A575</f>
        <v/>
      </c>
      <c r="C575">
        <f>'03_Lap_Theta'!C575</f>
        <v/>
      </c>
      <c r="D575">
        <f>'03_Lap_Theta'!D575</f>
        <v/>
      </c>
      <c r="E575" s="5">
        <f>'03_Lap_Theta'!$AC575</f>
        <v/>
      </c>
      <c r="F575" s="5">
        <f>SUMPRODUCT(('01_Data'!$B575:$AW575&lt;&gt;"")*(1/(1+EXP(-('03_Lap_Theta'!$AC575-'03_Lap_b'!$B$45:$AW$45))))*(1-(1/(1+EXP(-('03_Lap_Theta'!$AC575-'03_Lap_b'!$B$45:$AW$45))))))</f>
        <v/>
      </c>
      <c r="G575" s="5">
        <f>IF(F575&lt;=0.000000001,"",1/SQRT(F575))</f>
        <v/>
      </c>
      <c r="H575">
        <f>IF(OR(C575=0,C575=D575),"BIÊN","")</f>
        <v/>
      </c>
    </row>
    <row r="576">
      <c r="A576" t="n">
        <v>575</v>
      </c>
      <c r="B576">
        <f>'01_Data'!A576</f>
        <v/>
      </c>
      <c r="C576">
        <f>'03_Lap_Theta'!C576</f>
        <v/>
      </c>
      <c r="D576">
        <f>'03_Lap_Theta'!D576</f>
        <v/>
      </c>
      <c r="E576" s="5">
        <f>'03_Lap_Theta'!$AC576</f>
        <v/>
      </c>
      <c r="F576" s="5">
        <f>SUMPRODUCT(('01_Data'!$B576:$AW576&lt;&gt;"")*(1/(1+EXP(-('03_Lap_Theta'!$AC576-'03_Lap_b'!$B$45:$AW$45))))*(1-(1/(1+EXP(-('03_Lap_Theta'!$AC576-'03_Lap_b'!$B$45:$AW$45))))))</f>
        <v/>
      </c>
      <c r="G576" s="5">
        <f>IF(F576&lt;=0.000000001,"",1/SQRT(F576))</f>
        <v/>
      </c>
      <c r="H576">
        <f>IF(OR(C576=0,C576=D576),"BIÊN","")</f>
        <v/>
      </c>
    </row>
    <row r="577">
      <c r="A577" t="n">
        <v>576</v>
      </c>
      <c r="B577">
        <f>'01_Data'!A577</f>
        <v/>
      </c>
      <c r="C577">
        <f>'03_Lap_Theta'!C577</f>
        <v/>
      </c>
      <c r="D577">
        <f>'03_Lap_Theta'!D577</f>
        <v/>
      </c>
      <c r="E577" s="5">
        <f>'03_Lap_Theta'!$AC577</f>
        <v/>
      </c>
      <c r="F577" s="5">
        <f>SUMPRODUCT(('01_Data'!$B577:$AW577&lt;&gt;"")*(1/(1+EXP(-('03_Lap_Theta'!$AC577-'03_Lap_b'!$B$45:$AW$45))))*(1-(1/(1+EXP(-('03_Lap_Theta'!$AC577-'03_Lap_b'!$B$45:$AW$45))))))</f>
        <v/>
      </c>
      <c r="G577" s="5">
        <f>IF(F577&lt;=0.000000001,"",1/SQRT(F577))</f>
        <v/>
      </c>
      <c r="H577">
        <f>IF(OR(C577=0,C577=D577),"BIÊN","")</f>
        <v/>
      </c>
    </row>
    <row r="578">
      <c r="A578" t="n">
        <v>577</v>
      </c>
      <c r="B578">
        <f>'01_Data'!A578</f>
        <v/>
      </c>
      <c r="C578">
        <f>'03_Lap_Theta'!C578</f>
        <v/>
      </c>
      <c r="D578">
        <f>'03_Lap_Theta'!D578</f>
        <v/>
      </c>
      <c r="E578" s="5">
        <f>'03_Lap_Theta'!$AC578</f>
        <v/>
      </c>
      <c r="F578" s="5">
        <f>SUMPRODUCT(('01_Data'!$B578:$AW578&lt;&gt;"")*(1/(1+EXP(-('03_Lap_Theta'!$AC578-'03_Lap_b'!$B$45:$AW$45))))*(1-(1/(1+EXP(-('03_Lap_Theta'!$AC578-'03_Lap_b'!$B$45:$AW$45))))))</f>
        <v/>
      </c>
      <c r="G578" s="5">
        <f>IF(F578&lt;=0.000000001,"",1/SQRT(F578))</f>
        <v/>
      </c>
      <c r="H578">
        <f>IF(OR(C578=0,C578=D578),"BIÊN","")</f>
        <v/>
      </c>
    </row>
    <row r="579">
      <c r="A579" t="n">
        <v>578</v>
      </c>
      <c r="B579">
        <f>'01_Data'!A579</f>
        <v/>
      </c>
      <c r="C579">
        <f>'03_Lap_Theta'!C579</f>
        <v/>
      </c>
      <c r="D579">
        <f>'03_Lap_Theta'!D579</f>
        <v/>
      </c>
      <c r="E579" s="5">
        <f>'03_Lap_Theta'!$AC579</f>
        <v/>
      </c>
      <c r="F579" s="5">
        <f>SUMPRODUCT(('01_Data'!$B579:$AW579&lt;&gt;"")*(1/(1+EXP(-('03_Lap_Theta'!$AC579-'03_Lap_b'!$B$45:$AW$45))))*(1-(1/(1+EXP(-('03_Lap_Theta'!$AC579-'03_Lap_b'!$B$45:$AW$45))))))</f>
        <v/>
      </c>
      <c r="G579" s="5">
        <f>IF(F579&lt;=0.000000001,"",1/SQRT(F579))</f>
        <v/>
      </c>
      <c r="H579">
        <f>IF(OR(C579=0,C579=D579),"BIÊN","")</f>
        <v/>
      </c>
    </row>
    <row r="580">
      <c r="A580" t="n">
        <v>579</v>
      </c>
      <c r="B580">
        <f>'01_Data'!A580</f>
        <v/>
      </c>
      <c r="C580">
        <f>'03_Lap_Theta'!C580</f>
        <v/>
      </c>
      <c r="D580">
        <f>'03_Lap_Theta'!D580</f>
        <v/>
      </c>
      <c r="E580" s="5">
        <f>'03_Lap_Theta'!$AC580</f>
        <v/>
      </c>
      <c r="F580" s="5">
        <f>SUMPRODUCT(('01_Data'!$B580:$AW580&lt;&gt;"")*(1/(1+EXP(-('03_Lap_Theta'!$AC580-'03_Lap_b'!$B$45:$AW$45))))*(1-(1/(1+EXP(-('03_Lap_Theta'!$AC580-'03_Lap_b'!$B$45:$AW$45))))))</f>
        <v/>
      </c>
      <c r="G580" s="5">
        <f>IF(F580&lt;=0.000000001,"",1/SQRT(F580))</f>
        <v/>
      </c>
      <c r="H580">
        <f>IF(OR(C580=0,C580=D580),"BIÊN","")</f>
        <v/>
      </c>
    </row>
    <row r="581">
      <c r="A581" t="n">
        <v>580</v>
      </c>
      <c r="B581">
        <f>'01_Data'!A581</f>
        <v/>
      </c>
      <c r="C581">
        <f>'03_Lap_Theta'!C581</f>
        <v/>
      </c>
      <c r="D581">
        <f>'03_Lap_Theta'!D581</f>
        <v/>
      </c>
      <c r="E581" s="5">
        <f>'03_Lap_Theta'!$AC581</f>
        <v/>
      </c>
      <c r="F581" s="5">
        <f>SUMPRODUCT(('01_Data'!$B581:$AW581&lt;&gt;"")*(1/(1+EXP(-('03_Lap_Theta'!$AC581-'03_Lap_b'!$B$45:$AW$45))))*(1-(1/(1+EXP(-('03_Lap_Theta'!$AC581-'03_Lap_b'!$B$45:$AW$45))))))</f>
        <v/>
      </c>
      <c r="G581" s="5">
        <f>IF(F581&lt;=0.000000001,"",1/SQRT(F581))</f>
        <v/>
      </c>
      <c r="H581">
        <f>IF(OR(C581=0,C581=D581),"BIÊN","")</f>
        <v/>
      </c>
    </row>
    <row r="582">
      <c r="A582" t="n">
        <v>581</v>
      </c>
      <c r="B582">
        <f>'01_Data'!A582</f>
        <v/>
      </c>
      <c r="C582">
        <f>'03_Lap_Theta'!C582</f>
        <v/>
      </c>
      <c r="D582">
        <f>'03_Lap_Theta'!D582</f>
        <v/>
      </c>
      <c r="E582" s="5">
        <f>'03_Lap_Theta'!$AC582</f>
        <v/>
      </c>
      <c r="F582" s="5">
        <f>SUMPRODUCT(('01_Data'!$B582:$AW582&lt;&gt;"")*(1/(1+EXP(-('03_Lap_Theta'!$AC582-'03_Lap_b'!$B$45:$AW$45))))*(1-(1/(1+EXP(-('03_Lap_Theta'!$AC582-'03_Lap_b'!$B$45:$AW$45))))))</f>
        <v/>
      </c>
      <c r="G582" s="5">
        <f>IF(F582&lt;=0.000000001,"",1/SQRT(F582))</f>
        <v/>
      </c>
      <c r="H582">
        <f>IF(OR(C582=0,C582=D582),"BIÊN","")</f>
        <v/>
      </c>
    </row>
    <row r="583">
      <c r="A583" t="n">
        <v>582</v>
      </c>
      <c r="B583">
        <f>'01_Data'!A583</f>
        <v/>
      </c>
      <c r="C583">
        <f>'03_Lap_Theta'!C583</f>
        <v/>
      </c>
      <c r="D583">
        <f>'03_Lap_Theta'!D583</f>
        <v/>
      </c>
      <c r="E583" s="5">
        <f>'03_Lap_Theta'!$AC583</f>
        <v/>
      </c>
      <c r="F583" s="5">
        <f>SUMPRODUCT(('01_Data'!$B583:$AW583&lt;&gt;"")*(1/(1+EXP(-('03_Lap_Theta'!$AC583-'03_Lap_b'!$B$45:$AW$45))))*(1-(1/(1+EXP(-('03_Lap_Theta'!$AC583-'03_Lap_b'!$B$45:$AW$45))))))</f>
        <v/>
      </c>
      <c r="G583" s="5">
        <f>IF(F583&lt;=0.000000001,"",1/SQRT(F583))</f>
        <v/>
      </c>
      <c r="H583">
        <f>IF(OR(C583=0,C583=D583),"BIÊN","")</f>
        <v/>
      </c>
    </row>
    <row r="584">
      <c r="A584" t="n">
        <v>583</v>
      </c>
      <c r="B584">
        <f>'01_Data'!A584</f>
        <v/>
      </c>
      <c r="C584">
        <f>'03_Lap_Theta'!C584</f>
        <v/>
      </c>
      <c r="D584">
        <f>'03_Lap_Theta'!D584</f>
        <v/>
      </c>
      <c r="E584" s="5">
        <f>'03_Lap_Theta'!$AC584</f>
        <v/>
      </c>
      <c r="F584" s="5">
        <f>SUMPRODUCT(('01_Data'!$B584:$AW584&lt;&gt;"")*(1/(1+EXP(-('03_Lap_Theta'!$AC584-'03_Lap_b'!$B$45:$AW$45))))*(1-(1/(1+EXP(-('03_Lap_Theta'!$AC584-'03_Lap_b'!$B$45:$AW$45))))))</f>
        <v/>
      </c>
      <c r="G584" s="5">
        <f>IF(F584&lt;=0.000000001,"",1/SQRT(F584))</f>
        <v/>
      </c>
      <c r="H584">
        <f>IF(OR(C584=0,C584=D584),"BIÊN","")</f>
        <v/>
      </c>
    </row>
    <row r="585">
      <c r="A585" t="n">
        <v>584</v>
      </c>
      <c r="B585">
        <f>'01_Data'!A585</f>
        <v/>
      </c>
      <c r="C585">
        <f>'03_Lap_Theta'!C585</f>
        <v/>
      </c>
      <c r="D585">
        <f>'03_Lap_Theta'!D585</f>
        <v/>
      </c>
      <c r="E585" s="5">
        <f>'03_Lap_Theta'!$AC585</f>
        <v/>
      </c>
      <c r="F585" s="5">
        <f>SUMPRODUCT(('01_Data'!$B585:$AW585&lt;&gt;"")*(1/(1+EXP(-('03_Lap_Theta'!$AC585-'03_Lap_b'!$B$45:$AW$45))))*(1-(1/(1+EXP(-('03_Lap_Theta'!$AC585-'03_Lap_b'!$B$45:$AW$45))))))</f>
        <v/>
      </c>
      <c r="G585" s="5">
        <f>IF(F585&lt;=0.000000001,"",1/SQRT(F585))</f>
        <v/>
      </c>
      <c r="H585">
        <f>IF(OR(C585=0,C585=D585),"BIÊN","")</f>
        <v/>
      </c>
    </row>
    <row r="586">
      <c r="A586" t="n">
        <v>585</v>
      </c>
      <c r="B586">
        <f>'01_Data'!A586</f>
        <v/>
      </c>
      <c r="C586">
        <f>'03_Lap_Theta'!C586</f>
        <v/>
      </c>
      <c r="D586">
        <f>'03_Lap_Theta'!D586</f>
        <v/>
      </c>
      <c r="E586" s="5">
        <f>'03_Lap_Theta'!$AC586</f>
        <v/>
      </c>
      <c r="F586" s="5">
        <f>SUMPRODUCT(('01_Data'!$B586:$AW586&lt;&gt;"")*(1/(1+EXP(-('03_Lap_Theta'!$AC586-'03_Lap_b'!$B$45:$AW$45))))*(1-(1/(1+EXP(-('03_Lap_Theta'!$AC586-'03_Lap_b'!$B$45:$AW$45))))))</f>
        <v/>
      </c>
      <c r="G586" s="5">
        <f>IF(F586&lt;=0.000000001,"",1/SQRT(F586))</f>
        <v/>
      </c>
      <c r="H586">
        <f>IF(OR(C586=0,C586=D586),"BIÊN","")</f>
        <v/>
      </c>
    </row>
    <row r="587">
      <c r="A587" t="n">
        <v>586</v>
      </c>
      <c r="B587">
        <f>'01_Data'!A587</f>
        <v/>
      </c>
      <c r="C587">
        <f>'03_Lap_Theta'!C587</f>
        <v/>
      </c>
      <c r="D587">
        <f>'03_Lap_Theta'!D587</f>
        <v/>
      </c>
      <c r="E587" s="5">
        <f>'03_Lap_Theta'!$AC587</f>
        <v/>
      </c>
      <c r="F587" s="5">
        <f>SUMPRODUCT(('01_Data'!$B587:$AW587&lt;&gt;"")*(1/(1+EXP(-('03_Lap_Theta'!$AC587-'03_Lap_b'!$B$45:$AW$45))))*(1-(1/(1+EXP(-('03_Lap_Theta'!$AC587-'03_Lap_b'!$B$45:$AW$45))))))</f>
        <v/>
      </c>
      <c r="G587" s="5">
        <f>IF(F587&lt;=0.000000001,"",1/SQRT(F587))</f>
        <v/>
      </c>
      <c r="H587">
        <f>IF(OR(C587=0,C587=D587),"BIÊN","")</f>
        <v/>
      </c>
    </row>
    <row r="588">
      <c r="A588" t="n">
        <v>587</v>
      </c>
      <c r="B588">
        <f>'01_Data'!A588</f>
        <v/>
      </c>
      <c r="C588">
        <f>'03_Lap_Theta'!C588</f>
        <v/>
      </c>
      <c r="D588">
        <f>'03_Lap_Theta'!D588</f>
        <v/>
      </c>
      <c r="E588" s="5">
        <f>'03_Lap_Theta'!$AC588</f>
        <v/>
      </c>
      <c r="F588" s="5">
        <f>SUMPRODUCT(('01_Data'!$B588:$AW588&lt;&gt;"")*(1/(1+EXP(-('03_Lap_Theta'!$AC588-'03_Lap_b'!$B$45:$AW$45))))*(1-(1/(1+EXP(-('03_Lap_Theta'!$AC588-'03_Lap_b'!$B$45:$AW$45))))))</f>
        <v/>
      </c>
      <c r="G588" s="5">
        <f>IF(F588&lt;=0.000000001,"",1/SQRT(F588))</f>
        <v/>
      </c>
      <c r="H588">
        <f>IF(OR(C588=0,C588=D588),"BIÊN","")</f>
        <v/>
      </c>
    </row>
    <row r="589">
      <c r="A589" t="n">
        <v>588</v>
      </c>
      <c r="B589">
        <f>'01_Data'!A589</f>
        <v/>
      </c>
      <c r="C589">
        <f>'03_Lap_Theta'!C589</f>
        <v/>
      </c>
      <c r="D589">
        <f>'03_Lap_Theta'!D589</f>
        <v/>
      </c>
      <c r="E589" s="5">
        <f>'03_Lap_Theta'!$AC589</f>
        <v/>
      </c>
      <c r="F589" s="5">
        <f>SUMPRODUCT(('01_Data'!$B589:$AW589&lt;&gt;"")*(1/(1+EXP(-('03_Lap_Theta'!$AC589-'03_Lap_b'!$B$45:$AW$45))))*(1-(1/(1+EXP(-('03_Lap_Theta'!$AC589-'03_Lap_b'!$B$45:$AW$45))))))</f>
        <v/>
      </c>
      <c r="G589" s="5">
        <f>IF(F589&lt;=0.000000001,"",1/SQRT(F589))</f>
        <v/>
      </c>
      <c r="H589">
        <f>IF(OR(C589=0,C589=D589),"BIÊN","")</f>
        <v/>
      </c>
    </row>
    <row r="590">
      <c r="A590" t="n">
        <v>589</v>
      </c>
      <c r="B590">
        <f>'01_Data'!A590</f>
        <v/>
      </c>
      <c r="C590">
        <f>'03_Lap_Theta'!C590</f>
        <v/>
      </c>
      <c r="D590">
        <f>'03_Lap_Theta'!D590</f>
        <v/>
      </c>
      <c r="E590" s="5">
        <f>'03_Lap_Theta'!$AC590</f>
        <v/>
      </c>
      <c r="F590" s="5">
        <f>SUMPRODUCT(('01_Data'!$B590:$AW590&lt;&gt;"")*(1/(1+EXP(-('03_Lap_Theta'!$AC590-'03_Lap_b'!$B$45:$AW$45))))*(1-(1/(1+EXP(-('03_Lap_Theta'!$AC590-'03_Lap_b'!$B$45:$AW$45))))))</f>
        <v/>
      </c>
      <c r="G590" s="5">
        <f>IF(F590&lt;=0.000000001,"",1/SQRT(F590))</f>
        <v/>
      </c>
      <c r="H590">
        <f>IF(OR(C590=0,C590=D590),"BIÊN","")</f>
        <v/>
      </c>
    </row>
    <row r="591">
      <c r="A591" t="n">
        <v>590</v>
      </c>
      <c r="B591">
        <f>'01_Data'!A591</f>
        <v/>
      </c>
      <c r="C591">
        <f>'03_Lap_Theta'!C591</f>
        <v/>
      </c>
      <c r="D591">
        <f>'03_Lap_Theta'!D591</f>
        <v/>
      </c>
      <c r="E591" s="5">
        <f>'03_Lap_Theta'!$AC591</f>
        <v/>
      </c>
      <c r="F591" s="5">
        <f>SUMPRODUCT(('01_Data'!$B591:$AW591&lt;&gt;"")*(1/(1+EXP(-('03_Lap_Theta'!$AC591-'03_Lap_b'!$B$45:$AW$45))))*(1-(1/(1+EXP(-('03_Lap_Theta'!$AC591-'03_Lap_b'!$B$45:$AW$45))))))</f>
        <v/>
      </c>
      <c r="G591" s="5">
        <f>IF(F591&lt;=0.000000001,"",1/SQRT(F591))</f>
        <v/>
      </c>
      <c r="H591">
        <f>IF(OR(C591=0,C591=D591),"BIÊN","")</f>
        <v/>
      </c>
    </row>
    <row r="592">
      <c r="A592" t="n">
        <v>591</v>
      </c>
      <c r="B592">
        <f>'01_Data'!A592</f>
        <v/>
      </c>
      <c r="C592">
        <f>'03_Lap_Theta'!C592</f>
        <v/>
      </c>
      <c r="D592">
        <f>'03_Lap_Theta'!D592</f>
        <v/>
      </c>
      <c r="E592" s="5">
        <f>'03_Lap_Theta'!$AC592</f>
        <v/>
      </c>
      <c r="F592" s="5">
        <f>SUMPRODUCT(('01_Data'!$B592:$AW592&lt;&gt;"")*(1/(1+EXP(-('03_Lap_Theta'!$AC592-'03_Lap_b'!$B$45:$AW$45))))*(1-(1/(1+EXP(-('03_Lap_Theta'!$AC592-'03_Lap_b'!$B$45:$AW$45))))))</f>
        <v/>
      </c>
      <c r="G592" s="5">
        <f>IF(F592&lt;=0.000000001,"",1/SQRT(F592))</f>
        <v/>
      </c>
      <c r="H592">
        <f>IF(OR(C592=0,C592=D592),"BIÊN","")</f>
        <v/>
      </c>
    </row>
    <row r="593">
      <c r="A593" t="n">
        <v>592</v>
      </c>
      <c r="B593">
        <f>'01_Data'!A593</f>
        <v/>
      </c>
      <c r="C593">
        <f>'03_Lap_Theta'!C593</f>
        <v/>
      </c>
      <c r="D593">
        <f>'03_Lap_Theta'!D593</f>
        <v/>
      </c>
      <c r="E593" s="5">
        <f>'03_Lap_Theta'!$AC593</f>
        <v/>
      </c>
      <c r="F593" s="5">
        <f>SUMPRODUCT(('01_Data'!$B593:$AW593&lt;&gt;"")*(1/(1+EXP(-('03_Lap_Theta'!$AC593-'03_Lap_b'!$B$45:$AW$45))))*(1-(1/(1+EXP(-('03_Lap_Theta'!$AC593-'03_Lap_b'!$B$45:$AW$45))))))</f>
        <v/>
      </c>
      <c r="G593" s="5">
        <f>IF(F593&lt;=0.000000001,"",1/SQRT(F593))</f>
        <v/>
      </c>
      <c r="H593">
        <f>IF(OR(C593=0,C593=D593),"BIÊN","")</f>
        <v/>
      </c>
    </row>
    <row r="594">
      <c r="A594" t="n">
        <v>593</v>
      </c>
      <c r="B594">
        <f>'01_Data'!A594</f>
        <v/>
      </c>
      <c r="C594">
        <f>'03_Lap_Theta'!C594</f>
        <v/>
      </c>
      <c r="D594">
        <f>'03_Lap_Theta'!D594</f>
        <v/>
      </c>
      <c r="E594" s="5">
        <f>'03_Lap_Theta'!$AC594</f>
        <v/>
      </c>
      <c r="F594" s="5">
        <f>SUMPRODUCT(('01_Data'!$B594:$AW594&lt;&gt;"")*(1/(1+EXP(-('03_Lap_Theta'!$AC594-'03_Lap_b'!$B$45:$AW$45))))*(1-(1/(1+EXP(-('03_Lap_Theta'!$AC594-'03_Lap_b'!$B$45:$AW$45))))))</f>
        <v/>
      </c>
      <c r="G594" s="5">
        <f>IF(F594&lt;=0.000000001,"",1/SQRT(F594))</f>
        <v/>
      </c>
      <c r="H594">
        <f>IF(OR(C594=0,C594=D594),"BIÊN","")</f>
        <v/>
      </c>
    </row>
    <row r="595">
      <c r="A595" t="n">
        <v>594</v>
      </c>
      <c r="B595">
        <f>'01_Data'!A595</f>
        <v/>
      </c>
      <c r="C595">
        <f>'03_Lap_Theta'!C595</f>
        <v/>
      </c>
      <c r="D595">
        <f>'03_Lap_Theta'!D595</f>
        <v/>
      </c>
      <c r="E595" s="5">
        <f>'03_Lap_Theta'!$AC595</f>
        <v/>
      </c>
      <c r="F595" s="5">
        <f>SUMPRODUCT(('01_Data'!$B595:$AW595&lt;&gt;"")*(1/(1+EXP(-('03_Lap_Theta'!$AC595-'03_Lap_b'!$B$45:$AW$45))))*(1-(1/(1+EXP(-('03_Lap_Theta'!$AC595-'03_Lap_b'!$B$45:$AW$45))))))</f>
        <v/>
      </c>
      <c r="G595" s="5">
        <f>IF(F595&lt;=0.000000001,"",1/SQRT(F595))</f>
        <v/>
      </c>
      <c r="H595">
        <f>IF(OR(C595=0,C595=D595),"BIÊN","")</f>
        <v/>
      </c>
    </row>
    <row r="596">
      <c r="A596" t="n">
        <v>595</v>
      </c>
      <c r="B596">
        <f>'01_Data'!A596</f>
        <v/>
      </c>
      <c r="C596">
        <f>'03_Lap_Theta'!C596</f>
        <v/>
      </c>
      <c r="D596">
        <f>'03_Lap_Theta'!D596</f>
        <v/>
      </c>
      <c r="E596" s="5">
        <f>'03_Lap_Theta'!$AC596</f>
        <v/>
      </c>
      <c r="F596" s="5">
        <f>SUMPRODUCT(('01_Data'!$B596:$AW596&lt;&gt;"")*(1/(1+EXP(-('03_Lap_Theta'!$AC596-'03_Lap_b'!$B$45:$AW$45))))*(1-(1/(1+EXP(-('03_Lap_Theta'!$AC596-'03_Lap_b'!$B$45:$AW$45))))))</f>
        <v/>
      </c>
      <c r="G596" s="5">
        <f>IF(F596&lt;=0.000000001,"",1/SQRT(F596))</f>
        <v/>
      </c>
      <c r="H596">
        <f>IF(OR(C596=0,C596=D596),"BIÊN","")</f>
        <v/>
      </c>
    </row>
    <row r="597">
      <c r="A597" t="n">
        <v>596</v>
      </c>
      <c r="B597">
        <f>'01_Data'!A597</f>
        <v/>
      </c>
      <c r="C597">
        <f>'03_Lap_Theta'!C597</f>
        <v/>
      </c>
      <c r="D597">
        <f>'03_Lap_Theta'!D597</f>
        <v/>
      </c>
      <c r="E597" s="5">
        <f>'03_Lap_Theta'!$AC597</f>
        <v/>
      </c>
      <c r="F597" s="5">
        <f>SUMPRODUCT(('01_Data'!$B597:$AW597&lt;&gt;"")*(1/(1+EXP(-('03_Lap_Theta'!$AC597-'03_Lap_b'!$B$45:$AW$45))))*(1-(1/(1+EXP(-('03_Lap_Theta'!$AC597-'03_Lap_b'!$B$45:$AW$45))))))</f>
        <v/>
      </c>
      <c r="G597" s="5">
        <f>IF(F597&lt;=0.000000001,"",1/SQRT(F597))</f>
        <v/>
      </c>
      <c r="H597">
        <f>IF(OR(C597=0,C597=D597),"BIÊN","")</f>
        <v/>
      </c>
    </row>
    <row r="598">
      <c r="A598" t="n">
        <v>597</v>
      </c>
      <c r="B598">
        <f>'01_Data'!A598</f>
        <v/>
      </c>
      <c r="C598">
        <f>'03_Lap_Theta'!C598</f>
        <v/>
      </c>
      <c r="D598">
        <f>'03_Lap_Theta'!D598</f>
        <v/>
      </c>
      <c r="E598" s="5">
        <f>'03_Lap_Theta'!$AC598</f>
        <v/>
      </c>
      <c r="F598" s="5">
        <f>SUMPRODUCT(('01_Data'!$B598:$AW598&lt;&gt;"")*(1/(1+EXP(-('03_Lap_Theta'!$AC598-'03_Lap_b'!$B$45:$AW$45))))*(1-(1/(1+EXP(-('03_Lap_Theta'!$AC598-'03_Lap_b'!$B$45:$AW$45))))))</f>
        <v/>
      </c>
      <c r="G598" s="5">
        <f>IF(F598&lt;=0.000000001,"",1/SQRT(F598))</f>
        <v/>
      </c>
      <c r="H598">
        <f>IF(OR(C598=0,C598=D598),"BIÊN","")</f>
        <v/>
      </c>
    </row>
    <row r="599">
      <c r="A599" t="n">
        <v>598</v>
      </c>
      <c r="B599">
        <f>'01_Data'!A599</f>
        <v/>
      </c>
      <c r="C599">
        <f>'03_Lap_Theta'!C599</f>
        <v/>
      </c>
      <c r="D599">
        <f>'03_Lap_Theta'!D599</f>
        <v/>
      </c>
      <c r="E599" s="5">
        <f>'03_Lap_Theta'!$AC599</f>
        <v/>
      </c>
      <c r="F599" s="5">
        <f>SUMPRODUCT(('01_Data'!$B599:$AW599&lt;&gt;"")*(1/(1+EXP(-('03_Lap_Theta'!$AC599-'03_Lap_b'!$B$45:$AW$45))))*(1-(1/(1+EXP(-('03_Lap_Theta'!$AC599-'03_Lap_b'!$B$45:$AW$45))))))</f>
        <v/>
      </c>
      <c r="G599" s="5">
        <f>IF(F599&lt;=0.000000001,"",1/SQRT(F599))</f>
        <v/>
      </c>
      <c r="H599">
        <f>IF(OR(C599=0,C599=D599),"BIÊN","")</f>
        <v/>
      </c>
    </row>
    <row r="600">
      <c r="A600" t="n">
        <v>599</v>
      </c>
      <c r="B600">
        <f>'01_Data'!A600</f>
        <v/>
      </c>
      <c r="C600">
        <f>'03_Lap_Theta'!C600</f>
        <v/>
      </c>
      <c r="D600">
        <f>'03_Lap_Theta'!D600</f>
        <v/>
      </c>
      <c r="E600" s="5">
        <f>'03_Lap_Theta'!$AC600</f>
        <v/>
      </c>
      <c r="F600" s="5">
        <f>SUMPRODUCT(('01_Data'!$B600:$AW600&lt;&gt;"")*(1/(1+EXP(-('03_Lap_Theta'!$AC600-'03_Lap_b'!$B$45:$AW$45))))*(1-(1/(1+EXP(-('03_Lap_Theta'!$AC600-'03_Lap_b'!$B$45:$AW$45))))))</f>
        <v/>
      </c>
      <c r="G600" s="5">
        <f>IF(F600&lt;=0.000000001,"",1/SQRT(F600))</f>
        <v/>
      </c>
      <c r="H600">
        <f>IF(OR(C600=0,C600=D600),"BIÊN","")</f>
        <v/>
      </c>
    </row>
    <row r="601">
      <c r="A601" t="n">
        <v>600</v>
      </c>
      <c r="B601">
        <f>'01_Data'!A601</f>
        <v/>
      </c>
      <c r="C601">
        <f>'03_Lap_Theta'!C601</f>
        <v/>
      </c>
      <c r="D601">
        <f>'03_Lap_Theta'!D601</f>
        <v/>
      </c>
      <c r="E601" s="5">
        <f>'03_Lap_Theta'!$AC601</f>
        <v/>
      </c>
      <c r="F601" s="5">
        <f>SUMPRODUCT(('01_Data'!$B601:$AW601&lt;&gt;"")*(1/(1+EXP(-('03_Lap_Theta'!$AC601-'03_Lap_b'!$B$45:$AW$45))))*(1-(1/(1+EXP(-('03_Lap_Theta'!$AC601-'03_Lap_b'!$B$45:$AW$45))))))</f>
        <v/>
      </c>
      <c r="G601" s="5">
        <f>IF(F601&lt;=0.000000001,"",1/SQRT(F601))</f>
        <v/>
      </c>
      <c r="H601">
        <f>IF(OR(C601=0,C601=D601),"BIÊN","")</f>
        <v/>
      </c>
    </row>
    <row r="602">
      <c r="A602" t="n">
        <v>601</v>
      </c>
      <c r="B602">
        <f>'01_Data'!A602</f>
        <v/>
      </c>
      <c r="C602">
        <f>'03_Lap_Theta'!C602</f>
        <v/>
      </c>
      <c r="D602">
        <f>'03_Lap_Theta'!D602</f>
        <v/>
      </c>
      <c r="E602" s="5">
        <f>'03_Lap_Theta'!$AC602</f>
        <v/>
      </c>
      <c r="F602" s="5">
        <f>SUMPRODUCT(('01_Data'!$B602:$AW602&lt;&gt;"")*(1/(1+EXP(-('03_Lap_Theta'!$AC602-'03_Lap_b'!$B$45:$AW$45))))*(1-(1/(1+EXP(-('03_Lap_Theta'!$AC602-'03_Lap_b'!$B$45:$AW$45))))))</f>
        <v/>
      </c>
      <c r="G602" s="5">
        <f>IF(F602&lt;=0.000000001,"",1/SQRT(F602))</f>
        <v/>
      </c>
      <c r="H602">
        <f>IF(OR(C602=0,C602=D602),"BIÊN","")</f>
        <v/>
      </c>
    </row>
    <row r="603">
      <c r="A603" t="n">
        <v>602</v>
      </c>
      <c r="B603">
        <f>'01_Data'!A603</f>
        <v/>
      </c>
      <c r="C603">
        <f>'03_Lap_Theta'!C603</f>
        <v/>
      </c>
      <c r="D603">
        <f>'03_Lap_Theta'!D603</f>
        <v/>
      </c>
      <c r="E603" s="5">
        <f>'03_Lap_Theta'!$AC603</f>
        <v/>
      </c>
      <c r="F603" s="5">
        <f>SUMPRODUCT(('01_Data'!$B603:$AW603&lt;&gt;"")*(1/(1+EXP(-('03_Lap_Theta'!$AC603-'03_Lap_b'!$B$45:$AW$45))))*(1-(1/(1+EXP(-('03_Lap_Theta'!$AC603-'03_Lap_b'!$B$45:$AW$45))))))</f>
        <v/>
      </c>
      <c r="G603" s="5">
        <f>IF(F603&lt;=0.000000001,"",1/SQRT(F603))</f>
        <v/>
      </c>
      <c r="H603">
        <f>IF(OR(C603=0,C603=D603),"BIÊN","")</f>
        <v/>
      </c>
    </row>
    <row r="604">
      <c r="A604" t="n">
        <v>603</v>
      </c>
      <c r="B604">
        <f>'01_Data'!A604</f>
        <v/>
      </c>
      <c r="C604">
        <f>'03_Lap_Theta'!C604</f>
        <v/>
      </c>
      <c r="D604">
        <f>'03_Lap_Theta'!D604</f>
        <v/>
      </c>
      <c r="E604" s="5">
        <f>'03_Lap_Theta'!$AC604</f>
        <v/>
      </c>
      <c r="F604" s="5">
        <f>SUMPRODUCT(('01_Data'!$B604:$AW604&lt;&gt;"")*(1/(1+EXP(-('03_Lap_Theta'!$AC604-'03_Lap_b'!$B$45:$AW$45))))*(1-(1/(1+EXP(-('03_Lap_Theta'!$AC604-'03_Lap_b'!$B$45:$AW$45))))))</f>
        <v/>
      </c>
      <c r="G604" s="5">
        <f>IF(F604&lt;=0.000000001,"",1/SQRT(F604))</f>
        <v/>
      </c>
      <c r="H604">
        <f>IF(OR(C604=0,C604=D604),"BIÊN","")</f>
        <v/>
      </c>
    </row>
    <row r="605">
      <c r="A605" t="n">
        <v>604</v>
      </c>
      <c r="B605">
        <f>'01_Data'!A605</f>
        <v/>
      </c>
      <c r="C605">
        <f>'03_Lap_Theta'!C605</f>
        <v/>
      </c>
      <c r="D605">
        <f>'03_Lap_Theta'!D605</f>
        <v/>
      </c>
      <c r="E605" s="5">
        <f>'03_Lap_Theta'!$AC605</f>
        <v/>
      </c>
      <c r="F605" s="5">
        <f>SUMPRODUCT(('01_Data'!$B605:$AW605&lt;&gt;"")*(1/(1+EXP(-('03_Lap_Theta'!$AC605-'03_Lap_b'!$B$45:$AW$45))))*(1-(1/(1+EXP(-('03_Lap_Theta'!$AC605-'03_Lap_b'!$B$45:$AW$45))))))</f>
        <v/>
      </c>
      <c r="G605" s="5">
        <f>IF(F605&lt;=0.000000001,"",1/SQRT(F605))</f>
        <v/>
      </c>
      <c r="H605">
        <f>IF(OR(C605=0,C605=D605),"BIÊN","")</f>
        <v/>
      </c>
    </row>
    <row r="606">
      <c r="A606" t="n">
        <v>605</v>
      </c>
      <c r="B606">
        <f>'01_Data'!A606</f>
        <v/>
      </c>
      <c r="C606">
        <f>'03_Lap_Theta'!C606</f>
        <v/>
      </c>
      <c r="D606">
        <f>'03_Lap_Theta'!D606</f>
        <v/>
      </c>
      <c r="E606" s="5">
        <f>'03_Lap_Theta'!$AC606</f>
        <v/>
      </c>
      <c r="F606" s="5">
        <f>SUMPRODUCT(('01_Data'!$B606:$AW606&lt;&gt;"")*(1/(1+EXP(-('03_Lap_Theta'!$AC606-'03_Lap_b'!$B$45:$AW$45))))*(1-(1/(1+EXP(-('03_Lap_Theta'!$AC606-'03_Lap_b'!$B$45:$AW$45))))))</f>
        <v/>
      </c>
      <c r="G606" s="5">
        <f>IF(F606&lt;=0.000000001,"",1/SQRT(F606))</f>
        <v/>
      </c>
      <c r="H606">
        <f>IF(OR(C606=0,C606=D606),"BIÊN","")</f>
        <v/>
      </c>
    </row>
    <row r="607">
      <c r="A607" t="n">
        <v>606</v>
      </c>
      <c r="B607">
        <f>'01_Data'!A607</f>
        <v/>
      </c>
      <c r="C607">
        <f>'03_Lap_Theta'!C607</f>
        <v/>
      </c>
      <c r="D607">
        <f>'03_Lap_Theta'!D607</f>
        <v/>
      </c>
      <c r="E607" s="5">
        <f>'03_Lap_Theta'!$AC607</f>
        <v/>
      </c>
      <c r="F607" s="5">
        <f>SUMPRODUCT(('01_Data'!$B607:$AW607&lt;&gt;"")*(1/(1+EXP(-('03_Lap_Theta'!$AC607-'03_Lap_b'!$B$45:$AW$45))))*(1-(1/(1+EXP(-('03_Lap_Theta'!$AC607-'03_Lap_b'!$B$45:$AW$45))))))</f>
        <v/>
      </c>
      <c r="G607" s="5">
        <f>IF(F607&lt;=0.000000001,"",1/SQRT(F607))</f>
        <v/>
      </c>
      <c r="H607">
        <f>IF(OR(C607=0,C607=D607),"BIÊN","")</f>
        <v/>
      </c>
    </row>
    <row r="608">
      <c r="A608" t="n">
        <v>607</v>
      </c>
      <c r="B608">
        <f>'01_Data'!A608</f>
        <v/>
      </c>
      <c r="C608">
        <f>'03_Lap_Theta'!C608</f>
        <v/>
      </c>
      <c r="D608">
        <f>'03_Lap_Theta'!D608</f>
        <v/>
      </c>
      <c r="E608" s="5">
        <f>'03_Lap_Theta'!$AC608</f>
        <v/>
      </c>
      <c r="F608" s="5">
        <f>SUMPRODUCT(('01_Data'!$B608:$AW608&lt;&gt;"")*(1/(1+EXP(-('03_Lap_Theta'!$AC608-'03_Lap_b'!$B$45:$AW$45))))*(1-(1/(1+EXP(-('03_Lap_Theta'!$AC608-'03_Lap_b'!$B$45:$AW$45))))))</f>
        <v/>
      </c>
      <c r="G608" s="5">
        <f>IF(F608&lt;=0.000000001,"",1/SQRT(F608))</f>
        <v/>
      </c>
      <c r="H608">
        <f>IF(OR(C608=0,C608=D608),"BIÊN","")</f>
        <v/>
      </c>
    </row>
    <row r="609">
      <c r="A609" t="n">
        <v>608</v>
      </c>
      <c r="B609">
        <f>'01_Data'!A609</f>
        <v/>
      </c>
      <c r="C609">
        <f>'03_Lap_Theta'!C609</f>
        <v/>
      </c>
      <c r="D609">
        <f>'03_Lap_Theta'!D609</f>
        <v/>
      </c>
      <c r="E609" s="5">
        <f>'03_Lap_Theta'!$AC609</f>
        <v/>
      </c>
      <c r="F609" s="5">
        <f>SUMPRODUCT(('01_Data'!$B609:$AW609&lt;&gt;"")*(1/(1+EXP(-('03_Lap_Theta'!$AC609-'03_Lap_b'!$B$45:$AW$45))))*(1-(1/(1+EXP(-('03_Lap_Theta'!$AC609-'03_Lap_b'!$B$45:$AW$45))))))</f>
        <v/>
      </c>
      <c r="G609" s="5">
        <f>IF(F609&lt;=0.000000001,"",1/SQRT(F609))</f>
        <v/>
      </c>
      <c r="H609">
        <f>IF(OR(C609=0,C609=D609),"BIÊN","")</f>
        <v/>
      </c>
    </row>
    <row r="610">
      <c r="A610" t="n">
        <v>609</v>
      </c>
      <c r="B610">
        <f>'01_Data'!A610</f>
        <v/>
      </c>
      <c r="C610">
        <f>'03_Lap_Theta'!C610</f>
        <v/>
      </c>
      <c r="D610">
        <f>'03_Lap_Theta'!D610</f>
        <v/>
      </c>
      <c r="E610" s="5">
        <f>'03_Lap_Theta'!$AC610</f>
        <v/>
      </c>
      <c r="F610" s="5">
        <f>SUMPRODUCT(('01_Data'!$B610:$AW610&lt;&gt;"")*(1/(1+EXP(-('03_Lap_Theta'!$AC610-'03_Lap_b'!$B$45:$AW$45))))*(1-(1/(1+EXP(-('03_Lap_Theta'!$AC610-'03_Lap_b'!$B$45:$AW$45))))))</f>
        <v/>
      </c>
      <c r="G610" s="5">
        <f>IF(F610&lt;=0.000000001,"",1/SQRT(F610))</f>
        <v/>
      </c>
      <c r="H610">
        <f>IF(OR(C610=0,C610=D610),"BIÊN","")</f>
        <v/>
      </c>
    </row>
    <row r="611">
      <c r="A611" t="n">
        <v>610</v>
      </c>
      <c r="B611">
        <f>'01_Data'!A611</f>
        <v/>
      </c>
      <c r="C611">
        <f>'03_Lap_Theta'!C611</f>
        <v/>
      </c>
      <c r="D611">
        <f>'03_Lap_Theta'!D611</f>
        <v/>
      </c>
      <c r="E611" s="5">
        <f>'03_Lap_Theta'!$AC611</f>
        <v/>
      </c>
      <c r="F611" s="5">
        <f>SUMPRODUCT(('01_Data'!$B611:$AW611&lt;&gt;"")*(1/(1+EXP(-('03_Lap_Theta'!$AC611-'03_Lap_b'!$B$45:$AW$45))))*(1-(1/(1+EXP(-('03_Lap_Theta'!$AC611-'03_Lap_b'!$B$45:$AW$45))))))</f>
        <v/>
      </c>
      <c r="G611" s="5">
        <f>IF(F611&lt;=0.000000001,"",1/SQRT(F611))</f>
        <v/>
      </c>
      <c r="H611">
        <f>IF(OR(C611=0,C611=D611),"BIÊN","")</f>
        <v/>
      </c>
    </row>
    <row r="612">
      <c r="A612" t="n">
        <v>611</v>
      </c>
      <c r="B612">
        <f>'01_Data'!A612</f>
        <v/>
      </c>
      <c r="C612">
        <f>'03_Lap_Theta'!C612</f>
        <v/>
      </c>
      <c r="D612">
        <f>'03_Lap_Theta'!D612</f>
        <v/>
      </c>
      <c r="E612" s="5">
        <f>'03_Lap_Theta'!$AC612</f>
        <v/>
      </c>
      <c r="F612" s="5">
        <f>SUMPRODUCT(('01_Data'!$B612:$AW612&lt;&gt;"")*(1/(1+EXP(-('03_Lap_Theta'!$AC612-'03_Lap_b'!$B$45:$AW$45))))*(1-(1/(1+EXP(-('03_Lap_Theta'!$AC612-'03_Lap_b'!$B$45:$AW$45))))))</f>
        <v/>
      </c>
      <c r="G612" s="5">
        <f>IF(F612&lt;=0.000000001,"",1/SQRT(F612))</f>
        <v/>
      </c>
      <c r="H612">
        <f>IF(OR(C612=0,C612=D612),"BIÊN","")</f>
        <v/>
      </c>
    </row>
    <row r="613">
      <c r="A613" t="n">
        <v>612</v>
      </c>
      <c r="B613">
        <f>'01_Data'!A613</f>
        <v/>
      </c>
      <c r="C613">
        <f>'03_Lap_Theta'!C613</f>
        <v/>
      </c>
      <c r="D613">
        <f>'03_Lap_Theta'!D613</f>
        <v/>
      </c>
      <c r="E613" s="5">
        <f>'03_Lap_Theta'!$AC613</f>
        <v/>
      </c>
      <c r="F613" s="5">
        <f>SUMPRODUCT(('01_Data'!$B613:$AW613&lt;&gt;"")*(1/(1+EXP(-('03_Lap_Theta'!$AC613-'03_Lap_b'!$B$45:$AW$45))))*(1-(1/(1+EXP(-('03_Lap_Theta'!$AC613-'03_Lap_b'!$B$45:$AW$45))))))</f>
        <v/>
      </c>
      <c r="G613" s="5">
        <f>IF(F613&lt;=0.000000001,"",1/SQRT(F613))</f>
        <v/>
      </c>
      <c r="H613">
        <f>IF(OR(C613=0,C613=D613),"BIÊN","")</f>
        <v/>
      </c>
    </row>
    <row r="614">
      <c r="A614" t="n">
        <v>613</v>
      </c>
      <c r="B614">
        <f>'01_Data'!A614</f>
        <v/>
      </c>
      <c r="C614">
        <f>'03_Lap_Theta'!C614</f>
        <v/>
      </c>
      <c r="D614">
        <f>'03_Lap_Theta'!D614</f>
        <v/>
      </c>
      <c r="E614" s="5">
        <f>'03_Lap_Theta'!$AC614</f>
        <v/>
      </c>
      <c r="F614" s="5">
        <f>SUMPRODUCT(('01_Data'!$B614:$AW614&lt;&gt;"")*(1/(1+EXP(-('03_Lap_Theta'!$AC614-'03_Lap_b'!$B$45:$AW$45))))*(1-(1/(1+EXP(-('03_Lap_Theta'!$AC614-'03_Lap_b'!$B$45:$AW$45))))))</f>
        <v/>
      </c>
      <c r="G614" s="5">
        <f>IF(F614&lt;=0.000000001,"",1/SQRT(F614))</f>
        <v/>
      </c>
      <c r="H614">
        <f>IF(OR(C614=0,C614=D614),"BIÊN","")</f>
        <v/>
      </c>
    </row>
    <row r="615">
      <c r="A615" t="n">
        <v>614</v>
      </c>
      <c r="B615">
        <f>'01_Data'!A615</f>
        <v/>
      </c>
      <c r="C615">
        <f>'03_Lap_Theta'!C615</f>
        <v/>
      </c>
      <c r="D615">
        <f>'03_Lap_Theta'!D615</f>
        <v/>
      </c>
      <c r="E615" s="5">
        <f>'03_Lap_Theta'!$AC615</f>
        <v/>
      </c>
      <c r="F615" s="5">
        <f>SUMPRODUCT(('01_Data'!$B615:$AW615&lt;&gt;"")*(1/(1+EXP(-('03_Lap_Theta'!$AC615-'03_Lap_b'!$B$45:$AW$45))))*(1-(1/(1+EXP(-('03_Lap_Theta'!$AC615-'03_Lap_b'!$B$45:$AW$45))))))</f>
        <v/>
      </c>
      <c r="G615" s="5">
        <f>IF(F615&lt;=0.000000001,"",1/SQRT(F615))</f>
        <v/>
      </c>
      <c r="H615">
        <f>IF(OR(C615=0,C615=D615),"BIÊN","")</f>
        <v/>
      </c>
    </row>
    <row r="616">
      <c r="A616" t="n">
        <v>615</v>
      </c>
      <c r="B616">
        <f>'01_Data'!A616</f>
        <v/>
      </c>
      <c r="C616">
        <f>'03_Lap_Theta'!C616</f>
        <v/>
      </c>
      <c r="D616">
        <f>'03_Lap_Theta'!D616</f>
        <v/>
      </c>
      <c r="E616" s="5">
        <f>'03_Lap_Theta'!$AC616</f>
        <v/>
      </c>
      <c r="F616" s="5">
        <f>SUMPRODUCT(('01_Data'!$B616:$AW616&lt;&gt;"")*(1/(1+EXP(-('03_Lap_Theta'!$AC616-'03_Lap_b'!$B$45:$AW$45))))*(1-(1/(1+EXP(-('03_Lap_Theta'!$AC616-'03_Lap_b'!$B$45:$AW$45))))))</f>
        <v/>
      </c>
      <c r="G616" s="5">
        <f>IF(F616&lt;=0.000000001,"",1/SQRT(F616))</f>
        <v/>
      </c>
      <c r="H616">
        <f>IF(OR(C616=0,C616=D616),"BIÊN","")</f>
        <v/>
      </c>
    </row>
    <row r="617">
      <c r="A617" t="n">
        <v>616</v>
      </c>
      <c r="B617">
        <f>'01_Data'!A617</f>
        <v/>
      </c>
      <c r="C617">
        <f>'03_Lap_Theta'!C617</f>
        <v/>
      </c>
      <c r="D617">
        <f>'03_Lap_Theta'!D617</f>
        <v/>
      </c>
      <c r="E617" s="5">
        <f>'03_Lap_Theta'!$AC617</f>
        <v/>
      </c>
      <c r="F617" s="5">
        <f>SUMPRODUCT(('01_Data'!$B617:$AW617&lt;&gt;"")*(1/(1+EXP(-('03_Lap_Theta'!$AC617-'03_Lap_b'!$B$45:$AW$45))))*(1-(1/(1+EXP(-('03_Lap_Theta'!$AC617-'03_Lap_b'!$B$45:$AW$45))))))</f>
        <v/>
      </c>
      <c r="G617" s="5">
        <f>IF(F617&lt;=0.000000001,"",1/SQRT(F617))</f>
        <v/>
      </c>
      <c r="H617">
        <f>IF(OR(C617=0,C617=D617),"BIÊN","")</f>
        <v/>
      </c>
    </row>
    <row r="618">
      <c r="A618" t="n">
        <v>617</v>
      </c>
      <c r="B618">
        <f>'01_Data'!A618</f>
        <v/>
      </c>
      <c r="C618">
        <f>'03_Lap_Theta'!C618</f>
        <v/>
      </c>
      <c r="D618">
        <f>'03_Lap_Theta'!D618</f>
        <v/>
      </c>
      <c r="E618" s="5">
        <f>'03_Lap_Theta'!$AC618</f>
        <v/>
      </c>
      <c r="F618" s="5">
        <f>SUMPRODUCT(('01_Data'!$B618:$AW618&lt;&gt;"")*(1/(1+EXP(-('03_Lap_Theta'!$AC618-'03_Lap_b'!$B$45:$AW$45))))*(1-(1/(1+EXP(-('03_Lap_Theta'!$AC618-'03_Lap_b'!$B$45:$AW$45))))))</f>
        <v/>
      </c>
      <c r="G618" s="5">
        <f>IF(F618&lt;=0.000000001,"",1/SQRT(F618))</f>
        <v/>
      </c>
      <c r="H618">
        <f>IF(OR(C618=0,C618=D618),"BIÊN","")</f>
        <v/>
      </c>
    </row>
    <row r="619">
      <c r="A619" t="n">
        <v>618</v>
      </c>
      <c r="B619">
        <f>'01_Data'!A619</f>
        <v/>
      </c>
      <c r="C619">
        <f>'03_Lap_Theta'!C619</f>
        <v/>
      </c>
      <c r="D619">
        <f>'03_Lap_Theta'!D619</f>
        <v/>
      </c>
      <c r="E619" s="5">
        <f>'03_Lap_Theta'!$AC619</f>
        <v/>
      </c>
      <c r="F619" s="5">
        <f>SUMPRODUCT(('01_Data'!$B619:$AW619&lt;&gt;"")*(1/(1+EXP(-('03_Lap_Theta'!$AC619-'03_Lap_b'!$B$45:$AW$45))))*(1-(1/(1+EXP(-('03_Lap_Theta'!$AC619-'03_Lap_b'!$B$45:$AW$45))))))</f>
        <v/>
      </c>
      <c r="G619" s="5">
        <f>IF(F619&lt;=0.000000001,"",1/SQRT(F619))</f>
        <v/>
      </c>
      <c r="H619">
        <f>IF(OR(C619=0,C619=D619),"BIÊN","")</f>
        <v/>
      </c>
    </row>
    <row r="620">
      <c r="A620" t="n">
        <v>619</v>
      </c>
      <c r="B620">
        <f>'01_Data'!A620</f>
        <v/>
      </c>
      <c r="C620">
        <f>'03_Lap_Theta'!C620</f>
        <v/>
      </c>
      <c r="D620">
        <f>'03_Lap_Theta'!D620</f>
        <v/>
      </c>
      <c r="E620" s="5">
        <f>'03_Lap_Theta'!$AC620</f>
        <v/>
      </c>
      <c r="F620" s="5">
        <f>SUMPRODUCT(('01_Data'!$B620:$AW620&lt;&gt;"")*(1/(1+EXP(-('03_Lap_Theta'!$AC620-'03_Lap_b'!$B$45:$AW$45))))*(1-(1/(1+EXP(-('03_Lap_Theta'!$AC620-'03_Lap_b'!$B$45:$AW$45))))))</f>
        <v/>
      </c>
      <c r="G620" s="5">
        <f>IF(F620&lt;=0.000000001,"",1/SQRT(F620))</f>
        <v/>
      </c>
      <c r="H620">
        <f>IF(OR(C620=0,C620=D620),"BIÊN","")</f>
        <v/>
      </c>
    </row>
    <row r="621">
      <c r="A621" t="n">
        <v>620</v>
      </c>
      <c r="B621">
        <f>'01_Data'!A621</f>
        <v/>
      </c>
      <c r="C621">
        <f>'03_Lap_Theta'!C621</f>
        <v/>
      </c>
      <c r="D621">
        <f>'03_Lap_Theta'!D621</f>
        <v/>
      </c>
      <c r="E621" s="5">
        <f>'03_Lap_Theta'!$AC621</f>
        <v/>
      </c>
      <c r="F621" s="5">
        <f>SUMPRODUCT(('01_Data'!$B621:$AW621&lt;&gt;"")*(1/(1+EXP(-('03_Lap_Theta'!$AC621-'03_Lap_b'!$B$45:$AW$45))))*(1-(1/(1+EXP(-('03_Lap_Theta'!$AC621-'03_Lap_b'!$B$45:$AW$45))))))</f>
        <v/>
      </c>
      <c r="G621" s="5">
        <f>IF(F621&lt;=0.000000001,"",1/SQRT(F621))</f>
        <v/>
      </c>
      <c r="H621">
        <f>IF(OR(C621=0,C621=D621),"BIÊN","")</f>
        <v/>
      </c>
    </row>
    <row r="622">
      <c r="A622" t="n">
        <v>621</v>
      </c>
      <c r="B622">
        <f>'01_Data'!A622</f>
        <v/>
      </c>
      <c r="C622">
        <f>'03_Lap_Theta'!C622</f>
        <v/>
      </c>
      <c r="D622">
        <f>'03_Lap_Theta'!D622</f>
        <v/>
      </c>
      <c r="E622" s="5">
        <f>'03_Lap_Theta'!$AC622</f>
        <v/>
      </c>
      <c r="F622" s="5">
        <f>SUMPRODUCT(('01_Data'!$B622:$AW622&lt;&gt;"")*(1/(1+EXP(-('03_Lap_Theta'!$AC622-'03_Lap_b'!$B$45:$AW$45))))*(1-(1/(1+EXP(-('03_Lap_Theta'!$AC622-'03_Lap_b'!$B$45:$AW$45))))))</f>
        <v/>
      </c>
      <c r="G622" s="5">
        <f>IF(F622&lt;=0.000000001,"",1/SQRT(F622))</f>
        <v/>
      </c>
      <c r="H622">
        <f>IF(OR(C622=0,C622=D622),"BIÊN","")</f>
        <v/>
      </c>
    </row>
    <row r="623">
      <c r="A623" t="n">
        <v>622</v>
      </c>
      <c r="B623">
        <f>'01_Data'!A623</f>
        <v/>
      </c>
      <c r="C623">
        <f>'03_Lap_Theta'!C623</f>
        <v/>
      </c>
      <c r="D623">
        <f>'03_Lap_Theta'!D623</f>
        <v/>
      </c>
      <c r="E623" s="5">
        <f>'03_Lap_Theta'!$AC623</f>
        <v/>
      </c>
      <c r="F623" s="5">
        <f>SUMPRODUCT(('01_Data'!$B623:$AW623&lt;&gt;"")*(1/(1+EXP(-('03_Lap_Theta'!$AC623-'03_Lap_b'!$B$45:$AW$45))))*(1-(1/(1+EXP(-('03_Lap_Theta'!$AC623-'03_Lap_b'!$B$45:$AW$45))))))</f>
        <v/>
      </c>
      <c r="G623" s="5">
        <f>IF(F623&lt;=0.000000001,"",1/SQRT(F623))</f>
        <v/>
      </c>
      <c r="H623">
        <f>IF(OR(C623=0,C623=D623),"BIÊN","")</f>
        <v/>
      </c>
    </row>
    <row r="624">
      <c r="A624" t="n">
        <v>623</v>
      </c>
      <c r="B624">
        <f>'01_Data'!A624</f>
        <v/>
      </c>
      <c r="C624">
        <f>'03_Lap_Theta'!C624</f>
        <v/>
      </c>
      <c r="D624">
        <f>'03_Lap_Theta'!D624</f>
        <v/>
      </c>
      <c r="E624" s="5">
        <f>'03_Lap_Theta'!$AC624</f>
        <v/>
      </c>
      <c r="F624" s="5">
        <f>SUMPRODUCT(('01_Data'!$B624:$AW624&lt;&gt;"")*(1/(1+EXP(-('03_Lap_Theta'!$AC624-'03_Lap_b'!$B$45:$AW$45))))*(1-(1/(1+EXP(-('03_Lap_Theta'!$AC624-'03_Lap_b'!$B$45:$AW$45))))))</f>
        <v/>
      </c>
      <c r="G624" s="5">
        <f>IF(F624&lt;=0.000000001,"",1/SQRT(F624))</f>
        <v/>
      </c>
      <c r="H624">
        <f>IF(OR(C624=0,C624=D624),"BIÊN","")</f>
        <v/>
      </c>
    </row>
    <row r="625">
      <c r="A625" t="n">
        <v>624</v>
      </c>
      <c r="B625">
        <f>'01_Data'!A625</f>
        <v/>
      </c>
      <c r="C625">
        <f>'03_Lap_Theta'!C625</f>
        <v/>
      </c>
      <c r="D625">
        <f>'03_Lap_Theta'!D625</f>
        <v/>
      </c>
      <c r="E625" s="5">
        <f>'03_Lap_Theta'!$AC625</f>
        <v/>
      </c>
      <c r="F625" s="5">
        <f>SUMPRODUCT(('01_Data'!$B625:$AW625&lt;&gt;"")*(1/(1+EXP(-('03_Lap_Theta'!$AC625-'03_Lap_b'!$B$45:$AW$45))))*(1-(1/(1+EXP(-('03_Lap_Theta'!$AC625-'03_Lap_b'!$B$45:$AW$45))))))</f>
        <v/>
      </c>
      <c r="G625" s="5">
        <f>IF(F625&lt;=0.000000001,"",1/SQRT(F625))</f>
        <v/>
      </c>
      <c r="H625">
        <f>IF(OR(C625=0,C625=D625),"BIÊN","")</f>
        <v/>
      </c>
    </row>
    <row r="626">
      <c r="A626" t="n">
        <v>625</v>
      </c>
      <c r="B626">
        <f>'01_Data'!A626</f>
        <v/>
      </c>
      <c r="C626">
        <f>'03_Lap_Theta'!C626</f>
        <v/>
      </c>
      <c r="D626">
        <f>'03_Lap_Theta'!D626</f>
        <v/>
      </c>
      <c r="E626" s="5">
        <f>'03_Lap_Theta'!$AC626</f>
        <v/>
      </c>
      <c r="F626" s="5">
        <f>SUMPRODUCT(('01_Data'!$B626:$AW626&lt;&gt;"")*(1/(1+EXP(-('03_Lap_Theta'!$AC626-'03_Lap_b'!$B$45:$AW$45))))*(1-(1/(1+EXP(-('03_Lap_Theta'!$AC626-'03_Lap_b'!$B$45:$AW$45))))))</f>
        <v/>
      </c>
      <c r="G626" s="5">
        <f>IF(F626&lt;=0.000000001,"",1/SQRT(F626))</f>
        <v/>
      </c>
      <c r="H626">
        <f>IF(OR(C626=0,C626=D626),"BIÊN","")</f>
        <v/>
      </c>
    </row>
    <row r="627">
      <c r="A627" t="n">
        <v>626</v>
      </c>
      <c r="B627">
        <f>'01_Data'!A627</f>
        <v/>
      </c>
      <c r="C627">
        <f>'03_Lap_Theta'!C627</f>
        <v/>
      </c>
      <c r="D627">
        <f>'03_Lap_Theta'!D627</f>
        <v/>
      </c>
      <c r="E627" s="5">
        <f>'03_Lap_Theta'!$AC627</f>
        <v/>
      </c>
      <c r="F627" s="5">
        <f>SUMPRODUCT(('01_Data'!$B627:$AW627&lt;&gt;"")*(1/(1+EXP(-('03_Lap_Theta'!$AC627-'03_Lap_b'!$B$45:$AW$45))))*(1-(1/(1+EXP(-('03_Lap_Theta'!$AC627-'03_Lap_b'!$B$45:$AW$45))))))</f>
        <v/>
      </c>
      <c r="G627" s="5">
        <f>IF(F627&lt;=0.000000001,"",1/SQRT(F627))</f>
        <v/>
      </c>
      <c r="H627">
        <f>IF(OR(C627=0,C627=D627),"BIÊN","")</f>
        <v/>
      </c>
    </row>
    <row r="628">
      <c r="A628" t="n">
        <v>627</v>
      </c>
      <c r="B628">
        <f>'01_Data'!A628</f>
        <v/>
      </c>
      <c r="C628">
        <f>'03_Lap_Theta'!C628</f>
        <v/>
      </c>
      <c r="D628">
        <f>'03_Lap_Theta'!D628</f>
        <v/>
      </c>
      <c r="E628" s="5">
        <f>'03_Lap_Theta'!$AC628</f>
        <v/>
      </c>
      <c r="F628" s="5">
        <f>SUMPRODUCT(('01_Data'!$B628:$AW628&lt;&gt;"")*(1/(1+EXP(-('03_Lap_Theta'!$AC628-'03_Lap_b'!$B$45:$AW$45))))*(1-(1/(1+EXP(-('03_Lap_Theta'!$AC628-'03_Lap_b'!$B$45:$AW$45))))))</f>
        <v/>
      </c>
      <c r="G628" s="5">
        <f>IF(F628&lt;=0.000000001,"",1/SQRT(F628))</f>
        <v/>
      </c>
      <c r="H628">
        <f>IF(OR(C628=0,C628=D628),"BIÊN","")</f>
        <v/>
      </c>
    </row>
    <row r="629">
      <c r="A629" t="n">
        <v>628</v>
      </c>
      <c r="B629">
        <f>'01_Data'!A629</f>
        <v/>
      </c>
      <c r="C629">
        <f>'03_Lap_Theta'!C629</f>
        <v/>
      </c>
      <c r="D629">
        <f>'03_Lap_Theta'!D629</f>
        <v/>
      </c>
      <c r="E629" s="5">
        <f>'03_Lap_Theta'!$AC629</f>
        <v/>
      </c>
      <c r="F629" s="5">
        <f>SUMPRODUCT(('01_Data'!$B629:$AW629&lt;&gt;"")*(1/(1+EXP(-('03_Lap_Theta'!$AC629-'03_Lap_b'!$B$45:$AW$45))))*(1-(1/(1+EXP(-('03_Lap_Theta'!$AC629-'03_Lap_b'!$B$45:$AW$45))))))</f>
        <v/>
      </c>
      <c r="G629" s="5">
        <f>IF(F629&lt;=0.000000001,"",1/SQRT(F629))</f>
        <v/>
      </c>
      <c r="H629">
        <f>IF(OR(C629=0,C629=D629),"BIÊN","")</f>
        <v/>
      </c>
    </row>
    <row r="630">
      <c r="A630" t="n">
        <v>629</v>
      </c>
      <c r="B630">
        <f>'01_Data'!A630</f>
        <v/>
      </c>
      <c r="C630">
        <f>'03_Lap_Theta'!C630</f>
        <v/>
      </c>
      <c r="D630">
        <f>'03_Lap_Theta'!D630</f>
        <v/>
      </c>
      <c r="E630" s="5">
        <f>'03_Lap_Theta'!$AC630</f>
        <v/>
      </c>
      <c r="F630" s="5">
        <f>SUMPRODUCT(('01_Data'!$B630:$AW630&lt;&gt;"")*(1/(1+EXP(-('03_Lap_Theta'!$AC630-'03_Lap_b'!$B$45:$AW$45))))*(1-(1/(1+EXP(-('03_Lap_Theta'!$AC630-'03_Lap_b'!$B$45:$AW$45))))))</f>
        <v/>
      </c>
      <c r="G630" s="5">
        <f>IF(F630&lt;=0.000000001,"",1/SQRT(F630))</f>
        <v/>
      </c>
      <c r="H630">
        <f>IF(OR(C630=0,C630=D630),"BIÊN","")</f>
        <v/>
      </c>
    </row>
    <row r="631">
      <c r="A631" t="n">
        <v>630</v>
      </c>
      <c r="B631">
        <f>'01_Data'!A631</f>
        <v/>
      </c>
      <c r="C631">
        <f>'03_Lap_Theta'!C631</f>
        <v/>
      </c>
      <c r="D631">
        <f>'03_Lap_Theta'!D631</f>
        <v/>
      </c>
      <c r="E631" s="5">
        <f>'03_Lap_Theta'!$AC631</f>
        <v/>
      </c>
      <c r="F631" s="5">
        <f>SUMPRODUCT(('01_Data'!$B631:$AW631&lt;&gt;"")*(1/(1+EXP(-('03_Lap_Theta'!$AC631-'03_Lap_b'!$B$45:$AW$45))))*(1-(1/(1+EXP(-('03_Lap_Theta'!$AC631-'03_Lap_b'!$B$45:$AW$45))))))</f>
        <v/>
      </c>
      <c r="G631" s="5">
        <f>IF(F631&lt;=0.000000001,"",1/SQRT(F631))</f>
        <v/>
      </c>
      <c r="H631">
        <f>IF(OR(C631=0,C631=D631),"BIÊN","")</f>
        <v/>
      </c>
    </row>
    <row r="632">
      <c r="A632" t="n">
        <v>631</v>
      </c>
      <c r="B632">
        <f>'01_Data'!A632</f>
        <v/>
      </c>
      <c r="C632">
        <f>'03_Lap_Theta'!C632</f>
        <v/>
      </c>
      <c r="D632">
        <f>'03_Lap_Theta'!D632</f>
        <v/>
      </c>
      <c r="E632" s="5">
        <f>'03_Lap_Theta'!$AC632</f>
        <v/>
      </c>
      <c r="F632" s="5">
        <f>SUMPRODUCT(('01_Data'!$B632:$AW632&lt;&gt;"")*(1/(1+EXP(-('03_Lap_Theta'!$AC632-'03_Lap_b'!$B$45:$AW$45))))*(1-(1/(1+EXP(-('03_Lap_Theta'!$AC632-'03_Lap_b'!$B$45:$AW$45))))))</f>
        <v/>
      </c>
      <c r="G632" s="5">
        <f>IF(F632&lt;=0.000000001,"",1/SQRT(F632))</f>
        <v/>
      </c>
      <c r="H632">
        <f>IF(OR(C632=0,C632=D632),"BIÊN","")</f>
        <v/>
      </c>
    </row>
    <row r="633">
      <c r="A633" t="n">
        <v>632</v>
      </c>
      <c r="B633">
        <f>'01_Data'!A633</f>
        <v/>
      </c>
      <c r="C633">
        <f>'03_Lap_Theta'!C633</f>
        <v/>
      </c>
      <c r="D633">
        <f>'03_Lap_Theta'!D633</f>
        <v/>
      </c>
      <c r="E633" s="5">
        <f>'03_Lap_Theta'!$AC633</f>
        <v/>
      </c>
      <c r="F633" s="5">
        <f>SUMPRODUCT(('01_Data'!$B633:$AW633&lt;&gt;"")*(1/(1+EXP(-('03_Lap_Theta'!$AC633-'03_Lap_b'!$B$45:$AW$45))))*(1-(1/(1+EXP(-('03_Lap_Theta'!$AC633-'03_Lap_b'!$B$45:$AW$45))))))</f>
        <v/>
      </c>
      <c r="G633" s="5">
        <f>IF(F633&lt;=0.000000001,"",1/SQRT(F633))</f>
        <v/>
      </c>
      <c r="H633">
        <f>IF(OR(C633=0,C633=D633),"BIÊN","")</f>
        <v/>
      </c>
    </row>
    <row r="634">
      <c r="A634" t="n">
        <v>633</v>
      </c>
      <c r="B634">
        <f>'01_Data'!A634</f>
        <v/>
      </c>
      <c r="C634">
        <f>'03_Lap_Theta'!C634</f>
        <v/>
      </c>
      <c r="D634">
        <f>'03_Lap_Theta'!D634</f>
        <v/>
      </c>
      <c r="E634" s="5">
        <f>'03_Lap_Theta'!$AC634</f>
        <v/>
      </c>
      <c r="F634" s="5">
        <f>SUMPRODUCT(('01_Data'!$B634:$AW634&lt;&gt;"")*(1/(1+EXP(-('03_Lap_Theta'!$AC634-'03_Lap_b'!$B$45:$AW$45))))*(1-(1/(1+EXP(-('03_Lap_Theta'!$AC634-'03_Lap_b'!$B$45:$AW$45))))))</f>
        <v/>
      </c>
      <c r="G634" s="5">
        <f>IF(F634&lt;=0.000000001,"",1/SQRT(F634))</f>
        <v/>
      </c>
      <c r="H634">
        <f>IF(OR(C634=0,C634=D634),"BIÊN","")</f>
        <v/>
      </c>
    </row>
    <row r="635">
      <c r="A635" t="n">
        <v>634</v>
      </c>
      <c r="B635">
        <f>'01_Data'!A635</f>
        <v/>
      </c>
      <c r="C635">
        <f>'03_Lap_Theta'!C635</f>
        <v/>
      </c>
      <c r="D635">
        <f>'03_Lap_Theta'!D635</f>
        <v/>
      </c>
      <c r="E635" s="5">
        <f>'03_Lap_Theta'!$AC635</f>
        <v/>
      </c>
      <c r="F635" s="5">
        <f>SUMPRODUCT(('01_Data'!$B635:$AW635&lt;&gt;"")*(1/(1+EXP(-('03_Lap_Theta'!$AC635-'03_Lap_b'!$B$45:$AW$45))))*(1-(1/(1+EXP(-('03_Lap_Theta'!$AC635-'03_Lap_b'!$B$45:$AW$45))))))</f>
        <v/>
      </c>
      <c r="G635" s="5">
        <f>IF(F635&lt;=0.000000001,"",1/SQRT(F635))</f>
        <v/>
      </c>
      <c r="H635">
        <f>IF(OR(C635=0,C635=D635),"BIÊN","")</f>
        <v/>
      </c>
    </row>
    <row r="636">
      <c r="A636" t="n">
        <v>635</v>
      </c>
      <c r="B636">
        <f>'01_Data'!A636</f>
        <v/>
      </c>
      <c r="C636">
        <f>'03_Lap_Theta'!C636</f>
        <v/>
      </c>
      <c r="D636">
        <f>'03_Lap_Theta'!D636</f>
        <v/>
      </c>
      <c r="E636" s="5">
        <f>'03_Lap_Theta'!$AC636</f>
        <v/>
      </c>
      <c r="F636" s="5">
        <f>SUMPRODUCT(('01_Data'!$B636:$AW636&lt;&gt;"")*(1/(1+EXP(-('03_Lap_Theta'!$AC636-'03_Lap_b'!$B$45:$AW$45))))*(1-(1/(1+EXP(-('03_Lap_Theta'!$AC636-'03_Lap_b'!$B$45:$AW$45))))))</f>
        <v/>
      </c>
      <c r="G636" s="5">
        <f>IF(F636&lt;=0.000000001,"",1/SQRT(F636))</f>
        <v/>
      </c>
      <c r="H636">
        <f>IF(OR(C636=0,C636=D636),"BIÊN","")</f>
        <v/>
      </c>
    </row>
    <row r="637">
      <c r="A637" t="n">
        <v>636</v>
      </c>
      <c r="B637">
        <f>'01_Data'!A637</f>
        <v/>
      </c>
      <c r="C637">
        <f>'03_Lap_Theta'!C637</f>
        <v/>
      </c>
      <c r="D637">
        <f>'03_Lap_Theta'!D637</f>
        <v/>
      </c>
      <c r="E637" s="5">
        <f>'03_Lap_Theta'!$AC637</f>
        <v/>
      </c>
      <c r="F637" s="5">
        <f>SUMPRODUCT(('01_Data'!$B637:$AW637&lt;&gt;"")*(1/(1+EXP(-('03_Lap_Theta'!$AC637-'03_Lap_b'!$B$45:$AW$45))))*(1-(1/(1+EXP(-('03_Lap_Theta'!$AC637-'03_Lap_b'!$B$45:$AW$45))))))</f>
        <v/>
      </c>
      <c r="G637" s="5">
        <f>IF(F637&lt;=0.000000001,"",1/SQRT(F637))</f>
        <v/>
      </c>
      <c r="H637">
        <f>IF(OR(C637=0,C637=D637),"BIÊN","")</f>
        <v/>
      </c>
    </row>
    <row r="638">
      <c r="A638" t="n">
        <v>637</v>
      </c>
      <c r="B638">
        <f>'01_Data'!A638</f>
        <v/>
      </c>
      <c r="C638">
        <f>'03_Lap_Theta'!C638</f>
        <v/>
      </c>
      <c r="D638">
        <f>'03_Lap_Theta'!D638</f>
        <v/>
      </c>
      <c r="E638" s="5">
        <f>'03_Lap_Theta'!$AC638</f>
        <v/>
      </c>
      <c r="F638" s="5">
        <f>SUMPRODUCT(('01_Data'!$B638:$AW638&lt;&gt;"")*(1/(1+EXP(-('03_Lap_Theta'!$AC638-'03_Lap_b'!$B$45:$AW$45))))*(1-(1/(1+EXP(-('03_Lap_Theta'!$AC638-'03_Lap_b'!$B$45:$AW$45))))))</f>
        <v/>
      </c>
      <c r="G638" s="5">
        <f>IF(F638&lt;=0.000000001,"",1/SQRT(F638))</f>
        <v/>
      </c>
      <c r="H638">
        <f>IF(OR(C638=0,C638=D638),"BIÊN","")</f>
        <v/>
      </c>
    </row>
    <row r="639">
      <c r="A639" t="n">
        <v>638</v>
      </c>
      <c r="B639">
        <f>'01_Data'!A639</f>
        <v/>
      </c>
      <c r="C639">
        <f>'03_Lap_Theta'!C639</f>
        <v/>
      </c>
      <c r="D639">
        <f>'03_Lap_Theta'!D639</f>
        <v/>
      </c>
      <c r="E639" s="5">
        <f>'03_Lap_Theta'!$AC639</f>
        <v/>
      </c>
      <c r="F639" s="5">
        <f>SUMPRODUCT(('01_Data'!$B639:$AW639&lt;&gt;"")*(1/(1+EXP(-('03_Lap_Theta'!$AC639-'03_Lap_b'!$B$45:$AW$45))))*(1-(1/(1+EXP(-('03_Lap_Theta'!$AC639-'03_Lap_b'!$B$45:$AW$45))))))</f>
        <v/>
      </c>
      <c r="G639" s="5">
        <f>IF(F639&lt;=0.000000001,"",1/SQRT(F639))</f>
        <v/>
      </c>
      <c r="H639">
        <f>IF(OR(C639=0,C639=D639),"BIÊN","")</f>
        <v/>
      </c>
    </row>
    <row r="640">
      <c r="A640" t="n">
        <v>639</v>
      </c>
      <c r="B640">
        <f>'01_Data'!A640</f>
        <v/>
      </c>
      <c r="C640">
        <f>'03_Lap_Theta'!C640</f>
        <v/>
      </c>
      <c r="D640">
        <f>'03_Lap_Theta'!D640</f>
        <v/>
      </c>
      <c r="E640" s="5">
        <f>'03_Lap_Theta'!$AC640</f>
        <v/>
      </c>
      <c r="F640" s="5">
        <f>SUMPRODUCT(('01_Data'!$B640:$AW640&lt;&gt;"")*(1/(1+EXP(-('03_Lap_Theta'!$AC640-'03_Lap_b'!$B$45:$AW$45))))*(1-(1/(1+EXP(-('03_Lap_Theta'!$AC640-'03_Lap_b'!$B$45:$AW$45))))))</f>
        <v/>
      </c>
      <c r="G640" s="5">
        <f>IF(F640&lt;=0.000000001,"",1/SQRT(F640))</f>
        <v/>
      </c>
      <c r="H640">
        <f>IF(OR(C640=0,C640=D640),"BIÊN","")</f>
        <v/>
      </c>
    </row>
    <row r="641">
      <c r="A641" t="n">
        <v>640</v>
      </c>
      <c r="B641">
        <f>'01_Data'!A641</f>
        <v/>
      </c>
      <c r="C641">
        <f>'03_Lap_Theta'!C641</f>
        <v/>
      </c>
      <c r="D641">
        <f>'03_Lap_Theta'!D641</f>
        <v/>
      </c>
      <c r="E641" s="5">
        <f>'03_Lap_Theta'!$AC641</f>
        <v/>
      </c>
      <c r="F641" s="5">
        <f>SUMPRODUCT(('01_Data'!$B641:$AW641&lt;&gt;"")*(1/(1+EXP(-('03_Lap_Theta'!$AC641-'03_Lap_b'!$B$45:$AW$45))))*(1-(1/(1+EXP(-('03_Lap_Theta'!$AC641-'03_Lap_b'!$B$45:$AW$45))))))</f>
        <v/>
      </c>
      <c r="G641" s="5">
        <f>IF(F641&lt;=0.000000001,"",1/SQRT(F641))</f>
        <v/>
      </c>
      <c r="H641">
        <f>IF(OR(C641=0,C641=D641),"BIÊN","")</f>
        <v/>
      </c>
    </row>
    <row r="642">
      <c r="A642" t="n">
        <v>641</v>
      </c>
      <c r="B642">
        <f>'01_Data'!A642</f>
        <v/>
      </c>
      <c r="C642">
        <f>'03_Lap_Theta'!C642</f>
        <v/>
      </c>
      <c r="D642">
        <f>'03_Lap_Theta'!D642</f>
        <v/>
      </c>
      <c r="E642" s="5">
        <f>'03_Lap_Theta'!$AC642</f>
        <v/>
      </c>
      <c r="F642" s="5">
        <f>SUMPRODUCT(('01_Data'!$B642:$AW642&lt;&gt;"")*(1/(1+EXP(-('03_Lap_Theta'!$AC642-'03_Lap_b'!$B$45:$AW$45))))*(1-(1/(1+EXP(-('03_Lap_Theta'!$AC642-'03_Lap_b'!$B$45:$AW$45))))))</f>
        <v/>
      </c>
      <c r="G642" s="5">
        <f>IF(F642&lt;=0.000000001,"",1/SQRT(F642))</f>
        <v/>
      </c>
      <c r="H642">
        <f>IF(OR(C642=0,C642=D642),"BIÊN","")</f>
        <v/>
      </c>
    </row>
    <row r="643">
      <c r="A643" t="n">
        <v>642</v>
      </c>
      <c r="B643">
        <f>'01_Data'!A643</f>
        <v/>
      </c>
      <c r="C643">
        <f>'03_Lap_Theta'!C643</f>
        <v/>
      </c>
      <c r="D643">
        <f>'03_Lap_Theta'!D643</f>
        <v/>
      </c>
      <c r="E643" s="5">
        <f>'03_Lap_Theta'!$AC643</f>
        <v/>
      </c>
      <c r="F643" s="5">
        <f>SUMPRODUCT(('01_Data'!$B643:$AW643&lt;&gt;"")*(1/(1+EXP(-('03_Lap_Theta'!$AC643-'03_Lap_b'!$B$45:$AW$45))))*(1-(1/(1+EXP(-('03_Lap_Theta'!$AC643-'03_Lap_b'!$B$45:$AW$45))))))</f>
        <v/>
      </c>
      <c r="G643" s="5">
        <f>IF(F643&lt;=0.000000001,"",1/SQRT(F643))</f>
        <v/>
      </c>
      <c r="H643">
        <f>IF(OR(C643=0,C643=D643),"BIÊN","")</f>
        <v/>
      </c>
    </row>
    <row r="644">
      <c r="A644" t="n">
        <v>643</v>
      </c>
      <c r="B644">
        <f>'01_Data'!A644</f>
        <v/>
      </c>
      <c r="C644">
        <f>'03_Lap_Theta'!C644</f>
        <v/>
      </c>
      <c r="D644">
        <f>'03_Lap_Theta'!D644</f>
        <v/>
      </c>
      <c r="E644" s="5">
        <f>'03_Lap_Theta'!$AC644</f>
        <v/>
      </c>
      <c r="F644" s="5">
        <f>SUMPRODUCT(('01_Data'!$B644:$AW644&lt;&gt;"")*(1/(1+EXP(-('03_Lap_Theta'!$AC644-'03_Lap_b'!$B$45:$AW$45))))*(1-(1/(1+EXP(-('03_Lap_Theta'!$AC644-'03_Lap_b'!$B$45:$AW$45))))))</f>
        <v/>
      </c>
      <c r="G644" s="5">
        <f>IF(F644&lt;=0.000000001,"",1/SQRT(F644))</f>
        <v/>
      </c>
      <c r="H644">
        <f>IF(OR(C644=0,C644=D644),"BIÊN","")</f>
        <v/>
      </c>
    </row>
    <row r="645">
      <c r="A645" t="n">
        <v>644</v>
      </c>
      <c r="B645">
        <f>'01_Data'!A645</f>
        <v/>
      </c>
      <c r="C645">
        <f>'03_Lap_Theta'!C645</f>
        <v/>
      </c>
      <c r="D645">
        <f>'03_Lap_Theta'!D645</f>
        <v/>
      </c>
      <c r="E645" s="5">
        <f>'03_Lap_Theta'!$AC645</f>
        <v/>
      </c>
      <c r="F645" s="5">
        <f>SUMPRODUCT(('01_Data'!$B645:$AW645&lt;&gt;"")*(1/(1+EXP(-('03_Lap_Theta'!$AC645-'03_Lap_b'!$B$45:$AW$45))))*(1-(1/(1+EXP(-('03_Lap_Theta'!$AC645-'03_Lap_b'!$B$45:$AW$45))))))</f>
        <v/>
      </c>
      <c r="G645" s="5">
        <f>IF(F645&lt;=0.000000001,"",1/SQRT(F645))</f>
        <v/>
      </c>
      <c r="H645">
        <f>IF(OR(C645=0,C645=D645),"BIÊN","")</f>
        <v/>
      </c>
    </row>
    <row r="646">
      <c r="A646" t="n">
        <v>645</v>
      </c>
      <c r="B646">
        <f>'01_Data'!A646</f>
        <v/>
      </c>
      <c r="C646">
        <f>'03_Lap_Theta'!C646</f>
        <v/>
      </c>
      <c r="D646">
        <f>'03_Lap_Theta'!D646</f>
        <v/>
      </c>
      <c r="E646" s="5">
        <f>'03_Lap_Theta'!$AC646</f>
        <v/>
      </c>
      <c r="F646" s="5">
        <f>SUMPRODUCT(('01_Data'!$B646:$AW646&lt;&gt;"")*(1/(1+EXP(-('03_Lap_Theta'!$AC646-'03_Lap_b'!$B$45:$AW$45))))*(1-(1/(1+EXP(-('03_Lap_Theta'!$AC646-'03_Lap_b'!$B$45:$AW$45))))))</f>
        <v/>
      </c>
      <c r="G646" s="5">
        <f>IF(F646&lt;=0.000000001,"",1/SQRT(F646))</f>
        <v/>
      </c>
      <c r="H646">
        <f>IF(OR(C646=0,C646=D646),"BIÊN","")</f>
        <v/>
      </c>
    </row>
    <row r="647">
      <c r="A647" t="n">
        <v>646</v>
      </c>
      <c r="B647">
        <f>'01_Data'!A647</f>
        <v/>
      </c>
      <c r="C647">
        <f>'03_Lap_Theta'!C647</f>
        <v/>
      </c>
      <c r="D647">
        <f>'03_Lap_Theta'!D647</f>
        <v/>
      </c>
      <c r="E647" s="5">
        <f>'03_Lap_Theta'!$AC647</f>
        <v/>
      </c>
      <c r="F647" s="5">
        <f>SUMPRODUCT(('01_Data'!$B647:$AW647&lt;&gt;"")*(1/(1+EXP(-('03_Lap_Theta'!$AC647-'03_Lap_b'!$B$45:$AW$45))))*(1-(1/(1+EXP(-('03_Lap_Theta'!$AC647-'03_Lap_b'!$B$45:$AW$45))))))</f>
        <v/>
      </c>
      <c r="G647" s="5">
        <f>IF(F647&lt;=0.000000001,"",1/SQRT(F647))</f>
        <v/>
      </c>
      <c r="H647">
        <f>IF(OR(C647=0,C647=D647),"BIÊN","")</f>
        <v/>
      </c>
    </row>
    <row r="648">
      <c r="A648" t="n">
        <v>647</v>
      </c>
      <c r="B648">
        <f>'01_Data'!A648</f>
        <v/>
      </c>
      <c r="C648">
        <f>'03_Lap_Theta'!C648</f>
        <v/>
      </c>
      <c r="D648">
        <f>'03_Lap_Theta'!D648</f>
        <v/>
      </c>
      <c r="E648" s="5">
        <f>'03_Lap_Theta'!$AC648</f>
        <v/>
      </c>
      <c r="F648" s="5">
        <f>SUMPRODUCT(('01_Data'!$B648:$AW648&lt;&gt;"")*(1/(1+EXP(-('03_Lap_Theta'!$AC648-'03_Lap_b'!$B$45:$AW$45))))*(1-(1/(1+EXP(-('03_Lap_Theta'!$AC648-'03_Lap_b'!$B$45:$AW$45))))))</f>
        <v/>
      </c>
      <c r="G648" s="5">
        <f>IF(F648&lt;=0.000000001,"",1/SQRT(F648))</f>
        <v/>
      </c>
      <c r="H648">
        <f>IF(OR(C648=0,C648=D648),"BIÊN","")</f>
        <v/>
      </c>
    </row>
    <row r="649">
      <c r="A649" t="n">
        <v>648</v>
      </c>
      <c r="B649">
        <f>'01_Data'!A649</f>
        <v/>
      </c>
      <c r="C649">
        <f>'03_Lap_Theta'!C649</f>
        <v/>
      </c>
      <c r="D649">
        <f>'03_Lap_Theta'!D649</f>
        <v/>
      </c>
      <c r="E649" s="5">
        <f>'03_Lap_Theta'!$AC649</f>
        <v/>
      </c>
      <c r="F649" s="5">
        <f>SUMPRODUCT(('01_Data'!$B649:$AW649&lt;&gt;"")*(1/(1+EXP(-('03_Lap_Theta'!$AC649-'03_Lap_b'!$B$45:$AW$45))))*(1-(1/(1+EXP(-('03_Lap_Theta'!$AC649-'03_Lap_b'!$B$45:$AW$45))))))</f>
        <v/>
      </c>
      <c r="G649" s="5">
        <f>IF(F649&lt;=0.000000001,"",1/SQRT(F649))</f>
        <v/>
      </c>
      <c r="H649">
        <f>IF(OR(C649=0,C649=D649),"BIÊN","")</f>
        <v/>
      </c>
    </row>
    <row r="650">
      <c r="A650" t="n">
        <v>649</v>
      </c>
      <c r="B650">
        <f>'01_Data'!A650</f>
        <v/>
      </c>
      <c r="C650">
        <f>'03_Lap_Theta'!C650</f>
        <v/>
      </c>
      <c r="D650">
        <f>'03_Lap_Theta'!D650</f>
        <v/>
      </c>
      <c r="E650" s="5">
        <f>'03_Lap_Theta'!$AC650</f>
        <v/>
      </c>
      <c r="F650" s="5">
        <f>SUMPRODUCT(('01_Data'!$B650:$AW650&lt;&gt;"")*(1/(1+EXP(-('03_Lap_Theta'!$AC650-'03_Lap_b'!$B$45:$AW$45))))*(1-(1/(1+EXP(-('03_Lap_Theta'!$AC650-'03_Lap_b'!$B$45:$AW$45))))))</f>
        <v/>
      </c>
      <c r="G650" s="5">
        <f>IF(F650&lt;=0.000000001,"",1/SQRT(F650))</f>
        <v/>
      </c>
      <c r="H650">
        <f>IF(OR(C650=0,C650=D650),"BIÊN","")</f>
        <v/>
      </c>
    </row>
    <row r="651">
      <c r="A651" t="n">
        <v>650</v>
      </c>
      <c r="B651">
        <f>'01_Data'!A651</f>
        <v/>
      </c>
      <c r="C651">
        <f>'03_Lap_Theta'!C651</f>
        <v/>
      </c>
      <c r="D651">
        <f>'03_Lap_Theta'!D651</f>
        <v/>
      </c>
      <c r="E651" s="5">
        <f>'03_Lap_Theta'!$AC651</f>
        <v/>
      </c>
      <c r="F651" s="5">
        <f>SUMPRODUCT(('01_Data'!$B651:$AW651&lt;&gt;"")*(1/(1+EXP(-('03_Lap_Theta'!$AC651-'03_Lap_b'!$B$45:$AW$45))))*(1-(1/(1+EXP(-('03_Lap_Theta'!$AC651-'03_Lap_b'!$B$45:$AW$45))))))</f>
        <v/>
      </c>
      <c r="G651" s="5">
        <f>IF(F651&lt;=0.000000001,"",1/SQRT(F651))</f>
        <v/>
      </c>
      <c r="H651">
        <f>IF(OR(C651=0,C651=D651),"BIÊN","")</f>
        <v/>
      </c>
    </row>
    <row r="652">
      <c r="A652" t="n">
        <v>651</v>
      </c>
      <c r="B652">
        <f>'01_Data'!A652</f>
        <v/>
      </c>
      <c r="C652">
        <f>'03_Lap_Theta'!C652</f>
        <v/>
      </c>
      <c r="D652">
        <f>'03_Lap_Theta'!D652</f>
        <v/>
      </c>
      <c r="E652" s="5">
        <f>'03_Lap_Theta'!$AC652</f>
        <v/>
      </c>
      <c r="F652" s="5">
        <f>SUMPRODUCT(('01_Data'!$B652:$AW652&lt;&gt;"")*(1/(1+EXP(-('03_Lap_Theta'!$AC652-'03_Lap_b'!$B$45:$AW$45))))*(1-(1/(1+EXP(-('03_Lap_Theta'!$AC652-'03_Lap_b'!$B$45:$AW$45))))))</f>
        <v/>
      </c>
      <c r="G652" s="5">
        <f>IF(F652&lt;=0.000000001,"",1/SQRT(F652))</f>
        <v/>
      </c>
      <c r="H652">
        <f>IF(OR(C652=0,C652=D652),"BIÊN","")</f>
        <v/>
      </c>
    </row>
    <row r="653">
      <c r="A653" t="n">
        <v>652</v>
      </c>
      <c r="B653">
        <f>'01_Data'!A653</f>
        <v/>
      </c>
      <c r="C653">
        <f>'03_Lap_Theta'!C653</f>
        <v/>
      </c>
      <c r="D653">
        <f>'03_Lap_Theta'!D653</f>
        <v/>
      </c>
      <c r="E653" s="5">
        <f>'03_Lap_Theta'!$AC653</f>
        <v/>
      </c>
      <c r="F653" s="5">
        <f>SUMPRODUCT(('01_Data'!$B653:$AW653&lt;&gt;"")*(1/(1+EXP(-('03_Lap_Theta'!$AC653-'03_Lap_b'!$B$45:$AW$45))))*(1-(1/(1+EXP(-('03_Lap_Theta'!$AC653-'03_Lap_b'!$B$45:$AW$45))))))</f>
        <v/>
      </c>
      <c r="G653" s="5">
        <f>IF(F653&lt;=0.000000001,"",1/SQRT(F653))</f>
        <v/>
      </c>
      <c r="H653">
        <f>IF(OR(C653=0,C653=D653),"BIÊN","")</f>
        <v/>
      </c>
    </row>
    <row r="654">
      <c r="A654" t="n">
        <v>653</v>
      </c>
      <c r="B654">
        <f>'01_Data'!A654</f>
        <v/>
      </c>
      <c r="C654">
        <f>'03_Lap_Theta'!C654</f>
        <v/>
      </c>
      <c r="D654">
        <f>'03_Lap_Theta'!D654</f>
        <v/>
      </c>
      <c r="E654" s="5">
        <f>'03_Lap_Theta'!$AC654</f>
        <v/>
      </c>
      <c r="F654" s="5">
        <f>SUMPRODUCT(('01_Data'!$B654:$AW654&lt;&gt;"")*(1/(1+EXP(-('03_Lap_Theta'!$AC654-'03_Lap_b'!$B$45:$AW$45))))*(1-(1/(1+EXP(-('03_Lap_Theta'!$AC654-'03_Lap_b'!$B$45:$AW$45))))))</f>
        <v/>
      </c>
      <c r="G654" s="5">
        <f>IF(F654&lt;=0.000000001,"",1/SQRT(F654))</f>
        <v/>
      </c>
      <c r="H654">
        <f>IF(OR(C654=0,C654=D654),"BIÊN","")</f>
        <v/>
      </c>
    </row>
    <row r="655">
      <c r="A655" t="n">
        <v>654</v>
      </c>
      <c r="B655">
        <f>'01_Data'!A655</f>
        <v/>
      </c>
      <c r="C655">
        <f>'03_Lap_Theta'!C655</f>
        <v/>
      </c>
      <c r="D655">
        <f>'03_Lap_Theta'!D655</f>
        <v/>
      </c>
      <c r="E655" s="5">
        <f>'03_Lap_Theta'!$AC655</f>
        <v/>
      </c>
      <c r="F655" s="5">
        <f>SUMPRODUCT(('01_Data'!$B655:$AW655&lt;&gt;"")*(1/(1+EXP(-('03_Lap_Theta'!$AC655-'03_Lap_b'!$B$45:$AW$45))))*(1-(1/(1+EXP(-('03_Lap_Theta'!$AC655-'03_Lap_b'!$B$45:$AW$45))))))</f>
        <v/>
      </c>
      <c r="G655" s="5">
        <f>IF(F655&lt;=0.000000001,"",1/SQRT(F655))</f>
        <v/>
      </c>
      <c r="H655">
        <f>IF(OR(C655=0,C655=D655),"BIÊN","")</f>
        <v/>
      </c>
    </row>
    <row r="656">
      <c r="A656" t="n">
        <v>655</v>
      </c>
      <c r="B656">
        <f>'01_Data'!A656</f>
        <v/>
      </c>
      <c r="C656">
        <f>'03_Lap_Theta'!C656</f>
        <v/>
      </c>
      <c r="D656">
        <f>'03_Lap_Theta'!D656</f>
        <v/>
      </c>
      <c r="E656" s="5">
        <f>'03_Lap_Theta'!$AC656</f>
        <v/>
      </c>
      <c r="F656" s="5">
        <f>SUMPRODUCT(('01_Data'!$B656:$AW656&lt;&gt;"")*(1/(1+EXP(-('03_Lap_Theta'!$AC656-'03_Lap_b'!$B$45:$AW$45))))*(1-(1/(1+EXP(-('03_Lap_Theta'!$AC656-'03_Lap_b'!$B$45:$AW$45))))))</f>
        <v/>
      </c>
      <c r="G656" s="5">
        <f>IF(F656&lt;=0.000000001,"",1/SQRT(F656))</f>
        <v/>
      </c>
      <c r="H656">
        <f>IF(OR(C656=0,C656=D656),"BIÊN","")</f>
        <v/>
      </c>
    </row>
    <row r="657">
      <c r="A657" t="n">
        <v>656</v>
      </c>
      <c r="B657">
        <f>'01_Data'!A657</f>
        <v/>
      </c>
      <c r="C657">
        <f>'03_Lap_Theta'!C657</f>
        <v/>
      </c>
      <c r="D657">
        <f>'03_Lap_Theta'!D657</f>
        <v/>
      </c>
      <c r="E657" s="5">
        <f>'03_Lap_Theta'!$AC657</f>
        <v/>
      </c>
      <c r="F657" s="5">
        <f>SUMPRODUCT(('01_Data'!$B657:$AW657&lt;&gt;"")*(1/(1+EXP(-('03_Lap_Theta'!$AC657-'03_Lap_b'!$B$45:$AW$45))))*(1-(1/(1+EXP(-('03_Lap_Theta'!$AC657-'03_Lap_b'!$B$45:$AW$45))))))</f>
        <v/>
      </c>
      <c r="G657" s="5">
        <f>IF(F657&lt;=0.000000001,"",1/SQRT(F657))</f>
        <v/>
      </c>
      <c r="H657">
        <f>IF(OR(C657=0,C657=D657),"BIÊN","")</f>
        <v/>
      </c>
    </row>
    <row r="658">
      <c r="A658" t="n">
        <v>657</v>
      </c>
      <c r="B658">
        <f>'01_Data'!A658</f>
        <v/>
      </c>
      <c r="C658">
        <f>'03_Lap_Theta'!C658</f>
        <v/>
      </c>
      <c r="D658">
        <f>'03_Lap_Theta'!D658</f>
        <v/>
      </c>
      <c r="E658" s="5">
        <f>'03_Lap_Theta'!$AC658</f>
        <v/>
      </c>
      <c r="F658" s="5">
        <f>SUMPRODUCT(('01_Data'!$B658:$AW658&lt;&gt;"")*(1/(1+EXP(-('03_Lap_Theta'!$AC658-'03_Lap_b'!$B$45:$AW$45))))*(1-(1/(1+EXP(-('03_Lap_Theta'!$AC658-'03_Lap_b'!$B$45:$AW$45))))))</f>
        <v/>
      </c>
      <c r="G658" s="5">
        <f>IF(F658&lt;=0.000000001,"",1/SQRT(F658))</f>
        <v/>
      </c>
      <c r="H658">
        <f>IF(OR(C658=0,C658=D658),"BIÊN","")</f>
        <v/>
      </c>
    </row>
    <row r="659">
      <c r="A659" t="n">
        <v>658</v>
      </c>
      <c r="B659">
        <f>'01_Data'!A659</f>
        <v/>
      </c>
      <c r="C659">
        <f>'03_Lap_Theta'!C659</f>
        <v/>
      </c>
      <c r="D659">
        <f>'03_Lap_Theta'!D659</f>
        <v/>
      </c>
      <c r="E659" s="5">
        <f>'03_Lap_Theta'!$AC659</f>
        <v/>
      </c>
      <c r="F659" s="5">
        <f>SUMPRODUCT(('01_Data'!$B659:$AW659&lt;&gt;"")*(1/(1+EXP(-('03_Lap_Theta'!$AC659-'03_Lap_b'!$B$45:$AW$45))))*(1-(1/(1+EXP(-('03_Lap_Theta'!$AC659-'03_Lap_b'!$B$45:$AW$45))))))</f>
        <v/>
      </c>
      <c r="G659" s="5">
        <f>IF(F659&lt;=0.000000001,"",1/SQRT(F659))</f>
        <v/>
      </c>
      <c r="H659">
        <f>IF(OR(C659=0,C659=D659),"BIÊN","")</f>
        <v/>
      </c>
    </row>
    <row r="660">
      <c r="A660" t="n">
        <v>659</v>
      </c>
      <c r="B660">
        <f>'01_Data'!A660</f>
        <v/>
      </c>
      <c r="C660">
        <f>'03_Lap_Theta'!C660</f>
        <v/>
      </c>
      <c r="D660">
        <f>'03_Lap_Theta'!D660</f>
        <v/>
      </c>
      <c r="E660" s="5">
        <f>'03_Lap_Theta'!$AC660</f>
        <v/>
      </c>
      <c r="F660" s="5">
        <f>SUMPRODUCT(('01_Data'!$B660:$AW660&lt;&gt;"")*(1/(1+EXP(-('03_Lap_Theta'!$AC660-'03_Lap_b'!$B$45:$AW$45))))*(1-(1/(1+EXP(-('03_Lap_Theta'!$AC660-'03_Lap_b'!$B$45:$AW$45))))))</f>
        <v/>
      </c>
      <c r="G660" s="5">
        <f>IF(F660&lt;=0.000000001,"",1/SQRT(F660))</f>
        <v/>
      </c>
      <c r="H660">
        <f>IF(OR(C660=0,C660=D660),"BIÊN","")</f>
        <v/>
      </c>
    </row>
    <row r="661">
      <c r="A661" t="n">
        <v>660</v>
      </c>
      <c r="B661">
        <f>'01_Data'!A661</f>
        <v/>
      </c>
      <c r="C661">
        <f>'03_Lap_Theta'!C661</f>
        <v/>
      </c>
      <c r="D661">
        <f>'03_Lap_Theta'!D661</f>
        <v/>
      </c>
      <c r="E661" s="5">
        <f>'03_Lap_Theta'!$AC661</f>
        <v/>
      </c>
      <c r="F661" s="5">
        <f>SUMPRODUCT(('01_Data'!$B661:$AW661&lt;&gt;"")*(1/(1+EXP(-('03_Lap_Theta'!$AC661-'03_Lap_b'!$B$45:$AW$45))))*(1-(1/(1+EXP(-('03_Lap_Theta'!$AC661-'03_Lap_b'!$B$45:$AW$45))))))</f>
        <v/>
      </c>
      <c r="G661" s="5">
        <f>IF(F661&lt;=0.000000001,"",1/SQRT(F661))</f>
        <v/>
      </c>
      <c r="H661">
        <f>IF(OR(C661=0,C661=D661),"BIÊN","")</f>
        <v/>
      </c>
    </row>
    <row r="662">
      <c r="A662" t="n">
        <v>661</v>
      </c>
      <c r="B662">
        <f>'01_Data'!A662</f>
        <v/>
      </c>
      <c r="C662">
        <f>'03_Lap_Theta'!C662</f>
        <v/>
      </c>
      <c r="D662">
        <f>'03_Lap_Theta'!D662</f>
        <v/>
      </c>
      <c r="E662" s="5">
        <f>'03_Lap_Theta'!$AC662</f>
        <v/>
      </c>
      <c r="F662" s="5">
        <f>SUMPRODUCT(('01_Data'!$B662:$AW662&lt;&gt;"")*(1/(1+EXP(-('03_Lap_Theta'!$AC662-'03_Lap_b'!$B$45:$AW$45))))*(1-(1/(1+EXP(-('03_Lap_Theta'!$AC662-'03_Lap_b'!$B$45:$AW$45))))))</f>
        <v/>
      </c>
      <c r="G662" s="5">
        <f>IF(F662&lt;=0.000000001,"",1/SQRT(F662))</f>
        <v/>
      </c>
      <c r="H662">
        <f>IF(OR(C662=0,C662=D662),"BIÊN","")</f>
        <v/>
      </c>
    </row>
    <row r="663">
      <c r="A663" t="n">
        <v>662</v>
      </c>
      <c r="B663">
        <f>'01_Data'!A663</f>
        <v/>
      </c>
      <c r="C663">
        <f>'03_Lap_Theta'!C663</f>
        <v/>
      </c>
      <c r="D663">
        <f>'03_Lap_Theta'!D663</f>
        <v/>
      </c>
      <c r="E663" s="5">
        <f>'03_Lap_Theta'!$AC663</f>
        <v/>
      </c>
      <c r="F663" s="5">
        <f>SUMPRODUCT(('01_Data'!$B663:$AW663&lt;&gt;"")*(1/(1+EXP(-('03_Lap_Theta'!$AC663-'03_Lap_b'!$B$45:$AW$45))))*(1-(1/(1+EXP(-('03_Lap_Theta'!$AC663-'03_Lap_b'!$B$45:$AW$45))))))</f>
        <v/>
      </c>
      <c r="G663" s="5">
        <f>IF(F663&lt;=0.000000001,"",1/SQRT(F663))</f>
        <v/>
      </c>
      <c r="H663">
        <f>IF(OR(C663=0,C663=D663),"BIÊN","")</f>
        <v/>
      </c>
    </row>
    <row r="664">
      <c r="A664" t="n">
        <v>663</v>
      </c>
      <c r="B664">
        <f>'01_Data'!A664</f>
        <v/>
      </c>
      <c r="C664">
        <f>'03_Lap_Theta'!C664</f>
        <v/>
      </c>
      <c r="D664">
        <f>'03_Lap_Theta'!D664</f>
        <v/>
      </c>
      <c r="E664" s="5">
        <f>'03_Lap_Theta'!$AC664</f>
        <v/>
      </c>
      <c r="F664" s="5">
        <f>SUMPRODUCT(('01_Data'!$B664:$AW664&lt;&gt;"")*(1/(1+EXP(-('03_Lap_Theta'!$AC664-'03_Lap_b'!$B$45:$AW$45))))*(1-(1/(1+EXP(-('03_Lap_Theta'!$AC664-'03_Lap_b'!$B$45:$AW$45))))))</f>
        <v/>
      </c>
      <c r="G664" s="5">
        <f>IF(F664&lt;=0.000000001,"",1/SQRT(F664))</f>
        <v/>
      </c>
      <c r="H664">
        <f>IF(OR(C664=0,C664=D664),"BIÊN","")</f>
        <v/>
      </c>
    </row>
    <row r="665">
      <c r="A665" t="n">
        <v>664</v>
      </c>
      <c r="B665">
        <f>'01_Data'!A665</f>
        <v/>
      </c>
      <c r="C665">
        <f>'03_Lap_Theta'!C665</f>
        <v/>
      </c>
      <c r="D665">
        <f>'03_Lap_Theta'!D665</f>
        <v/>
      </c>
      <c r="E665" s="5">
        <f>'03_Lap_Theta'!$AC665</f>
        <v/>
      </c>
      <c r="F665" s="5">
        <f>SUMPRODUCT(('01_Data'!$B665:$AW665&lt;&gt;"")*(1/(1+EXP(-('03_Lap_Theta'!$AC665-'03_Lap_b'!$B$45:$AW$45))))*(1-(1/(1+EXP(-('03_Lap_Theta'!$AC665-'03_Lap_b'!$B$45:$AW$45))))))</f>
        <v/>
      </c>
      <c r="G665" s="5">
        <f>IF(F665&lt;=0.000000001,"",1/SQRT(F665))</f>
        <v/>
      </c>
      <c r="H665">
        <f>IF(OR(C665=0,C665=D665),"BIÊN","")</f>
        <v/>
      </c>
    </row>
    <row r="666">
      <c r="A666" t="n">
        <v>665</v>
      </c>
      <c r="B666">
        <f>'01_Data'!A666</f>
        <v/>
      </c>
      <c r="C666">
        <f>'03_Lap_Theta'!C666</f>
        <v/>
      </c>
      <c r="D666">
        <f>'03_Lap_Theta'!D666</f>
        <v/>
      </c>
      <c r="E666" s="5">
        <f>'03_Lap_Theta'!$AC666</f>
        <v/>
      </c>
      <c r="F666" s="5">
        <f>SUMPRODUCT(('01_Data'!$B666:$AW666&lt;&gt;"")*(1/(1+EXP(-('03_Lap_Theta'!$AC666-'03_Lap_b'!$B$45:$AW$45))))*(1-(1/(1+EXP(-('03_Lap_Theta'!$AC666-'03_Lap_b'!$B$45:$AW$45))))))</f>
        <v/>
      </c>
      <c r="G666" s="5">
        <f>IF(F666&lt;=0.000000001,"",1/SQRT(F666))</f>
        <v/>
      </c>
      <c r="H666">
        <f>IF(OR(C666=0,C666=D666),"BIÊN","")</f>
        <v/>
      </c>
    </row>
    <row r="667">
      <c r="A667" t="n">
        <v>666</v>
      </c>
      <c r="B667">
        <f>'01_Data'!A667</f>
        <v/>
      </c>
      <c r="C667">
        <f>'03_Lap_Theta'!C667</f>
        <v/>
      </c>
      <c r="D667">
        <f>'03_Lap_Theta'!D667</f>
        <v/>
      </c>
      <c r="E667" s="5">
        <f>'03_Lap_Theta'!$AC667</f>
        <v/>
      </c>
      <c r="F667" s="5">
        <f>SUMPRODUCT(('01_Data'!$B667:$AW667&lt;&gt;"")*(1/(1+EXP(-('03_Lap_Theta'!$AC667-'03_Lap_b'!$B$45:$AW$45))))*(1-(1/(1+EXP(-('03_Lap_Theta'!$AC667-'03_Lap_b'!$B$45:$AW$45))))))</f>
        <v/>
      </c>
      <c r="G667" s="5">
        <f>IF(F667&lt;=0.000000001,"",1/SQRT(F667))</f>
        <v/>
      </c>
      <c r="H667">
        <f>IF(OR(C667=0,C667=D667),"BIÊN","")</f>
        <v/>
      </c>
    </row>
    <row r="668">
      <c r="A668" t="n">
        <v>667</v>
      </c>
      <c r="B668">
        <f>'01_Data'!A668</f>
        <v/>
      </c>
      <c r="C668">
        <f>'03_Lap_Theta'!C668</f>
        <v/>
      </c>
      <c r="D668">
        <f>'03_Lap_Theta'!D668</f>
        <v/>
      </c>
      <c r="E668" s="5">
        <f>'03_Lap_Theta'!$AC668</f>
        <v/>
      </c>
      <c r="F668" s="5">
        <f>SUMPRODUCT(('01_Data'!$B668:$AW668&lt;&gt;"")*(1/(1+EXP(-('03_Lap_Theta'!$AC668-'03_Lap_b'!$B$45:$AW$45))))*(1-(1/(1+EXP(-('03_Lap_Theta'!$AC668-'03_Lap_b'!$B$45:$AW$45))))))</f>
        <v/>
      </c>
      <c r="G668" s="5">
        <f>IF(F668&lt;=0.000000001,"",1/SQRT(F668))</f>
        <v/>
      </c>
      <c r="H668">
        <f>IF(OR(C668=0,C668=D668),"BIÊN","")</f>
        <v/>
      </c>
    </row>
    <row r="669">
      <c r="A669" t="n">
        <v>668</v>
      </c>
      <c r="B669">
        <f>'01_Data'!A669</f>
        <v/>
      </c>
      <c r="C669">
        <f>'03_Lap_Theta'!C669</f>
        <v/>
      </c>
      <c r="D669">
        <f>'03_Lap_Theta'!D669</f>
        <v/>
      </c>
      <c r="E669" s="5">
        <f>'03_Lap_Theta'!$AC669</f>
        <v/>
      </c>
      <c r="F669" s="5">
        <f>SUMPRODUCT(('01_Data'!$B669:$AW669&lt;&gt;"")*(1/(1+EXP(-('03_Lap_Theta'!$AC669-'03_Lap_b'!$B$45:$AW$45))))*(1-(1/(1+EXP(-('03_Lap_Theta'!$AC669-'03_Lap_b'!$B$45:$AW$45))))))</f>
        <v/>
      </c>
      <c r="G669" s="5">
        <f>IF(F669&lt;=0.000000001,"",1/SQRT(F669))</f>
        <v/>
      </c>
      <c r="H669">
        <f>IF(OR(C669=0,C669=D669),"BIÊN","")</f>
        <v/>
      </c>
    </row>
    <row r="670">
      <c r="A670" t="n">
        <v>669</v>
      </c>
      <c r="B670">
        <f>'01_Data'!A670</f>
        <v/>
      </c>
      <c r="C670">
        <f>'03_Lap_Theta'!C670</f>
        <v/>
      </c>
      <c r="D670">
        <f>'03_Lap_Theta'!D670</f>
        <v/>
      </c>
      <c r="E670" s="5">
        <f>'03_Lap_Theta'!$AC670</f>
        <v/>
      </c>
      <c r="F670" s="5">
        <f>SUMPRODUCT(('01_Data'!$B670:$AW670&lt;&gt;"")*(1/(1+EXP(-('03_Lap_Theta'!$AC670-'03_Lap_b'!$B$45:$AW$45))))*(1-(1/(1+EXP(-('03_Lap_Theta'!$AC670-'03_Lap_b'!$B$45:$AW$45))))))</f>
        <v/>
      </c>
      <c r="G670" s="5">
        <f>IF(F670&lt;=0.000000001,"",1/SQRT(F670))</f>
        <v/>
      </c>
      <c r="H670">
        <f>IF(OR(C670=0,C670=D670),"BIÊN","")</f>
        <v/>
      </c>
    </row>
    <row r="671">
      <c r="A671" t="n">
        <v>670</v>
      </c>
      <c r="B671">
        <f>'01_Data'!A671</f>
        <v/>
      </c>
      <c r="C671">
        <f>'03_Lap_Theta'!C671</f>
        <v/>
      </c>
      <c r="D671">
        <f>'03_Lap_Theta'!D671</f>
        <v/>
      </c>
      <c r="E671" s="5">
        <f>'03_Lap_Theta'!$AC671</f>
        <v/>
      </c>
      <c r="F671" s="5">
        <f>SUMPRODUCT(('01_Data'!$B671:$AW671&lt;&gt;"")*(1/(1+EXP(-('03_Lap_Theta'!$AC671-'03_Lap_b'!$B$45:$AW$45))))*(1-(1/(1+EXP(-('03_Lap_Theta'!$AC671-'03_Lap_b'!$B$45:$AW$45))))))</f>
        <v/>
      </c>
      <c r="G671" s="5">
        <f>IF(F671&lt;=0.000000001,"",1/SQRT(F671))</f>
        <v/>
      </c>
      <c r="H671">
        <f>IF(OR(C671=0,C671=D671),"BIÊN","")</f>
        <v/>
      </c>
    </row>
    <row r="672">
      <c r="A672" t="n">
        <v>671</v>
      </c>
      <c r="B672">
        <f>'01_Data'!A672</f>
        <v/>
      </c>
      <c r="C672">
        <f>'03_Lap_Theta'!C672</f>
        <v/>
      </c>
      <c r="D672">
        <f>'03_Lap_Theta'!D672</f>
        <v/>
      </c>
      <c r="E672" s="5">
        <f>'03_Lap_Theta'!$AC672</f>
        <v/>
      </c>
      <c r="F672" s="5">
        <f>SUMPRODUCT(('01_Data'!$B672:$AW672&lt;&gt;"")*(1/(1+EXP(-('03_Lap_Theta'!$AC672-'03_Lap_b'!$B$45:$AW$45))))*(1-(1/(1+EXP(-('03_Lap_Theta'!$AC672-'03_Lap_b'!$B$45:$AW$45))))))</f>
        <v/>
      </c>
      <c r="G672" s="5">
        <f>IF(F672&lt;=0.000000001,"",1/SQRT(F672))</f>
        <v/>
      </c>
      <c r="H672">
        <f>IF(OR(C672=0,C672=D672),"BIÊN","")</f>
        <v/>
      </c>
    </row>
    <row r="673">
      <c r="A673" t="n">
        <v>672</v>
      </c>
      <c r="B673">
        <f>'01_Data'!A673</f>
        <v/>
      </c>
      <c r="C673">
        <f>'03_Lap_Theta'!C673</f>
        <v/>
      </c>
      <c r="D673">
        <f>'03_Lap_Theta'!D673</f>
        <v/>
      </c>
      <c r="E673" s="5">
        <f>'03_Lap_Theta'!$AC673</f>
        <v/>
      </c>
      <c r="F673" s="5">
        <f>SUMPRODUCT(('01_Data'!$B673:$AW673&lt;&gt;"")*(1/(1+EXP(-('03_Lap_Theta'!$AC673-'03_Lap_b'!$B$45:$AW$45))))*(1-(1/(1+EXP(-('03_Lap_Theta'!$AC673-'03_Lap_b'!$B$45:$AW$45))))))</f>
        <v/>
      </c>
      <c r="G673" s="5">
        <f>IF(F673&lt;=0.000000001,"",1/SQRT(F673))</f>
        <v/>
      </c>
      <c r="H673">
        <f>IF(OR(C673=0,C673=D673),"BIÊN","")</f>
        <v/>
      </c>
    </row>
    <row r="674">
      <c r="A674" t="n">
        <v>673</v>
      </c>
      <c r="B674">
        <f>'01_Data'!A674</f>
        <v/>
      </c>
      <c r="C674">
        <f>'03_Lap_Theta'!C674</f>
        <v/>
      </c>
      <c r="D674">
        <f>'03_Lap_Theta'!D674</f>
        <v/>
      </c>
      <c r="E674" s="5">
        <f>'03_Lap_Theta'!$AC674</f>
        <v/>
      </c>
      <c r="F674" s="5">
        <f>SUMPRODUCT(('01_Data'!$B674:$AW674&lt;&gt;"")*(1/(1+EXP(-('03_Lap_Theta'!$AC674-'03_Lap_b'!$B$45:$AW$45))))*(1-(1/(1+EXP(-('03_Lap_Theta'!$AC674-'03_Lap_b'!$B$45:$AW$45))))))</f>
        <v/>
      </c>
      <c r="G674" s="5">
        <f>IF(F674&lt;=0.000000001,"",1/SQRT(F674))</f>
        <v/>
      </c>
      <c r="H674">
        <f>IF(OR(C674=0,C674=D674),"BIÊN","")</f>
        <v/>
      </c>
    </row>
    <row r="675">
      <c r="A675" t="n">
        <v>674</v>
      </c>
      <c r="B675">
        <f>'01_Data'!A675</f>
        <v/>
      </c>
      <c r="C675">
        <f>'03_Lap_Theta'!C675</f>
        <v/>
      </c>
      <c r="D675">
        <f>'03_Lap_Theta'!D675</f>
        <v/>
      </c>
      <c r="E675" s="5">
        <f>'03_Lap_Theta'!$AC675</f>
        <v/>
      </c>
      <c r="F675" s="5">
        <f>SUMPRODUCT(('01_Data'!$B675:$AW675&lt;&gt;"")*(1/(1+EXP(-('03_Lap_Theta'!$AC675-'03_Lap_b'!$B$45:$AW$45))))*(1-(1/(1+EXP(-('03_Lap_Theta'!$AC675-'03_Lap_b'!$B$45:$AW$45))))))</f>
        <v/>
      </c>
      <c r="G675" s="5">
        <f>IF(F675&lt;=0.000000001,"",1/SQRT(F675))</f>
        <v/>
      </c>
      <c r="H675">
        <f>IF(OR(C675=0,C675=D675),"BIÊN","")</f>
        <v/>
      </c>
    </row>
    <row r="676">
      <c r="A676" t="n">
        <v>675</v>
      </c>
      <c r="B676">
        <f>'01_Data'!A676</f>
        <v/>
      </c>
      <c r="C676">
        <f>'03_Lap_Theta'!C676</f>
        <v/>
      </c>
      <c r="D676">
        <f>'03_Lap_Theta'!D676</f>
        <v/>
      </c>
      <c r="E676" s="5">
        <f>'03_Lap_Theta'!$AC676</f>
        <v/>
      </c>
      <c r="F676" s="5">
        <f>SUMPRODUCT(('01_Data'!$B676:$AW676&lt;&gt;"")*(1/(1+EXP(-('03_Lap_Theta'!$AC676-'03_Lap_b'!$B$45:$AW$45))))*(1-(1/(1+EXP(-('03_Lap_Theta'!$AC676-'03_Lap_b'!$B$45:$AW$45))))))</f>
        <v/>
      </c>
      <c r="G676" s="5">
        <f>IF(F676&lt;=0.000000001,"",1/SQRT(F676))</f>
        <v/>
      </c>
      <c r="H676">
        <f>IF(OR(C676=0,C676=D676),"BIÊN","")</f>
        <v/>
      </c>
    </row>
    <row r="677">
      <c r="A677" t="n">
        <v>676</v>
      </c>
      <c r="B677">
        <f>'01_Data'!A677</f>
        <v/>
      </c>
      <c r="C677">
        <f>'03_Lap_Theta'!C677</f>
        <v/>
      </c>
      <c r="D677">
        <f>'03_Lap_Theta'!D677</f>
        <v/>
      </c>
      <c r="E677" s="5">
        <f>'03_Lap_Theta'!$AC677</f>
        <v/>
      </c>
      <c r="F677" s="5">
        <f>SUMPRODUCT(('01_Data'!$B677:$AW677&lt;&gt;"")*(1/(1+EXP(-('03_Lap_Theta'!$AC677-'03_Lap_b'!$B$45:$AW$45))))*(1-(1/(1+EXP(-('03_Lap_Theta'!$AC677-'03_Lap_b'!$B$45:$AW$45))))))</f>
        <v/>
      </c>
      <c r="G677" s="5">
        <f>IF(F677&lt;=0.000000001,"",1/SQRT(F677))</f>
        <v/>
      </c>
      <c r="H677">
        <f>IF(OR(C677=0,C677=D677),"BIÊN","")</f>
        <v/>
      </c>
    </row>
    <row r="678">
      <c r="A678" t="n">
        <v>677</v>
      </c>
      <c r="B678">
        <f>'01_Data'!A678</f>
        <v/>
      </c>
      <c r="C678">
        <f>'03_Lap_Theta'!C678</f>
        <v/>
      </c>
      <c r="D678">
        <f>'03_Lap_Theta'!D678</f>
        <v/>
      </c>
      <c r="E678" s="5">
        <f>'03_Lap_Theta'!$AC678</f>
        <v/>
      </c>
      <c r="F678" s="5">
        <f>SUMPRODUCT(('01_Data'!$B678:$AW678&lt;&gt;"")*(1/(1+EXP(-('03_Lap_Theta'!$AC678-'03_Lap_b'!$B$45:$AW$45))))*(1-(1/(1+EXP(-('03_Lap_Theta'!$AC678-'03_Lap_b'!$B$45:$AW$45))))))</f>
        <v/>
      </c>
      <c r="G678" s="5">
        <f>IF(F678&lt;=0.000000001,"",1/SQRT(F678))</f>
        <v/>
      </c>
      <c r="H678">
        <f>IF(OR(C678=0,C678=D678),"BIÊN","")</f>
        <v/>
      </c>
    </row>
    <row r="679">
      <c r="A679" t="n">
        <v>678</v>
      </c>
      <c r="B679">
        <f>'01_Data'!A679</f>
        <v/>
      </c>
      <c r="C679">
        <f>'03_Lap_Theta'!C679</f>
        <v/>
      </c>
      <c r="D679">
        <f>'03_Lap_Theta'!D679</f>
        <v/>
      </c>
      <c r="E679" s="5">
        <f>'03_Lap_Theta'!$AC679</f>
        <v/>
      </c>
      <c r="F679" s="5">
        <f>SUMPRODUCT(('01_Data'!$B679:$AW679&lt;&gt;"")*(1/(1+EXP(-('03_Lap_Theta'!$AC679-'03_Lap_b'!$B$45:$AW$45))))*(1-(1/(1+EXP(-('03_Lap_Theta'!$AC679-'03_Lap_b'!$B$45:$AW$45))))))</f>
        <v/>
      </c>
      <c r="G679" s="5">
        <f>IF(F679&lt;=0.000000001,"",1/SQRT(F679))</f>
        <v/>
      </c>
      <c r="H679">
        <f>IF(OR(C679=0,C679=D679),"BIÊN","")</f>
        <v/>
      </c>
    </row>
    <row r="680">
      <c r="A680" t="n">
        <v>679</v>
      </c>
      <c r="B680">
        <f>'01_Data'!A680</f>
        <v/>
      </c>
      <c r="C680">
        <f>'03_Lap_Theta'!C680</f>
        <v/>
      </c>
      <c r="D680">
        <f>'03_Lap_Theta'!D680</f>
        <v/>
      </c>
      <c r="E680" s="5">
        <f>'03_Lap_Theta'!$AC680</f>
        <v/>
      </c>
      <c r="F680" s="5">
        <f>SUMPRODUCT(('01_Data'!$B680:$AW680&lt;&gt;"")*(1/(1+EXP(-('03_Lap_Theta'!$AC680-'03_Lap_b'!$B$45:$AW$45))))*(1-(1/(1+EXP(-('03_Lap_Theta'!$AC680-'03_Lap_b'!$B$45:$AW$45))))))</f>
        <v/>
      </c>
      <c r="G680" s="5">
        <f>IF(F680&lt;=0.000000001,"",1/SQRT(F680))</f>
        <v/>
      </c>
      <c r="H680">
        <f>IF(OR(C680=0,C680=D680),"BIÊN","")</f>
        <v/>
      </c>
    </row>
    <row r="681">
      <c r="A681" t="n">
        <v>680</v>
      </c>
      <c r="B681">
        <f>'01_Data'!A681</f>
        <v/>
      </c>
      <c r="C681">
        <f>'03_Lap_Theta'!C681</f>
        <v/>
      </c>
      <c r="D681">
        <f>'03_Lap_Theta'!D681</f>
        <v/>
      </c>
      <c r="E681" s="5">
        <f>'03_Lap_Theta'!$AC681</f>
        <v/>
      </c>
      <c r="F681" s="5">
        <f>SUMPRODUCT(('01_Data'!$B681:$AW681&lt;&gt;"")*(1/(1+EXP(-('03_Lap_Theta'!$AC681-'03_Lap_b'!$B$45:$AW$45))))*(1-(1/(1+EXP(-('03_Lap_Theta'!$AC681-'03_Lap_b'!$B$45:$AW$45))))))</f>
        <v/>
      </c>
      <c r="G681" s="5">
        <f>IF(F681&lt;=0.000000001,"",1/SQRT(F681))</f>
        <v/>
      </c>
      <c r="H681">
        <f>IF(OR(C681=0,C681=D681),"BIÊN","")</f>
        <v/>
      </c>
    </row>
    <row r="682">
      <c r="A682" t="n">
        <v>681</v>
      </c>
      <c r="B682">
        <f>'01_Data'!A682</f>
        <v/>
      </c>
      <c r="C682">
        <f>'03_Lap_Theta'!C682</f>
        <v/>
      </c>
      <c r="D682">
        <f>'03_Lap_Theta'!D682</f>
        <v/>
      </c>
      <c r="E682" s="5">
        <f>'03_Lap_Theta'!$AC682</f>
        <v/>
      </c>
      <c r="F682" s="5">
        <f>SUMPRODUCT(('01_Data'!$B682:$AW682&lt;&gt;"")*(1/(1+EXP(-('03_Lap_Theta'!$AC682-'03_Lap_b'!$B$45:$AW$45))))*(1-(1/(1+EXP(-('03_Lap_Theta'!$AC682-'03_Lap_b'!$B$45:$AW$45))))))</f>
        <v/>
      </c>
      <c r="G682" s="5">
        <f>IF(F682&lt;=0.000000001,"",1/SQRT(F682))</f>
        <v/>
      </c>
      <c r="H682">
        <f>IF(OR(C682=0,C682=D682),"BIÊN","")</f>
        <v/>
      </c>
    </row>
    <row r="683">
      <c r="A683" t="n">
        <v>682</v>
      </c>
      <c r="B683">
        <f>'01_Data'!A683</f>
        <v/>
      </c>
      <c r="C683">
        <f>'03_Lap_Theta'!C683</f>
        <v/>
      </c>
      <c r="D683">
        <f>'03_Lap_Theta'!D683</f>
        <v/>
      </c>
      <c r="E683" s="5">
        <f>'03_Lap_Theta'!$AC683</f>
        <v/>
      </c>
      <c r="F683" s="5">
        <f>SUMPRODUCT(('01_Data'!$B683:$AW683&lt;&gt;"")*(1/(1+EXP(-('03_Lap_Theta'!$AC683-'03_Lap_b'!$B$45:$AW$45))))*(1-(1/(1+EXP(-('03_Lap_Theta'!$AC683-'03_Lap_b'!$B$45:$AW$45))))))</f>
        <v/>
      </c>
      <c r="G683" s="5">
        <f>IF(F683&lt;=0.000000001,"",1/SQRT(F683))</f>
        <v/>
      </c>
      <c r="H683">
        <f>IF(OR(C683=0,C683=D683),"BIÊN","")</f>
        <v/>
      </c>
    </row>
    <row r="684">
      <c r="A684" t="n">
        <v>683</v>
      </c>
      <c r="B684">
        <f>'01_Data'!A684</f>
        <v/>
      </c>
      <c r="C684">
        <f>'03_Lap_Theta'!C684</f>
        <v/>
      </c>
      <c r="D684">
        <f>'03_Lap_Theta'!D684</f>
        <v/>
      </c>
      <c r="E684" s="5">
        <f>'03_Lap_Theta'!$AC684</f>
        <v/>
      </c>
      <c r="F684" s="5">
        <f>SUMPRODUCT(('01_Data'!$B684:$AW684&lt;&gt;"")*(1/(1+EXP(-('03_Lap_Theta'!$AC684-'03_Lap_b'!$B$45:$AW$45))))*(1-(1/(1+EXP(-('03_Lap_Theta'!$AC684-'03_Lap_b'!$B$45:$AW$45))))))</f>
        <v/>
      </c>
      <c r="G684" s="5">
        <f>IF(F684&lt;=0.000000001,"",1/SQRT(F684))</f>
        <v/>
      </c>
      <c r="H684">
        <f>IF(OR(C684=0,C684=D684),"BIÊN","")</f>
        <v/>
      </c>
    </row>
    <row r="685">
      <c r="A685" t="n">
        <v>684</v>
      </c>
      <c r="B685">
        <f>'01_Data'!A685</f>
        <v/>
      </c>
      <c r="C685">
        <f>'03_Lap_Theta'!C685</f>
        <v/>
      </c>
      <c r="D685">
        <f>'03_Lap_Theta'!D685</f>
        <v/>
      </c>
      <c r="E685" s="5">
        <f>'03_Lap_Theta'!$AC685</f>
        <v/>
      </c>
      <c r="F685" s="5">
        <f>SUMPRODUCT(('01_Data'!$B685:$AW685&lt;&gt;"")*(1/(1+EXP(-('03_Lap_Theta'!$AC685-'03_Lap_b'!$B$45:$AW$45))))*(1-(1/(1+EXP(-('03_Lap_Theta'!$AC685-'03_Lap_b'!$B$45:$AW$45))))))</f>
        <v/>
      </c>
      <c r="G685" s="5">
        <f>IF(F685&lt;=0.000000001,"",1/SQRT(F685))</f>
        <v/>
      </c>
      <c r="H685">
        <f>IF(OR(C685=0,C685=D685),"BIÊN","")</f>
        <v/>
      </c>
    </row>
    <row r="686">
      <c r="A686" t="n">
        <v>685</v>
      </c>
      <c r="B686">
        <f>'01_Data'!A686</f>
        <v/>
      </c>
      <c r="C686">
        <f>'03_Lap_Theta'!C686</f>
        <v/>
      </c>
      <c r="D686">
        <f>'03_Lap_Theta'!D686</f>
        <v/>
      </c>
      <c r="E686" s="5">
        <f>'03_Lap_Theta'!$AC686</f>
        <v/>
      </c>
      <c r="F686" s="5">
        <f>SUMPRODUCT(('01_Data'!$B686:$AW686&lt;&gt;"")*(1/(1+EXP(-('03_Lap_Theta'!$AC686-'03_Lap_b'!$B$45:$AW$45))))*(1-(1/(1+EXP(-('03_Lap_Theta'!$AC686-'03_Lap_b'!$B$45:$AW$45))))))</f>
        <v/>
      </c>
      <c r="G686" s="5">
        <f>IF(F686&lt;=0.000000001,"",1/SQRT(F686))</f>
        <v/>
      </c>
      <c r="H686">
        <f>IF(OR(C686=0,C686=D686),"BIÊN","")</f>
        <v/>
      </c>
    </row>
    <row r="687">
      <c r="A687" t="n">
        <v>686</v>
      </c>
      <c r="B687">
        <f>'01_Data'!A687</f>
        <v/>
      </c>
      <c r="C687">
        <f>'03_Lap_Theta'!C687</f>
        <v/>
      </c>
      <c r="D687">
        <f>'03_Lap_Theta'!D687</f>
        <v/>
      </c>
      <c r="E687" s="5">
        <f>'03_Lap_Theta'!$AC687</f>
        <v/>
      </c>
      <c r="F687" s="5">
        <f>SUMPRODUCT(('01_Data'!$B687:$AW687&lt;&gt;"")*(1/(1+EXP(-('03_Lap_Theta'!$AC687-'03_Lap_b'!$B$45:$AW$45))))*(1-(1/(1+EXP(-('03_Lap_Theta'!$AC687-'03_Lap_b'!$B$45:$AW$45))))))</f>
        <v/>
      </c>
      <c r="G687" s="5">
        <f>IF(F687&lt;=0.000000001,"",1/SQRT(F687))</f>
        <v/>
      </c>
      <c r="H687">
        <f>IF(OR(C687=0,C687=D687),"BIÊN","")</f>
        <v/>
      </c>
    </row>
    <row r="688">
      <c r="A688" t="n">
        <v>687</v>
      </c>
      <c r="B688">
        <f>'01_Data'!A688</f>
        <v/>
      </c>
      <c r="C688">
        <f>'03_Lap_Theta'!C688</f>
        <v/>
      </c>
      <c r="D688">
        <f>'03_Lap_Theta'!D688</f>
        <v/>
      </c>
      <c r="E688" s="5">
        <f>'03_Lap_Theta'!$AC688</f>
        <v/>
      </c>
      <c r="F688" s="5">
        <f>SUMPRODUCT(('01_Data'!$B688:$AW688&lt;&gt;"")*(1/(1+EXP(-('03_Lap_Theta'!$AC688-'03_Lap_b'!$B$45:$AW$45))))*(1-(1/(1+EXP(-('03_Lap_Theta'!$AC688-'03_Lap_b'!$B$45:$AW$45))))))</f>
        <v/>
      </c>
      <c r="G688" s="5">
        <f>IF(F688&lt;=0.000000001,"",1/SQRT(F688))</f>
        <v/>
      </c>
      <c r="H688">
        <f>IF(OR(C688=0,C688=D688),"BIÊN","")</f>
        <v/>
      </c>
    </row>
    <row r="689">
      <c r="A689" t="n">
        <v>688</v>
      </c>
      <c r="B689">
        <f>'01_Data'!A689</f>
        <v/>
      </c>
      <c r="C689">
        <f>'03_Lap_Theta'!C689</f>
        <v/>
      </c>
      <c r="D689">
        <f>'03_Lap_Theta'!D689</f>
        <v/>
      </c>
      <c r="E689" s="5">
        <f>'03_Lap_Theta'!$AC689</f>
        <v/>
      </c>
      <c r="F689" s="5">
        <f>SUMPRODUCT(('01_Data'!$B689:$AW689&lt;&gt;"")*(1/(1+EXP(-('03_Lap_Theta'!$AC689-'03_Lap_b'!$B$45:$AW$45))))*(1-(1/(1+EXP(-('03_Lap_Theta'!$AC689-'03_Lap_b'!$B$45:$AW$45))))))</f>
        <v/>
      </c>
      <c r="G689" s="5">
        <f>IF(F689&lt;=0.000000001,"",1/SQRT(F689))</f>
        <v/>
      </c>
      <c r="H689">
        <f>IF(OR(C689=0,C689=D689),"BIÊN","")</f>
        <v/>
      </c>
    </row>
    <row r="690">
      <c r="A690" t="n">
        <v>689</v>
      </c>
      <c r="B690">
        <f>'01_Data'!A690</f>
        <v/>
      </c>
      <c r="C690">
        <f>'03_Lap_Theta'!C690</f>
        <v/>
      </c>
      <c r="D690">
        <f>'03_Lap_Theta'!D690</f>
        <v/>
      </c>
      <c r="E690" s="5">
        <f>'03_Lap_Theta'!$AC690</f>
        <v/>
      </c>
      <c r="F690" s="5">
        <f>SUMPRODUCT(('01_Data'!$B690:$AW690&lt;&gt;"")*(1/(1+EXP(-('03_Lap_Theta'!$AC690-'03_Lap_b'!$B$45:$AW$45))))*(1-(1/(1+EXP(-('03_Lap_Theta'!$AC690-'03_Lap_b'!$B$45:$AW$45))))))</f>
        <v/>
      </c>
      <c r="G690" s="5">
        <f>IF(F690&lt;=0.000000001,"",1/SQRT(F690))</f>
        <v/>
      </c>
      <c r="H690">
        <f>IF(OR(C690=0,C690=D690),"BIÊN","")</f>
        <v/>
      </c>
    </row>
    <row r="691">
      <c r="A691" t="n">
        <v>690</v>
      </c>
      <c r="B691">
        <f>'01_Data'!A691</f>
        <v/>
      </c>
      <c r="C691">
        <f>'03_Lap_Theta'!C691</f>
        <v/>
      </c>
      <c r="D691">
        <f>'03_Lap_Theta'!D691</f>
        <v/>
      </c>
      <c r="E691" s="5">
        <f>'03_Lap_Theta'!$AC691</f>
        <v/>
      </c>
      <c r="F691" s="5">
        <f>SUMPRODUCT(('01_Data'!$B691:$AW691&lt;&gt;"")*(1/(1+EXP(-('03_Lap_Theta'!$AC691-'03_Lap_b'!$B$45:$AW$45))))*(1-(1/(1+EXP(-('03_Lap_Theta'!$AC691-'03_Lap_b'!$B$45:$AW$45))))))</f>
        <v/>
      </c>
      <c r="G691" s="5">
        <f>IF(F691&lt;=0.000000001,"",1/SQRT(F691))</f>
        <v/>
      </c>
      <c r="H691">
        <f>IF(OR(C691=0,C691=D691),"BIÊN","")</f>
        <v/>
      </c>
    </row>
    <row r="692">
      <c r="A692" t="n">
        <v>691</v>
      </c>
      <c r="B692">
        <f>'01_Data'!A692</f>
        <v/>
      </c>
      <c r="C692">
        <f>'03_Lap_Theta'!C692</f>
        <v/>
      </c>
      <c r="D692">
        <f>'03_Lap_Theta'!D692</f>
        <v/>
      </c>
      <c r="E692" s="5">
        <f>'03_Lap_Theta'!$AC692</f>
        <v/>
      </c>
      <c r="F692" s="5">
        <f>SUMPRODUCT(('01_Data'!$B692:$AW692&lt;&gt;"")*(1/(1+EXP(-('03_Lap_Theta'!$AC692-'03_Lap_b'!$B$45:$AW$45))))*(1-(1/(1+EXP(-('03_Lap_Theta'!$AC692-'03_Lap_b'!$B$45:$AW$45))))))</f>
        <v/>
      </c>
      <c r="G692" s="5">
        <f>IF(F692&lt;=0.000000001,"",1/SQRT(F692))</f>
        <v/>
      </c>
      <c r="H692">
        <f>IF(OR(C692=0,C692=D692),"BIÊN","")</f>
        <v/>
      </c>
    </row>
    <row r="693">
      <c r="A693" t="n">
        <v>692</v>
      </c>
      <c r="B693">
        <f>'01_Data'!A693</f>
        <v/>
      </c>
      <c r="C693">
        <f>'03_Lap_Theta'!C693</f>
        <v/>
      </c>
      <c r="D693">
        <f>'03_Lap_Theta'!D693</f>
        <v/>
      </c>
      <c r="E693" s="5">
        <f>'03_Lap_Theta'!$AC693</f>
        <v/>
      </c>
      <c r="F693" s="5">
        <f>SUMPRODUCT(('01_Data'!$B693:$AW693&lt;&gt;"")*(1/(1+EXP(-('03_Lap_Theta'!$AC693-'03_Lap_b'!$B$45:$AW$45))))*(1-(1/(1+EXP(-('03_Lap_Theta'!$AC693-'03_Lap_b'!$B$45:$AW$45))))))</f>
        <v/>
      </c>
      <c r="G693" s="5">
        <f>IF(F693&lt;=0.000000001,"",1/SQRT(F693))</f>
        <v/>
      </c>
      <c r="H693">
        <f>IF(OR(C693=0,C693=D693),"BIÊN","")</f>
        <v/>
      </c>
    </row>
    <row r="694">
      <c r="A694" t="n">
        <v>693</v>
      </c>
      <c r="B694">
        <f>'01_Data'!A694</f>
        <v/>
      </c>
      <c r="C694">
        <f>'03_Lap_Theta'!C694</f>
        <v/>
      </c>
      <c r="D694">
        <f>'03_Lap_Theta'!D694</f>
        <v/>
      </c>
      <c r="E694" s="5">
        <f>'03_Lap_Theta'!$AC694</f>
        <v/>
      </c>
      <c r="F694" s="5">
        <f>SUMPRODUCT(('01_Data'!$B694:$AW694&lt;&gt;"")*(1/(1+EXP(-('03_Lap_Theta'!$AC694-'03_Lap_b'!$B$45:$AW$45))))*(1-(1/(1+EXP(-('03_Lap_Theta'!$AC694-'03_Lap_b'!$B$45:$AW$45))))))</f>
        <v/>
      </c>
      <c r="G694" s="5">
        <f>IF(F694&lt;=0.000000001,"",1/SQRT(F694))</f>
        <v/>
      </c>
      <c r="H694">
        <f>IF(OR(C694=0,C694=D694),"BIÊN","")</f>
        <v/>
      </c>
    </row>
    <row r="695">
      <c r="A695" t="n">
        <v>694</v>
      </c>
      <c r="B695">
        <f>'01_Data'!A695</f>
        <v/>
      </c>
      <c r="C695">
        <f>'03_Lap_Theta'!C695</f>
        <v/>
      </c>
      <c r="D695">
        <f>'03_Lap_Theta'!D695</f>
        <v/>
      </c>
      <c r="E695" s="5">
        <f>'03_Lap_Theta'!$AC695</f>
        <v/>
      </c>
      <c r="F695" s="5">
        <f>SUMPRODUCT(('01_Data'!$B695:$AW695&lt;&gt;"")*(1/(1+EXP(-('03_Lap_Theta'!$AC695-'03_Lap_b'!$B$45:$AW$45))))*(1-(1/(1+EXP(-('03_Lap_Theta'!$AC695-'03_Lap_b'!$B$45:$AW$45))))))</f>
        <v/>
      </c>
      <c r="G695" s="5">
        <f>IF(F695&lt;=0.000000001,"",1/SQRT(F695))</f>
        <v/>
      </c>
      <c r="H695">
        <f>IF(OR(C695=0,C695=D695),"BIÊN","")</f>
        <v/>
      </c>
    </row>
    <row r="696">
      <c r="A696" t="n">
        <v>695</v>
      </c>
      <c r="B696">
        <f>'01_Data'!A696</f>
        <v/>
      </c>
      <c r="C696">
        <f>'03_Lap_Theta'!C696</f>
        <v/>
      </c>
      <c r="D696">
        <f>'03_Lap_Theta'!D696</f>
        <v/>
      </c>
      <c r="E696" s="5">
        <f>'03_Lap_Theta'!$AC696</f>
        <v/>
      </c>
      <c r="F696" s="5">
        <f>SUMPRODUCT(('01_Data'!$B696:$AW696&lt;&gt;"")*(1/(1+EXP(-('03_Lap_Theta'!$AC696-'03_Lap_b'!$B$45:$AW$45))))*(1-(1/(1+EXP(-('03_Lap_Theta'!$AC696-'03_Lap_b'!$B$45:$AW$45))))))</f>
        <v/>
      </c>
      <c r="G696" s="5">
        <f>IF(F696&lt;=0.000000001,"",1/SQRT(F696))</f>
        <v/>
      </c>
      <c r="H696">
        <f>IF(OR(C696=0,C696=D696),"BIÊN","")</f>
        <v/>
      </c>
    </row>
    <row r="697">
      <c r="A697" t="n">
        <v>696</v>
      </c>
      <c r="B697">
        <f>'01_Data'!A697</f>
        <v/>
      </c>
      <c r="C697">
        <f>'03_Lap_Theta'!C697</f>
        <v/>
      </c>
      <c r="D697">
        <f>'03_Lap_Theta'!D697</f>
        <v/>
      </c>
      <c r="E697" s="5">
        <f>'03_Lap_Theta'!$AC697</f>
        <v/>
      </c>
      <c r="F697" s="5">
        <f>SUMPRODUCT(('01_Data'!$B697:$AW697&lt;&gt;"")*(1/(1+EXP(-('03_Lap_Theta'!$AC697-'03_Lap_b'!$B$45:$AW$45))))*(1-(1/(1+EXP(-('03_Lap_Theta'!$AC697-'03_Lap_b'!$B$45:$AW$45))))))</f>
        <v/>
      </c>
      <c r="G697" s="5">
        <f>IF(F697&lt;=0.000000001,"",1/SQRT(F697))</f>
        <v/>
      </c>
      <c r="H697">
        <f>IF(OR(C697=0,C697=D697),"BIÊN","")</f>
        <v/>
      </c>
    </row>
    <row r="698">
      <c r="A698" t="n">
        <v>697</v>
      </c>
      <c r="B698">
        <f>'01_Data'!A698</f>
        <v/>
      </c>
      <c r="C698">
        <f>'03_Lap_Theta'!C698</f>
        <v/>
      </c>
      <c r="D698">
        <f>'03_Lap_Theta'!D698</f>
        <v/>
      </c>
      <c r="E698" s="5">
        <f>'03_Lap_Theta'!$AC698</f>
        <v/>
      </c>
      <c r="F698" s="5">
        <f>SUMPRODUCT(('01_Data'!$B698:$AW698&lt;&gt;"")*(1/(1+EXP(-('03_Lap_Theta'!$AC698-'03_Lap_b'!$B$45:$AW$45))))*(1-(1/(1+EXP(-('03_Lap_Theta'!$AC698-'03_Lap_b'!$B$45:$AW$45))))))</f>
        <v/>
      </c>
      <c r="G698" s="5">
        <f>IF(F698&lt;=0.000000001,"",1/SQRT(F698))</f>
        <v/>
      </c>
      <c r="H698">
        <f>IF(OR(C698=0,C698=D698),"BIÊN","")</f>
        <v/>
      </c>
    </row>
    <row r="699">
      <c r="A699" t="n">
        <v>698</v>
      </c>
      <c r="B699">
        <f>'01_Data'!A699</f>
        <v/>
      </c>
      <c r="C699">
        <f>'03_Lap_Theta'!C699</f>
        <v/>
      </c>
      <c r="D699">
        <f>'03_Lap_Theta'!D699</f>
        <v/>
      </c>
      <c r="E699" s="5">
        <f>'03_Lap_Theta'!$AC699</f>
        <v/>
      </c>
      <c r="F699" s="5">
        <f>SUMPRODUCT(('01_Data'!$B699:$AW699&lt;&gt;"")*(1/(1+EXP(-('03_Lap_Theta'!$AC699-'03_Lap_b'!$B$45:$AW$45))))*(1-(1/(1+EXP(-('03_Lap_Theta'!$AC699-'03_Lap_b'!$B$45:$AW$45))))))</f>
        <v/>
      </c>
      <c r="G699" s="5">
        <f>IF(F699&lt;=0.000000001,"",1/SQRT(F699))</f>
        <v/>
      </c>
      <c r="H699">
        <f>IF(OR(C699=0,C699=D699),"BIÊN","")</f>
        <v/>
      </c>
    </row>
    <row r="700">
      <c r="A700" t="n">
        <v>699</v>
      </c>
      <c r="B700">
        <f>'01_Data'!A700</f>
        <v/>
      </c>
      <c r="C700">
        <f>'03_Lap_Theta'!C700</f>
        <v/>
      </c>
      <c r="D700">
        <f>'03_Lap_Theta'!D700</f>
        <v/>
      </c>
      <c r="E700" s="5">
        <f>'03_Lap_Theta'!$AC700</f>
        <v/>
      </c>
      <c r="F700" s="5">
        <f>SUMPRODUCT(('01_Data'!$B700:$AW700&lt;&gt;"")*(1/(1+EXP(-('03_Lap_Theta'!$AC700-'03_Lap_b'!$B$45:$AW$45))))*(1-(1/(1+EXP(-('03_Lap_Theta'!$AC700-'03_Lap_b'!$B$45:$AW$45))))))</f>
        <v/>
      </c>
      <c r="G700" s="5">
        <f>IF(F700&lt;=0.000000001,"",1/SQRT(F700))</f>
        <v/>
      </c>
      <c r="H700">
        <f>IF(OR(C700=0,C700=D700),"BIÊN","")</f>
        <v/>
      </c>
    </row>
    <row r="701">
      <c r="A701" t="n">
        <v>700</v>
      </c>
      <c r="B701">
        <f>'01_Data'!A701</f>
        <v/>
      </c>
      <c r="C701">
        <f>'03_Lap_Theta'!C701</f>
        <v/>
      </c>
      <c r="D701">
        <f>'03_Lap_Theta'!D701</f>
        <v/>
      </c>
      <c r="E701" s="5">
        <f>'03_Lap_Theta'!$AC701</f>
        <v/>
      </c>
      <c r="F701" s="5">
        <f>SUMPRODUCT(('01_Data'!$B701:$AW701&lt;&gt;"")*(1/(1+EXP(-('03_Lap_Theta'!$AC701-'03_Lap_b'!$B$45:$AW$45))))*(1-(1/(1+EXP(-('03_Lap_Theta'!$AC701-'03_Lap_b'!$B$45:$AW$45))))))</f>
        <v/>
      </c>
      <c r="G701" s="5">
        <f>IF(F701&lt;=0.000000001,"",1/SQRT(F701))</f>
        <v/>
      </c>
      <c r="H701">
        <f>IF(OR(C701=0,C701=D701),"BIÊN","")</f>
        <v/>
      </c>
    </row>
    <row r="702">
      <c r="A702" t="n">
        <v>701</v>
      </c>
      <c r="B702">
        <f>'01_Data'!A702</f>
        <v/>
      </c>
      <c r="C702">
        <f>'03_Lap_Theta'!C702</f>
        <v/>
      </c>
      <c r="D702">
        <f>'03_Lap_Theta'!D702</f>
        <v/>
      </c>
      <c r="E702" s="5">
        <f>'03_Lap_Theta'!$AC702</f>
        <v/>
      </c>
      <c r="F702" s="5">
        <f>SUMPRODUCT(('01_Data'!$B702:$AW702&lt;&gt;"")*(1/(1+EXP(-('03_Lap_Theta'!$AC702-'03_Lap_b'!$B$45:$AW$45))))*(1-(1/(1+EXP(-('03_Lap_Theta'!$AC702-'03_Lap_b'!$B$45:$AW$45))))))</f>
        <v/>
      </c>
      <c r="G702" s="5">
        <f>IF(F702&lt;=0.000000001,"",1/SQRT(F702))</f>
        <v/>
      </c>
      <c r="H702">
        <f>IF(OR(C702=0,C702=D702),"BIÊN","")</f>
        <v/>
      </c>
    </row>
    <row r="703">
      <c r="A703" t="n">
        <v>702</v>
      </c>
      <c r="B703">
        <f>'01_Data'!A703</f>
        <v/>
      </c>
      <c r="C703">
        <f>'03_Lap_Theta'!C703</f>
        <v/>
      </c>
      <c r="D703">
        <f>'03_Lap_Theta'!D703</f>
        <v/>
      </c>
      <c r="E703" s="5">
        <f>'03_Lap_Theta'!$AC703</f>
        <v/>
      </c>
      <c r="F703" s="5">
        <f>SUMPRODUCT(('01_Data'!$B703:$AW703&lt;&gt;"")*(1/(1+EXP(-('03_Lap_Theta'!$AC703-'03_Lap_b'!$B$45:$AW$45))))*(1-(1/(1+EXP(-('03_Lap_Theta'!$AC703-'03_Lap_b'!$B$45:$AW$45))))))</f>
        <v/>
      </c>
      <c r="G703" s="5">
        <f>IF(F703&lt;=0.000000001,"",1/SQRT(F703))</f>
        <v/>
      </c>
      <c r="H703">
        <f>IF(OR(C703=0,C703=D703),"BIÊN","")</f>
        <v/>
      </c>
    </row>
    <row r="704">
      <c r="A704" t="n">
        <v>703</v>
      </c>
      <c r="B704">
        <f>'01_Data'!A704</f>
        <v/>
      </c>
      <c r="C704">
        <f>'03_Lap_Theta'!C704</f>
        <v/>
      </c>
      <c r="D704">
        <f>'03_Lap_Theta'!D704</f>
        <v/>
      </c>
      <c r="E704" s="5">
        <f>'03_Lap_Theta'!$AC704</f>
        <v/>
      </c>
      <c r="F704" s="5">
        <f>SUMPRODUCT(('01_Data'!$B704:$AW704&lt;&gt;"")*(1/(1+EXP(-('03_Lap_Theta'!$AC704-'03_Lap_b'!$B$45:$AW$45))))*(1-(1/(1+EXP(-('03_Lap_Theta'!$AC704-'03_Lap_b'!$B$45:$AW$45))))))</f>
        <v/>
      </c>
      <c r="G704" s="5">
        <f>IF(F704&lt;=0.000000001,"",1/SQRT(F704))</f>
        <v/>
      </c>
      <c r="H704">
        <f>IF(OR(C704=0,C704=D704),"BIÊN","")</f>
        <v/>
      </c>
    </row>
    <row r="705">
      <c r="A705" t="n">
        <v>704</v>
      </c>
      <c r="B705">
        <f>'01_Data'!A705</f>
        <v/>
      </c>
      <c r="C705">
        <f>'03_Lap_Theta'!C705</f>
        <v/>
      </c>
      <c r="D705">
        <f>'03_Lap_Theta'!D705</f>
        <v/>
      </c>
      <c r="E705" s="5">
        <f>'03_Lap_Theta'!$AC705</f>
        <v/>
      </c>
      <c r="F705" s="5">
        <f>SUMPRODUCT(('01_Data'!$B705:$AW705&lt;&gt;"")*(1/(1+EXP(-('03_Lap_Theta'!$AC705-'03_Lap_b'!$B$45:$AW$45))))*(1-(1/(1+EXP(-('03_Lap_Theta'!$AC705-'03_Lap_b'!$B$45:$AW$45))))))</f>
        <v/>
      </c>
      <c r="G705" s="5">
        <f>IF(F705&lt;=0.000000001,"",1/SQRT(F705))</f>
        <v/>
      </c>
      <c r="H705">
        <f>IF(OR(C705=0,C705=D705),"BIÊN","")</f>
        <v/>
      </c>
    </row>
    <row r="706">
      <c r="A706" t="n">
        <v>705</v>
      </c>
      <c r="B706">
        <f>'01_Data'!A706</f>
        <v/>
      </c>
      <c r="C706">
        <f>'03_Lap_Theta'!C706</f>
        <v/>
      </c>
      <c r="D706">
        <f>'03_Lap_Theta'!D706</f>
        <v/>
      </c>
      <c r="E706" s="5">
        <f>'03_Lap_Theta'!$AC706</f>
        <v/>
      </c>
      <c r="F706" s="5">
        <f>SUMPRODUCT(('01_Data'!$B706:$AW706&lt;&gt;"")*(1/(1+EXP(-('03_Lap_Theta'!$AC706-'03_Lap_b'!$B$45:$AW$45))))*(1-(1/(1+EXP(-('03_Lap_Theta'!$AC706-'03_Lap_b'!$B$45:$AW$45))))))</f>
        <v/>
      </c>
      <c r="G706" s="5">
        <f>IF(F706&lt;=0.000000001,"",1/SQRT(F706))</f>
        <v/>
      </c>
      <c r="H706">
        <f>IF(OR(C706=0,C706=D706),"BIÊN","")</f>
        <v/>
      </c>
    </row>
    <row r="707">
      <c r="A707" t="n">
        <v>706</v>
      </c>
      <c r="B707">
        <f>'01_Data'!A707</f>
        <v/>
      </c>
      <c r="C707">
        <f>'03_Lap_Theta'!C707</f>
        <v/>
      </c>
      <c r="D707">
        <f>'03_Lap_Theta'!D707</f>
        <v/>
      </c>
      <c r="E707" s="5">
        <f>'03_Lap_Theta'!$AC707</f>
        <v/>
      </c>
      <c r="F707" s="5">
        <f>SUMPRODUCT(('01_Data'!$B707:$AW707&lt;&gt;"")*(1/(1+EXP(-('03_Lap_Theta'!$AC707-'03_Lap_b'!$B$45:$AW$45))))*(1-(1/(1+EXP(-('03_Lap_Theta'!$AC707-'03_Lap_b'!$B$45:$AW$45))))))</f>
        <v/>
      </c>
      <c r="G707" s="5">
        <f>IF(F707&lt;=0.000000001,"",1/SQRT(F707))</f>
        <v/>
      </c>
      <c r="H707">
        <f>IF(OR(C707=0,C707=D707),"BIÊN","")</f>
        <v/>
      </c>
    </row>
    <row r="708">
      <c r="A708" t="n">
        <v>707</v>
      </c>
      <c r="B708">
        <f>'01_Data'!A708</f>
        <v/>
      </c>
      <c r="C708">
        <f>'03_Lap_Theta'!C708</f>
        <v/>
      </c>
      <c r="D708">
        <f>'03_Lap_Theta'!D708</f>
        <v/>
      </c>
      <c r="E708" s="5">
        <f>'03_Lap_Theta'!$AC708</f>
        <v/>
      </c>
      <c r="F708" s="5">
        <f>SUMPRODUCT(('01_Data'!$B708:$AW708&lt;&gt;"")*(1/(1+EXP(-('03_Lap_Theta'!$AC708-'03_Lap_b'!$B$45:$AW$45))))*(1-(1/(1+EXP(-('03_Lap_Theta'!$AC708-'03_Lap_b'!$B$45:$AW$45))))))</f>
        <v/>
      </c>
      <c r="G708" s="5">
        <f>IF(F708&lt;=0.000000001,"",1/SQRT(F708))</f>
        <v/>
      </c>
      <c r="H708">
        <f>IF(OR(C708=0,C708=D708),"BIÊN","")</f>
        <v/>
      </c>
    </row>
    <row r="709">
      <c r="A709" t="n">
        <v>708</v>
      </c>
      <c r="B709">
        <f>'01_Data'!A709</f>
        <v/>
      </c>
      <c r="C709">
        <f>'03_Lap_Theta'!C709</f>
        <v/>
      </c>
      <c r="D709">
        <f>'03_Lap_Theta'!D709</f>
        <v/>
      </c>
      <c r="E709" s="5">
        <f>'03_Lap_Theta'!$AC709</f>
        <v/>
      </c>
      <c r="F709" s="5">
        <f>SUMPRODUCT(('01_Data'!$B709:$AW709&lt;&gt;"")*(1/(1+EXP(-('03_Lap_Theta'!$AC709-'03_Lap_b'!$B$45:$AW$45))))*(1-(1/(1+EXP(-('03_Lap_Theta'!$AC709-'03_Lap_b'!$B$45:$AW$45))))))</f>
        <v/>
      </c>
      <c r="G709" s="5">
        <f>IF(F709&lt;=0.000000001,"",1/SQRT(F709))</f>
        <v/>
      </c>
      <c r="H709">
        <f>IF(OR(C709=0,C709=D709),"BIÊN","")</f>
        <v/>
      </c>
    </row>
    <row r="710">
      <c r="A710" t="n">
        <v>709</v>
      </c>
      <c r="B710">
        <f>'01_Data'!A710</f>
        <v/>
      </c>
      <c r="C710">
        <f>'03_Lap_Theta'!C710</f>
        <v/>
      </c>
      <c r="D710">
        <f>'03_Lap_Theta'!D710</f>
        <v/>
      </c>
      <c r="E710" s="5">
        <f>'03_Lap_Theta'!$AC710</f>
        <v/>
      </c>
      <c r="F710" s="5">
        <f>SUMPRODUCT(('01_Data'!$B710:$AW710&lt;&gt;"")*(1/(1+EXP(-('03_Lap_Theta'!$AC710-'03_Lap_b'!$B$45:$AW$45))))*(1-(1/(1+EXP(-('03_Lap_Theta'!$AC710-'03_Lap_b'!$B$45:$AW$45))))))</f>
        <v/>
      </c>
      <c r="G710" s="5">
        <f>IF(F710&lt;=0.000000001,"",1/SQRT(F710))</f>
        <v/>
      </c>
      <c r="H710">
        <f>IF(OR(C710=0,C710=D710),"BIÊN","")</f>
        <v/>
      </c>
    </row>
    <row r="711">
      <c r="A711" t="n">
        <v>710</v>
      </c>
      <c r="B711">
        <f>'01_Data'!A711</f>
        <v/>
      </c>
      <c r="C711">
        <f>'03_Lap_Theta'!C711</f>
        <v/>
      </c>
      <c r="D711">
        <f>'03_Lap_Theta'!D711</f>
        <v/>
      </c>
      <c r="E711" s="5">
        <f>'03_Lap_Theta'!$AC711</f>
        <v/>
      </c>
      <c r="F711" s="5">
        <f>SUMPRODUCT(('01_Data'!$B711:$AW711&lt;&gt;"")*(1/(1+EXP(-('03_Lap_Theta'!$AC711-'03_Lap_b'!$B$45:$AW$45))))*(1-(1/(1+EXP(-('03_Lap_Theta'!$AC711-'03_Lap_b'!$B$45:$AW$45))))))</f>
        <v/>
      </c>
      <c r="G711" s="5">
        <f>IF(F711&lt;=0.000000001,"",1/SQRT(F711))</f>
        <v/>
      </c>
      <c r="H711">
        <f>IF(OR(C711=0,C711=D711),"BIÊN","")</f>
        <v/>
      </c>
    </row>
    <row r="712">
      <c r="A712" t="n">
        <v>711</v>
      </c>
      <c r="B712">
        <f>'01_Data'!A712</f>
        <v/>
      </c>
      <c r="C712">
        <f>'03_Lap_Theta'!C712</f>
        <v/>
      </c>
      <c r="D712">
        <f>'03_Lap_Theta'!D712</f>
        <v/>
      </c>
      <c r="E712" s="5">
        <f>'03_Lap_Theta'!$AC712</f>
        <v/>
      </c>
      <c r="F712" s="5">
        <f>SUMPRODUCT(('01_Data'!$B712:$AW712&lt;&gt;"")*(1/(1+EXP(-('03_Lap_Theta'!$AC712-'03_Lap_b'!$B$45:$AW$45))))*(1-(1/(1+EXP(-('03_Lap_Theta'!$AC712-'03_Lap_b'!$B$45:$AW$45))))))</f>
        <v/>
      </c>
      <c r="G712" s="5">
        <f>IF(F712&lt;=0.000000001,"",1/SQRT(F712))</f>
        <v/>
      </c>
      <c r="H712">
        <f>IF(OR(C712=0,C712=D712),"BIÊN","")</f>
        <v/>
      </c>
    </row>
    <row r="713">
      <c r="A713" t="n">
        <v>712</v>
      </c>
      <c r="B713">
        <f>'01_Data'!A713</f>
        <v/>
      </c>
      <c r="C713">
        <f>'03_Lap_Theta'!C713</f>
        <v/>
      </c>
      <c r="D713">
        <f>'03_Lap_Theta'!D713</f>
        <v/>
      </c>
      <c r="E713" s="5">
        <f>'03_Lap_Theta'!$AC713</f>
        <v/>
      </c>
      <c r="F713" s="5">
        <f>SUMPRODUCT(('01_Data'!$B713:$AW713&lt;&gt;"")*(1/(1+EXP(-('03_Lap_Theta'!$AC713-'03_Lap_b'!$B$45:$AW$45))))*(1-(1/(1+EXP(-('03_Lap_Theta'!$AC713-'03_Lap_b'!$B$45:$AW$45))))))</f>
        <v/>
      </c>
      <c r="G713" s="5">
        <f>IF(F713&lt;=0.000000001,"",1/SQRT(F713))</f>
        <v/>
      </c>
      <c r="H713">
        <f>IF(OR(C713=0,C713=D713),"BIÊN","")</f>
        <v/>
      </c>
    </row>
    <row r="714">
      <c r="A714" t="n">
        <v>713</v>
      </c>
      <c r="B714">
        <f>'01_Data'!A714</f>
        <v/>
      </c>
      <c r="C714">
        <f>'03_Lap_Theta'!C714</f>
        <v/>
      </c>
      <c r="D714">
        <f>'03_Lap_Theta'!D714</f>
        <v/>
      </c>
      <c r="E714" s="5">
        <f>'03_Lap_Theta'!$AC714</f>
        <v/>
      </c>
      <c r="F714" s="5">
        <f>SUMPRODUCT(('01_Data'!$B714:$AW714&lt;&gt;"")*(1/(1+EXP(-('03_Lap_Theta'!$AC714-'03_Lap_b'!$B$45:$AW$45))))*(1-(1/(1+EXP(-('03_Lap_Theta'!$AC714-'03_Lap_b'!$B$45:$AW$45))))))</f>
        <v/>
      </c>
      <c r="G714" s="5">
        <f>IF(F714&lt;=0.000000001,"",1/SQRT(F714))</f>
        <v/>
      </c>
      <c r="H714">
        <f>IF(OR(C714=0,C714=D714),"BIÊN","")</f>
        <v/>
      </c>
    </row>
    <row r="715">
      <c r="A715" t="n">
        <v>714</v>
      </c>
      <c r="B715">
        <f>'01_Data'!A715</f>
        <v/>
      </c>
      <c r="C715">
        <f>'03_Lap_Theta'!C715</f>
        <v/>
      </c>
      <c r="D715">
        <f>'03_Lap_Theta'!D715</f>
        <v/>
      </c>
      <c r="E715" s="5">
        <f>'03_Lap_Theta'!$AC715</f>
        <v/>
      </c>
      <c r="F715" s="5">
        <f>SUMPRODUCT(('01_Data'!$B715:$AW715&lt;&gt;"")*(1/(1+EXP(-('03_Lap_Theta'!$AC715-'03_Lap_b'!$B$45:$AW$45))))*(1-(1/(1+EXP(-('03_Lap_Theta'!$AC715-'03_Lap_b'!$B$45:$AW$45))))))</f>
        <v/>
      </c>
      <c r="G715" s="5">
        <f>IF(F715&lt;=0.000000001,"",1/SQRT(F715))</f>
        <v/>
      </c>
      <c r="H715">
        <f>IF(OR(C715=0,C715=D715),"BIÊN","")</f>
        <v/>
      </c>
    </row>
    <row r="716">
      <c r="A716" t="n">
        <v>715</v>
      </c>
      <c r="B716">
        <f>'01_Data'!A716</f>
        <v/>
      </c>
      <c r="C716">
        <f>'03_Lap_Theta'!C716</f>
        <v/>
      </c>
      <c r="D716">
        <f>'03_Lap_Theta'!D716</f>
        <v/>
      </c>
      <c r="E716" s="5">
        <f>'03_Lap_Theta'!$AC716</f>
        <v/>
      </c>
      <c r="F716" s="5">
        <f>SUMPRODUCT(('01_Data'!$B716:$AW716&lt;&gt;"")*(1/(1+EXP(-('03_Lap_Theta'!$AC716-'03_Lap_b'!$B$45:$AW$45))))*(1-(1/(1+EXP(-('03_Lap_Theta'!$AC716-'03_Lap_b'!$B$45:$AW$45))))))</f>
        <v/>
      </c>
      <c r="G716" s="5">
        <f>IF(F716&lt;=0.000000001,"",1/SQRT(F716))</f>
        <v/>
      </c>
      <c r="H716">
        <f>IF(OR(C716=0,C716=D716),"BIÊN","")</f>
        <v/>
      </c>
    </row>
    <row r="717">
      <c r="A717" t="n">
        <v>716</v>
      </c>
      <c r="B717">
        <f>'01_Data'!A717</f>
        <v/>
      </c>
      <c r="C717">
        <f>'03_Lap_Theta'!C717</f>
        <v/>
      </c>
      <c r="D717">
        <f>'03_Lap_Theta'!D717</f>
        <v/>
      </c>
      <c r="E717" s="5">
        <f>'03_Lap_Theta'!$AC717</f>
        <v/>
      </c>
      <c r="F717" s="5">
        <f>SUMPRODUCT(('01_Data'!$B717:$AW717&lt;&gt;"")*(1/(1+EXP(-('03_Lap_Theta'!$AC717-'03_Lap_b'!$B$45:$AW$45))))*(1-(1/(1+EXP(-('03_Lap_Theta'!$AC717-'03_Lap_b'!$B$45:$AW$45))))))</f>
        <v/>
      </c>
      <c r="G717" s="5">
        <f>IF(F717&lt;=0.000000001,"",1/SQRT(F717))</f>
        <v/>
      </c>
      <c r="H717">
        <f>IF(OR(C717=0,C717=D717),"BIÊN","")</f>
        <v/>
      </c>
    </row>
    <row r="718">
      <c r="A718" t="n">
        <v>717</v>
      </c>
      <c r="B718">
        <f>'01_Data'!A718</f>
        <v/>
      </c>
      <c r="C718">
        <f>'03_Lap_Theta'!C718</f>
        <v/>
      </c>
      <c r="D718">
        <f>'03_Lap_Theta'!D718</f>
        <v/>
      </c>
      <c r="E718" s="5">
        <f>'03_Lap_Theta'!$AC718</f>
        <v/>
      </c>
      <c r="F718" s="5">
        <f>SUMPRODUCT(('01_Data'!$B718:$AW718&lt;&gt;"")*(1/(1+EXP(-('03_Lap_Theta'!$AC718-'03_Lap_b'!$B$45:$AW$45))))*(1-(1/(1+EXP(-('03_Lap_Theta'!$AC718-'03_Lap_b'!$B$45:$AW$45))))))</f>
        <v/>
      </c>
      <c r="G718" s="5">
        <f>IF(F718&lt;=0.000000001,"",1/SQRT(F718))</f>
        <v/>
      </c>
      <c r="H718">
        <f>IF(OR(C718=0,C718=D718),"BIÊN","")</f>
        <v/>
      </c>
    </row>
    <row r="719">
      <c r="A719" t="n">
        <v>718</v>
      </c>
      <c r="B719">
        <f>'01_Data'!A719</f>
        <v/>
      </c>
      <c r="C719">
        <f>'03_Lap_Theta'!C719</f>
        <v/>
      </c>
      <c r="D719">
        <f>'03_Lap_Theta'!D719</f>
        <v/>
      </c>
      <c r="E719" s="5">
        <f>'03_Lap_Theta'!$AC719</f>
        <v/>
      </c>
      <c r="F719" s="5">
        <f>SUMPRODUCT(('01_Data'!$B719:$AW719&lt;&gt;"")*(1/(1+EXP(-('03_Lap_Theta'!$AC719-'03_Lap_b'!$B$45:$AW$45))))*(1-(1/(1+EXP(-('03_Lap_Theta'!$AC719-'03_Lap_b'!$B$45:$AW$45))))))</f>
        <v/>
      </c>
      <c r="G719" s="5">
        <f>IF(F719&lt;=0.000000001,"",1/SQRT(F719))</f>
        <v/>
      </c>
      <c r="H719">
        <f>IF(OR(C719=0,C719=D719),"BIÊN","")</f>
        <v/>
      </c>
    </row>
    <row r="720">
      <c r="A720" t="n">
        <v>719</v>
      </c>
      <c r="B720">
        <f>'01_Data'!A720</f>
        <v/>
      </c>
      <c r="C720">
        <f>'03_Lap_Theta'!C720</f>
        <v/>
      </c>
      <c r="D720">
        <f>'03_Lap_Theta'!D720</f>
        <v/>
      </c>
      <c r="E720" s="5">
        <f>'03_Lap_Theta'!$AC720</f>
        <v/>
      </c>
      <c r="F720" s="5">
        <f>SUMPRODUCT(('01_Data'!$B720:$AW720&lt;&gt;"")*(1/(1+EXP(-('03_Lap_Theta'!$AC720-'03_Lap_b'!$B$45:$AW$45))))*(1-(1/(1+EXP(-('03_Lap_Theta'!$AC720-'03_Lap_b'!$B$45:$AW$45))))))</f>
        <v/>
      </c>
      <c r="G720" s="5">
        <f>IF(F720&lt;=0.000000001,"",1/SQRT(F720))</f>
        <v/>
      </c>
      <c r="H720">
        <f>IF(OR(C720=0,C720=D720),"BIÊN","")</f>
        <v/>
      </c>
    </row>
    <row r="721">
      <c r="A721" t="n">
        <v>720</v>
      </c>
      <c r="B721">
        <f>'01_Data'!A721</f>
        <v/>
      </c>
      <c r="C721">
        <f>'03_Lap_Theta'!C721</f>
        <v/>
      </c>
      <c r="D721">
        <f>'03_Lap_Theta'!D721</f>
        <v/>
      </c>
      <c r="E721" s="5">
        <f>'03_Lap_Theta'!$AC721</f>
        <v/>
      </c>
      <c r="F721" s="5">
        <f>SUMPRODUCT(('01_Data'!$B721:$AW721&lt;&gt;"")*(1/(1+EXP(-('03_Lap_Theta'!$AC721-'03_Lap_b'!$B$45:$AW$45))))*(1-(1/(1+EXP(-('03_Lap_Theta'!$AC721-'03_Lap_b'!$B$45:$AW$45))))))</f>
        <v/>
      </c>
      <c r="G721" s="5">
        <f>IF(F721&lt;=0.000000001,"",1/SQRT(F721))</f>
        <v/>
      </c>
      <c r="H721">
        <f>IF(OR(C721=0,C721=D721),"BIÊN","")</f>
        <v/>
      </c>
    </row>
    <row r="722">
      <c r="A722" t="n">
        <v>721</v>
      </c>
      <c r="B722">
        <f>'01_Data'!A722</f>
        <v/>
      </c>
      <c r="C722">
        <f>'03_Lap_Theta'!C722</f>
        <v/>
      </c>
      <c r="D722">
        <f>'03_Lap_Theta'!D722</f>
        <v/>
      </c>
      <c r="E722" s="5">
        <f>'03_Lap_Theta'!$AC722</f>
        <v/>
      </c>
      <c r="F722" s="5">
        <f>SUMPRODUCT(('01_Data'!$B722:$AW722&lt;&gt;"")*(1/(1+EXP(-('03_Lap_Theta'!$AC722-'03_Lap_b'!$B$45:$AW$45))))*(1-(1/(1+EXP(-('03_Lap_Theta'!$AC722-'03_Lap_b'!$B$45:$AW$45))))))</f>
        <v/>
      </c>
      <c r="G722" s="5">
        <f>IF(F722&lt;=0.000000001,"",1/SQRT(F722))</f>
        <v/>
      </c>
      <c r="H722">
        <f>IF(OR(C722=0,C722=D722),"BIÊN","")</f>
        <v/>
      </c>
    </row>
    <row r="723">
      <c r="A723" t="n">
        <v>722</v>
      </c>
      <c r="B723">
        <f>'01_Data'!A723</f>
        <v/>
      </c>
      <c r="C723">
        <f>'03_Lap_Theta'!C723</f>
        <v/>
      </c>
      <c r="D723">
        <f>'03_Lap_Theta'!D723</f>
        <v/>
      </c>
      <c r="E723" s="5">
        <f>'03_Lap_Theta'!$AC723</f>
        <v/>
      </c>
      <c r="F723" s="5">
        <f>SUMPRODUCT(('01_Data'!$B723:$AW723&lt;&gt;"")*(1/(1+EXP(-('03_Lap_Theta'!$AC723-'03_Lap_b'!$B$45:$AW$45))))*(1-(1/(1+EXP(-('03_Lap_Theta'!$AC723-'03_Lap_b'!$B$45:$AW$45))))))</f>
        <v/>
      </c>
      <c r="G723" s="5">
        <f>IF(F723&lt;=0.000000001,"",1/SQRT(F723))</f>
        <v/>
      </c>
      <c r="H723">
        <f>IF(OR(C723=0,C723=D723),"BIÊN","")</f>
        <v/>
      </c>
    </row>
    <row r="724">
      <c r="A724" t="n">
        <v>723</v>
      </c>
      <c r="B724">
        <f>'01_Data'!A724</f>
        <v/>
      </c>
      <c r="C724">
        <f>'03_Lap_Theta'!C724</f>
        <v/>
      </c>
      <c r="D724">
        <f>'03_Lap_Theta'!D724</f>
        <v/>
      </c>
      <c r="E724" s="5">
        <f>'03_Lap_Theta'!$AC724</f>
        <v/>
      </c>
      <c r="F724" s="5">
        <f>SUMPRODUCT(('01_Data'!$B724:$AW724&lt;&gt;"")*(1/(1+EXP(-('03_Lap_Theta'!$AC724-'03_Lap_b'!$B$45:$AW$45))))*(1-(1/(1+EXP(-('03_Lap_Theta'!$AC724-'03_Lap_b'!$B$45:$AW$45))))))</f>
        <v/>
      </c>
      <c r="G724" s="5">
        <f>IF(F724&lt;=0.000000001,"",1/SQRT(F724))</f>
        <v/>
      </c>
      <c r="H724">
        <f>IF(OR(C724=0,C724=D724),"BIÊN","")</f>
        <v/>
      </c>
    </row>
    <row r="725">
      <c r="A725" t="n">
        <v>724</v>
      </c>
      <c r="B725">
        <f>'01_Data'!A725</f>
        <v/>
      </c>
      <c r="C725">
        <f>'03_Lap_Theta'!C725</f>
        <v/>
      </c>
      <c r="D725">
        <f>'03_Lap_Theta'!D725</f>
        <v/>
      </c>
      <c r="E725" s="5">
        <f>'03_Lap_Theta'!$AC725</f>
        <v/>
      </c>
      <c r="F725" s="5">
        <f>SUMPRODUCT(('01_Data'!$B725:$AW725&lt;&gt;"")*(1/(1+EXP(-('03_Lap_Theta'!$AC725-'03_Lap_b'!$B$45:$AW$45))))*(1-(1/(1+EXP(-('03_Lap_Theta'!$AC725-'03_Lap_b'!$B$45:$AW$45))))))</f>
        <v/>
      </c>
      <c r="G725" s="5">
        <f>IF(F725&lt;=0.000000001,"",1/SQRT(F725))</f>
        <v/>
      </c>
      <c r="H725">
        <f>IF(OR(C725=0,C725=D725),"BIÊN","")</f>
        <v/>
      </c>
    </row>
    <row r="726">
      <c r="A726" t="n">
        <v>725</v>
      </c>
      <c r="B726">
        <f>'01_Data'!A726</f>
        <v/>
      </c>
      <c r="C726">
        <f>'03_Lap_Theta'!C726</f>
        <v/>
      </c>
      <c r="D726">
        <f>'03_Lap_Theta'!D726</f>
        <v/>
      </c>
      <c r="E726" s="5">
        <f>'03_Lap_Theta'!$AC726</f>
        <v/>
      </c>
      <c r="F726" s="5">
        <f>SUMPRODUCT(('01_Data'!$B726:$AW726&lt;&gt;"")*(1/(1+EXP(-('03_Lap_Theta'!$AC726-'03_Lap_b'!$B$45:$AW$45))))*(1-(1/(1+EXP(-('03_Lap_Theta'!$AC726-'03_Lap_b'!$B$45:$AW$45))))))</f>
        <v/>
      </c>
      <c r="G726" s="5">
        <f>IF(F726&lt;=0.000000001,"",1/SQRT(F726))</f>
        <v/>
      </c>
      <c r="H726">
        <f>IF(OR(C726=0,C726=D726),"BIÊN","")</f>
        <v/>
      </c>
    </row>
    <row r="727">
      <c r="A727" t="n">
        <v>726</v>
      </c>
      <c r="B727">
        <f>'01_Data'!A727</f>
        <v/>
      </c>
      <c r="C727">
        <f>'03_Lap_Theta'!C727</f>
        <v/>
      </c>
      <c r="D727">
        <f>'03_Lap_Theta'!D727</f>
        <v/>
      </c>
      <c r="E727" s="5">
        <f>'03_Lap_Theta'!$AC727</f>
        <v/>
      </c>
      <c r="F727" s="5">
        <f>SUMPRODUCT(('01_Data'!$B727:$AW727&lt;&gt;"")*(1/(1+EXP(-('03_Lap_Theta'!$AC727-'03_Lap_b'!$B$45:$AW$45))))*(1-(1/(1+EXP(-('03_Lap_Theta'!$AC727-'03_Lap_b'!$B$45:$AW$45))))))</f>
        <v/>
      </c>
      <c r="G727" s="5">
        <f>IF(F727&lt;=0.000000001,"",1/SQRT(F727))</f>
        <v/>
      </c>
      <c r="H727">
        <f>IF(OR(C727=0,C727=D727),"BIÊN","")</f>
        <v/>
      </c>
    </row>
    <row r="728">
      <c r="A728" t="n">
        <v>727</v>
      </c>
      <c r="B728">
        <f>'01_Data'!A728</f>
        <v/>
      </c>
      <c r="C728">
        <f>'03_Lap_Theta'!C728</f>
        <v/>
      </c>
      <c r="D728">
        <f>'03_Lap_Theta'!D728</f>
        <v/>
      </c>
      <c r="E728" s="5">
        <f>'03_Lap_Theta'!$AC728</f>
        <v/>
      </c>
      <c r="F728" s="5">
        <f>SUMPRODUCT(('01_Data'!$B728:$AW728&lt;&gt;"")*(1/(1+EXP(-('03_Lap_Theta'!$AC728-'03_Lap_b'!$B$45:$AW$45))))*(1-(1/(1+EXP(-('03_Lap_Theta'!$AC728-'03_Lap_b'!$B$45:$AW$45))))))</f>
        <v/>
      </c>
      <c r="G728" s="5">
        <f>IF(F728&lt;=0.000000001,"",1/SQRT(F728))</f>
        <v/>
      </c>
      <c r="H728">
        <f>IF(OR(C728=0,C728=D728),"BIÊN","")</f>
        <v/>
      </c>
    </row>
    <row r="729">
      <c r="A729" t="n">
        <v>728</v>
      </c>
      <c r="B729">
        <f>'01_Data'!A729</f>
        <v/>
      </c>
      <c r="C729">
        <f>'03_Lap_Theta'!C729</f>
        <v/>
      </c>
      <c r="D729">
        <f>'03_Lap_Theta'!D729</f>
        <v/>
      </c>
      <c r="E729" s="5">
        <f>'03_Lap_Theta'!$AC729</f>
        <v/>
      </c>
      <c r="F729" s="5">
        <f>SUMPRODUCT(('01_Data'!$B729:$AW729&lt;&gt;"")*(1/(1+EXP(-('03_Lap_Theta'!$AC729-'03_Lap_b'!$B$45:$AW$45))))*(1-(1/(1+EXP(-('03_Lap_Theta'!$AC729-'03_Lap_b'!$B$45:$AW$45))))))</f>
        <v/>
      </c>
      <c r="G729" s="5">
        <f>IF(F729&lt;=0.000000001,"",1/SQRT(F729))</f>
        <v/>
      </c>
      <c r="H729">
        <f>IF(OR(C729=0,C729=D729),"BIÊN","")</f>
        <v/>
      </c>
    </row>
    <row r="730">
      <c r="A730" t="n">
        <v>729</v>
      </c>
      <c r="B730">
        <f>'01_Data'!A730</f>
        <v/>
      </c>
      <c r="C730">
        <f>'03_Lap_Theta'!C730</f>
        <v/>
      </c>
      <c r="D730">
        <f>'03_Lap_Theta'!D730</f>
        <v/>
      </c>
      <c r="E730" s="5">
        <f>'03_Lap_Theta'!$AC730</f>
        <v/>
      </c>
      <c r="F730" s="5">
        <f>SUMPRODUCT(('01_Data'!$B730:$AW730&lt;&gt;"")*(1/(1+EXP(-('03_Lap_Theta'!$AC730-'03_Lap_b'!$B$45:$AW$45))))*(1-(1/(1+EXP(-('03_Lap_Theta'!$AC730-'03_Lap_b'!$B$45:$AW$45))))))</f>
        <v/>
      </c>
      <c r="G730" s="5">
        <f>IF(F730&lt;=0.000000001,"",1/SQRT(F730))</f>
        <v/>
      </c>
      <c r="H730">
        <f>IF(OR(C730=0,C730=D730),"BIÊN","")</f>
        <v/>
      </c>
    </row>
    <row r="731">
      <c r="A731" t="n">
        <v>730</v>
      </c>
      <c r="B731">
        <f>'01_Data'!A731</f>
        <v/>
      </c>
      <c r="C731">
        <f>'03_Lap_Theta'!C731</f>
        <v/>
      </c>
      <c r="D731">
        <f>'03_Lap_Theta'!D731</f>
        <v/>
      </c>
      <c r="E731" s="5">
        <f>'03_Lap_Theta'!$AC731</f>
        <v/>
      </c>
      <c r="F731" s="5">
        <f>SUMPRODUCT(('01_Data'!$B731:$AW731&lt;&gt;"")*(1/(1+EXP(-('03_Lap_Theta'!$AC731-'03_Lap_b'!$B$45:$AW$45))))*(1-(1/(1+EXP(-('03_Lap_Theta'!$AC731-'03_Lap_b'!$B$45:$AW$45))))))</f>
        <v/>
      </c>
      <c r="G731" s="5">
        <f>IF(F731&lt;=0.000000001,"",1/SQRT(F731))</f>
        <v/>
      </c>
      <c r="H731">
        <f>IF(OR(C731=0,C731=D731),"BIÊN","")</f>
        <v/>
      </c>
    </row>
    <row r="732">
      <c r="A732" t="n">
        <v>731</v>
      </c>
      <c r="B732">
        <f>'01_Data'!A732</f>
        <v/>
      </c>
      <c r="C732">
        <f>'03_Lap_Theta'!C732</f>
        <v/>
      </c>
      <c r="D732">
        <f>'03_Lap_Theta'!D732</f>
        <v/>
      </c>
      <c r="E732" s="5">
        <f>'03_Lap_Theta'!$AC732</f>
        <v/>
      </c>
      <c r="F732" s="5">
        <f>SUMPRODUCT(('01_Data'!$B732:$AW732&lt;&gt;"")*(1/(1+EXP(-('03_Lap_Theta'!$AC732-'03_Lap_b'!$B$45:$AW$45))))*(1-(1/(1+EXP(-('03_Lap_Theta'!$AC732-'03_Lap_b'!$B$45:$AW$45))))))</f>
        <v/>
      </c>
      <c r="G732" s="5">
        <f>IF(F732&lt;=0.000000001,"",1/SQRT(F732))</f>
        <v/>
      </c>
      <c r="H732">
        <f>IF(OR(C732=0,C732=D732),"BIÊN","")</f>
        <v/>
      </c>
    </row>
    <row r="733">
      <c r="A733" t="n">
        <v>732</v>
      </c>
      <c r="B733">
        <f>'01_Data'!A733</f>
        <v/>
      </c>
      <c r="C733">
        <f>'03_Lap_Theta'!C733</f>
        <v/>
      </c>
      <c r="D733">
        <f>'03_Lap_Theta'!D733</f>
        <v/>
      </c>
      <c r="E733" s="5">
        <f>'03_Lap_Theta'!$AC733</f>
        <v/>
      </c>
      <c r="F733" s="5">
        <f>SUMPRODUCT(('01_Data'!$B733:$AW733&lt;&gt;"")*(1/(1+EXP(-('03_Lap_Theta'!$AC733-'03_Lap_b'!$B$45:$AW$45))))*(1-(1/(1+EXP(-('03_Lap_Theta'!$AC733-'03_Lap_b'!$B$45:$AW$45))))))</f>
        <v/>
      </c>
      <c r="G733" s="5">
        <f>IF(F733&lt;=0.000000001,"",1/SQRT(F733))</f>
        <v/>
      </c>
      <c r="H733">
        <f>IF(OR(C733=0,C733=D733),"BIÊN","")</f>
        <v/>
      </c>
    </row>
    <row r="734">
      <c r="A734" t="n">
        <v>733</v>
      </c>
      <c r="B734">
        <f>'01_Data'!A734</f>
        <v/>
      </c>
      <c r="C734">
        <f>'03_Lap_Theta'!C734</f>
        <v/>
      </c>
      <c r="D734">
        <f>'03_Lap_Theta'!D734</f>
        <v/>
      </c>
      <c r="E734" s="5">
        <f>'03_Lap_Theta'!$AC734</f>
        <v/>
      </c>
      <c r="F734" s="5">
        <f>SUMPRODUCT(('01_Data'!$B734:$AW734&lt;&gt;"")*(1/(1+EXP(-('03_Lap_Theta'!$AC734-'03_Lap_b'!$B$45:$AW$45))))*(1-(1/(1+EXP(-('03_Lap_Theta'!$AC734-'03_Lap_b'!$B$45:$AW$45))))))</f>
        <v/>
      </c>
      <c r="G734" s="5">
        <f>IF(F734&lt;=0.000000001,"",1/SQRT(F734))</f>
        <v/>
      </c>
      <c r="H734">
        <f>IF(OR(C734=0,C734=D734),"BIÊN","")</f>
        <v/>
      </c>
    </row>
    <row r="735">
      <c r="A735" t="n">
        <v>734</v>
      </c>
      <c r="B735">
        <f>'01_Data'!A735</f>
        <v/>
      </c>
      <c r="C735">
        <f>'03_Lap_Theta'!C735</f>
        <v/>
      </c>
      <c r="D735">
        <f>'03_Lap_Theta'!D735</f>
        <v/>
      </c>
      <c r="E735" s="5">
        <f>'03_Lap_Theta'!$AC735</f>
        <v/>
      </c>
      <c r="F735" s="5">
        <f>SUMPRODUCT(('01_Data'!$B735:$AW735&lt;&gt;"")*(1/(1+EXP(-('03_Lap_Theta'!$AC735-'03_Lap_b'!$B$45:$AW$45))))*(1-(1/(1+EXP(-('03_Lap_Theta'!$AC735-'03_Lap_b'!$B$45:$AW$45))))))</f>
        <v/>
      </c>
      <c r="G735" s="5">
        <f>IF(F735&lt;=0.000000001,"",1/SQRT(F735))</f>
        <v/>
      </c>
      <c r="H735">
        <f>IF(OR(C735=0,C735=D735),"BIÊN","")</f>
        <v/>
      </c>
    </row>
    <row r="736">
      <c r="A736" t="n">
        <v>735</v>
      </c>
      <c r="B736">
        <f>'01_Data'!A736</f>
        <v/>
      </c>
      <c r="C736">
        <f>'03_Lap_Theta'!C736</f>
        <v/>
      </c>
      <c r="D736">
        <f>'03_Lap_Theta'!D736</f>
        <v/>
      </c>
      <c r="E736" s="5">
        <f>'03_Lap_Theta'!$AC736</f>
        <v/>
      </c>
      <c r="F736" s="5">
        <f>SUMPRODUCT(('01_Data'!$B736:$AW736&lt;&gt;"")*(1/(1+EXP(-('03_Lap_Theta'!$AC736-'03_Lap_b'!$B$45:$AW$45))))*(1-(1/(1+EXP(-('03_Lap_Theta'!$AC736-'03_Lap_b'!$B$45:$AW$45))))))</f>
        <v/>
      </c>
      <c r="G736" s="5">
        <f>IF(F736&lt;=0.000000001,"",1/SQRT(F736))</f>
        <v/>
      </c>
      <c r="H736">
        <f>IF(OR(C736=0,C736=D736),"BIÊN","")</f>
        <v/>
      </c>
    </row>
    <row r="737">
      <c r="A737" t="n">
        <v>736</v>
      </c>
      <c r="B737">
        <f>'01_Data'!A737</f>
        <v/>
      </c>
      <c r="C737">
        <f>'03_Lap_Theta'!C737</f>
        <v/>
      </c>
      <c r="D737">
        <f>'03_Lap_Theta'!D737</f>
        <v/>
      </c>
      <c r="E737" s="5">
        <f>'03_Lap_Theta'!$AC737</f>
        <v/>
      </c>
      <c r="F737" s="5">
        <f>SUMPRODUCT(('01_Data'!$B737:$AW737&lt;&gt;"")*(1/(1+EXP(-('03_Lap_Theta'!$AC737-'03_Lap_b'!$B$45:$AW$45))))*(1-(1/(1+EXP(-('03_Lap_Theta'!$AC737-'03_Lap_b'!$B$45:$AW$45))))))</f>
        <v/>
      </c>
      <c r="G737" s="5">
        <f>IF(F737&lt;=0.000000001,"",1/SQRT(F737))</f>
        <v/>
      </c>
      <c r="H737">
        <f>IF(OR(C737=0,C737=D737),"BIÊN","")</f>
        <v/>
      </c>
    </row>
    <row r="738">
      <c r="A738" t="n">
        <v>737</v>
      </c>
      <c r="B738">
        <f>'01_Data'!A738</f>
        <v/>
      </c>
      <c r="C738">
        <f>'03_Lap_Theta'!C738</f>
        <v/>
      </c>
      <c r="D738">
        <f>'03_Lap_Theta'!D738</f>
        <v/>
      </c>
      <c r="E738" s="5">
        <f>'03_Lap_Theta'!$AC738</f>
        <v/>
      </c>
      <c r="F738" s="5">
        <f>SUMPRODUCT(('01_Data'!$B738:$AW738&lt;&gt;"")*(1/(1+EXP(-('03_Lap_Theta'!$AC738-'03_Lap_b'!$B$45:$AW$45))))*(1-(1/(1+EXP(-('03_Lap_Theta'!$AC738-'03_Lap_b'!$B$45:$AW$45))))))</f>
        <v/>
      </c>
      <c r="G738" s="5">
        <f>IF(F738&lt;=0.000000001,"",1/SQRT(F738))</f>
        <v/>
      </c>
      <c r="H738">
        <f>IF(OR(C738=0,C738=D738),"BIÊN","")</f>
        <v/>
      </c>
    </row>
    <row r="739">
      <c r="A739" t="n">
        <v>738</v>
      </c>
      <c r="B739">
        <f>'01_Data'!A739</f>
        <v/>
      </c>
      <c r="C739">
        <f>'03_Lap_Theta'!C739</f>
        <v/>
      </c>
      <c r="D739">
        <f>'03_Lap_Theta'!D739</f>
        <v/>
      </c>
      <c r="E739" s="5">
        <f>'03_Lap_Theta'!$AC739</f>
        <v/>
      </c>
      <c r="F739" s="5">
        <f>SUMPRODUCT(('01_Data'!$B739:$AW739&lt;&gt;"")*(1/(1+EXP(-('03_Lap_Theta'!$AC739-'03_Lap_b'!$B$45:$AW$45))))*(1-(1/(1+EXP(-('03_Lap_Theta'!$AC739-'03_Lap_b'!$B$45:$AW$45))))))</f>
        <v/>
      </c>
      <c r="G739" s="5">
        <f>IF(F739&lt;=0.000000001,"",1/SQRT(F739))</f>
        <v/>
      </c>
      <c r="H739">
        <f>IF(OR(C739=0,C739=D739),"BIÊN","")</f>
        <v/>
      </c>
    </row>
    <row r="740">
      <c r="A740" t="n">
        <v>739</v>
      </c>
      <c r="B740">
        <f>'01_Data'!A740</f>
        <v/>
      </c>
      <c r="C740">
        <f>'03_Lap_Theta'!C740</f>
        <v/>
      </c>
      <c r="D740">
        <f>'03_Lap_Theta'!D740</f>
        <v/>
      </c>
      <c r="E740" s="5">
        <f>'03_Lap_Theta'!$AC740</f>
        <v/>
      </c>
      <c r="F740" s="5">
        <f>SUMPRODUCT(('01_Data'!$B740:$AW740&lt;&gt;"")*(1/(1+EXP(-('03_Lap_Theta'!$AC740-'03_Lap_b'!$B$45:$AW$45))))*(1-(1/(1+EXP(-('03_Lap_Theta'!$AC740-'03_Lap_b'!$B$45:$AW$45))))))</f>
        <v/>
      </c>
      <c r="G740" s="5">
        <f>IF(F740&lt;=0.000000001,"",1/SQRT(F740))</f>
        <v/>
      </c>
      <c r="H740">
        <f>IF(OR(C740=0,C740=D740),"BIÊN","")</f>
        <v/>
      </c>
    </row>
    <row r="741">
      <c r="A741" t="n">
        <v>740</v>
      </c>
      <c r="B741">
        <f>'01_Data'!A741</f>
        <v/>
      </c>
      <c r="C741">
        <f>'03_Lap_Theta'!C741</f>
        <v/>
      </c>
      <c r="D741">
        <f>'03_Lap_Theta'!D741</f>
        <v/>
      </c>
      <c r="E741" s="5">
        <f>'03_Lap_Theta'!$AC741</f>
        <v/>
      </c>
      <c r="F741" s="5">
        <f>SUMPRODUCT(('01_Data'!$B741:$AW741&lt;&gt;"")*(1/(1+EXP(-('03_Lap_Theta'!$AC741-'03_Lap_b'!$B$45:$AW$45))))*(1-(1/(1+EXP(-('03_Lap_Theta'!$AC741-'03_Lap_b'!$B$45:$AW$45))))))</f>
        <v/>
      </c>
      <c r="G741" s="5">
        <f>IF(F741&lt;=0.000000001,"",1/SQRT(F741))</f>
        <v/>
      </c>
      <c r="H741">
        <f>IF(OR(C741=0,C741=D741),"BIÊN","")</f>
        <v/>
      </c>
    </row>
    <row r="742">
      <c r="A742" t="n">
        <v>741</v>
      </c>
      <c r="B742">
        <f>'01_Data'!A742</f>
        <v/>
      </c>
      <c r="C742">
        <f>'03_Lap_Theta'!C742</f>
        <v/>
      </c>
      <c r="D742">
        <f>'03_Lap_Theta'!D742</f>
        <v/>
      </c>
      <c r="E742" s="5">
        <f>'03_Lap_Theta'!$AC742</f>
        <v/>
      </c>
      <c r="F742" s="5">
        <f>SUMPRODUCT(('01_Data'!$B742:$AW742&lt;&gt;"")*(1/(1+EXP(-('03_Lap_Theta'!$AC742-'03_Lap_b'!$B$45:$AW$45))))*(1-(1/(1+EXP(-('03_Lap_Theta'!$AC742-'03_Lap_b'!$B$45:$AW$45))))))</f>
        <v/>
      </c>
      <c r="G742" s="5">
        <f>IF(F742&lt;=0.000000001,"",1/SQRT(F742))</f>
        <v/>
      </c>
      <c r="H742">
        <f>IF(OR(C742=0,C742=D742),"BIÊN","")</f>
        <v/>
      </c>
    </row>
    <row r="743">
      <c r="A743" t="n">
        <v>742</v>
      </c>
      <c r="B743">
        <f>'01_Data'!A743</f>
        <v/>
      </c>
      <c r="C743">
        <f>'03_Lap_Theta'!C743</f>
        <v/>
      </c>
      <c r="D743">
        <f>'03_Lap_Theta'!D743</f>
        <v/>
      </c>
      <c r="E743" s="5">
        <f>'03_Lap_Theta'!$AC743</f>
        <v/>
      </c>
      <c r="F743" s="5">
        <f>SUMPRODUCT(('01_Data'!$B743:$AW743&lt;&gt;"")*(1/(1+EXP(-('03_Lap_Theta'!$AC743-'03_Lap_b'!$B$45:$AW$45))))*(1-(1/(1+EXP(-('03_Lap_Theta'!$AC743-'03_Lap_b'!$B$45:$AW$45))))))</f>
        <v/>
      </c>
      <c r="G743" s="5">
        <f>IF(F743&lt;=0.000000001,"",1/SQRT(F743))</f>
        <v/>
      </c>
      <c r="H743">
        <f>IF(OR(C743=0,C743=D743),"BIÊN","")</f>
        <v/>
      </c>
    </row>
    <row r="744">
      <c r="A744" t="n">
        <v>743</v>
      </c>
      <c r="B744">
        <f>'01_Data'!A744</f>
        <v/>
      </c>
      <c r="C744">
        <f>'03_Lap_Theta'!C744</f>
        <v/>
      </c>
      <c r="D744">
        <f>'03_Lap_Theta'!D744</f>
        <v/>
      </c>
      <c r="E744" s="5">
        <f>'03_Lap_Theta'!$AC744</f>
        <v/>
      </c>
      <c r="F744" s="5">
        <f>SUMPRODUCT(('01_Data'!$B744:$AW744&lt;&gt;"")*(1/(1+EXP(-('03_Lap_Theta'!$AC744-'03_Lap_b'!$B$45:$AW$45))))*(1-(1/(1+EXP(-('03_Lap_Theta'!$AC744-'03_Lap_b'!$B$45:$AW$45))))))</f>
        <v/>
      </c>
      <c r="G744" s="5">
        <f>IF(F744&lt;=0.000000001,"",1/SQRT(F744))</f>
        <v/>
      </c>
      <c r="H744">
        <f>IF(OR(C744=0,C744=D744),"BIÊN","")</f>
        <v/>
      </c>
    </row>
    <row r="745">
      <c r="A745" t="n">
        <v>744</v>
      </c>
      <c r="B745">
        <f>'01_Data'!A745</f>
        <v/>
      </c>
      <c r="C745">
        <f>'03_Lap_Theta'!C745</f>
        <v/>
      </c>
      <c r="D745">
        <f>'03_Lap_Theta'!D745</f>
        <v/>
      </c>
      <c r="E745" s="5">
        <f>'03_Lap_Theta'!$AC745</f>
        <v/>
      </c>
      <c r="F745" s="5">
        <f>SUMPRODUCT(('01_Data'!$B745:$AW745&lt;&gt;"")*(1/(1+EXP(-('03_Lap_Theta'!$AC745-'03_Lap_b'!$B$45:$AW$45))))*(1-(1/(1+EXP(-('03_Lap_Theta'!$AC745-'03_Lap_b'!$B$45:$AW$45))))))</f>
        <v/>
      </c>
      <c r="G745" s="5">
        <f>IF(F745&lt;=0.000000001,"",1/SQRT(F745))</f>
        <v/>
      </c>
      <c r="H745">
        <f>IF(OR(C745=0,C745=D745),"BIÊN","")</f>
        <v/>
      </c>
    </row>
    <row r="746">
      <c r="A746" t="n">
        <v>745</v>
      </c>
      <c r="B746">
        <f>'01_Data'!A746</f>
        <v/>
      </c>
      <c r="C746">
        <f>'03_Lap_Theta'!C746</f>
        <v/>
      </c>
      <c r="D746">
        <f>'03_Lap_Theta'!D746</f>
        <v/>
      </c>
      <c r="E746" s="5">
        <f>'03_Lap_Theta'!$AC746</f>
        <v/>
      </c>
      <c r="F746" s="5">
        <f>SUMPRODUCT(('01_Data'!$B746:$AW746&lt;&gt;"")*(1/(1+EXP(-('03_Lap_Theta'!$AC746-'03_Lap_b'!$B$45:$AW$45))))*(1-(1/(1+EXP(-('03_Lap_Theta'!$AC746-'03_Lap_b'!$B$45:$AW$45))))))</f>
        <v/>
      </c>
      <c r="G746" s="5">
        <f>IF(F746&lt;=0.000000001,"",1/SQRT(F746))</f>
        <v/>
      </c>
      <c r="H746">
        <f>IF(OR(C746=0,C746=D746),"BIÊN","")</f>
        <v/>
      </c>
    </row>
    <row r="747">
      <c r="A747" t="n">
        <v>746</v>
      </c>
      <c r="B747">
        <f>'01_Data'!A747</f>
        <v/>
      </c>
      <c r="C747">
        <f>'03_Lap_Theta'!C747</f>
        <v/>
      </c>
      <c r="D747">
        <f>'03_Lap_Theta'!D747</f>
        <v/>
      </c>
      <c r="E747" s="5">
        <f>'03_Lap_Theta'!$AC747</f>
        <v/>
      </c>
      <c r="F747" s="5">
        <f>SUMPRODUCT(('01_Data'!$B747:$AW747&lt;&gt;"")*(1/(1+EXP(-('03_Lap_Theta'!$AC747-'03_Lap_b'!$B$45:$AW$45))))*(1-(1/(1+EXP(-('03_Lap_Theta'!$AC747-'03_Lap_b'!$B$45:$AW$45))))))</f>
        <v/>
      </c>
      <c r="G747" s="5">
        <f>IF(F747&lt;=0.000000001,"",1/SQRT(F747))</f>
        <v/>
      </c>
      <c r="H747">
        <f>IF(OR(C747=0,C747=D747),"BIÊN","")</f>
        <v/>
      </c>
    </row>
    <row r="748">
      <c r="A748" t="n">
        <v>747</v>
      </c>
      <c r="B748">
        <f>'01_Data'!A748</f>
        <v/>
      </c>
      <c r="C748">
        <f>'03_Lap_Theta'!C748</f>
        <v/>
      </c>
      <c r="D748">
        <f>'03_Lap_Theta'!D748</f>
        <v/>
      </c>
      <c r="E748" s="5">
        <f>'03_Lap_Theta'!$AC748</f>
        <v/>
      </c>
      <c r="F748" s="5">
        <f>SUMPRODUCT(('01_Data'!$B748:$AW748&lt;&gt;"")*(1/(1+EXP(-('03_Lap_Theta'!$AC748-'03_Lap_b'!$B$45:$AW$45))))*(1-(1/(1+EXP(-('03_Lap_Theta'!$AC748-'03_Lap_b'!$B$45:$AW$45))))))</f>
        <v/>
      </c>
      <c r="G748" s="5">
        <f>IF(F748&lt;=0.000000001,"",1/SQRT(F748))</f>
        <v/>
      </c>
      <c r="H748">
        <f>IF(OR(C748=0,C748=D748),"BIÊN","")</f>
        <v/>
      </c>
    </row>
    <row r="749">
      <c r="A749" t="n">
        <v>748</v>
      </c>
      <c r="B749">
        <f>'01_Data'!A749</f>
        <v/>
      </c>
      <c r="C749">
        <f>'03_Lap_Theta'!C749</f>
        <v/>
      </c>
      <c r="D749">
        <f>'03_Lap_Theta'!D749</f>
        <v/>
      </c>
      <c r="E749" s="5">
        <f>'03_Lap_Theta'!$AC749</f>
        <v/>
      </c>
      <c r="F749" s="5">
        <f>SUMPRODUCT(('01_Data'!$B749:$AW749&lt;&gt;"")*(1/(1+EXP(-('03_Lap_Theta'!$AC749-'03_Lap_b'!$B$45:$AW$45))))*(1-(1/(1+EXP(-('03_Lap_Theta'!$AC749-'03_Lap_b'!$B$45:$AW$45))))))</f>
        <v/>
      </c>
      <c r="G749" s="5">
        <f>IF(F749&lt;=0.000000001,"",1/SQRT(F749))</f>
        <v/>
      </c>
      <c r="H749">
        <f>IF(OR(C749=0,C749=D749),"BIÊN","")</f>
        <v/>
      </c>
    </row>
    <row r="750">
      <c r="A750" t="n">
        <v>749</v>
      </c>
      <c r="B750">
        <f>'01_Data'!A750</f>
        <v/>
      </c>
      <c r="C750">
        <f>'03_Lap_Theta'!C750</f>
        <v/>
      </c>
      <c r="D750">
        <f>'03_Lap_Theta'!D750</f>
        <v/>
      </c>
      <c r="E750" s="5">
        <f>'03_Lap_Theta'!$AC750</f>
        <v/>
      </c>
      <c r="F750" s="5">
        <f>SUMPRODUCT(('01_Data'!$B750:$AW750&lt;&gt;"")*(1/(1+EXP(-('03_Lap_Theta'!$AC750-'03_Lap_b'!$B$45:$AW$45))))*(1-(1/(1+EXP(-('03_Lap_Theta'!$AC750-'03_Lap_b'!$B$45:$AW$45))))))</f>
        <v/>
      </c>
      <c r="G750" s="5">
        <f>IF(F750&lt;=0.000000001,"",1/SQRT(F750))</f>
        <v/>
      </c>
      <c r="H750">
        <f>IF(OR(C750=0,C750=D750),"BIÊN","")</f>
        <v/>
      </c>
    </row>
    <row r="751">
      <c r="A751" t="n">
        <v>750</v>
      </c>
      <c r="B751">
        <f>'01_Data'!A751</f>
        <v/>
      </c>
      <c r="C751">
        <f>'03_Lap_Theta'!C751</f>
        <v/>
      </c>
      <c r="D751">
        <f>'03_Lap_Theta'!D751</f>
        <v/>
      </c>
      <c r="E751" s="5">
        <f>'03_Lap_Theta'!$AC751</f>
        <v/>
      </c>
      <c r="F751" s="5">
        <f>SUMPRODUCT(('01_Data'!$B751:$AW751&lt;&gt;"")*(1/(1+EXP(-('03_Lap_Theta'!$AC751-'03_Lap_b'!$B$45:$AW$45))))*(1-(1/(1+EXP(-('03_Lap_Theta'!$AC751-'03_Lap_b'!$B$45:$AW$45))))))</f>
        <v/>
      </c>
      <c r="G751" s="5">
        <f>IF(F751&lt;=0.000000001,"",1/SQRT(F751))</f>
        <v/>
      </c>
      <c r="H751">
        <f>IF(OR(C751=0,C751=D751),"BIÊN","")</f>
        <v/>
      </c>
    </row>
    <row r="752">
      <c r="A752" t="n">
        <v>751</v>
      </c>
      <c r="B752">
        <f>'01_Data'!A752</f>
        <v/>
      </c>
      <c r="C752">
        <f>'03_Lap_Theta'!C752</f>
        <v/>
      </c>
      <c r="D752">
        <f>'03_Lap_Theta'!D752</f>
        <v/>
      </c>
      <c r="E752" s="5">
        <f>'03_Lap_Theta'!$AC752</f>
        <v/>
      </c>
      <c r="F752" s="5">
        <f>SUMPRODUCT(('01_Data'!$B752:$AW752&lt;&gt;"")*(1/(1+EXP(-('03_Lap_Theta'!$AC752-'03_Lap_b'!$B$45:$AW$45))))*(1-(1/(1+EXP(-('03_Lap_Theta'!$AC752-'03_Lap_b'!$B$45:$AW$45))))))</f>
        <v/>
      </c>
      <c r="G752" s="5">
        <f>IF(F752&lt;=0.000000001,"",1/SQRT(F752))</f>
        <v/>
      </c>
      <c r="H752">
        <f>IF(OR(C752=0,C752=D752),"BIÊN","")</f>
        <v/>
      </c>
    </row>
    <row r="753">
      <c r="A753" t="n">
        <v>752</v>
      </c>
      <c r="B753">
        <f>'01_Data'!A753</f>
        <v/>
      </c>
      <c r="C753">
        <f>'03_Lap_Theta'!C753</f>
        <v/>
      </c>
      <c r="D753">
        <f>'03_Lap_Theta'!D753</f>
        <v/>
      </c>
      <c r="E753" s="5">
        <f>'03_Lap_Theta'!$AC753</f>
        <v/>
      </c>
      <c r="F753" s="5">
        <f>SUMPRODUCT(('01_Data'!$B753:$AW753&lt;&gt;"")*(1/(1+EXP(-('03_Lap_Theta'!$AC753-'03_Lap_b'!$B$45:$AW$45))))*(1-(1/(1+EXP(-('03_Lap_Theta'!$AC753-'03_Lap_b'!$B$45:$AW$45))))))</f>
        <v/>
      </c>
      <c r="G753" s="5">
        <f>IF(F753&lt;=0.000000001,"",1/SQRT(F753))</f>
        <v/>
      </c>
      <c r="H753">
        <f>IF(OR(C753=0,C753=D753),"BIÊN","")</f>
        <v/>
      </c>
    </row>
    <row r="754">
      <c r="A754" t="n">
        <v>753</v>
      </c>
      <c r="B754">
        <f>'01_Data'!A754</f>
        <v/>
      </c>
      <c r="C754">
        <f>'03_Lap_Theta'!C754</f>
        <v/>
      </c>
      <c r="D754">
        <f>'03_Lap_Theta'!D754</f>
        <v/>
      </c>
      <c r="E754" s="5">
        <f>'03_Lap_Theta'!$AC754</f>
        <v/>
      </c>
      <c r="F754" s="5">
        <f>SUMPRODUCT(('01_Data'!$B754:$AW754&lt;&gt;"")*(1/(1+EXP(-('03_Lap_Theta'!$AC754-'03_Lap_b'!$B$45:$AW$45))))*(1-(1/(1+EXP(-('03_Lap_Theta'!$AC754-'03_Lap_b'!$B$45:$AW$45))))))</f>
        <v/>
      </c>
      <c r="G754" s="5">
        <f>IF(F754&lt;=0.000000001,"",1/SQRT(F754))</f>
        <v/>
      </c>
      <c r="H754">
        <f>IF(OR(C754=0,C754=D754),"BIÊN","")</f>
        <v/>
      </c>
    </row>
    <row r="755">
      <c r="A755" t="n">
        <v>754</v>
      </c>
      <c r="B755">
        <f>'01_Data'!A755</f>
        <v/>
      </c>
      <c r="C755">
        <f>'03_Lap_Theta'!C755</f>
        <v/>
      </c>
      <c r="D755">
        <f>'03_Lap_Theta'!D755</f>
        <v/>
      </c>
      <c r="E755" s="5">
        <f>'03_Lap_Theta'!$AC755</f>
        <v/>
      </c>
      <c r="F755" s="5">
        <f>SUMPRODUCT(('01_Data'!$B755:$AW755&lt;&gt;"")*(1/(1+EXP(-('03_Lap_Theta'!$AC755-'03_Lap_b'!$B$45:$AW$45))))*(1-(1/(1+EXP(-('03_Lap_Theta'!$AC755-'03_Lap_b'!$B$45:$AW$45))))))</f>
        <v/>
      </c>
      <c r="G755" s="5">
        <f>IF(F755&lt;=0.000000001,"",1/SQRT(F755))</f>
        <v/>
      </c>
      <c r="H755">
        <f>IF(OR(C755=0,C755=D755),"BIÊN","")</f>
        <v/>
      </c>
    </row>
    <row r="756">
      <c r="A756" t="n">
        <v>755</v>
      </c>
      <c r="B756">
        <f>'01_Data'!A756</f>
        <v/>
      </c>
      <c r="C756">
        <f>'03_Lap_Theta'!C756</f>
        <v/>
      </c>
      <c r="D756">
        <f>'03_Lap_Theta'!D756</f>
        <v/>
      </c>
      <c r="E756" s="5">
        <f>'03_Lap_Theta'!$AC756</f>
        <v/>
      </c>
      <c r="F756" s="5">
        <f>SUMPRODUCT(('01_Data'!$B756:$AW756&lt;&gt;"")*(1/(1+EXP(-('03_Lap_Theta'!$AC756-'03_Lap_b'!$B$45:$AW$45))))*(1-(1/(1+EXP(-('03_Lap_Theta'!$AC756-'03_Lap_b'!$B$45:$AW$45))))))</f>
        <v/>
      </c>
      <c r="G756" s="5">
        <f>IF(F756&lt;=0.000000001,"",1/SQRT(F756))</f>
        <v/>
      </c>
      <c r="H756">
        <f>IF(OR(C756=0,C756=D756),"BIÊN","")</f>
        <v/>
      </c>
    </row>
    <row r="757">
      <c r="A757" t="n">
        <v>756</v>
      </c>
      <c r="B757">
        <f>'01_Data'!A757</f>
        <v/>
      </c>
      <c r="C757">
        <f>'03_Lap_Theta'!C757</f>
        <v/>
      </c>
      <c r="D757">
        <f>'03_Lap_Theta'!D757</f>
        <v/>
      </c>
      <c r="E757" s="5">
        <f>'03_Lap_Theta'!$AC757</f>
        <v/>
      </c>
      <c r="F757" s="5">
        <f>SUMPRODUCT(('01_Data'!$B757:$AW757&lt;&gt;"")*(1/(1+EXP(-('03_Lap_Theta'!$AC757-'03_Lap_b'!$B$45:$AW$45))))*(1-(1/(1+EXP(-('03_Lap_Theta'!$AC757-'03_Lap_b'!$B$45:$AW$45))))))</f>
        <v/>
      </c>
      <c r="G757" s="5">
        <f>IF(F757&lt;=0.000000001,"",1/SQRT(F757))</f>
        <v/>
      </c>
      <c r="H757">
        <f>IF(OR(C757=0,C757=D757),"BIÊN","")</f>
        <v/>
      </c>
    </row>
    <row r="758">
      <c r="A758" t="n">
        <v>757</v>
      </c>
      <c r="B758">
        <f>'01_Data'!A758</f>
        <v/>
      </c>
      <c r="C758">
        <f>'03_Lap_Theta'!C758</f>
        <v/>
      </c>
      <c r="D758">
        <f>'03_Lap_Theta'!D758</f>
        <v/>
      </c>
      <c r="E758" s="5">
        <f>'03_Lap_Theta'!$AC758</f>
        <v/>
      </c>
      <c r="F758" s="5">
        <f>SUMPRODUCT(('01_Data'!$B758:$AW758&lt;&gt;"")*(1/(1+EXP(-('03_Lap_Theta'!$AC758-'03_Lap_b'!$B$45:$AW$45))))*(1-(1/(1+EXP(-('03_Lap_Theta'!$AC758-'03_Lap_b'!$B$45:$AW$45))))))</f>
        <v/>
      </c>
      <c r="G758" s="5">
        <f>IF(F758&lt;=0.000000001,"",1/SQRT(F758))</f>
        <v/>
      </c>
      <c r="H758">
        <f>IF(OR(C758=0,C758=D758),"BIÊN","")</f>
        <v/>
      </c>
    </row>
    <row r="759">
      <c r="A759" t="n">
        <v>758</v>
      </c>
      <c r="B759">
        <f>'01_Data'!A759</f>
        <v/>
      </c>
      <c r="C759">
        <f>'03_Lap_Theta'!C759</f>
        <v/>
      </c>
      <c r="D759">
        <f>'03_Lap_Theta'!D759</f>
        <v/>
      </c>
      <c r="E759" s="5">
        <f>'03_Lap_Theta'!$AC759</f>
        <v/>
      </c>
      <c r="F759" s="5">
        <f>SUMPRODUCT(('01_Data'!$B759:$AW759&lt;&gt;"")*(1/(1+EXP(-('03_Lap_Theta'!$AC759-'03_Lap_b'!$B$45:$AW$45))))*(1-(1/(1+EXP(-('03_Lap_Theta'!$AC759-'03_Lap_b'!$B$45:$AW$45))))))</f>
        <v/>
      </c>
      <c r="G759" s="5">
        <f>IF(F759&lt;=0.000000001,"",1/SQRT(F759))</f>
        <v/>
      </c>
      <c r="H759">
        <f>IF(OR(C759=0,C759=D759),"BIÊN","")</f>
        <v/>
      </c>
    </row>
    <row r="760">
      <c r="A760" t="n">
        <v>759</v>
      </c>
      <c r="B760">
        <f>'01_Data'!A760</f>
        <v/>
      </c>
      <c r="C760">
        <f>'03_Lap_Theta'!C760</f>
        <v/>
      </c>
      <c r="D760">
        <f>'03_Lap_Theta'!D760</f>
        <v/>
      </c>
      <c r="E760" s="5">
        <f>'03_Lap_Theta'!$AC760</f>
        <v/>
      </c>
      <c r="F760" s="5">
        <f>SUMPRODUCT(('01_Data'!$B760:$AW760&lt;&gt;"")*(1/(1+EXP(-('03_Lap_Theta'!$AC760-'03_Lap_b'!$B$45:$AW$45))))*(1-(1/(1+EXP(-('03_Lap_Theta'!$AC760-'03_Lap_b'!$B$45:$AW$45))))))</f>
        <v/>
      </c>
      <c r="G760" s="5">
        <f>IF(F760&lt;=0.000000001,"",1/SQRT(F760))</f>
        <v/>
      </c>
      <c r="H760">
        <f>IF(OR(C760=0,C760=D760),"BIÊN","")</f>
        <v/>
      </c>
    </row>
    <row r="761">
      <c r="A761" t="n">
        <v>760</v>
      </c>
      <c r="B761">
        <f>'01_Data'!A761</f>
        <v/>
      </c>
      <c r="C761">
        <f>'03_Lap_Theta'!C761</f>
        <v/>
      </c>
      <c r="D761">
        <f>'03_Lap_Theta'!D761</f>
        <v/>
      </c>
      <c r="E761" s="5">
        <f>'03_Lap_Theta'!$AC761</f>
        <v/>
      </c>
      <c r="F761" s="5">
        <f>SUMPRODUCT(('01_Data'!$B761:$AW761&lt;&gt;"")*(1/(1+EXP(-('03_Lap_Theta'!$AC761-'03_Lap_b'!$B$45:$AW$45))))*(1-(1/(1+EXP(-('03_Lap_Theta'!$AC761-'03_Lap_b'!$B$45:$AW$45))))))</f>
        <v/>
      </c>
      <c r="G761" s="5">
        <f>IF(F761&lt;=0.000000001,"",1/SQRT(F761))</f>
        <v/>
      </c>
      <c r="H761">
        <f>IF(OR(C761=0,C761=D761),"BIÊN","")</f>
        <v/>
      </c>
    </row>
    <row r="762">
      <c r="A762" t="n">
        <v>761</v>
      </c>
      <c r="B762">
        <f>'01_Data'!A762</f>
        <v/>
      </c>
      <c r="C762">
        <f>'03_Lap_Theta'!C762</f>
        <v/>
      </c>
      <c r="D762">
        <f>'03_Lap_Theta'!D762</f>
        <v/>
      </c>
      <c r="E762" s="5">
        <f>'03_Lap_Theta'!$AC762</f>
        <v/>
      </c>
      <c r="F762" s="5">
        <f>SUMPRODUCT(('01_Data'!$B762:$AW762&lt;&gt;"")*(1/(1+EXP(-('03_Lap_Theta'!$AC762-'03_Lap_b'!$B$45:$AW$45))))*(1-(1/(1+EXP(-('03_Lap_Theta'!$AC762-'03_Lap_b'!$B$45:$AW$45))))))</f>
        <v/>
      </c>
      <c r="G762" s="5">
        <f>IF(F762&lt;=0.000000001,"",1/SQRT(F762))</f>
        <v/>
      </c>
      <c r="H762">
        <f>IF(OR(C762=0,C762=D762),"BIÊN","")</f>
        <v/>
      </c>
    </row>
    <row r="763">
      <c r="A763" t="n">
        <v>762</v>
      </c>
      <c r="B763">
        <f>'01_Data'!A763</f>
        <v/>
      </c>
      <c r="C763">
        <f>'03_Lap_Theta'!C763</f>
        <v/>
      </c>
      <c r="D763">
        <f>'03_Lap_Theta'!D763</f>
        <v/>
      </c>
      <c r="E763" s="5">
        <f>'03_Lap_Theta'!$AC763</f>
        <v/>
      </c>
      <c r="F763" s="5">
        <f>SUMPRODUCT(('01_Data'!$B763:$AW763&lt;&gt;"")*(1/(1+EXP(-('03_Lap_Theta'!$AC763-'03_Lap_b'!$B$45:$AW$45))))*(1-(1/(1+EXP(-('03_Lap_Theta'!$AC763-'03_Lap_b'!$B$45:$AW$45))))))</f>
        <v/>
      </c>
      <c r="G763" s="5">
        <f>IF(F763&lt;=0.000000001,"",1/SQRT(F763))</f>
        <v/>
      </c>
      <c r="H763">
        <f>IF(OR(C763=0,C763=D763),"BIÊN","")</f>
        <v/>
      </c>
    </row>
    <row r="764">
      <c r="A764" t="n">
        <v>763</v>
      </c>
      <c r="B764">
        <f>'01_Data'!A764</f>
        <v/>
      </c>
      <c r="C764">
        <f>'03_Lap_Theta'!C764</f>
        <v/>
      </c>
      <c r="D764">
        <f>'03_Lap_Theta'!D764</f>
        <v/>
      </c>
      <c r="E764" s="5">
        <f>'03_Lap_Theta'!$AC764</f>
        <v/>
      </c>
      <c r="F764" s="5">
        <f>SUMPRODUCT(('01_Data'!$B764:$AW764&lt;&gt;"")*(1/(1+EXP(-('03_Lap_Theta'!$AC764-'03_Lap_b'!$B$45:$AW$45))))*(1-(1/(1+EXP(-('03_Lap_Theta'!$AC764-'03_Lap_b'!$B$45:$AW$45))))))</f>
        <v/>
      </c>
      <c r="G764" s="5">
        <f>IF(F764&lt;=0.000000001,"",1/SQRT(F764))</f>
        <v/>
      </c>
      <c r="H764">
        <f>IF(OR(C764=0,C764=D764),"BIÊN","")</f>
        <v/>
      </c>
    </row>
    <row r="765">
      <c r="A765" t="n">
        <v>764</v>
      </c>
      <c r="B765">
        <f>'01_Data'!A765</f>
        <v/>
      </c>
      <c r="C765">
        <f>'03_Lap_Theta'!C765</f>
        <v/>
      </c>
      <c r="D765">
        <f>'03_Lap_Theta'!D765</f>
        <v/>
      </c>
      <c r="E765" s="5">
        <f>'03_Lap_Theta'!$AC765</f>
        <v/>
      </c>
      <c r="F765" s="5">
        <f>SUMPRODUCT(('01_Data'!$B765:$AW765&lt;&gt;"")*(1/(1+EXP(-('03_Lap_Theta'!$AC765-'03_Lap_b'!$B$45:$AW$45))))*(1-(1/(1+EXP(-('03_Lap_Theta'!$AC765-'03_Lap_b'!$B$45:$AW$45))))))</f>
        <v/>
      </c>
      <c r="G765" s="5">
        <f>IF(F765&lt;=0.000000001,"",1/SQRT(F765))</f>
        <v/>
      </c>
      <c r="H765">
        <f>IF(OR(C765=0,C765=D765),"BIÊN","")</f>
        <v/>
      </c>
    </row>
    <row r="766">
      <c r="A766" t="n">
        <v>765</v>
      </c>
      <c r="B766">
        <f>'01_Data'!A766</f>
        <v/>
      </c>
      <c r="C766">
        <f>'03_Lap_Theta'!C766</f>
        <v/>
      </c>
      <c r="D766">
        <f>'03_Lap_Theta'!D766</f>
        <v/>
      </c>
      <c r="E766" s="5">
        <f>'03_Lap_Theta'!$AC766</f>
        <v/>
      </c>
      <c r="F766" s="5">
        <f>SUMPRODUCT(('01_Data'!$B766:$AW766&lt;&gt;"")*(1/(1+EXP(-('03_Lap_Theta'!$AC766-'03_Lap_b'!$B$45:$AW$45))))*(1-(1/(1+EXP(-('03_Lap_Theta'!$AC766-'03_Lap_b'!$B$45:$AW$45))))))</f>
        <v/>
      </c>
      <c r="G766" s="5">
        <f>IF(F766&lt;=0.000000001,"",1/SQRT(F766))</f>
        <v/>
      </c>
      <c r="H766">
        <f>IF(OR(C766=0,C766=D766),"BIÊN","")</f>
        <v/>
      </c>
    </row>
    <row r="767">
      <c r="A767" t="n">
        <v>766</v>
      </c>
      <c r="B767">
        <f>'01_Data'!A767</f>
        <v/>
      </c>
      <c r="C767">
        <f>'03_Lap_Theta'!C767</f>
        <v/>
      </c>
      <c r="D767">
        <f>'03_Lap_Theta'!D767</f>
        <v/>
      </c>
      <c r="E767" s="5">
        <f>'03_Lap_Theta'!$AC767</f>
        <v/>
      </c>
      <c r="F767" s="5">
        <f>SUMPRODUCT(('01_Data'!$B767:$AW767&lt;&gt;"")*(1/(1+EXP(-('03_Lap_Theta'!$AC767-'03_Lap_b'!$B$45:$AW$45))))*(1-(1/(1+EXP(-('03_Lap_Theta'!$AC767-'03_Lap_b'!$B$45:$AW$45))))))</f>
        <v/>
      </c>
      <c r="G767" s="5">
        <f>IF(F767&lt;=0.000000001,"",1/SQRT(F767))</f>
        <v/>
      </c>
      <c r="H767">
        <f>IF(OR(C767=0,C767=D767),"BIÊN","")</f>
        <v/>
      </c>
    </row>
    <row r="768">
      <c r="A768" t="n">
        <v>767</v>
      </c>
      <c r="B768">
        <f>'01_Data'!A768</f>
        <v/>
      </c>
      <c r="C768">
        <f>'03_Lap_Theta'!C768</f>
        <v/>
      </c>
      <c r="D768">
        <f>'03_Lap_Theta'!D768</f>
        <v/>
      </c>
      <c r="E768" s="5">
        <f>'03_Lap_Theta'!$AC768</f>
        <v/>
      </c>
      <c r="F768" s="5">
        <f>SUMPRODUCT(('01_Data'!$B768:$AW768&lt;&gt;"")*(1/(1+EXP(-('03_Lap_Theta'!$AC768-'03_Lap_b'!$B$45:$AW$45))))*(1-(1/(1+EXP(-('03_Lap_Theta'!$AC768-'03_Lap_b'!$B$45:$AW$45))))))</f>
        <v/>
      </c>
      <c r="G768" s="5">
        <f>IF(F768&lt;=0.000000001,"",1/SQRT(F768))</f>
        <v/>
      </c>
      <c r="H768">
        <f>IF(OR(C768=0,C768=D768),"BIÊN","")</f>
        <v/>
      </c>
    </row>
    <row r="769">
      <c r="A769" t="n">
        <v>768</v>
      </c>
      <c r="B769">
        <f>'01_Data'!A769</f>
        <v/>
      </c>
      <c r="C769">
        <f>'03_Lap_Theta'!C769</f>
        <v/>
      </c>
      <c r="D769">
        <f>'03_Lap_Theta'!D769</f>
        <v/>
      </c>
      <c r="E769" s="5">
        <f>'03_Lap_Theta'!$AC769</f>
        <v/>
      </c>
      <c r="F769" s="5">
        <f>SUMPRODUCT(('01_Data'!$B769:$AW769&lt;&gt;"")*(1/(1+EXP(-('03_Lap_Theta'!$AC769-'03_Lap_b'!$B$45:$AW$45))))*(1-(1/(1+EXP(-('03_Lap_Theta'!$AC769-'03_Lap_b'!$B$45:$AW$45))))))</f>
        <v/>
      </c>
      <c r="G769" s="5">
        <f>IF(F769&lt;=0.000000001,"",1/SQRT(F769))</f>
        <v/>
      </c>
      <c r="H769">
        <f>IF(OR(C769=0,C769=D769),"BIÊN","")</f>
        <v/>
      </c>
    </row>
    <row r="770">
      <c r="A770" t="n">
        <v>769</v>
      </c>
      <c r="B770">
        <f>'01_Data'!A770</f>
        <v/>
      </c>
      <c r="C770">
        <f>'03_Lap_Theta'!C770</f>
        <v/>
      </c>
      <c r="D770">
        <f>'03_Lap_Theta'!D770</f>
        <v/>
      </c>
      <c r="E770" s="5">
        <f>'03_Lap_Theta'!$AC770</f>
        <v/>
      </c>
      <c r="F770" s="5">
        <f>SUMPRODUCT(('01_Data'!$B770:$AW770&lt;&gt;"")*(1/(1+EXP(-('03_Lap_Theta'!$AC770-'03_Lap_b'!$B$45:$AW$45))))*(1-(1/(1+EXP(-('03_Lap_Theta'!$AC770-'03_Lap_b'!$B$45:$AW$45))))))</f>
        <v/>
      </c>
      <c r="G770" s="5">
        <f>IF(F770&lt;=0.000000001,"",1/SQRT(F770))</f>
        <v/>
      </c>
      <c r="H770">
        <f>IF(OR(C770=0,C770=D770),"BIÊN","")</f>
        <v/>
      </c>
    </row>
    <row r="771">
      <c r="A771" t="n">
        <v>770</v>
      </c>
      <c r="B771">
        <f>'01_Data'!A771</f>
        <v/>
      </c>
      <c r="C771">
        <f>'03_Lap_Theta'!C771</f>
        <v/>
      </c>
      <c r="D771">
        <f>'03_Lap_Theta'!D771</f>
        <v/>
      </c>
      <c r="E771" s="5">
        <f>'03_Lap_Theta'!$AC771</f>
        <v/>
      </c>
      <c r="F771" s="5">
        <f>SUMPRODUCT(('01_Data'!$B771:$AW771&lt;&gt;"")*(1/(1+EXP(-('03_Lap_Theta'!$AC771-'03_Lap_b'!$B$45:$AW$45))))*(1-(1/(1+EXP(-('03_Lap_Theta'!$AC771-'03_Lap_b'!$B$45:$AW$45))))))</f>
        <v/>
      </c>
      <c r="G771" s="5">
        <f>IF(F771&lt;=0.000000001,"",1/SQRT(F771))</f>
        <v/>
      </c>
      <c r="H771">
        <f>IF(OR(C771=0,C771=D771),"BIÊN","")</f>
        <v/>
      </c>
    </row>
    <row r="772">
      <c r="A772" t="n">
        <v>771</v>
      </c>
      <c r="B772">
        <f>'01_Data'!A772</f>
        <v/>
      </c>
      <c r="C772">
        <f>'03_Lap_Theta'!C772</f>
        <v/>
      </c>
      <c r="D772">
        <f>'03_Lap_Theta'!D772</f>
        <v/>
      </c>
      <c r="E772" s="5">
        <f>'03_Lap_Theta'!$AC772</f>
        <v/>
      </c>
      <c r="F772" s="5">
        <f>SUMPRODUCT(('01_Data'!$B772:$AW772&lt;&gt;"")*(1/(1+EXP(-('03_Lap_Theta'!$AC772-'03_Lap_b'!$B$45:$AW$45))))*(1-(1/(1+EXP(-('03_Lap_Theta'!$AC772-'03_Lap_b'!$B$45:$AW$45))))))</f>
        <v/>
      </c>
      <c r="G772" s="5">
        <f>IF(F772&lt;=0.000000001,"",1/SQRT(F772))</f>
        <v/>
      </c>
      <c r="H772">
        <f>IF(OR(C772=0,C772=D772),"BIÊN","")</f>
        <v/>
      </c>
    </row>
    <row r="773">
      <c r="A773" t="n">
        <v>772</v>
      </c>
      <c r="B773">
        <f>'01_Data'!A773</f>
        <v/>
      </c>
      <c r="C773">
        <f>'03_Lap_Theta'!C773</f>
        <v/>
      </c>
      <c r="D773">
        <f>'03_Lap_Theta'!D773</f>
        <v/>
      </c>
      <c r="E773" s="5">
        <f>'03_Lap_Theta'!$AC773</f>
        <v/>
      </c>
      <c r="F773" s="5">
        <f>SUMPRODUCT(('01_Data'!$B773:$AW773&lt;&gt;"")*(1/(1+EXP(-('03_Lap_Theta'!$AC773-'03_Lap_b'!$B$45:$AW$45))))*(1-(1/(1+EXP(-('03_Lap_Theta'!$AC773-'03_Lap_b'!$B$45:$AW$45))))))</f>
        <v/>
      </c>
      <c r="G773" s="5">
        <f>IF(F773&lt;=0.000000001,"",1/SQRT(F773))</f>
        <v/>
      </c>
      <c r="H773">
        <f>IF(OR(C773=0,C773=D773),"BIÊN","")</f>
        <v/>
      </c>
    </row>
    <row r="774">
      <c r="A774" t="n">
        <v>773</v>
      </c>
      <c r="B774">
        <f>'01_Data'!A774</f>
        <v/>
      </c>
      <c r="C774">
        <f>'03_Lap_Theta'!C774</f>
        <v/>
      </c>
      <c r="D774">
        <f>'03_Lap_Theta'!D774</f>
        <v/>
      </c>
      <c r="E774" s="5">
        <f>'03_Lap_Theta'!$AC774</f>
        <v/>
      </c>
      <c r="F774" s="5">
        <f>SUMPRODUCT(('01_Data'!$B774:$AW774&lt;&gt;"")*(1/(1+EXP(-('03_Lap_Theta'!$AC774-'03_Lap_b'!$B$45:$AW$45))))*(1-(1/(1+EXP(-('03_Lap_Theta'!$AC774-'03_Lap_b'!$B$45:$AW$45))))))</f>
        <v/>
      </c>
      <c r="G774" s="5">
        <f>IF(F774&lt;=0.000000001,"",1/SQRT(F774))</f>
        <v/>
      </c>
      <c r="H774">
        <f>IF(OR(C774=0,C774=D774),"BIÊN","")</f>
        <v/>
      </c>
    </row>
    <row r="775">
      <c r="A775" t="n">
        <v>774</v>
      </c>
      <c r="B775">
        <f>'01_Data'!A775</f>
        <v/>
      </c>
      <c r="C775">
        <f>'03_Lap_Theta'!C775</f>
        <v/>
      </c>
      <c r="D775">
        <f>'03_Lap_Theta'!D775</f>
        <v/>
      </c>
      <c r="E775" s="5">
        <f>'03_Lap_Theta'!$AC775</f>
        <v/>
      </c>
      <c r="F775" s="5">
        <f>SUMPRODUCT(('01_Data'!$B775:$AW775&lt;&gt;"")*(1/(1+EXP(-('03_Lap_Theta'!$AC775-'03_Lap_b'!$B$45:$AW$45))))*(1-(1/(1+EXP(-('03_Lap_Theta'!$AC775-'03_Lap_b'!$B$45:$AW$45))))))</f>
        <v/>
      </c>
      <c r="G775" s="5">
        <f>IF(F775&lt;=0.000000001,"",1/SQRT(F775))</f>
        <v/>
      </c>
      <c r="H775">
        <f>IF(OR(C775=0,C775=D775),"BIÊN","")</f>
        <v/>
      </c>
    </row>
    <row r="776">
      <c r="A776" t="n">
        <v>775</v>
      </c>
      <c r="B776">
        <f>'01_Data'!A776</f>
        <v/>
      </c>
      <c r="C776">
        <f>'03_Lap_Theta'!C776</f>
        <v/>
      </c>
      <c r="D776">
        <f>'03_Lap_Theta'!D776</f>
        <v/>
      </c>
      <c r="E776" s="5">
        <f>'03_Lap_Theta'!$AC776</f>
        <v/>
      </c>
      <c r="F776" s="5">
        <f>SUMPRODUCT(('01_Data'!$B776:$AW776&lt;&gt;"")*(1/(1+EXP(-('03_Lap_Theta'!$AC776-'03_Lap_b'!$B$45:$AW$45))))*(1-(1/(1+EXP(-('03_Lap_Theta'!$AC776-'03_Lap_b'!$B$45:$AW$45))))))</f>
        <v/>
      </c>
      <c r="G776" s="5">
        <f>IF(F776&lt;=0.000000001,"",1/SQRT(F776))</f>
        <v/>
      </c>
      <c r="H776">
        <f>IF(OR(C776=0,C776=D776),"BIÊN","")</f>
        <v/>
      </c>
    </row>
    <row r="777">
      <c r="A777" t="n">
        <v>776</v>
      </c>
      <c r="B777">
        <f>'01_Data'!A777</f>
        <v/>
      </c>
      <c r="C777">
        <f>'03_Lap_Theta'!C777</f>
        <v/>
      </c>
      <c r="D777">
        <f>'03_Lap_Theta'!D777</f>
        <v/>
      </c>
      <c r="E777" s="5">
        <f>'03_Lap_Theta'!$AC777</f>
        <v/>
      </c>
      <c r="F777" s="5">
        <f>SUMPRODUCT(('01_Data'!$B777:$AW777&lt;&gt;"")*(1/(1+EXP(-('03_Lap_Theta'!$AC777-'03_Lap_b'!$B$45:$AW$45))))*(1-(1/(1+EXP(-('03_Lap_Theta'!$AC777-'03_Lap_b'!$B$45:$AW$45))))))</f>
        <v/>
      </c>
      <c r="G777" s="5">
        <f>IF(F777&lt;=0.000000001,"",1/SQRT(F777))</f>
        <v/>
      </c>
      <c r="H777">
        <f>IF(OR(C777=0,C777=D777),"BIÊN","")</f>
        <v/>
      </c>
    </row>
    <row r="778">
      <c r="A778" t="n">
        <v>777</v>
      </c>
      <c r="B778">
        <f>'01_Data'!A778</f>
        <v/>
      </c>
      <c r="C778">
        <f>'03_Lap_Theta'!C778</f>
        <v/>
      </c>
      <c r="D778">
        <f>'03_Lap_Theta'!D778</f>
        <v/>
      </c>
      <c r="E778" s="5">
        <f>'03_Lap_Theta'!$AC778</f>
        <v/>
      </c>
      <c r="F778" s="5">
        <f>SUMPRODUCT(('01_Data'!$B778:$AW778&lt;&gt;"")*(1/(1+EXP(-('03_Lap_Theta'!$AC778-'03_Lap_b'!$B$45:$AW$45))))*(1-(1/(1+EXP(-('03_Lap_Theta'!$AC778-'03_Lap_b'!$B$45:$AW$45))))))</f>
        <v/>
      </c>
      <c r="G778" s="5">
        <f>IF(F778&lt;=0.000000001,"",1/SQRT(F778))</f>
        <v/>
      </c>
      <c r="H778">
        <f>IF(OR(C778=0,C778=D778),"BIÊN","")</f>
        <v/>
      </c>
    </row>
    <row r="779">
      <c r="A779" t="n">
        <v>778</v>
      </c>
      <c r="B779">
        <f>'01_Data'!A779</f>
        <v/>
      </c>
      <c r="C779">
        <f>'03_Lap_Theta'!C779</f>
        <v/>
      </c>
      <c r="D779">
        <f>'03_Lap_Theta'!D779</f>
        <v/>
      </c>
      <c r="E779" s="5">
        <f>'03_Lap_Theta'!$AC779</f>
        <v/>
      </c>
      <c r="F779" s="5">
        <f>SUMPRODUCT(('01_Data'!$B779:$AW779&lt;&gt;"")*(1/(1+EXP(-('03_Lap_Theta'!$AC779-'03_Lap_b'!$B$45:$AW$45))))*(1-(1/(1+EXP(-('03_Lap_Theta'!$AC779-'03_Lap_b'!$B$45:$AW$45))))))</f>
        <v/>
      </c>
      <c r="G779" s="5">
        <f>IF(F779&lt;=0.000000001,"",1/SQRT(F779))</f>
        <v/>
      </c>
      <c r="H779">
        <f>IF(OR(C779=0,C779=D779),"BIÊN","")</f>
        <v/>
      </c>
    </row>
    <row r="780">
      <c r="A780" t="n">
        <v>779</v>
      </c>
      <c r="B780">
        <f>'01_Data'!A780</f>
        <v/>
      </c>
      <c r="C780">
        <f>'03_Lap_Theta'!C780</f>
        <v/>
      </c>
      <c r="D780">
        <f>'03_Lap_Theta'!D780</f>
        <v/>
      </c>
      <c r="E780" s="5">
        <f>'03_Lap_Theta'!$AC780</f>
        <v/>
      </c>
      <c r="F780" s="5">
        <f>SUMPRODUCT(('01_Data'!$B780:$AW780&lt;&gt;"")*(1/(1+EXP(-('03_Lap_Theta'!$AC780-'03_Lap_b'!$B$45:$AW$45))))*(1-(1/(1+EXP(-('03_Lap_Theta'!$AC780-'03_Lap_b'!$B$45:$AW$45))))))</f>
        <v/>
      </c>
      <c r="G780" s="5">
        <f>IF(F780&lt;=0.000000001,"",1/SQRT(F780))</f>
        <v/>
      </c>
      <c r="H780">
        <f>IF(OR(C780=0,C780=D780),"BIÊN","")</f>
        <v/>
      </c>
    </row>
    <row r="781">
      <c r="A781" t="n">
        <v>780</v>
      </c>
      <c r="B781">
        <f>'01_Data'!A781</f>
        <v/>
      </c>
      <c r="C781">
        <f>'03_Lap_Theta'!C781</f>
        <v/>
      </c>
      <c r="D781">
        <f>'03_Lap_Theta'!D781</f>
        <v/>
      </c>
      <c r="E781" s="5">
        <f>'03_Lap_Theta'!$AC781</f>
        <v/>
      </c>
      <c r="F781" s="5">
        <f>SUMPRODUCT(('01_Data'!$B781:$AW781&lt;&gt;"")*(1/(1+EXP(-('03_Lap_Theta'!$AC781-'03_Lap_b'!$B$45:$AW$45))))*(1-(1/(1+EXP(-('03_Lap_Theta'!$AC781-'03_Lap_b'!$B$45:$AW$45))))))</f>
        <v/>
      </c>
      <c r="G781" s="5">
        <f>IF(F781&lt;=0.000000001,"",1/SQRT(F781))</f>
        <v/>
      </c>
      <c r="H781">
        <f>IF(OR(C781=0,C781=D781),"BIÊN","")</f>
        <v/>
      </c>
    </row>
    <row r="782">
      <c r="A782" t="n">
        <v>781</v>
      </c>
      <c r="B782">
        <f>'01_Data'!A782</f>
        <v/>
      </c>
      <c r="C782">
        <f>'03_Lap_Theta'!C782</f>
        <v/>
      </c>
      <c r="D782">
        <f>'03_Lap_Theta'!D782</f>
        <v/>
      </c>
      <c r="E782" s="5">
        <f>'03_Lap_Theta'!$AC782</f>
        <v/>
      </c>
      <c r="F782" s="5">
        <f>SUMPRODUCT(('01_Data'!$B782:$AW782&lt;&gt;"")*(1/(1+EXP(-('03_Lap_Theta'!$AC782-'03_Lap_b'!$B$45:$AW$45))))*(1-(1/(1+EXP(-('03_Lap_Theta'!$AC782-'03_Lap_b'!$B$45:$AW$45))))))</f>
        <v/>
      </c>
      <c r="G782" s="5">
        <f>IF(F782&lt;=0.000000001,"",1/SQRT(F782))</f>
        <v/>
      </c>
      <c r="H782">
        <f>IF(OR(C782=0,C782=D782),"BIÊN","")</f>
        <v/>
      </c>
    </row>
    <row r="783">
      <c r="A783" t="n">
        <v>782</v>
      </c>
      <c r="B783">
        <f>'01_Data'!A783</f>
        <v/>
      </c>
      <c r="C783">
        <f>'03_Lap_Theta'!C783</f>
        <v/>
      </c>
      <c r="D783">
        <f>'03_Lap_Theta'!D783</f>
        <v/>
      </c>
      <c r="E783" s="5">
        <f>'03_Lap_Theta'!$AC783</f>
        <v/>
      </c>
      <c r="F783" s="5">
        <f>SUMPRODUCT(('01_Data'!$B783:$AW783&lt;&gt;"")*(1/(1+EXP(-('03_Lap_Theta'!$AC783-'03_Lap_b'!$B$45:$AW$45))))*(1-(1/(1+EXP(-('03_Lap_Theta'!$AC783-'03_Lap_b'!$B$45:$AW$45))))))</f>
        <v/>
      </c>
      <c r="G783" s="5">
        <f>IF(F783&lt;=0.000000001,"",1/SQRT(F783))</f>
        <v/>
      </c>
      <c r="H783">
        <f>IF(OR(C783=0,C783=D783),"BIÊN","")</f>
        <v/>
      </c>
    </row>
    <row r="784">
      <c r="A784" t="n">
        <v>783</v>
      </c>
      <c r="B784">
        <f>'01_Data'!A784</f>
        <v/>
      </c>
      <c r="C784">
        <f>'03_Lap_Theta'!C784</f>
        <v/>
      </c>
      <c r="D784">
        <f>'03_Lap_Theta'!D784</f>
        <v/>
      </c>
      <c r="E784" s="5">
        <f>'03_Lap_Theta'!$AC784</f>
        <v/>
      </c>
      <c r="F784" s="5">
        <f>SUMPRODUCT(('01_Data'!$B784:$AW784&lt;&gt;"")*(1/(1+EXP(-('03_Lap_Theta'!$AC784-'03_Lap_b'!$B$45:$AW$45))))*(1-(1/(1+EXP(-('03_Lap_Theta'!$AC784-'03_Lap_b'!$B$45:$AW$45))))))</f>
        <v/>
      </c>
      <c r="G784" s="5">
        <f>IF(F784&lt;=0.000000001,"",1/SQRT(F784))</f>
        <v/>
      </c>
      <c r="H784">
        <f>IF(OR(C784=0,C784=D784),"BIÊN","")</f>
        <v/>
      </c>
    </row>
    <row r="785">
      <c r="A785" t="n">
        <v>784</v>
      </c>
      <c r="B785">
        <f>'01_Data'!A785</f>
        <v/>
      </c>
      <c r="C785">
        <f>'03_Lap_Theta'!C785</f>
        <v/>
      </c>
      <c r="D785">
        <f>'03_Lap_Theta'!D785</f>
        <v/>
      </c>
      <c r="E785" s="5">
        <f>'03_Lap_Theta'!$AC785</f>
        <v/>
      </c>
      <c r="F785" s="5">
        <f>SUMPRODUCT(('01_Data'!$B785:$AW785&lt;&gt;"")*(1/(1+EXP(-('03_Lap_Theta'!$AC785-'03_Lap_b'!$B$45:$AW$45))))*(1-(1/(1+EXP(-('03_Lap_Theta'!$AC785-'03_Lap_b'!$B$45:$AW$45))))))</f>
        <v/>
      </c>
      <c r="G785" s="5">
        <f>IF(F785&lt;=0.000000001,"",1/SQRT(F785))</f>
        <v/>
      </c>
      <c r="H785">
        <f>IF(OR(C785=0,C785=D785),"BIÊN","")</f>
        <v/>
      </c>
    </row>
    <row r="786">
      <c r="A786" t="n">
        <v>785</v>
      </c>
      <c r="B786">
        <f>'01_Data'!A786</f>
        <v/>
      </c>
      <c r="C786">
        <f>'03_Lap_Theta'!C786</f>
        <v/>
      </c>
      <c r="D786">
        <f>'03_Lap_Theta'!D786</f>
        <v/>
      </c>
      <c r="E786" s="5">
        <f>'03_Lap_Theta'!$AC786</f>
        <v/>
      </c>
      <c r="F786" s="5">
        <f>SUMPRODUCT(('01_Data'!$B786:$AW786&lt;&gt;"")*(1/(1+EXP(-('03_Lap_Theta'!$AC786-'03_Lap_b'!$B$45:$AW$45))))*(1-(1/(1+EXP(-('03_Lap_Theta'!$AC786-'03_Lap_b'!$B$45:$AW$45))))))</f>
        <v/>
      </c>
      <c r="G786" s="5">
        <f>IF(F786&lt;=0.000000001,"",1/SQRT(F786))</f>
        <v/>
      </c>
      <c r="H786">
        <f>IF(OR(C786=0,C786=D786),"BIÊN","")</f>
        <v/>
      </c>
    </row>
    <row r="787">
      <c r="A787" t="n">
        <v>786</v>
      </c>
      <c r="B787">
        <f>'01_Data'!A787</f>
        <v/>
      </c>
      <c r="C787">
        <f>'03_Lap_Theta'!C787</f>
        <v/>
      </c>
      <c r="D787">
        <f>'03_Lap_Theta'!D787</f>
        <v/>
      </c>
      <c r="E787" s="5">
        <f>'03_Lap_Theta'!$AC787</f>
        <v/>
      </c>
      <c r="F787" s="5">
        <f>SUMPRODUCT(('01_Data'!$B787:$AW787&lt;&gt;"")*(1/(1+EXP(-('03_Lap_Theta'!$AC787-'03_Lap_b'!$B$45:$AW$45))))*(1-(1/(1+EXP(-('03_Lap_Theta'!$AC787-'03_Lap_b'!$B$45:$AW$45))))))</f>
        <v/>
      </c>
      <c r="G787" s="5">
        <f>IF(F787&lt;=0.000000001,"",1/SQRT(F787))</f>
        <v/>
      </c>
      <c r="H787">
        <f>IF(OR(C787=0,C787=D787),"BIÊN","")</f>
        <v/>
      </c>
    </row>
    <row r="788">
      <c r="A788" t="n">
        <v>787</v>
      </c>
      <c r="B788">
        <f>'01_Data'!A788</f>
        <v/>
      </c>
      <c r="C788">
        <f>'03_Lap_Theta'!C788</f>
        <v/>
      </c>
      <c r="D788">
        <f>'03_Lap_Theta'!D788</f>
        <v/>
      </c>
      <c r="E788" s="5">
        <f>'03_Lap_Theta'!$AC788</f>
        <v/>
      </c>
      <c r="F788" s="5">
        <f>SUMPRODUCT(('01_Data'!$B788:$AW788&lt;&gt;"")*(1/(1+EXP(-('03_Lap_Theta'!$AC788-'03_Lap_b'!$B$45:$AW$45))))*(1-(1/(1+EXP(-('03_Lap_Theta'!$AC788-'03_Lap_b'!$B$45:$AW$45))))))</f>
        <v/>
      </c>
      <c r="G788" s="5">
        <f>IF(F788&lt;=0.000000001,"",1/SQRT(F788))</f>
        <v/>
      </c>
      <c r="H788">
        <f>IF(OR(C788=0,C788=D788),"BIÊN","")</f>
        <v/>
      </c>
    </row>
    <row r="789">
      <c r="A789" t="n">
        <v>788</v>
      </c>
      <c r="B789">
        <f>'01_Data'!A789</f>
        <v/>
      </c>
      <c r="C789">
        <f>'03_Lap_Theta'!C789</f>
        <v/>
      </c>
      <c r="D789">
        <f>'03_Lap_Theta'!D789</f>
        <v/>
      </c>
      <c r="E789" s="5">
        <f>'03_Lap_Theta'!$AC789</f>
        <v/>
      </c>
      <c r="F789" s="5">
        <f>SUMPRODUCT(('01_Data'!$B789:$AW789&lt;&gt;"")*(1/(1+EXP(-('03_Lap_Theta'!$AC789-'03_Lap_b'!$B$45:$AW$45))))*(1-(1/(1+EXP(-('03_Lap_Theta'!$AC789-'03_Lap_b'!$B$45:$AW$45))))))</f>
        <v/>
      </c>
      <c r="G789" s="5">
        <f>IF(F789&lt;=0.000000001,"",1/SQRT(F789))</f>
        <v/>
      </c>
      <c r="H789">
        <f>IF(OR(C789=0,C789=D789),"BIÊN","")</f>
        <v/>
      </c>
    </row>
    <row r="790">
      <c r="A790" t="n">
        <v>789</v>
      </c>
      <c r="B790">
        <f>'01_Data'!A790</f>
        <v/>
      </c>
      <c r="C790">
        <f>'03_Lap_Theta'!C790</f>
        <v/>
      </c>
      <c r="D790">
        <f>'03_Lap_Theta'!D790</f>
        <v/>
      </c>
      <c r="E790" s="5">
        <f>'03_Lap_Theta'!$AC790</f>
        <v/>
      </c>
      <c r="F790" s="5">
        <f>SUMPRODUCT(('01_Data'!$B790:$AW790&lt;&gt;"")*(1/(1+EXP(-('03_Lap_Theta'!$AC790-'03_Lap_b'!$B$45:$AW$45))))*(1-(1/(1+EXP(-('03_Lap_Theta'!$AC790-'03_Lap_b'!$B$45:$AW$45))))))</f>
        <v/>
      </c>
      <c r="G790" s="5">
        <f>IF(F790&lt;=0.000000001,"",1/SQRT(F790))</f>
        <v/>
      </c>
      <c r="H790">
        <f>IF(OR(C790=0,C790=D790),"BIÊN","")</f>
        <v/>
      </c>
    </row>
    <row r="791">
      <c r="A791" t="n">
        <v>790</v>
      </c>
      <c r="B791">
        <f>'01_Data'!A791</f>
        <v/>
      </c>
      <c r="C791">
        <f>'03_Lap_Theta'!C791</f>
        <v/>
      </c>
      <c r="D791">
        <f>'03_Lap_Theta'!D791</f>
        <v/>
      </c>
      <c r="E791" s="5">
        <f>'03_Lap_Theta'!$AC791</f>
        <v/>
      </c>
      <c r="F791" s="5">
        <f>SUMPRODUCT(('01_Data'!$B791:$AW791&lt;&gt;"")*(1/(1+EXP(-('03_Lap_Theta'!$AC791-'03_Lap_b'!$B$45:$AW$45))))*(1-(1/(1+EXP(-('03_Lap_Theta'!$AC791-'03_Lap_b'!$B$45:$AW$45))))))</f>
        <v/>
      </c>
      <c r="G791" s="5">
        <f>IF(F791&lt;=0.000000001,"",1/SQRT(F791))</f>
        <v/>
      </c>
      <c r="H791">
        <f>IF(OR(C791=0,C791=D791),"BIÊN","")</f>
        <v/>
      </c>
    </row>
    <row r="792">
      <c r="A792" t="n">
        <v>791</v>
      </c>
      <c r="B792">
        <f>'01_Data'!A792</f>
        <v/>
      </c>
      <c r="C792">
        <f>'03_Lap_Theta'!C792</f>
        <v/>
      </c>
      <c r="D792">
        <f>'03_Lap_Theta'!D792</f>
        <v/>
      </c>
      <c r="E792" s="5">
        <f>'03_Lap_Theta'!$AC792</f>
        <v/>
      </c>
      <c r="F792" s="5">
        <f>SUMPRODUCT(('01_Data'!$B792:$AW792&lt;&gt;"")*(1/(1+EXP(-('03_Lap_Theta'!$AC792-'03_Lap_b'!$B$45:$AW$45))))*(1-(1/(1+EXP(-('03_Lap_Theta'!$AC792-'03_Lap_b'!$B$45:$AW$45))))))</f>
        <v/>
      </c>
      <c r="G792" s="5">
        <f>IF(F792&lt;=0.000000001,"",1/SQRT(F792))</f>
        <v/>
      </c>
      <c r="H792">
        <f>IF(OR(C792=0,C792=D792),"BIÊN","")</f>
        <v/>
      </c>
    </row>
    <row r="793">
      <c r="A793" t="n">
        <v>792</v>
      </c>
      <c r="B793">
        <f>'01_Data'!A793</f>
        <v/>
      </c>
      <c r="C793">
        <f>'03_Lap_Theta'!C793</f>
        <v/>
      </c>
      <c r="D793">
        <f>'03_Lap_Theta'!D793</f>
        <v/>
      </c>
      <c r="E793" s="5">
        <f>'03_Lap_Theta'!$AC793</f>
        <v/>
      </c>
      <c r="F793" s="5">
        <f>SUMPRODUCT(('01_Data'!$B793:$AW793&lt;&gt;"")*(1/(1+EXP(-('03_Lap_Theta'!$AC793-'03_Lap_b'!$B$45:$AW$45))))*(1-(1/(1+EXP(-('03_Lap_Theta'!$AC793-'03_Lap_b'!$B$45:$AW$45))))))</f>
        <v/>
      </c>
      <c r="G793" s="5">
        <f>IF(F793&lt;=0.000000001,"",1/SQRT(F793))</f>
        <v/>
      </c>
      <c r="H793">
        <f>IF(OR(C793=0,C793=D793),"BIÊN","")</f>
        <v/>
      </c>
    </row>
    <row r="794">
      <c r="A794" t="n">
        <v>793</v>
      </c>
      <c r="B794">
        <f>'01_Data'!A794</f>
        <v/>
      </c>
      <c r="C794">
        <f>'03_Lap_Theta'!C794</f>
        <v/>
      </c>
      <c r="D794">
        <f>'03_Lap_Theta'!D794</f>
        <v/>
      </c>
      <c r="E794" s="5">
        <f>'03_Lap_Theta'!$AC794</f>
        <v/>
      </c>
      <c r="F794" s="5">
        <f>SUMPRODUCT(('01_Data'!$B794:$AW794&lt;&gt;"")*(1/(1+EXP(-('03_Lap_Theta'!$AC794-'03_Lap_b'!$B$45:$AW$45))))*(1-(1/(1+EXP(-('03_Lap_Theta'!$AC794-'03_Lap_b'!$B$45:$AW$45))))))</f>
        <v/>
      </c>
      <c r="G794" s="5">
        <f>IF(F794&lt;=0.000000001,"",1/SQRT(F794))</f>
        <v/>
      </c>
      <c r="H794">
        <f>IF(OR(C794=0,C794=D794),"BIÊN","")</f>
        <v/>
      </c>
    </row>
    <row r="795">
      <c r="A795" t="n">
        <v>794</v>
      </c>
      <c r="B795">
        <f>'01_Data'!A795</f>
        <v/>
      </c>
      <c r="C795">
        <f>'03_Lap_Theta'!C795</f>
        <v/>
      </c>
      <c r="D795">
        <f>'03_Lap_Theta'!D795</f>
        <v/>
      </c>
      <c r="E795" s="5">
        <f>'03_Lap_Theta'!$AC795</f>
        <v/>
      </c>
      <c r="F795" s="5">
        <f>SUMPRODUCT(('01_Data'!$B795:$AW795&lt;&gt;"")*(1/(1+EXP(-('03_Lap_Theta'!$AC795-'03_Lap_b'!$B$45:$AW$45))))*(1-(1/(1+EXP(-('03_Lap_Theta'!$AC795-'03_Lap_b'!$B$45:$AW$45))))))</f>
        <v/>
      </c>
      <c r="G795" s="5">
        <f>IF(F795&lt;=0.000000001,"",1/SQRT(F795))</f>
        <v/>
      </c>
      <c r="H795">
        <f>IF(OR(C795=0,C795=D795),"BIÊN","")</f>
        <v/>
      </c>
    </row>
    <row r="796">
      <c r="A796" t="n">
        <v>795</v>
      </c>
      <c r="B796">
        <f>'01_Data'!A796</f>
        <v/>
      </c>
      <c r="C796">
        <f>'03_Lap_Theta'!C796</f>
        <v/>
      </c>
      <c r="D796">
        <f>'03_Lap_Theta'!D796</f>
        <v/>
      </c>
      <c r="E796" s="5">
        <f>'03_Lap_Theta'!$AC796</f>
        <v/>
      </c>
      <c r="F796" s="5">
        <f>SUMPRODUCT(('01_Data'!$B796:$AW796&lt;&gt;"")*(1/(1+EXP(-('03_Lap_Theta'!$AC796-'03_Lap_b'!$B$45:$AW$45))))*(1-(1/(1+EXP(-('03_Lap_Theta'!$AC796-'03_Lap_b'!$B$45:$AW$45))))))</f>
        <v/>
      </c>
      <c r="G796" s="5">
        <f>IF(F796&lt;=0.000000001,"",1/SQRT(F796))</f>
        <v/>
      </c>
      <c r="H796">
        <f>IF(OR(C796=0,C796=D796),"BIÊN","")</f>
        <v/>
      </c>
    </row>
    <row r="797">
      <c r="A797" t="n">
        <v>796</v>
      </c>
      <c r="B797">
        <f>'01_Data'!A797</f>
        <v/>
      </c>
      <c r="C797">
        <f>'03_Lap_Theta'!C797</f>
        <v/>
      </c>
      <c r="D797">
        <f>'03_Lap_Theta'!D797</f>
        <v/>
      </c>
      <c r="E797" s="5">
        <f>'03_Lap_Theta'!$AC797</f>
        <v/>
      </c>
      <c r="F797" s="5">
        <f>SUMPRODUCT(('01_Data'!$B797:$AW797&lt;&gt;"")*(1/(1+EXP(-('03_Lap_Theta'!$AC797-'03_Lap_b'!$B$45:$AW$45))))*(1-(1/(1+EXP(-('03_Lap_Theta'!$AC797-'03_Lap_b'!$B$45:$AW$45))))))</f>
        <v/>
      </c>
      <c r="G797" s="5">
        <f>IF(F797&lt;=0.000000001,"",1/SQRT(F797))</f>
        <v/>
      </c>
      <c r="H797">
        <f>IF(OR(C797=0,C797=D797),"BIÊN","")</f>
        <v/>
      </c>
    </row>
    <row r="798">
      <c r="A798" t="n">
        <v>797</v>
      </c>
      <c r="B798">
        <f>'01_Data'!A798</f>
        <v/>
      </c>
      <c r="C798">
        <f>'03_Lap_Theta'!C798</f>
        <v/>
      </c>
      <c r="D798">
        <f>'03_Lap_Theta'!D798</f>
        <v/>
      </c>
      <c r="E798" s="5">
        <f>'03_Lap_Theta'!$AC798</f>
        <v/>
      </c>
      <c r="F798" s="5">
        <f>SUMPRODUCT(('01_Data'!$B798:$AW798&lt;&gt;"")*(1/(1+EXP(-('03_Lap_Theta'!$AC798-'03_Lap_b'!$B$45:$AW$45))))*(1-(1/(1+EXP(-('03_Lap_Theta'!$AC798-'03_Lap_b'!$B$45:$AW$45))))))</f>
        <v/>
      </c>
      <c r="G798" s="5">
        <f>IF(F798&lt;=0.000000001,"",1/SQRT(F798))</f>
        <v/>
      </c>
      <c r="H798">
        <f>IF(OR(C798=0,C798=D798),"BIÊN","")</f>
        <v/>
      </c>
    </row>
    <row r="799">
      <c r="A799" t="n">
        <v>798</v>
      </c>
      <c r="B799">
        <f>'01_Data'!A799</f>
        <v/>
      </c>
      <c r="C799">
        <f>'03_Lap_Theta'!C799</f>
        <v/>
      </c>
      <c r="D799">
        <f>'03_Lap_Theta'!D799</f>
        <v/>
      </c>
      <c r="E799" s="5">
        <f>'03_Lap_Theta'!$AC799</f>
        <v/>
      </c>
      <c r="F799" s="5">
        <f>SUMPRODUCT(('01_Data'!$B799:$AW799&lt;&gt;"")*(1/(1+EXP(-('03_Lap_Theta'!$AC799-'03_Lap_b'!$B$45:$AW$45))))*(1-(1/(1+EXP(-('03_Lap_Theta'!$AC799-'03_Lap_b'!$B$45:$AW$45))))))</f>
        <v/>
      </c>
      <c r="G799" s="5">
        <f>IF(F799&lt;=0.000000001,"",1/SQRT(F799))</f>
        <v/>
      </c>
      <c r="H799">
        <f>IF(OR(C799=0,C799=D799),"BIÊN","")</f>
        <v/>
      </c>
    </row>
    <row r="800">
      <c r="A800" t="n">
        <v>799</v>
      </c>
      <c r="B800">
        <f>'01_Data'!A800</f>
        <v/>
      </c>
      <c r="C800">
        <f>'03_Lap_Theta'!C800</f>
        <v/>
      </c>
      <c r="D800">
        <f>'03_Lap_Theta'!D800</f>
        <v/>
      </c>
      <c r="E800" s="5">
        <f>'03_Lap_Theta'!$AC800</f>
        <v/>
      </c>
      <c r="F800" s="5">
        <f>SUMPRODUCT(('01_Data'!$B800:$AW800&lt;&gt;"")*(1/(1+EXP(-('03_Lap_Theta'!$AC800-'03_Lap_b'!$B$45:$AW$45))))*(1-(1/(1+EXP(-('03_Lap_Theta'!$AC800-'03_Lap_b'!$B$45:$AW$45))))))</f>
        <v/>
      </c>
      <c r="G800" s="5">
        <f>IF(F800&lt;=0.000000001,"",1/SQRT(F800))</f>
        <v/>
      </c>
      <c r="H800">
        <f>IF(OR(C800=0,C800=D800),"BIÊN","")</f>
        <v/>
      </c>
    </row>
    <row r="801">
      <c r="A801" t="n">
        <v>800</v>
      </c>
      <c r="B801">
        <f>'01_Data'!A801</f>
        <v/>
      </c>
      <c r="C801">
        <f>'03_Lap_Theta'!C801</f>
        <v/>
      </c>
      <c r="D801">
        <f>'03_Lap_Theta'!D801</f>
        <v/>
      </c>
      <c r="E801" s="5">
        <f>'03_Lap_Theta'!$AC801</f>
        <v/>
      </c>
      <c r="F801" s="5">
        <f>SUMPRODUCT(('01_Data'!$B801:$AW801&lt;&gt;"")*(1/(1+EXP(-('03_Lap_Theta'!$AC801-'03_Lap_b'!$B$45:$AW$45))))*(1-(1/(1+EXP(-('03_Lap_Theta'!$AC801-'03_Lap_b'!$B$45:$AW$45))))))</f>
        <v/>
      </c>
      <c r="G801" s="5">
        <f>IF(F801&lt;=0.000000001,"",1/SQRT(F801))</f>
        <v/>
      </c>
      <c r="H801">
        <f>IF(OR(C801=0,C801=D801),"BIÊN","")</f>
        <v/>
      </c>
    </row>
    <row r="802">
      <c r="A802" t="n">
        <v>801</v>
      </c>
      <c r="B802">
        <f>'01_Data'!A802</f>
        <v/>
      </c>
      <c r="C802">
        <f>'03_Lap_Theta'!C802</f>
        <v/>
      </c>
      <c r="D802">
        <f>'03_Lap_Theta'!D802</f>
        <v/>
      </c>
      <c r="E802" s="5">
        <f>'03_Lap_Theta'!$AC802</f>
        <v/>
      </c>
      <c r="F802" s="5">
        <f>SUMPRODUCT(('01_Data'!$B802:$AW802&lt;&gt;"")*(1/(1+EXP(-('03_Lap_Theta'!$AC802-'03_Lap_b'!$B$45:$AW$45))))*(1-(1/(1+EXP(-('03_Lap_Theta'!$AC802-'03_Lap_b'!$B$45:$AW$45))))))</f>
        <v/>
      </c>
      <c r="G802" s="5">
        <f>IF(F802&lt;=0.000000001,"",1/SQRT(F802))</f>
        <v/>
      </c>
      <c r="H802">
        <f>IF(OR(C802=0,C802=D802),"BIÊN","")</f>
        <v/>
      </c>
    </row>
    <row r="803">
      <c r="A803" t="n">
        <v>802</v>
      </c>
      <c r="B803">
        <f>'01_Data'!A803</f>
        <v/>
      </c>
      <c r="C803">
        <f>'03_Lap_Theta'!C803</f>
        <v/>
      </c>
      <c r="D803">
        <f>'03_Lap_Theta'!D803</f>
        <v/>
      </c>
      <c r="E803" s="5">
        <f>'03_Lap_Theta'!$AC803</f>
        <v/>
      </c>
      <c r="F803" s="5">
        <f>SUMPRODUCT(('01_Data'!$B803:$AW803&lt;&gt;"")*(1/(1+EXP(-('03_Lap_Theta'!$AC803-'03_Lap_b'!$B$45:$AW$45))))*(1-(1/(1+EXP(-('03_Lap_Theta'!$AC803-'03_Lap_b'!$B$45:$AW$45))))))</f>
        <v/>
      </c>
      <c r="G803" s="5">
        <f>IF(F803&lt;=0.000000001,"",1/SQRT(F803))</f>
        <v/>
      </c>
      <c r="H803">
        <f>IF(OR(C803=0,C803=D803),"BIÊN","")</f>
        <v/>
      </c>
    </row>
    <row r="804">
      <c r="A804" t="n">
        <v>803</v>
      </c>
      <c r="B804">
        <f>'01_Data'!A804</f>
        <v/>
      </c>
      <c r="C804">
        <f>'03_Lap_Theta'!C804</f>
        <v/>
      </c>
      <c r="D804">
        <f>'03_Lap_Theta'!D804</f>
        <v/>
      </c>
      <c r="E804" s="5">
        <f>'03_Lap_Theta'!$AC804</f>
        <v/>
      </c>
      <c r="F804" s="5">
        <f>SUMPRODUCT(('01_Data'!$B804:$AW804&lt;&gt;"")*(1/(1+EXP(-('03_Lap_Theta'!$AC804-'03_Lap_b'!$B$45:$AW$45))))*(1-(1/(1+EXP(-('03_Lap_Theta'!$AC804-'03_Lap_b'!$B$45:$AW$45))))))</f>
        <v/>
      </c>
      <c r="G804" s="5">
        <f>IF(F804&lt;=0.000000001,"",1/SQRT(F804))</f>
        <v/>
      </c>
      <c r="H804">
        <f>IF(OR(C804=0,C804=D804),"BIÊN","")</f>
        <v/>
      </c>
    </row>
    <row r="805">
      <c r="A805" t="n">
        <v>804</v>
      </c>
      <c r="B805">
        <f>'01_Data'!A805</f>
        <v/>
      </c>
      <c r="C805">
        <f>'03_Lap_Theta'!C805</f>
        <v/>
      </c>
      <c r="D805">
        <f>'03_Lap_Theta'!D805</f>
        <v/>
      </c>
      <c r="E805" s="5">
        <f>'03_Lap_Theta'!$AC805</f>
        <v/>
      </c>
      <c r="F805" s="5">
        <f>SUMPRODUCT(('01_Data'!$B805:$AW805&lt;&gt;"")*(1/(1+EXP(-('03_Lap_Theta'!$AC805-'03_Lap_b'!$B$45:$AW$45))))*(1-(1/(1+EXP(-('03_Lap_Theta'!$AC805-'03_Lap_b'!$B$45:$AW$45))))))</f>
        <v/>
      </c>
      <c r="G805" s="5">
        <f>IF(F805&lt;=0.000000001,"",1/SQRT(F805))</f>
        <v/>
      </c>
      <c r="H805">
        <f>IF(OR(C805=0,C805=D805),"BIÊN","")</f>
        <v/>
      </c>
    </row>
    <row r="806">
      <c r="A806" t="n">
        <v>805</v>
      </c>
      <c r="B806">
        <f>'01_Data'!A806</f>
        <v/>
      </c>
      <c r="C806">
        <f>'03_Lap_Theta'!C806</f>
        <v/>
      </c>
      <c r="D806">
        <f>'03_Lap_Theta'!D806</f>
        <v/>
      </c>
      <c r="E806" s="5">
        <f>'03_Lap_Theta'!$AC806</f>
        <v/>
      </c>
      <c r="F806" s="5">
        <f>SUMPRODUCT(('01_Data'!$B806:$AW806&lt;&gt;"")*(1/(1+EXP(-('03_Lap_Theta'!$AC806-'03_Lap_b'!$B$45:$AW$45))))*(1-(1/(1+EXP(-('03_Lap_Theta'!$AC806-'03_Lap_b'!$B$45:$AW$45))))))</f>
        <v/>
      </c>
      <c r="G806" s="5">
        <f>IF(F806&lt;=0.000000001,"",1/SQRT(F806))</f>
        <v/>
      </c>
      <c r="H806">
        <f>IF(OR(C806=0,C806=D806),"BIÊN","")</f>
        <v/>
      </c>
    </row>
    <row r="807">
      <c r="A807" t="n">
        <v>806</v>
      </c>
      <c r="B807">
        <f>'01_Data'!A807</f>
        <v/>
      </c>
      <c r="C807">
        <f>'03_Lap_Theta'!C807</f>
        <v/>
      </c>
      <c r="D807">
        <f>'03_Lap_Theta'!D807</f>
        <v/>
      </c>
      <c r="E807" s="5">
        <f>'03_Lap_Theta'!$AC807</f>
        <v/>
      </c>
      <c r="F807" s="5">
        <f>SUMPRODUCT(('01_Data'!$B807:$AW807&lt;&gt;"")*(1/(1+EXP(-('03_Lap_Theta'!$AC807-'03_Lap_b'!$B$45:$AW$45))))*(1-(1/(1+EXP(-('03_Lap_Theta'!$AC807-'03_Lap_b'!$B$45:$AW$45))))))</f>
        <v/>
      </c>
      <c r="G807" s="5">
        <f>IF(F807&lt;=0.000000001,"",1/SQRT(F807))</f>
        <v/>
      </c>
      <c r="H807">
        <f>IF(OR(C807=0,C807=D807),"BIÊN","")</f>
        <v/>
      </c>
    </row>
    <row r="808">
      <c r="A808" t="n">
        <v>807</v>
      </c>
      <c r="B808">
        <f>'01_Data'!A808</f>
        <v/>
      </c>
      <c r="C808">
        <f>'03_Lap_Theta'!C808</f>
        <v/>
      </c>
      <c r="D808">
        <f>'03_Lap_Theta'!D808</f>
        <v/>
      </c>
      <c r="E808" s="5">
        <f>'03_Lap_Theta'!$AC808</f>
        <v/>
      </c>
      <c r="F808" s="5">
        <f>SUMPRODUCT(('01_Data'!$B808:$AW808&lt;&gt;"")*(1/(1+EXP(-('03_Lap_Theta'!$AC808-'03_Lap_b'!$B$45:$AW$45))))*(1-(1/(1+EXP(-('03_Lap_Theta'!$AC808-'03_Lap_b'!$B$45:$AW$45))))))</f>
        <v/>
      </c>
      <c r="G808" s="5">
        <f>IF(F808&lt;=0.000000001,"",1/SQRT(F808))</f>
        <v/>
      </c>
      <c r="H808">
        <f>IF(OR(C808=0,C808=D808),"BIÊN","")</f>
        <v/>
      </c>
    </row>
    <row r="809">
      <c r="A809" t="n">
        <v>808</v>
      </c>
      <c r="B809">
        <f>'01_Data'!A809</f>
        <v/>
      </c>
      <c r="C809">
        <f>'03_Lap_Theta'!C809</f>
        <v/>
      </c>
      <c r="D809">
        <f>'03_Lap_Theta'!D809</f>
        <v/>
      </c>
      <c r="E809" s="5">
        <f>'03_Lap_Theta'!$AC809</f>
        <v/>
      </c>
      <c r="F809" s="5">
        <f>SUMPRODUCT(('01_Data'!$B809:$AW809&lt;&gt;"")*(1/(1+EXP(-('03_Lap_Theta'!$AC809-'03_Lap_b'!$B$45:$AW$45))))*(1-(1/(1+EXP(-('03_Lap_Theta'!$AC809-'03_Lap_b'!$B$45:$AW$45))))))</f>
        <v/>
      </c>
      <c r="G809" s="5">
        <f>IF(F809&lt;=0.000000001,"",1/SQRT(F809))</f>
        <v/>
      </c>
      <c r="H809">
        <f>IF(OR(C809=0,C809=D809),"BIÊN","")</f>
        <v/>
      </c>
    </row>
    <row r="810">
      <c r="A810" t="n">
        <v>809</v>
      </c>
      <c r="B810">
        <f>'01_Data'!A810</f>
        <v/>
      </c>
      <c r="C810">
        <f>'03_Lap_Theta'!C810</f>
        <v/>
      </c>
      <c r="D810">
        <f>'03_Lap_Theta'!D810</f>
        <v/>
      </c>
      <c r="E810" s="5">
        <f>'03_Lap_Theta'!$AC810</f>
        <v/>
      </c>
      <c r="F810" s="5">
        <f>SUMPRODUCT(('01_Data'!$B810:$AW810&lt;&gt;"")*(1/(1+EXP(-('03_Lap_Theta'!$AC810-'03_Lap_b'!$B$45:$AW$45))))*(1-(1/(1+EXP(-('03_Lap_Theta'!$AC810-'03_Lap_b'!$B$45:$AW$45))))))</f>
        <v/>
      </c>
      <c r="G810" s="5">
        <f>IF(F810&lt;=0.000000001,"",1/SQRT(F810))</f>
        <v/>
      </c>
      <c r="H810">
        <f>IF(OR(C810=0,C810=D810),"BIÊN","")</f>
        <v/>
      </c>
    </row>
    <row r="811">
      <c r="A811" t="n">
        <v>810</v>
      </c>
      <c r="B811">
        <f>'01_Data'!A811</f>
        <v/>
      </c>
      <c r="C811">
        <f>'03_Lap_Theta'!C811</f>
        <v/>
      </c>
      <c r="D811">
        <f>'03_Lap_Theta'!D811</f>
        <v/>
      </c>
      <c r="E811" s="5">
        <f>'03_Lap_Theta'!$AC811</f>
        <v/>
      </c>
      <c r="F811" s="5">
        <f>SUMPRODUCT(('01_Data'!$B811:$AW811&lt;&gt;"")*(1/(1+EXP(-('03_Lap_Theta'!$AC811-'03_Lap_b'!$B$45:$AW$45))))*(1-(1/(1+EXP(-('03_Lap_Theta'!$AC811-'03_Lap_b'!$B$45:$AW$45))))))</f>
        <v/>
      </c>
      <c r="G811" s="5">
        <f>IF(F811&lt;=0.000000001,"",1/SQRT(F811))</f>
        <v/>
      </c>
      <c r="H811">
        <f>IF(OR(C811=0,C811=D811),"BIÊN","")</f>
        <v/>
      </c>
    </row>
    <row r="812">
      <c r="A812" t="n">
        <v>811</v>
      </c>
      <c r="B812">
        <f>'01_Data'!A812</f>
        <v/>
      </c>
      <c r="C812">
        <f>'03_Lap_Theta'!C812</f>
        <v/>
      </c>
      <c r="D812">
        <f>'03_Lap_Theta'!D812</f>
        <v/>
      </c>
      <c r="E812" s="5">
        <f>'03_Lap_Theta'!$AC812</f>
        <v/>
      </c>
      <c r="F812" s="5">
        <f>SUMPRODUCT(('01_Data'!$B812:$AW812&lt;&gt;"")*(1/(1+EXP(-('03_Lap_Theta'!$AC812-'03_Lap_b'!$B$45:$AW$45))))*(1-(1/(1+EXP(-('03_Lap_Theta'!$AC812-'03_Lap_b'!$B$45:$AW$45))))))</f>
        <v/>
      </c>
      <c r="G812" s="5">
        <f>IF(F812&lt;=0.000000001,"",1/SQRT(F812))</f>
        <v/>
      </c>
      <c r="H812">
        <f>IF(OR(C812=0,C812=D812),"BIÊN","")</f>
        <v/>
      </c>
    </row>
    <row r="813">
      <c r="A813" t="n">
        <v>812</v>
      </c>
      <c r="B813">
        <f>'01_Data'!A813</f>
        <v/>
      </c>
      <c r="C813">
        <f>'03_Lap_Theta'!C813</f>
        <v/>
      </c>
      <c r="D813">
        <f>'03_Lap_Theta'!D813</f>
        <v/>
      </c>
      <c r="E813" s="5">
        <f>'03_Lap_Theta'!$AC813</f>
        <v/>
      </c>
      <c r="F813" s="5">
        <f>SUMPRODUCT(('01_Data'!$B813:$AW813&lt;&gt;"")*(1/(1+EXP(-('03_Lap_Theta'!$AC813-'03_Lap_b'!$B$45:$AW$45))))*(1-(1/(1+EXP(-('03_Lap_Theta'!$AC813-'03_Lap_b'!$B$45:$AW$45))))))</f>
        <v/>
      </c>
      <c r="G813" s="5">
        <f>IF(F813&lt;=0.000000001,"",1/SQRT(F813))</f>
        <v/>
      </c>
      <c r="H813">
        <f>IF(OR(C813=0,C813=D813),"BIÊN","")</f>
        <v/>
      </c>
    </row>
    <row r="814">
      <c r="A814" t="n">
        <v>813</v>
      </c>
      <c r="B814">
        <f>'01_Data'!A814</f>
        <v/>
      </c>
      <c r="C814">
        <f>'03_Lap_Theta'!C814</f>
        <v/>
      </c>
      <c r="D814">
        <f>'03_Lap_Theta'!D814</f>
        <v/>
      </c>
      <c r="E814" s="5">
        <f>'03_Lap_Theta'!$AC814</f>
        <v/>
      </c>
      <c r="F814" s="5">
        <f>SUMPRODUCT(('01_Data'!$B814:$AW814&lt;&gt;"")*(1/(1+EXP(-('03_Lap_Theta'!$AC814-'03_Lap_b'!$B$45:$AW$45))))*(1-(1/(1+EXP(-('03_Lap_Theta'!$AC814-'03_Lap_b'!$B$45:$AW$45))))))</f>
        <v/>
      </c>
      <c r="G814" s="5">
        <f>IF(F814&lt;=0.000000001,"",1/SQRT(F814))</f>
        <v/>
      </c>
      <c r="H814">
        <f>IF(OR(C814=0,C814=D814),"BIÊN","")</f>
        <v/>
      </c>
    </row>
    <row r="815">
      <c r="A815" t="n">
        <v>814</v>
      </c>
      <c r="B815">
        <f>'01_Data'!A815</f>
        <v/>
      </c>
      <c r="C815">
        <f>'03_Lap_Theta'!C815</f>
        <v/>
      </c>
      <c r="D815">
        <f>'03_Lap_Theta'!D815</f>
        <v/>
      </c>
      <c r="E815" s="5">
        <f>'03_Lap_Theta'!$AC815</f>
        <v/>
      </c>
      <c r="F815" s="5">
        <f>SUMPRODUCT(('01_Data'!$B815:$AW815&lt;&gt;"")*(1/(1+EXP(-('03_Lap_Theta'!$AC815-'03_Lap_b'!$B$45:$AW$45))))*(1-(1/(1+EXP(-('03_Lap_Theta'!$AC815-'03_Lap_b'!$B$45:$AW$45))))))</f>
        <v/>
      </c>
      <c r="G815" s="5">
        <f>IF(F815&lt;=0.000000001,"",1/SQRT(F815))</f>
        <v/>
      </c>
      <c r="H815">
        <f>IF(OR(C815=0,C815=D815),"BIÊN","")</f>
        <v/>
      </c>
    </row>
    <row r="816">
      <c r="A816" t="n">
        <v>815</v>
      </c>
      <c r="B816">
        <f>'01_Data'!A816</f>
        <v/>
      </c>
      <c r="C816">
        <f>'03_Lap_Theta'!C816</f>
        <v/>
      </c>
      <c r="D816">
        <f>'03_Lap_Theta'!D816</f>
        <v/>
      </c>
      <c r="E816" s="5">
        <f>'03_Lap_Theta'!$AC816</f>
        <v/>
      </c>
      <c r="F816" s="5">
        <f>SUMPRODUCT(('01_Data'!$B816:$AW816&lt;&gt;"")*(1/(1+EXP(-('03_Lap_Theta'!$AC816-'03_Lap_b'!$B$45:$AW$45))))*(1-(1/(1+EXP(-('03_Lap_Theta'!$AC816-'03_Lap_b'!$B$45:$AW$45))))))</f>
        <v/>
      </c>
      <c r="G816" s="5">
        <f>IF(F816&lt;=0.000000001,"",1/SQRT(F816))</f>
        <v/>
      </c>
      <c r="H816">
        <f>IF(OR(C816=0,C816=D816),"BIÊN","")</f>
        <v/>
      </c>
    </row>
    <row r="817">
      <c r="A817" t="n">
        <v>816</v>
      </c>
      <c r="B817">
        <f>'01_Data'!A817</f>
        <v/>
      </c>
      <c r="C817">
        <f>'03_Lap_Theta'!C817</f>
        <v/>
      </c>
      <c r="D817">
        <f>'03_Lap_Theta'!D817</f>
        <v/>
      </c>
      <c r="E817" s="5">
        <f>'03_Lap_Theta'!$AC817</f>
        <v/>
      </c>
      <c r="F817" s="5">
        <f>SUMPRODUCT(('01_Data'!$B817:$AW817&lt;&gt;"")*(1/(1+EXP(-('03_Lap_Theta'!$AC817-'03_Lap_b'!$B$45:$AW$45))))*(1-(1/(1+EXP(-('03_Lap_Theta'!$AC817-'03_Lap_b'!$B$45:$AW$45))))))</f>
        <v/>
      </c>
      <c r="G817" s="5">
        <f>IF(F817&lt;=0.000000001,"",1/SQRT(F817))</f>
        <v/>
      </c>
      <c r="H817">
        <f>IF(OR(C817=0,C817=D817),"BIÊN","")</f>
        <v/>
      </c>
    </row>
    <row r="818">
      <c r="A818" t="n">
        <v>817</v>
      </c>
      <c r="B818">
        <f>'01_Data'!A818</f>
        <v/>
      </c>
      <c r="C818">
        <f>'03_Lap_Theta'!C818</f>
        <v/>
      </c>
      <c r="D818">
        <f>'03_Lap_Theta'!D818</f>
        <v/>
      </c>
      <c r="E818" s="5">
        <f>'03_Lap_Theta'!$AC818</f>
        <v/>
      </c>
      <c r="F818" s="5">
        <f>SUMPRODUCT(('01_Data'!$B818:$AW818&lt;&gt;"")*(1/(1+EXP(-('03_Lap_Theta'!$AC818-'03_Lap_b'!$B$45:$AW$45))))*(1-(1/(1+EXP(-('03_Lap_Theta'!$AC818-'03_Lap_b'!$B$45:$AW$45))))))</f>
        <v/>
      </c>
      <c r="G818" s="5">
        <f>IF(F818&lt;=0.000000001,"",1/SQRT(F818))</f>
        <v/>
      </c>
      <c r="H818">
        <f>IF(OR(C818=0,C818=D818),"BIÊN","")</f>
        <v/>
      </c>
    </row>
    <row r="819">
      <c r="A819" t="n">
        <v>818</v>
      </c>
      <c r="B819">
        <f>'01_Data'!A819</f>
        <v/>
      </c>
      <c r="C819">
        <f>'03_Lap_Theta'!C819</f>
        <v/>
      </c>
      <c r="D819">
        <f>'03_Lap_Theta'!D819</f>
        <v/>
      </c>
      <c r="E819" s="5">
        <f>'03_Lap_Theta'!$AC819</f>
        <v/>
      </c>
      <c r="F819" s="5">
        <f>SUMPRODUCT(('01_Data'!$B819:$AW819&lt;&gt;"")*(1/(1+EXP(-('03_Lap_Theta'!$AC819-'03_Lap_b'!$B$45:$AW$45))))*(1-(1/(1+EXP(-('03_Lap_Theta'!$AC819-'03_Lap_b'!$B$45:$AW$45))))))</f>
        <v/>
      </c>
      <c r="G819" s="5">
        <f>IF(F819&lt;=0.000000001,"",1/SQRT(F819))</f>
        <v/>
      </c>
      <c r="H819">
        <f>IF(OR(C819=0,C819=D819),"BIÊN","")</f>
        <v/>
      </c>
    </row>
    <row r="820">
      <c r="A820" t="n">
        <v>819</v>
      </c>
      <c r="B820">
        <f>'01_Data'!A820</f>
        <v/>
      </c>
      <c r="C820">
        <f>'03_Lap_Theta'!C820</f>
        <v/>
      </c>
      <c r="D820">
        <f>'03_Lap_Theta'!D820</f>
        <v/>
      </c>
      <c r="E820" s="5">
        <f>'03_Lap_Theta'!$AC820</f>
        <v/>
      </c>
      <c r="F820" s="5">
        <f>SUMPRODUCT(('01_Data'!$B820:$AW820&lt;&gt;"")*(1/(1+EXP(-('03_Lap_Theta'!$AC820-'03_Lap_b'!$B$45:$AW$45))))*(1-(1/(1+EXP(-('03_Lap_Theta'!$AC820-'03_Lap_b'!$B$45:$AW$45))))))</f>
        <v/>
      </c>
      <c r="G820" s="5">
        <f>IF(F820&lt;=0.000000001,"",1/SQRT(F820))</f>
        <v/>
      </c>
      <c r="H820">
        <f>IF(OR(C820=0,C820=D820),"BIÊN","")</f>
        <v/>
      </c>
    </row>
    <row r="821">
      <c r="A821" t="n">
        <v>820</v>
      </c>
      <c r="B821">
        <f>'01_Data'!A821</f>
        <v/>
      </c>
      <c r="C821">
        <f>'03_Lap_Theta'!C821</f>
        <v/>
      </c>
      <c r="D821">
        <f>'03_Lap_Theta'!D821</f>
        <v/>
      </c>
      <c r="E821" s="5">
        <f>'03_Lap_Theta'!$AC821</f>
        <v/>
      </c>
      <c r="F821" s="5">
        <f>SUMPRODUCT(('01_Data'!$B821:$AW821&lt;&gt;"")*(1/(1+EXP(-('03_Lap_Theta'!$AC821-'03_Lap_b'!$B$45:$AW$45))))*(1-(1/(1+EXP(-('03_Lap_Theta'!$AC821-'03_Lap_b'!$B$45:$AW$45))))))</f>
        <v/>
      </c>
      <c r="G821" s="5">
        <f>IF(F821&lt;=0.000000001,"",1/SQRT(F821))</f>
        <v/>
      </c>
      <c r="H821">
        <f>IF(OR(C821=0,C821=D821),"BIÊN","")</f>
        <v/>
      </c>
    </row>
    <row r="822">
      <c r="A822" t="n">
        <v>821</v>
      </c>
      <c r="B822">
        <f>'01_Data'!A822</f>
        <v/>
      </c>
      <c r="C822">
        <f>'03_Lap_Theta'!C822</f>
        <v/>
      </c>
      <c r="D822">
        <f>'03_Lap_Theta'!D822</f>
        <v/>
      </c>
      <c r="E822" s="5">
        <f>'03_Lap_Theta'!$AC822</f>
        <v/>
      </c>
      <c r="F822" s="5">
        <f>SUMPRODUCT(('01_Data'!$B822:$AW822&lt;&gt;"")*(1/(1+EXP(-('03_Lap_Theta'!$AC822-'03_Lap_b'!$B$45:$AW$45))))*(1-(1/(1+EXP(-('03_Lap_Theta'!$AC822-'03_Lap_b'!$B$45:$AW$45))))))</f>
        <v/>
      </c>
      <c r="G822" s="5">
        <f>IF(F822&lt;=0.000000001,"",1/SQRT(F822))</f>
        <v/>
      </c>
      <c r="H822">
        <f>IF(OR(C822=0,C822=D822),"BIÊN","")</f>
        <v/>
      </c>
    </row>
    <row r="823">
      <c r="A823" t="n">
        <v>822</v>
      </c>
      <c r="B823">
        <f>'01_Data'!A823</f>
        <v/>
      </c>
      <c r="C823">
        <f>'03_Lap_Theta'!C823</f>
        <v/>
      </c>
      <c r="D823">
        <f>'03_Lap_Theta'!D823</f>
        <v/>
      </c>
      <c r="E823" s="5">
        <f>'03_Lap_Theta'!$AC823</f>
        <v/>
      </c>
      <c r="F823" s="5">
        <f>SUMPRODUCT(('01_Data'!$B823:$AW823&lt;&gt;"")*(1/(1+EXP(-('03_Lap_Theta'!$AC823-'03_Lap_b'!$B$45:$AW$45))))*(1-(1/(1+EXP(-('03_Lap_Theta'!$AC823-'03_Lap_b'!$B$45:$AW$45))))))</f>
        <v/>
      </c>
      <c r="G823" s="5">
        <f>IF(F823&lt;=0.000000001,"",1/SQRT(F823))</f>
        <v/>
      </c>
      <c r="H823">
        <f>IF(OR(C823=0,C823=D823),"BIÊN","")</f>
        <v/>
      </c>
    </row>
    <row r="824">
      <c r="A824" t="n">
        <v>823</v>
      </c>
      <c r="B824">
        <f>'01_Data'!A824</f>
        <v/>
      </c>
      <c r="C824">
        <f>'03_Lap_Theta'!C824</f>
        <v/>
      </c>
      <c r="D824">
        <f>'03_Lap_Theta'!D824</f>
        <v/>
      </c>
      <c r="E824" s="5">
        <f>'03_Lap_Theta'!$AC824</f>
        <v/>
      </c>
      <c r="F824" s="5">
        <f>SUMPRODUCT(('01_Data'!$B824:$AW824&lt;&gt;"")*(1/(1+EXP(-('03_Lap_Theta'!$AC824-'03_Lap_b'!$B$45:$AW$45))))*(1-(1/(1+EXP(-('03_Lap_Theta'!$AC824-'03_Lap_b'!$B$45:$AW$45))))))</f>
        <v/>
      </c>
      <c r="G824" s="5">
        <f>IF(F824&lt;=0.000000001,"",1/SQRT(F824))</f>
        <v/>
      </c>
      <c r="H824">
        <f>IF(OR(C824=0,C824=D824),"BIÊN","")</f>
        <v/>
      </c>
    </row>
    <row r="825">
      <c r="A825" t="n">
        <v>824</v>
      </c>
      <c r="B825">
        <f>'01_Data'!A825</f>
        <v/>
      </c>
      <c r="C825">
        <f>'03_Lap_Theta'!C825</f>
        <v/>
      </c>
      <c r="D825">
        <f>'03_Lap_Theta'!D825</f>
        <v/>
      </c>
      <c r="E825" s="5">
        <f>'03_Lap_Theta'!$AC825</f>
        <v/>
      </c>
      <c r="F825" s="5">
        <f>SUMPRODUCT(('01_Data'!$B825:$AW825&lt;&gt;"")*(1/(1+EXP(-('03_Lap_Theta'!$AC825-'03_Lap_b'!$B$45:$AW$45))))*(1-(1/(1+EXP(-('03_Lap_Theta'!$AC825-'03_Lap_b'!$B$45:$AW$45))))))</f>
        <v/>
      </c>
      <c r="G825" s="5">
        <f>IF(F825&lt;=0.000000001,"",1/SQRT(F825))</f>
        <v/>
      </c>
      <c r="H825">
        <f>IF(OR(C825=0,C825=D825),"BIÊN","")</f>
        <v/>
      </c>
    </row>
    <row r="826">
      <c r="A826" t="n">
        <v>825</v>
      </c>
      <c r="B826">
        <f>'01_Data'!A826</f>
        <v/>
      </c>
      <c r="C826">
        <f>'03_Lap_Theta'!C826</f>
        <v/>
      </c>
      <c r="D826">
        <f>'03_Lap_Theta'!D826</f>
        <v/>
      </c>
      <c r="E826" s="5">
        <f>'03_Lap_Theta'!$AC826</f>
        <v/>
      </c>
      <c r="F826" s="5">
        <f>SUMPRODUCT(('01_Data'!$B826:$AW826&lt;&gt;"")*(1/(1+EXP(-('03_Lap_Theta'!$AC826-'03_Lap_b'!$B$45:$AW$45))))*(1-(1/(1+EXP(-('03_Lap_Theta'!$AC826-'03_Lap_b'!$B$45:$AW$45))))))</f>
        <v/>
      </c>
      <c r="G826" s="5">
        <f>IF(F826&lt;=0.000000001,"",1/SQRT(F826))</f>
        <v/>
      </c>
      <c r="H826">
        <f>IF(OR(C826=0,C826=D826),"BIÊN","")</f>
        <v/>
      </c>
    </row>
    <row r="827">
      <c r="A827" t="n">
        <v>826</v>
      </c>
      <c r="B827">
        <f>'01_Data'!A827</f>
        <v/>
      </c>
      <c r="C827">
        <f>'03_Lap_Theta'!C827</f>
        <v/>
      </c>
      <c r="D827">
        <f>'03_Lap_Theta'!D827</f>
        <v/>
      </c>
      <c r="E827" s="5">
        <f>'03_Lap_Theta'!$AC827</f>
        <v/>
      </c>
      <c r="F827" s="5">
        <f>SUMPRODUCT(('01_Data'!$B827:$AW827&lt;&gt;"")*(1/(1+EXP(-('03_Lap_Theta'!$AC827-'03_Lap_b'!$B$45:$AW$45))))*(1-(1/(1+EXP(-('03_Lap_Theta'!$AC827-'03_Lap_b'!$B$45:$AW$45))))))</f>
        <v/>
      </c>
      <c r="G827" s="5">
        <f>IF(F827&lt;=0.000000001,"",1/SQRT(F827))</f>
        <v/>
      </c>
      <c r="H827">
        <f>IF(OR(C827=0,C827=D827),"BIÊN","")</f>
        <v/>
      </c>
    </row>
    <row r="828">
      <c r="A828" t="n">
        <v>827</v>
      </c>
      <c r="B828">
        <f>'01_Data'!A828</f>
        <v/>
      </c>
      <c r="C828">
        <f>'03_Lap_Theta'!C828</f>
        <v/>
      </c>
      <c r="D828">
        <f>'03_Lap_Theta'!D828</f>
        <v/>
      </c>
      <c r="E828" s="5">
        <f>'03_Lap_Theta'!$AC828</f>
        <v/>
      </c>
      <c r="F828" s="5">
        <f>SUMPRODUCT(('01_Data'!$B828:$AW828&lt;&gt;"")*(1/(1+EXP(-('03_Lap_Theta'!$AC828-'03_Lap_b'!$B$45:$AW$45))))*(1-(1/(1+EXP(-('03_Lap_Theta'!$AC828-'03_Lap_b'!$B$45:$AW$45))))))</f>
        <v/>
      </c>
      <c r="G828" s="5">
        <f>IF(F828&lt;=0.000000001,"",1/SQRT(F828))</f>
        <v/>
      </c>
      <c r="H828">
        <f>IF(OR(C828=0,C828=D828),"BIÊN","")</f>
        <v/>
      </c>
    </row>
    <row r="829">
      <c r="A829" t="n">
        <v>828</v>
      </c>
      <c r="B829">
        <f>'01_Data'!A829</f>
        <v/>
      </c>
      <c r="C829">
        <f>'03_Lap_Theta'!C829</f>
        <v/>
      </c>
      <c r="D829">
        <f>'03_Lap_Theta'!D829</f>
        <v/>
      </c>
      <c r="E829" s="5">
        <f>'03_Lap_Theta'!$AC829</f>
        <v/>
      </c>
      <c r="F829" s="5">
        <f>SUMPRODUCT(('01_Data'!$B829:$AW829&lt;&gt;"")*(1/(1+EXP(-('03_Lap_Theta'!$AC829-'03_Lap_b'!$B$45:$AW$45))))*(1-(1/(1+EXP(-('03_Lap_Theta'!$AC829-'03_Lap_b'!$B$45:$AW$45))))))</f>
        <v/>
      </c>
      <c r="G829" s="5">
        <f>IF(F829&lt;=0.000000001,"",1/SQRT(F829))</f>
        <v/>
      </c>
      <c r="H829">
        <f>IF(OR(C829=0,C829=D829),"BIÊN","")</f>
        <v/>
      </c>
    </row>
    <row r="830">
      <c r="A830" t="n">
        <v>829</v>
      </c>
      <c r="B830">
        <f>'01_Data'!A830</f>
        <v/>
      </c>
      <c r="C830">
        <f>'03_Lap_Theta'!C830</f>
        <v/>
      </c>
      <c r="D830">
        <f>'03_Lap_Theta'!D830</f>
        <v/>
      </c>
      <c r="E830" s="5">
        <f>'03_Lap_Theta'!$AC830</f>
        <v/>
      </c>
      <c r="F830" s="5">
        <f>SUMPRODUCT(('01_Data'!$B830:$AW830&lt;&gt;"")*(1/(1+EXP(-('03_Lap_Theta'!$AC830-'03_Lap_b'!$B$45:$AW$45))))*(1-(1/(1+EXP(-('03_Lap_Theta'!$AC830-'03_Lap_b'!$B$45:$AW$45))))))</f>
        <v/>
      </c>
      <c r="G830" s="5">
        <f>IF(F830&lt;=0.000000001,"",1/SQRT(F830))</f>
        <v/>
      </c>
      <c r="H830">
        <f>IF(OR(C830=0,C830=D830),"BIÊN","")</f>
        <v/>
      </c>
    </row>
    <row r="831">
      <c r="A831" t="n">
        <v>830</v>
      </c>
      <c r="B831">
        <f>'01_Data'!A831</f>
        <v/>
      </c>
      <c r="C831">
        <f>'03_Lap_Theta'!C831</f>
        <v/>
      </c>
      <c r="D831">
        <f>'03_Lap_Theta'!D831</f>
        <v/>
      </c>
      <c r="E831" s="5">
        <f>'03_Lap_Theta'!$AC831</f>
        <v/>
      </c>
      <c r="F831" s="5">
        <f>SUMPRODUCT(('01_Data'!$B831:$AW831&lt;&gt;"")*(1/(1+EXP(-('03_Lap_Theta'!$AC831-'03_Lap_b'!$B$45:$AW$45))))*(1-(1/(1+EXP(-('03_Lap_Theta'!$AC831-'03_Lap_b'!$B$45:$AW$45))))))</f>
        <v/>
      </c>
      <c r="G831" s="5">
        <f>IF(F831&lt;=0.000000001,"",1/SQRT(F831))</f>
        <v/>
      </c>
      <c r="H831">
        <f>IF(OR(C831=0,C831=D831),"BIÊN","")</f>
        <v/>
      </c>
    </row>
    <row r="832">
      <c r="A832" t="n">
        <v>831</v>
      </c>
      <c r="B832">
        <f>'01_Data'!A832</f>
        <v/>
      </c>
      <c r="C832">
        <f>'03_Lap_Theta'!C832</f>
        <v/>
      </c>
      <c r="D832">
        <f>'03_Lap_Theta'!D832</f>
        <v/>
      </c>
      <c r="E832" s="5">
        <f>'03_Lap_Theta'!$AC832</f>
        <v/>
      </c>
      <c r="F832" s="5">
        <f>SUMPRODUCT(('01_Data'!$B832:$AW832&lt;&gt;"")*(1/(1+EXP(-('03_Lap_Theta'!$AC832-'03_Lap_b'!$B$45:$AW$45))))*(1-(1/(1+EXP(-('03_Lap_Theta'!$AC832-'03_Lap_b'!$B$45:$AW$45))))))</f>
        <v/>
      </c>
      <c r="G832" s="5">
        <f>IF(F832&lt;=0.000000001,"",1/SQRT(F832))</f>
        <v/>
      </c>
      <c r="H832">
        <f>IF(OR(C832=0,C832=D832),"BIÊN","")</f>
        <v/>
      </c>
    </row>
    <row r="833">
      <c r="A833" t="n">
        <v>832</v>
      </c>
      <c r="B833">
        <f>'01_Data'!A833</f>
        <v/>
      </c>
      <c r="C833">
        <f>'03_Lap_Theta'!C833</f>
        <v/>
      </c>
      <c r="D833">
        <f>'03_Lap_Theta'!D833</f>
        <v/>
      </c>
      <c r="E833" s="5">
        <f>'03_Lap_Theta'!$AC833</f>
        <v/>
      </c>
      <c r="F833" s="5">
        <f>SUMPRODUCT(('01_Data'!$B833:$AW833&lt;&gt;"")*(1/(1+EXP(-('03_Lap_Theta'!$AC833-'03_Lap_b'!$B$45:$AW$45))))*(1-(1/(1+EXP(-('03_Lap_Theta'!$AC833-'03_Lap_b'!$B$45:$AW$45))))))</f>
        <v/>
      </c>
      <c r="G833" s="5">
        <f>IF(F833&lt;=0.000000001,"",1/SQRT(F833))</f>
        <v/>
      </c>
      <c r="H833">
        <f>IF(OR(C833=0,C833=D833),"BIÊN","")</f>
        <v/>
      </c>
    </row>
    <row r="834">
      <c r="A834" t="n">
        <v>833</v>
      </c>
      <c r="B834">
        <f>'01_Data'!A834</f>
        <v/>
      </c>
      <c r="C834">
        <f>'03_Lap_Theta'!C834</f>
        <v/>
      </c>
      <c r="D834">
        <f>'03_Lap_Theta'!D834</f>
        <v/>
      </c>
      <c r="E834" s="5">
        <f>'03_Lap_Theta'!$AC834</f>
        <v/>
      </c>
      <c r="F834" s="5">
        <f>SUMPRODUCT(('01_Data'!$B834:$AW834&lt;&gt;"")*(1/(1+EXP(-('03_Lap_Theta'!$AC834-'03_Lap_b'!$B$45:$AW$45))))*(1-(1/(1+EXP(-('03_Lap_Theta'!$AC834-'03_Lap_b'!$B$45:$AW$45))))))</f>
        <v/>
      </c>
      <c r="G834" s="5">
        <f>IF(F834&lt;=0.000000001,"",1/SQRT(F834))</f>
        <v/>
      </c>
      <c r="H834">
        <f>IF(OR(C834=0,C834=D834),"BIÊN","")</f>
        <v/>
      </c>
    </row>
    <row r="835">
      <c r="A835" t="n">
        <v>834</v>
      </c>
      <c r="B835">
        <f>'01_Data'!A835</f>
        <v/>
      </c>
      <c r="C835">
        <f>'03_Lap_Theta'!C835</f>
        <v/>
      </c>
      <c r="D835">
        <f>'03_Lap_Theta'!D835</f>
        <v/>
      </c>
      <c r="E835" s="5">
        <f>'03_Lap_Theta'!$AC835</f>
        <v/>
      </c>
      <c r="F835" s="5">
        <f>SUMPRODUCT(('01_Data'!$B835:$AW835&lt;&gt;"")*(1/(1+EXP(-('03_Lap_Theta'!$AC835-'03_Lap_b'!$B$45:$AW$45))))*(1-(1/(1+EXP(-('03_Lap_Theta'!$AC835-'03_Lap_b'!$B$45:$AW$45))))))</f>
        <v/>
      </c>
      <c r="G835" s="5">
        <f>IF(F835&lt;=0.000000001,"",1/SQRT(F835))</f>
        <v/>
      </c>
      <c r="H835">
        <f>IF(OR(C835=0,C835=D835),"BIÊN","")</f>
        <v/>
      </c>
    </row>
    <row r="836">
      <c r="A836" t="n">
        <v>835</v>
      </c>
      <c r="B836">
        <f>'01_Data'!A836</f>
        <v/>
      </c>
      <c r="C836">
        <f>'03_Lap_Theta'!C836</f>
        <v/>
      </c>
      <c r="D836">
        <f>'03_Lap_Theta'!D836</f>
        <v/>
      </c>
      <c r="E836" s="5">
        <f>'03_Lap_Theta'!$AC836</f>
        <v/>
      </c>
      <c r="F836" s="5">
        <f>SUMPRODUCT(('01_Data'!$B836:$AW836&lt;&gt;"")*(1/(1+EXP(-('03_Lap_Theta'!$AC836-'03_Lap_b'!$B$45:$AW$45))))*(1-(1/(1+EXP(-('03_Lap_Theta'!$AC836-'03_Lap_b'!$B$45:$AW$45))))))</f>
        <v/>
      </c>
      <c r="G836" s="5">
        <f>IF(F836&lt;=0.000000001,"",1/SQRT(F836))</f>
        <v/>
      </c>
      <c r="H836">
        <f>IF(OR(C836=0,C836=D836),"BIÊN","")</f>
        <v/>
      </c>
    </row>
    <row r="837">
      <c r="A837" t="n">
        <v>836</v>
      </c>
      <c r="B837">
        <f>'01_Data'!A837</f>
        <v/>
      </c>
      <c r="C837">
        <f>'03_Lap_Theta'!C837</f>
        <v/>
      </c>
      <c r="D837">
        <f>'03_Lap_Theta'!D837</f>
        <v/>
      </c>
      <c r="E837" s="5">
        <f>'03_Lap_Theta'!$AC837</f>
        <v/>
      </c>
      <c r="F837" s="5">
        <f>SUMPRODUCT(('01_Data'!$B837:$AW837&lt;&gt;"")*(1/(1+EXP(-('03_Lap_Theta'!$AC837-'03_Lap_b'!$B$45:$AW$45))))*(1-(1/(1+EXP(-('03_Lap_Theta'!$AC837-'03_Lap_b'!$B$45:$AW$45))))))</f>
        <v/>
      </c>
      <c r="G837" s="5">
        <f>IF(F837&lt;=0.000000001,"",1/SQRT(F837))</f>
        <v/>
      </c>
      <c r="H837">
        <f>IF(OR(C837=0,C837=D837),"BIÊN","")</f>
        <v/>
      </c>
    </row>
    <row r="838">
      <c r="A838" t="n">
        <v>837</v>
      </c>
      <c r="B838">
        <f>'01_Data'!A838</f>
        <v/>
      </c>
      <c r="C838">
        <f>'03_Lap_Theta'!C838</f>
        <v/>
      </c>
      <c r="D838">
        <f>'03_Lap_Theta'!D838</f>
        <v/>
      </c>
      <c r="E838" s="5">
        <f>'03_Lap_Theta'!$AC838</f>
        <v/>
      </c>
      <c r="F838" s="5">
        <f>SUMPRODUCT(('01_Data'!$B838:$AW838&lt;&gt;"")*(1/(1+EXP(-('03_Lap_Theta'!$AC838-'03_Lap_b'!$B$45:$AW$45))))*(1-(1/(1+EXP(-('03_Lap_Theta'!$AC838-'03_Lap_b'!$B$45:$AW$45))))))</f>
        <v/>
      </c>
      <c r="G838" s="5">
        <f>IF(F838&lt;=0.000000001,"",1/SQRT(F838))</f>
        <v/>
      </c>
      <c r="H838">
        <f>IF(OR(C838=0,C838=D838),"BIÊN","")</f>
        <v/>
      </c>
    </row>
    <row r="839">
      <c r="A839" t="n">
        <v>838</v>
      </c>
      <c r="B839">
        <f>'01_Data'!A839</f>
        <v/>
      </c>
      <c r="C839">
        <f>'03_Lap_Theta'!C839</f>
        <v/>
      </c>
      <c r="D839">
        <f>'03_Lap_Theta'!D839</f>
        <v/>
      </c>
      <c r="E839" s="5">
        <f>'03_Lap_Theta'!$AC839</f>
        <v/>
      </c>
      <c r="F839" s="5">
        <f>SUMPRODUCT(('01_Data'!$B839:$AW839&lt;&gt;"")*(1/(1+EXP(-('03_Lap_Theta'!$AC839-'03_Lap_b'!$B$45:$AW$45))))*(1-(1/(1+EXP(-('03_Lap_Theta'!$AC839-'03_Lap_b'!$B$45:$AW$45))))))</f>
        <v/>
      </c>
      <c r="G839" s="5">
        <f>IF(F839&lt;=0.000000001,"",1/SQRT(F839))</f>
        <v/>
      </c>
      <c r="H839">
        <f>IF(OR(C839=0,C839=D839),"BIÊN","")</f>
        <v/>
      </c>
    </row>
    <row r="840">
      <c r="A840" t="n">
        <v>839</v>
      </c>
      <c r="B840">
        <f>'01_Data'!A840</f>
        <v/>
      </c>
      <c r="C840">
        <f>'03_Lap_Theta'!C840</f>
        <v/>
      </c>
      <c r="D840">
        <f>'03_Lap_Theta'!D840</f>
        <v/>
      </c>
      <c r="E840" s="5">
        <f>'03_Lap_Theta'!$AC840</f>
        <v/>
      </c>
      <c r="F840" s="5">
        <f>SUMPRODUCT(('01_Data'!$B840:$AW840&lt;&gt;"")*(1/(1+EXP(-('03_Lap_Theta'!$AC840-'03_Lap_b'!$B$45:$AW$45))))*(1-(1/(1+EXP(-('03_Lap_Theta'!$AC840-'03_Lap_b'!$B$45:$AW$45))))))</f>
        <v/>
      </c>
      <c r="G840" s="5">
        <f>IF(F840&lt;=0.000000001,"",1/SQRT(F840))</f>
        <v/>
      </c>
      <c r="H840">
        <f>IF(OR(C840=0,C840=D840),"BIÊN","")</f>
        <v/>
      </c>
    </row>
    <row r="841">
      <c r="A841" t="n">
        <v>840</v>
      </c>
      <c r="B841">
        <f>'01_Data'!A841</f>
        <v/>
      </c>
      <c r="C841">
        <f>'03_Lap_Theta'!C841</f>
        <v/>
      </c>
      <c r="D841">
        <f>'03_Lap_Theta'!D841</f>
        <v/>
      </c>
      <c r="E841" s="5">
        <f>'03_Lap_Theta'!$AC841</f>
        <v/>
      </c>
      <c r="F841" s="5">
        <f>SUMPRODUCT(('01_Data'!$B841:$AW841&lt;&gt;"")*(1/(1+EXP(-('03_Lap_Theta'!$AC841-'03_Lap_b'!$B$45:$AW$45))))*(1-(1/(1+EXP(-('03_Lap_Theta'!$AC841-'03_Lap_b'!$B$45:$AW$45))))))</f>
        <v/>
      </c>
      <c r="G841" s="5">
        <f>IF(F841&lt;=0.000000001,"",1/SQRT(F841))</f>
        <v/>
      </c>
      <c r="H841">
        <f>IF(OR(C841=0,C841=D841),"BIÊN","")</f>
        <v/>
      </c>
    </row>
    <row r="842">
      <c r="A842" t="n">
        <v>841</v>
      </c>
      <c r="B842">
        <f>'01_Data'!A842</f>
        <v/>
      </c>
      <c r="C842">
        <f>'03_Lap_Theta'!C842</f>
        <v/>
      </c>
      <c r="D842">
        <f>'03_Lap_Theta'!D842</f>
        <v/>
      </c>
      <c r="E842" s="5">
        <f>'03_Lap_Theta'!$AC842</f>
        <v/>
      </c>
      <c r="F842" s="5">
        <f>SUMPRODUCT(('01_Data'!$B842:$AW842&lt;&gt;"")*(1/(1+EXP(-('03_Lap_Theta'!$AC842-'03_Lap_b'!$B$45:$AW$45))))*(1-(1/(1+EXP(-('03_Lap_Theta'!$AC842-'03_Lap_b'!$B$45:$AW$45))))))</f>
        <v/>
      </c>
      <c r="G842" s="5">
        <f>IF(F842&lt;=0.000000001,"",1/SQRT(F842))</f>
        <v/>
      </c>
      <c r="H842">
        <f>IF(OR(C842=0,C842=D842),"BIÊN","")</f>
        <v/>
      </c>
    </row>
    <row r="843">
      <c r="A843" t="n">
        <v>842</v>
      </c>
      <c r="B843">
        <f>'01_Data'!A843</f>
        <v/>
      </c>
      <c r="C843">
        <f>'03_Lap_Theta'!C843</f>
        <v/>
      </c>
      <c r="D843">
        <f>'03_Lap_Theta'!D843</f>
        <v/>
      </c>
      <c r="E843" s="5">
        <f>'03_Lap_Theta'!$AC843</f>
        <v/>
      </c>
      <c r="F843" s="5">
        <f>SUMPRODUCT(('01_Data'!$B843:$AW843&lt;&gt;"")*(1/(1+EXP(-('03_Lap_Theta'!$AC843-'03_Lap_b'!$B$45:$AW$45))))*(1-(1/(1+EXP(-('03_Lap_Theta'!$AC843-'03_Lap_b'!$B$45:$AW$45))))))</f>
        <v/>
      </c>
      <c r="G843" s="5">
        <f>IF(F843&lt;=0.000000001,"",1/SQRT(F843))</f>
        <v/>
      </c>
      <c r="H843">
        <f>IF(OR(C843=0,C843=D843),"BIÊN","")</f>
        <v/>
      </c>
    </row>
    <row r="844">
      <c r="A844" t="n">
        <v>843</v>
      </c>
      <c r="B844">
        <f>'01_Data'!A844</f>
        <v/>
      </c>
      <c r="C844">
        <f>'03_Lap_Theta'!C844</f>
        <v/>
      </c>
      <c r="D844">
        <f>'03_Lap_Theta'!D844</f>
        <v/>
      </c>
      <c r="E844" s="5">
        <f>'03_Lap_Theta'!$AC844</f>
        <v/>
      </c>
      <c r="F844" s="5">
        <f>SUMPRODUCT(('01_Data'!$B844:$AW844&lt;&gt;"")*(1/(1+EXP(-('03_Lap_Theta'!$AC844-'03_Lap_b'!$B$45:$AW$45))))*(1-(1/(1+EXP(-('03_Lap_Theta'!$AC844-'03_Lap_b'!$B$45:$AW$45))))))</f>
        <v/>
      </c>
      <c r="G844" s="5">
        <f>IF(F844&lt;=0.000000001,"",1/SQRT(F844))</f>
        <v/>
      </c>
      <c r="H844">
        <f>IF(OR(C844=0,C844=D844),"BIÊN","")</f>
        <v/>
      </c>
    </row>
    <row r="845">
      <c r="A845" t="n">
        <v>844</v>
      </c>
      <c r="B845">
        <f>'01_Data'!A845</f>
        <v/>
      </c>
      <c r="C845">
        <f>'03_Lap_Theta'!C845</f>
        <v/>
      </c>
      <c r="D845">
        <f>'03_Lap_Theta'!D845</f>
        <v/>
      </c>
      <c r="E845" s="5">
        <f>'03_Lap_Theta'!$AC845</f>
        <v/>
      </c>
      <c r="F845" s="5">
        <f>SUMPRODUCT(('01_Data'!$B845:$AW845&lt;&gt;"")*(1/(1+EXP(-('03_Lap_Theta'!$AC845-'03_Lap_b'!$B$45:$AW$45))))*(1-(1/(1+EXP(-('03_Lap_Theta'!$AC845-'03_Lap_b'!$B$45:$AW$45))))))</f>
        <v/>
      </c>
      <c r="G845" s="5">
        <f>IF(F845&lt;=0.000000001,"",1/SQRT(F845))</f>
        <v/>
      </c>
      <c r="H845">
        <f>IF(OR(C845=0,C845=D845),"BIÊN","")</f>
        <v/>
      </c>
    </row>
    <row r="846">
      <c r="A846" t="n">
        <v>845</v>
      </c>
      <c r="B846">
        <f>'01_Data'!A846</f>
        <v/>
      </c>
      <c r="C846">
        <f>'03_Lap_Theta'!C846</f>
        <v/>
      </c>
      <c r="D846">
        <f>'03_Lap_Theta'!D846</f>
        <v/>
      </c>
      <c r="E846" s="5">
        <f>'03_Lap_Theta'!$AC846</f>
        <v/>
      </c>
      <c r="F846" s="5">
        <f>SUMPRODUCT(('01_Data'!$B846:$AW846&lt;&gt;"")*(1/(1+EXP(-('03_Lap_Theta'!$AC846-'03_Lap_b'!$B$45:$AW$45))))*(1-(1/(1+EXP(-('03_Lap_Theta'!$AC846-'03_Lap_b'!$B$45:$AW$45))))))</f>
        <v/>
      </c>
      <c r="G846" s="5">
        <f>IF(F846&lt;=0.000000001,"",1/SQRT(F846))</f>
        <v/>
      </c>
      <c r="H846">
        <f>IF(OR(C846=0,C846=D846),"BIÊN","")</f>
        <v/>
      </c>
    </row>
    <row r="847">
      <c r="A847" t="n">
        <v>846</v>
      </c>
      <c r="B847">
        <f>'01_Data'!A847</f>
        <v/>
      </c>
      <c r="C847">
        <f>'03_Lap_Theta'!C847</f>
        <v/>
      </c>
      <c r="D847">
        <f>'03_Lap_Theta'!D847</f>
        <v/>
      </c>
      <c r="E847" s="5">
        <f>'03_Lap_Theta'!$AC847</f>
        <v/>
      </c>
      <c r="F847" s="5">
        <f>SUMPRODUCT(('01_Data'!$B847:$AW847&lt;&gt;"")*(1/(1+EXP(-('03_Lap_Theta'!$AC847-'03_Lap_b'!$B$45:$AW$45))))*(1-(1/(1+EXP(-('03_Lap_Theta'!$AC847-'03_Lap_b'!$B$45:$AW$45))))))</f>
        <v/>
      </c>
      <c r="G847" s="5">
        <f>IF(F847&lt;=0.000000001,"",1/SQRT(F847))</f>
        <v/>
      </c>
      <c r="H847">
        <f>IF(OR(C847=0,C847=D847),"BIÊN","")</f>
        <v/>
      </c>
    </row>
    <row r="848">
      <c r="A848" t="n">
        <v>847</v>
      </c>
      <c r="B848">
        <f>'01_Data'!A848</f>
        <v/>
      </c>
      <c r="C848">
        <f>'03_Lap_Theta'!C848</f>
        <v/>
      </c>
      <c r="D848">
        <f>'03_Lap_Theta'!D848</f>
        <v/>
      </c>
      <c r="E848" s="5">
        <f>'03_Lap_Theta'!$AC848</f>
        <v/>
      </c>
      <c r="F848" s="5">
        <f>SUMPRODUCT(('01_Data'!$B848:$AW848&lt;&gt;"")*(1/(1+EXP(-('03_Lap_Theta'!$AC848-'03_Lap_b'!$B$45:$AW$45))))*(1-(1/(1+EXP(-('03_Lap_Theta'!$AC848-'03_Lap_b'!$B$45:$AW$45))))))</f>
        <v/>
      </c>
      <c r="G848" s="5">
        <f>IF(F848&lt;=0.000000001,"",1/SQRT(F848))</f>
        <v/>
      </c>
      <c r="H848">
        <f>IF(OR(C848=0,C848=D848),"BIÊN","")</f>
        <v/>
      </c>
    </row>
    <row r="849">
      <c r="A849" t="n">
        <v>848</v>
      </c>
      <c r="B849">
        <f>'01_Data'!A849</f>
        <v/>
      </c>
      <c r="C849">
        <f>'03_Lap_Theta'!C849</f>
        <v/>
      </c>
      <c r="D849">
        <f>'03_Lap_Theta'!D849</f>
        <v/>
      </c>
      <c r="E849" s="5">
        <f>'03_Lap_Theta'!$AC849</f>
        <v/>
      </c>
      <c r="F849" s="5">
        <f>SUMPRODUCT(('01_Data'!$B849:$AW849&lt;&gt;"")*(1/(1+EXP(-('03_Lap_Theta'!$AC849-'03_Lap_b'!$B$45:$AW$45))))*(1-(1/(1+EXP(-('03_Lap_Theta'!$AC849-'03_Lap_b'!$B$45:$AW$45))))))</f>
        <v/>
      </c>
      <c r="G849" s="5">
        <f>IF(F849&lt;=0.000000001,"",1/SQRT(F849))</f>
        <v/>
      </c>
      <c r="H849">
        <f>IF(OR(C849=0,C849=D849),"BIÊN","")</f>
        <v/>
      </c>
    </row>
    <row r="850">
      <c r="A850" t="n">
        <v>849</v>
      </c>
      <c r="B850">
        <f>'01_Data'!A850</f>
        <v/>
      </c>
      <c r="C850">
        <f>'03_Lap_Theta'!C850</f>
        <v/>
      </c>
      <c r="D850">
        <f>'03_Lap_Theta'!D850</f>
        <v/>
      </c>
      <c r="E850" s="5">
        <f>'03_Lap_Theta'!$AC850</f>
        <v/>
      </c>
      <c r="F850" s="5">
        <f>SUMPRODUCT(('01_Data'!$B850:$AW850&lt;&gt;"")*(1/(1+EXP(-('03_Lap_Theta'!$AC850-'03_Lap_b'!$B$45:$AW$45))))*(1-(1/(1+EXP(-('03_Lap_Theta'!$AC850-'03_Lap_b'!$B$45:$AW$45))))))</f>
        <v/>
      </c>
      <c r="G850" s="5">
        <f>IF(F850&lt;=0.000000001,"",1/SQRT(F850))</f>
        <v/>
      </c>
      <c r="H850">
        <f>IF(OR(C850=0,C850=D850),"BIÊN","")</f>
        <v/>
      </c>
    </row>
    <row r="851">
      <c r="A851" t="n">
        <v>850</v>
      </c>
      <c r="B851">
        <f>'01_Data'!A851</f>
        <v/>
      </c>
      <c r="C851">
        <f>'03_Lap_Theta'!C851</f>
        <v/>
      </c>
      <c r="D851">
        <f>'03_Lap_Theta'!D851</f>
        <v/>
      </c>
      <c r="E851" s="5">
        <f>'03_Lap_Theta'!$AC851</f>
        <v/>
      </c>
      <c r="F851" s="5">
        <f>SUMPRODUCT(('01_Data'!$B851:$AW851&lt;&gt;"")*(1/(1+EXP(-('03_Lap_Theta'!$AC851-'03_Lap_b'!$B$45:$AW$45))))*(1-(1/(1+EXP(-('03_Lap_Theta'!$AC851-'03_Lap_b'!$B$45:$AW$45))))))</f>
        <v/>
      </c>
      <c r="G851" s="5">
        <f>IF(F851&lt;=0.000000001,"",1/SQRT(F851))</f>
        <v/>
      </c>
      <c r="H851">
        <f>IF(OR(C851=0,C851=D851),"BIÊN","")</f>
        <v/>
      </c>
    </row>
    <row r="852">
      <c r="A852" t="n">
        <v>851</v>
      </c>
      <c r="B852">
        <f>'01_Data'!A852</f>
        <v/>
      </c>
      <c r="C852">
        <f>'03_Lap_Theta'!C852</f>
        <v/>
      </c>
      <c r="D852">
        <f>'03_Lap_Theta'!D852</f>
        <v/>
      </c>
      <c r="E852" s="5">
        <f>'03_Lap_Theta'!$AC852</f>
        <v/>
      </c>
      <c r="F852" s="5">
        <f>SUMPRODUCT(('01_Data'!$B852:$AW852&lt;&gt;"")*(1/(1+EXP(-('03_Lap_Theta'!$AC852-'03_Lap_b'!$B$45:$AW$45))))*(1-(1/(1+EXP(-('03_Lap_Theta'!$AC852-'03_Lap_b'!$B$45:$AW$45))))))</f>
        <v/>
      </c>
      <c r="G852" s="5">
        <f>IF(F852&lt;=0.000000001,"",1/SQRT(F852))</f>
        <v/>
      </c>
      <c r="H852">
        <f>IF(OR(C852=0,C852=D852),"BIÊN","")</f>
        <v/>
      </c>
    </row>
    <row r="853">
      <c r="A853" t="n">
        <v>852</v>
      </c>
      <c r="B853">
        <f>'01_Data'!A853</f>
        <v/>
      </c>
      <c r="C853">
        <f>'03_Lap_Theta'!C853</f>
        <v/>
      </c>
      <c r="D853">
        <f>'03_Lap_Theta'!D853</f>
        <v/>
      </c>
      <c r="E853" s="5">
        <f>'03_Lap_Theta'!$AC853</f>
        <v/>
      </c>
      <c r="F853" s="5">
        <f>SUMPRODUCT(('01_Data'!$B853:$AW853&lt;&gt;"")*(1/(1+EXP(-('03_Lap_Theta'!$AC853-'03_Lap_b'!$B$45:$AW$45))))*(1-(1/(1+EXP(-('03_Lap_Theta'!$AC853-'03_Lap_b'!$B$45:$AW$45))))))</f>
        <v/>
      </c>
      <c r="G853" s="5">
        <f>IF(F853&lt;=0.000000001,"",1/SQRT(F853))</f>
        <v/>
      </c>
      <c r="H853">
        <f>IF(OR(C853=0,C853=D853),"BIÊN","")</f>
        <v/>
      </c>
    </row>
    <row r="854">
      <c r="A854" t="n">
        <v>853</v>
      </c>
      <c r="B854">
        <f>'01_Data'!A854</f>
        <v/>
      </c>
      <c r="C854">
        <f>'03_Lap_Theta'!C854</f>
        <v/>
      </c>
      <c r="D854">
        <f>'03_Lap_Theta'!D854</f>
        <v/>
      </c>
      <c r="E854" s="5">
        <f>'03_Lap_Theta'!$AC854</f>
        <v/>
      </c>
      <c r="F854" s="5">
        <f>SUMPRODUCT(('01_Data'!$B854:$AW854&lt;&gt;"")*(1/(1+EXP(-('03_Lap_Theta'!$AC854-'03_Lap_b'!$B$45:$AW$45))))*(1-(1/(1+EXP(-('03_Lap_Theta'!$AC854-'03_Lap_b'!$B$45:$AW$45))))))</f>
        <v/>
      </c>
      <c r="G854" s="5">
        <f>IF(F854&lt;=0.000000001,"",1/SQRT(F854))</f>
        <v/>
      </c>
      <c r="H854">
        <f>IF(OR(C854=0,C854=D854),"BIÊN","")</f>
        <v/>
      </c>
    </row>
    <row r="855">
      <c r="A855" t="n">
        <v>854</v>
      </c>
      <c r="B855">
        <f>'01_Data'!A855</f>
        <v/>
      </c>
      <c r="C855">
        <f>'03_Lap_Theta'!C855</f>
        <v/>
      </c>
      <c r="D855">
        <f>'03_Lap_Theta'!D855</f>
        <v/>
      </c>
      <c r="E855" s="5">
        <f>'03_Lap_Theta'!$AC855</f>
        <v/>
      </c>
      <c r="F855" s="5">
        <f>SUMPRODUCT(('01_Data'!$B855:$AW855&lt;&gt;"")*(1/(1+EXP(-('03_Lap_Theta'!$AC855-'03_Lap_b'!$B$45:$AW$45))))*(1-(1/(1+EXP(-('03_Lap_Theta'!$AC855-'03_Lap_b'!$B$45:$AW$45))))))</f>
        <v/>
      </c>
      <c r="G855" s="5">
        <f>IF(F855&lt;=0.000000001,"",1/SQRT(F855))</f>
        <v/>
      </c>
      <c r="H855">
        <f>IF(OR(C855=0,C855=D855),"BIÊN","")</f>
        <v/>
      </c>
    </row>
    <row r="856">
      <c r="A856" t="n">
        <v>855</v>
      </c>
      <c r="B856">
        <f>'01_Data'!A856</f>
        <v/>
      </c>
      <c r="C856">
        <f>'03_Lap_Theta'!C856</f>
        <v/>
      </c>
      <c r="D856">
        <f>'03_Lap_Theta'!D856</f>
        <v/>
      </c>
      <c r="E856" s="5">
        <f>'03_Lap_Theta'!$AC856</f>
        <v/>
      </c>
      <c r="F856" s="5">
        <f>SUMPRODUCT(('01_Data'!$B856:$AW856&lt;&gt;"")*(1/(1+EXP(-('03_Lap_Theta'!$AC856-'03_Lap_b'!$B$45:$AW$45))))*(1-(1/(1+EXP(-('03_Lap_Theta'!$AC856-'03_Lap_b'!$B$45:$AW$45))))))</f>
        <v/>
      </c>
      <c r="G856" s="5">
        <f>IF(F856&lt;=0.000000001,"",1/SQRT(F856))</f>
        <v/>
      </c>
      <c r="H856">
        <f>IF(OR(C856=0,C856=D856),"BIÊN","")</f>
        <v/>
      </c>
    </row>
    <row r="857">
      <c r="A857" t="n">
        <v>856</v>
      </c>
      <c r="B857">
        <f>'01_Data'!A857</f>
        <v/>
      </c>
      <c r="C857">
        <f>'03_Lap_Theta'!C857</f>
        <v/>
      </c>
      <c r="D857">
        <f>'03_Lap_Theta'!D857</f>
        <v/>
      </c>
      <c r="E857" s="5">
        <f>'03_Lap_Theta'!$AC857</f>
        <v/>
      </c>
      <c r="F857" s="5">
        <f>SUMPRODUCT(('01_Data'!$B857:$AW857&lt;&gt;"")*(1/(1+EXP(-('03_Lap_Theta'!$AC857-'03_Lap_b'!$B$45:$AW$45))))*(1-(1/(1+EXP(-('03_Lap_Theta'!$AC857-'03_Lap_b'!$B$45:$AW$45))))))</f>
        <v/>
      </c>
      <c r="G857" s="5">
        <f>IF(F857&lt;=0.000000001,"",1/SQRT(F857))</f>
        <v/>
      </c>
      <c r="H857">
        <f>IF(OR(C857=0,C857=D857),"BIÊN","")</f>
        <v/>
      </c>
    </row>
    <row r="858">
      <c r="A858" t="n">
        <v>857</v>
      </c>
      <c r="B858">
        <f>'01_Data'!A858</f>
        <v/>
      </c>
      <c r="C858">
        <f>'03_Lap_Theta'!C858</f>
        <v/>
      </c>
      <c r="D858">
        <f>'03_Lap_Theta'!D858</f>
        <v/>
      </c>
      <c r="E858" s="5">
        <f>'03_Lap_Theta'!$AC858</f>
        <v/>
      </c>
      <c r="F858" s="5">
        <f>SUMPRODUCT(('01_Data'!$B858:$AW858&lt;&gt;"")*(1/(1+EXP(-('03_Lap_Theta'!$AC858-'03_Lap_b'!$B$45:$AW$45))))*(1-(1/(1+EXP(-('03_Lap_Theta'!$AC858-'03_Lap_b'!$B$45:$AW$45))))))</f>
        <v/>
      </c>
      <c r="G858" s="5">
        <f>IF(F858&lt;=0.000000001,"",1/SQRT(F858))</f>
        <v/>
      </c>
      <c r="H858">
        <f>IF(OR(C858=0,C858=D858),"BIÊN","")</f>
        <v/>
      </c>
    </row>
    <row r="859">
      <c r="A859" t="n">
        <v>858</v>
      </c>
      <c r="B859">
        <f>'01_Data'!A859</f>
        <v/>
      </c>
      <c r="C859">
        <f>'03_Lap_Theta'!C859</f>
        <v/>
      </c>
      <c r="D859">
        <f>'03_Lap_Theta'!D859</f>
        <v/>
      </c>
      <c r="E859" s="5">
        <f>'03_Lap_Theta'!$AC859</f>
        <v/>
      </c>
      <c r="F859" s="5">
        <f>SUMPRODUCT(('01_Data'!$B859:$AW859&lt;&gt;"")*(1/(1+EXP(-('03_Lap_Theta'!$AC859-'03_Lap_b'!$B$45:$AW$45))))*(1-(1/(1+EXP(-('03_Lap_Theta'!$AC859-'03_Lap_b'!$B$45:$AW$45))))))</f>
        <v/>
      </c>
      <c r="G859" s="5">
        <f>IF(F859&lt;=0.000000001,"",1/SQRT(F859))</f>
        <v/>
      </c>
      <c r="H859">
        <f>IF(OR(C859=0,C859=D859),"BIÊN","")</f>
        <v/>
      </c>
    </row>
    <row r="860">
      <c r="A860" t="n">
        <v>859</v>
      </c>
      <c r="B860">
        <f>'01_Data'!A860</f>
        <v/>
      </c>
      <c r="C860">
        <f>'03_Lap_Theta'!C860</f>
        <v/>
      </c>
      <c r="D860">
        <f>'03_Lap_Theta'!D860</f>
        <v/>
      </c>
      <c r="E860" s="5">
        <f>'03_Lap_Theta'!$AC860</f>
        <v/>
      </c>
      <c r="F860" s="5">
        <f>SUMPRODUCT(('01_Data'!$B860:$AW860&lt;&gt;"")*(1/(1+EXP(-('03_Lap_Theta'!$AC860-'03_Lap_b'!$B$45:$AW$45))))*(1-(1/(1+EXP(-('03_Lap_Theta'!$AC860-'03_Lap_b'!$B$45:$AW$45))))))</f>
        <v/>
      </c>
      <c r="G860" s="5">
        <f>IF(F860&lt;=0.000000001,"",1/SQRT(F860))</f>
        <v/>
      </c>
      <c r="H860">
        <f>IF(OR(C860=0,C860=D860),"BIÊN","")</f>
        <v/>
      </c>
    </row>
    <row r="861">
      <c r="A861" t="n">
        <v>860</v>
      </c>
      <c r="B861">
        <f>'01_Data'!A861</f>
        <v/>
      </c>
      <c r="C861">
        <f>'03_Lap_Theta'!C861</f>
        <v/>
      </c>
      <c r="D861">
        <f>'03_Lap_Theta'!D861</f>
        <v/>
      </c>
      <c r="E861" s="5">
        <f>'03_Lap_Theta'!$AC861</f>
        <v/>
      </c>
      <c r="F861" s="5">
        <f>SUMPRODUCT(('01_Data'!$B861:$AW861&lt;&gt;"")*(1/(1+EXP(-('03_Lap_Theta'!$AC861-'03_Lap_b'!$B$45:$AW$45))))*(1-(1/(1+EXP(-('03_Lap_Theta'!$AC861-'03_Lap_b'!$B$45:$AW$45))))))</f>
        <v/>
      </c>
      <c r="G861" s="5">
        <f>IF(F861&lt;=0.000000001,"",1/SQRT(F861))</f>
        <v/>
      </c>
      <c r="H861">
        <f>IF(OR(C861=0,C861=D861),"BIÊN","")</f>
        <v/>
      </c>
    </row>
    <row r="862">
      <c r="A862" t="n">
        <v>861</v>
      </c>
      <c r="B862">
        <f>'01_Data'!A862</f>
        <v/>
      </c>
      <c r="C862">
        <f>'03_Lap_Theta'!C862</f>
        <v/>
      </c>
      <c r="D862">
        <f>'03_Lap_Theta'!D862</f>
        <v/>
      </c>
      <c r="E862" s="5">
        <f>'03_Lap_Theta'!$AC862</f>
        <v/>
      </c>
      <c r="F862" s="5">
        <f>SUMPRODUCT(('01_Data'!$B862:$AW862&lt;&gt;"")*(1/(1+EXP(-('03_Lap_Theta'!$AC862-'03_Lap_b'!$B$45:$AW$45))))*(1-(1/(1+EXP(-('03_Lap_Theta'!$AC862-'03_Lap_b'!$B$45:$AW$45))))))</f>
        <v/>
      </c>
      <c r="G862" s="5">
        <f>IF(F862&lt;=0.000000001,"",1/SQRT(F862))</f>
        <v/>
      </c>
      <c r="H862">
        <f>IF(OR(C862=0,C862=D862),"BIÊN","")</f>
        <v/>
      </c>
    </row>
    <row r="863">
      <c r="A863" t="n">
        <v>862</v>
      </c>
      <c r="B863">
        <f>'01_Data'!A863</f>
        <v/>
      </c>
      <c r="C863">
        <f>'03_Lap_Theta'!C863</f>
        <v/>
      </c>
      <c r="D863">
        <f>'03_Lap_Theta'!D863</f>
        <v/>
      </c>
      <c r="E863" s="5">
        <f>'03_Lap_Theta'!$AC863</f>
        <v/>
      </c>
      <c r="F863" s="5">
        <f>SUMPRODUCT(('01_Data'!$B863:$AW863&lt;&gt;"")*(1/(1+EXP(-('03_Lap_Theta'!$AC863-'03_Lap_b'!$B$45:$AW$45))))*(1-(1/(1+EXP(-('03_Lap_Theta'!$AC863-'03_Lap_b'!$B$45:$AW$45))))))</f>
        <v/>
      </c>
      <c r="G863" s="5">
        <f>IF(F863&lt;=0.000000001,"",1/SQRT(F863))</f>
        <v/>
      </c>
      <c r="H863">
        <f>IF(OR(C863=0,C863=D863),"BIÊN","")</f>
        <v/>
      </c>
    </row>
    <row r="864">
      <c r="A864" t="n">
        <v>863</v>
      </c>
      <c r="B864">
        <f>'01_Data'!A864</f>
        <v/>
      </c>
      <c r="C864">
        <f>'03_Lap_Theta'!C864</f>
        <v/>
      </c>
      <c r="D864">
        <f>'03_Lap_Theta'!D864</f>
        <v/>
      </c>
      <c r="E864" s="5">
        <f>'03_Lap_Theta'!$AC864</f>
        <v/>
      </c>
      <c r="F864" s="5">
        <f>SUMPRODUCT(('01_Data'!$B864:$AW864&lt;&gt;"")*(1/(1+EXP(-('03_Lap_Theta'!$AC864-'03_Lap_b'!$B$45:$AW$45))))*(1-(1/(1+EXP(-('03_Lap_Theta'!$AC864-'03_Lap_b'!$B$45:$AW$45))))))</f>
        <v/>
      </c>
      <c r="G864" s="5">
        <f>IF(F864&lt;=0.000000001,"",1/SQRT(F864))</f>
        <v/>
      </c>
      <c r="H864">
        <f>IF(OR(C864=0,C864=D864),"BIÊN","")</f>
        <v/>
      </c>
    </row>
    <row r="865">
      <c r="A865" t="n">
        <v>864</v>
      </c>
      <c r="B865">
        <f>'01_Data'!A865</f>
        <v/>
      </c>
      <c r="C865">
        <f>'03_Lap_Theta'!C865</f>
        <v/>
      </c>
      <c r="D865">
        <f>'03_Lap_Theta'!D865</f>
        <v/>
      </c>
      <c r="E865" s="5">
        <f>'03_Lap_Theta'!$AC865</f>
        <v/>
      </c>
      <c r="F865" s="5">
        <f>SUMPRODUCT(('01_Data'!$B865:$AW865&lt;&gt;"")*(1/(1+EXP(-('03_Lap_Theta'!$AC865-'03_Lap_b'!$B$45:$AW$45))))*(1-(1/(1+EXP(-('03_Lap_Theta'!$AC865-'03_Lap_b'!$B$45:$AW$45))))))</f>
        <v/>
      </c>
      <c r="G865" s="5">
        <f>IF(F865&lt;=0.000000001,"",1/SQRT(F865))</f>
        <v/>
      </c>
      <c r="H865">
        <f>IF(OR(C865=0,C865=D865),"BIÊN","")</f>
        <v/>
      </c>
    </row>
    <row r="866">
      <c r="A866" t="n">
        <v>865</v>
      </c>
      <c r="B866">
        <f>'01_Data'!A866</f>
        <v/>
      </c>
      <c r="C866">
        <f>'03_Lap_Theta'!C866</f>
        <v/>
      </c>
      <c r="D866">
        <f>'03_Lap_Theta'!D866</f>
        <v/>
      </c>
      <c r="E866" s="5">
        <f>'03_Lap_Theta'!$AC866</f>
        <v/>
      </c>
      <c r="F866" s="5">
        <f>SUMPRODUCT(('01_Data'!$B866:$AW866&lt;&gt;"")*(1/(1+EXP(-('03_Lap_Theta'!$AC866-'03_Lap_b'!$B$45:$AW$45))))*(1-(1/(1+EXP(-('03_Lap_Theta'!$AC866-'03_Lap_b'!$B$45:$AW$45))))))</f>
        <v/>
      </c>
      <c r="G866" s="5">
        <f>IF(F866&lt;=0.000000001,"",1/SQRT(F866))</f>
        <v/>
      </c>
      <c r="H866">
        <f>IF(OR(C866=0,C866=D866),"BIÊN","")</f>
        <v/>
      </c>
    </row>
    <row r="867">
      <c r="A867" t="n">
        <v>866</v>
      </c>
      <c r="B867">
        <f>'01_Data'!A867</f>
        <v/>
      </c>
      <c r="C867">
        <f>'03_Lap_Theta'!C867</f>
        <v/>
      </c>
      <c r="D867">
        <f>'03_Lap_Theta'!D867</f>
        <v/>
      </c>
      <c r="E867" s="5">
        <f>'03_Lap_Theta'!$AC867</f>
        <v/>
      </c>
      <c r="F867" s="5">
        <f>SUMPRODUCT(('01_Data'!$B867:$AW867&lt;&gt;"")*(1/(1+EXP(-('03_Lap_Theta'!$AC867-'03_Lap_b'!$B$45:$AW$45))))*(1-(1/(1+EXP(-('03_Lap_Theta'!$AC867-'03_Lap_b'!$B$45:$AW$45))))))</f>
        <v/>
      </c>
      <c r="G867" s="5">
        <f>IF(F867&lt;=0.000000001,"",1/SQRT(F867))</f>
        <v/>
      </c>
      <c r="H867">
        <f>IF(OR(C867=0,C867=D867),"BIÊN","")</f>
        <v/>
      </c>
    </row>
    <row r="868">
      <c r="A868" t="n">
        <v>867</v>
      </c>
      <c r="B868">
        <f>'01_Data'!A868</f>
        <v/>
      </c>
      <c r="C868">
        <f>'03_Lap_Theta'!C868</f>
        <v/>
      </c>
      <c r="D868">
        <f>'03_Lap_Theta'!D868</f>
        <v/>
      </c>
      <c r="E868" s="5">
        <f>'03_Lap_Theta'!$AC868</f>
        <v/>
      </c>
      <c r="F868" s="5">
        <f>SUMPRODUCT(('01_Data'!$B868:$AW868&lt;&gt;"")*(1/(1+EXP(-('03_Lap_Theta'!$AC868-'03_Lap_b'!$B$45:$AW$45))))*(1-(1/(1+EXP(-('03_Lap_Theta'!$AC868-'03_Lap_b'!$B$45:$AW$45))))))</f>
        <v/>
      </c>
      <c r="G868" s="5">
        <f>IF(F868&lt;=0.000000001,"",1/SQRT(F868))</f>
        <v/>
      </c>
      <c r="H868">
        <f>IF(OR(C868=0,C868=D868),"BIÊN","")</f>
        <v/>
      </c>
    </row>
    <row r="869">
      <c r="A869" t="n">
        <v>868</v>
      </c>
      <c r="B869">
        <f>'01_Data'!A869</f>
        <v/>
      </c>
      <c r="C869">
        <f>'03_Lap_Theta'!C869</f>
        <v/>
      </c>
      <c r="D869">
        <f>'03_Lap_Theta'!D869</f>
        <v/>
      </c>
      <c r="E869" s="5">
        <f>'03_Lap_Theta'!$AC869</f>
        <v/>
      </c>
      <c r="F869" s="5">
        <f>SUMPRODUCT(('01_Data'!$B869:$AW869&lt;&gt;"")*(1/(1+EXP(-('03_Lap_Theta'!$AC869-'03_Lap_b'!$B$45:$AW$45))))*(1-(1/(1+EXP(-('03_Lap_Theta'!$AC869-'03_Lap_b'!$B$45:$AW$45))))))</f>
        <v/>
      </c>
      <c r="G869" s="5">
        <f>IF(F869&lt;=0.000000001,"",1/SQRT(F869))</f>
        <v/>
      </c>
      <c r="H869">
        <f>IF(OR(C869=0,C869=D869),"BIÊN","")</f>
        <v/>
      </c>
    </row>
    <row r="870">
      <c r="A870" t="n">
        <v>869</v>
      </c>
      <c r="B870">
        <f>'01_Data'!A870</f>
        <v/>
      </c>
      <c r="C870">
        <f>'03_Lap_Theta'!C870</f>
        <v/>
      </c>
      <c r="D870">
        <f>'03_Lap_Theta'!D870</f>
        <v/>
      </c>
      <c r="E870" s="5">
        <f>'03_Lap_Theta'!$AC870</f>
        <v/>
      </c>
      <c r="F870" s="5">
        <f>SUMPRODUCT(('01_Data'!$B870:$AW870&lt;&gt;"")*(1/(1+EXP(-('03_Lap_Theta'!$AC870-'03_Lap_b'!$B$45:$AW$45))))*(1-(1/(1+EXP(-('03_Lap_Theta'!$AC870-'03_Lap_b'!$B$45:$AW$45))))))</f>
        <v/>
      </c>
      <c r="G870" s="5">
        <f>IF(F870&lt;=0.000000001,"",1/SQRT(F870))</f>
        <v/>
      </c>
      <c r="H870">
        <f>IF(OR(C870=0,C870=D870),"BIÊN","")</f>
        <v/>
      </c>
    </row>
    <row r="871">
      <c r="A871" t="n">
        <v>870</v>
      </c>
      <c r="B871">
        <f>'01_Data'!A871</f>
        <v/>
      </c>
      <c r="C871">
        <f>'03_Lap_Theta'!C871</f>
        <v/>
      </c>
      <c r="D871">
        <f>'03_Lap_Theta'!D871</f>
        <v/>
      </c>
      <c r="E871" s="5">
        <f>'03_Lap_Theta'!$AC871</f>
        <v/>
      </c>
      <c r="F871" s="5">
        <f>SUMPRODUCT(('01_Data'!$B871:$AW871&lt;&gt;"")*(1/(1+EXP(-('03_Lap_Theta'!$AC871-'03_Lap_b'!$B$45:$AW$45))))*(1-(1/(1+EXP(-('03_Lap_Theta'!$AC871-'03_Lap_b'!$B$45:$AW$45))))))</f>
        <v/>
      </c>
      <c r="G871" s="5">
        <f>IF(F871&lt;=0.000000001,"",1/SQRT(F871))</f>
        <v/>
      </c>
      <c r="H871">
        <f>IF(OR(C871=0,C871=D871),"BIÊN","")</f>
        <v/>
      </c>
    </row>
    <row r="872">
      <c r="A872" t="n">
        <v>871</v>
      </c>
      <c r="B872">
        <f>'01_Data'!A872</f>
        <v/>
      </c>
      <c r="C872">
        <f>'03_Lap_Theta'!C872</f>
        <v/>
      </c>
      <c r="D872">
        <f>'03_Lap_Theta'!D872</f>
        <v/>
      </c>
      <c r="E872" s="5">
        <f>'03_Lap_Theta'!$AC872</f>
        <v/>
      </c>
      <c r="F872" s="5">
        <f>SUMPRODUCT(('01_Data'!$B872:$AW872&lt;&gt;"")*(1/(1+EXP(-('03_Lap_Theta'!$AC872-'03_Lap_b'!$B$45:$AW$45))))*(1-(1/(1+EXP(-('03_Lap_Theta'!$AC872-'03_Lap_b'!$B$45:$AW$45))))))</f>
        <v/>
      </c>
      <c r="G872" s="5">
        <f>IF(F872&lt;=0.000000001,"",1/SQRT(F872))</f>
        <v/>
      </c>
      <c r="H872">
        <f>IF(OR(C872=0,C872=D872),"BIÊN","")</f>
        <v/>
      </c>
    </row>
    <row r="873">
      <c r="A873" t="n">
        <v>872</v>
      </c>
      <c r="B873">
        <f>'01_Data'!A873</f>
        <v/>
      </c>
      <c r="C873">
        <f>'03_Lap_Theta'!C873</f>
        <v/>
      </c>
      <c r="D873">
        <f>'03_Lap_Theta'!D873</f>
        <v/>
      </c>
      <c r="E873" s="5">
        <f>'03_Lap_Theta'!$AC873</f>
        <v/>
      </c>
      <c r="F873" s="5">
        <f>SUMPRODUCT(('01_Data'!$B873:$AW873&lt;&gt;"")*(1/(1+EXP(-('03_Lap_Theta'!$AC873-'03_Lap_b'!$B$45:$AW$45))))*(1-(1/(1+EXP(-('03_Lap_Theta'!$AC873-'03_Lap_b'!$B$45:$AW$45))))))</f>
        <v/>
      </c>
      <c r="G873" s="5">
        <f>IF(F873&lt;=0.000000001,"",1/SQRT(F873))</f>
        <v/>
      </c>
      <c r="H873">
        <f>IF(OR(C873=0,C873=D873),"BIÊN","")</f>
        <v/>
      </c>
    </row>
    <row r="874">
      <c r="A874" t="n">
        <v>873</v>
      </c>
      <c r="B874">
        <f>'01_Data'!A874</f>
        <v/>
      </c>
      <c r="C874">
        <f>'03_Lap_Theta'!C874</f>
        <v/>
      </c>
      <c r="D874">
        <f>'03_Lap_Theta'!D874</f>
        <v/>
      </c>
      <c r="E874" s="5">
        <f>'03_Lap_Theta'!$AC874</f>
        <v/>
      </c>
      <c r="F874" s="5">
        <f>SUMPRODUCT(('01_Data'!$B874:$AW874&lt;&gt;"")*(1/(1+EXP(-('03_Lap_Theta'!$AC874-'03_Lap_b'!$B$45:$AW$45))))*(1-(1/(1+EXP(-('03_Lap_Theta'!$AC874-'03_Lap_b'!$B$45:$AW$45))))))</f>
        <v/>
      </c>
      <c r="G874" s="5">
        <f>IF(F874&lt;=0.000000001,"",1/SQRT(F874))</f>
        <v/>
      </c>
      <c r="H874">
        <f>IF(OR(C874=0,C874=D874),"BIÊN","")</f>
        <v/>
      </c>
    </row>
    <row r="875">
      <c r="A875" t="n">
        <v>874</v>
      </c>
      <c r="B875">
        <f>'01_Data'!A875</f>
        <v/>
      </c>
      <c r="C875">
        <f>'03_Lap_Theta'!C875</f>
        <v/>
      </c>
      <c r="D875">
        <f>'03_Lap_Theta'!D875</f>
        <v/>
      </c>
      <c r="E875" s="5">
        <f>'03_Lap_Theta'!$AC875</f>
        <v/>
      </c>
      <c r="F875" s="5">
        <f>SUMPRODUCT(('01_Data'!$B875:$AW875&lt;&gt;"")*(1/(1+EXP(-('03_Lap_Theta'!$AC875-'03_Lap_b'!$B$45:$AW$45))))*(1-(1/(1+EXP(-('03_Lap_Theta'!$AC875-'03_Lap_b'!$B$45:$AW$45))))))</f>
        <v/>
      </c>
      <c r="G875" s="5">
        <f>IF(F875&lt;=0.000000001,"",1/SQRT(F875))</f>
        <v/>
      </c>
      <c r="H875">
        <f>IF(OR(C875=0,C875=D875),"BIÊN","")</f>
        <v/>
      </c>
    </row>
    <row r="876">
      <c r="A876" t="n">
        <v>875</v>
      </c>
      <c r="B876">
        <f>'01_Data'!A876</f>
        <v/>
      </c>
      <c r="C876">
        <f>'03_Lap_Theta'!C876</f>
        <v/>
      </c>
      <c r="D876">
        <f>'03_Lap_Theta'!D876</f>
        <v/>
      </c>
      <c r="E876" s="5">
        <f>'03_Lap_Theta'!$AC876</f>
        <v/>
      </c>
      <c r="F876" s="5">
        <f>SUMPRODUCT(('01_Data'!$B876:$AW876&lt;&gt;"")*(1/(1+EXP(-('03_Lap_Theta'!$AC876-'03_Lap_b'!$B$45:$AW$45))))*(1-(1/(1+EXP(-('03_Lap_Theta'!$AC876-'03_Lap_b'!$B$45:$AW$45))))))</f>
        <v/>
      </c>
      <c r="G876" s="5">
        <f>IF(F876&lt;=0.000000001,"",1/SQRT(F876))</f>
        <v/>
      </c>
      <c r="H876">
        <f>IF(OR(C876=0,C876=D876),"BIÊN","")</f>
        <v/>
      </c>
    </row>
    <row r="877">
      <c r="A877" t="n">
        <v>876</v>
      </c>
      <c r="B877">
        <f>'01_Data'!A877</f>
        <v/>
      </c>
      <c r="C877">
        <f>'03_Lap_Theta'!C877</f>
        <v/>
      </c>
      <c r="D877">
        <f>'03_Lap_Theta'!D877</f>
        <v/>
      </c>
      <c r="E877" s="5">
        <f>'03_Lap_Theta'!$AC877</f>
        <v/>
      </c>
      <c r="F877" s="5">
        <f>SUMPRODUCT(('01_Data'!$B877:$AW877&lt;&gt;"")*(1/(1+EXP(-('03_Lap_Theta'!$AC877-'03_Lap_b'!$B$45:$AW$45))))*(1-(1/(1+EXP(-('03_Lap_Theta'!$AC877-'03_Lap_b'!$B$45:$AW$45))))))</f>
        <v/>
      </c>
      <c r="G877" s="5">
        <f>IF(F877&lt;=0.000000001,"",1/SQRT(F877))</f>
        <v/>
      </c>
      <c r="H877">
        <f>IF(OR(C877=0,C877=D877),"BIÊN","")</f>
        <v/>
      </c>
    </row>
    <row r="878">
      <c r="A878" t="n">
        <v>877</v>
      </c>
      <c r="B878">
        <f>'01_Data'!A878</f>
        <v/>
      </c>
      <c r="C878">
        <f>'03_Lap_Theta'!C878</f>
        <v/>
      </c>
      <c r="D878">
        <f>'03_Lap_Theta'!D878</f>
        <v/>
      </c>
      <c r="E878" s="5">
        <f>'03_Lap_Theta'!$AC878</f>
        <v/>
      </c>
      <c r="F878" s="5">
        <f>SUMPRODUCT(('01_Data'!$B878:$AW878&lt;&gt;"")*(1/(1+EXP(-('03_Lap_Theta'!$AC878-'03_Lap_b'!$B$45:$AW$45))))*(1-(1/(1+EXP(-('03_Lap_Theta'!$AC878-'03_Lap_b'!$B$45:$AW$45))))))</f>
        <v/>
      </c>
      <c r="G878" s="5">
        <f>IF(F878&lt;=0.000000001,"",1/SQRT(F878))</f>
        <v/>
      </c>
      <c r="H878">
        <f>IF(OR(C878=0,C878=D878),"BIÊN","")</f>
        <v/>
      </c>
    </row>
    <row r="879">
      <c r="A879" t="n">
        <v>878</v>
      </c>
      <c r="B879">
        <f>'01_Data'!A879</f>
        <v/>
      </c>
      <c r="C879">
        <f>'03_Lap_Theta'!C879</f>
        <v/>
      </c>
      <c r="D879">
        <f>'03_Lap_Theta'!D879</f>
        <v/>
      </c>
      <c r="E879" s="5">
        <f>'03_Lap_Theta'!$AC879</f>
        <v/>
      </c>
      <c r="F879" s="5">
        <f>SUMPRODUCT(('01_Data'!$B879:$AW879&lt;&gt;"")*(1/(1+EXP(-('03_Lap_Theta'!$AC879-'03_Lap_b'!$B$45:$AW$45))))*(1-(1/(1+EXP(-('03_Lap_Theta'!$AC879-'03_Lap_b'!$B$45:$AW$45))))))</f>
        <v/>
      </c>
      <c r="G879" s="5">
        <f>IF(F879&lt;=0.000000001,"",1/SQRT(F879))</f>
        <v/>
      </c>
      <c r="H879">
        <f>IF(OR(C879=0,C879=D879),"BIÊN","")</f>
        <v/>
      </c>
    </row>
    <row r="880">
      <c r="A880" t="n">
        <v>879</v>
      </c>
      <c r="B880">
        <f>'01_Data'!A880</f>
        <v/>
      </c>
      <c r="C880">
        <f>'03_Lap_Theta'!C880</f>
        <v/>
      </c>
      <c r="D880">
        <f>'03_Lap_Theta'!D880</f>
        <v/>
      </c>
      <c r="E880" s="5">
        <f>'03_Lap_Theta'!$AC880</f>
        <v/>
      </c>
      <c r="F880" s="5">
        <f>SUMPRODUCT(('01_Data'!$B880:$AW880&lt;&gt;"")*(1/(1+EXP(-('03_Lap_Theta'!$AC880-'03_Lap_b'!$B$45:$AW$45))))*(1-(1/(1+EXP(-('03_Lap_Theta'!$AC880-'03_Lap_b'!$B$45:$AW$45))))))</f>
        <v/>
      </c>
      <c r="G880" s="5">
        <f>IF(F880&lt;=0.000000001,"",1/SQRT(F880))</f>
        <v/>
      </c>
      <c r="H880">
        <f>IF(OR(C880=0,C880=D880),"BIÊN","")</f>
        <v/>
      </c>
    </row>
    <row r="881">
      <c r="A881" t="n">
        <v>880</v>
      </c>
      <c r="B881">
        <f>'01_Data'!A881</f>
        <v/>
      </c>
      <c r="C881">
        <f>'03_Lap_Theta'!C881</f>
        <v/>
      </c>
      <c r="D881">
        <f>'03_Lap_Theta'!D881</f>
        <v/>
      </c>
      <c r="E881" s="5">
        <f>'03_Lap_Theta'!$AC881</f>
        <v/>
      </c>
      <c r="F881" s="5">
        <f>SUMPRODUCT(('01_Data'!$B881:$AW881&lt;&gt;"")*(1/(1+EXP(-('03_Lap_Theta'!$AC881-'03_Lap_b'!$B$45:$AW$45))))*(1-(1/(1+EXP(-('03_Lap_Theta'!$AC881-'03_Lap_b'!$B$45:$AW$45))))))</f>
        <v/>
      </c>
      <c r="G881" s="5">
        <f>IF(F881&lt;=0.000000001,"",1/SQRT(F881))</f>
        <v/>
      </c>
      <c r="H881">
        <f>IF(OR(C881=0,C881=D881),"BIÊN","")</f>
        <v/>
      </c>
    </row>
    <row r="882">
      <c r="A882" t="n">
        <v>881</v>
      </c>
      <c r="B882">
        <f>'01_Data'!A882</f>
        <v/>
      </c>
      <c r="C882">
        <f>'03_Lap_Theta'!C882</f>
        <v/>
      </c>
      <c r="D882">
        <f>'03_Lap_Theta'!D882</f>
        <v/>
      </c>
      <c r="E882" s="5">
        <f>'03_Lap_Theta'!$AC882</f>
        <v/>
      </c>
      <c r="F882" s="5">
        <f>SUMPRODUCT(('01_Data'!$B882:$AW882&lt;&gt;"")*(1/(1+EXP(-('03_Lap_Theta'!$AC882-'03_Lap_b'!$B$45:$AW$45))))*(1-(1/(1+EXP(-('03_Lap_Theta'!$AC882-'03_Lap_b'!$B$45:$AW$45))))))</f>
        <v/>
      </c>
      <c r="G882" s="5">
        <f>IF(F882&lt;=0.000000001,"",1/SQRT(F882))</f>
        <v/>
      </c>
      <c r="H882">
        <f>IF(OR(C882=0,C882=D882),"BIÊN","")</f>
        <v/>
      </c>
    </row>
    <row r="883">
      <c r="A883" t="n">
        <v>882</v>
      </c>
      <c r="B883">
        <f>'01_Data'!A883</f>
        <v/>
      </c>
      <c r="C883">
        <f>'03_Lap_Theta'!C883</f>
        <v/>
      </c>
      <c r="D883">
        <f>'03_Lap_Theta'!D883</f>
        <v/>
      </c>
      <c r="E883" s="5">
        <f>'03_Lap_Theta'!$AC883</f>
        <v/>
      </c>
      <c r="F883" s="5">
        <f>SUMPRODUCT(('01_Data'!$B883:$AW883&lt;&gt;"")*(1/(1+EXP(-('03_Lap_Theta'!$AC883-'03_Lap_b'!$B$45:$AW$45))))*(1-(1/(1+EXP(-('03_Lap_Theta'!$AC883-'03_Lap_b'!$B$45:$AW$45))))))</f>
        <v/>
      </c>
      <c r="G883" s="5">
        <f>IF(F883&lt;=0.000000001,"",1/SQRT(F883))</f>
        <v/>
      </c>
      <c r="H883">
        <f>IF(OR(C883=0,C883=D883),"BIÊN","")</f>
        <v/>
      </c>
    </row>
    <row r="884">
      <c r="A884" t="n">
        <v>883</v>
      </c>
      <c r="B884">
        <f>'01_Data'!A884</f>
        <v/>
      </c>
      <c r="C884">
        <f>'03_Lap_Theta'!C884</f>
        <v/>
      </c>
      <c r="D884">
        <f>'03_Lap_Theta'!D884</f>
        <v/>
      </c>
      <c r="E884" s="5">
        <f>'03_Lap_Theta'!$AC884</f>
        <v/>
      </c>
      <c r="F884" s="5">
        <f>SUMPRODUCT(('01_Data'!$B884:$AW884&lt;&gt;"")*(1/(1+EXP(-('03_Lap_Theta'!$AC884-'03_Lap_b'!$B$45:$AW$45))))*(1-(1/(1+EXP(-('03_Lap_Theta'!$AC884-'03_Lap_b'!$B$45:$AW$45))))))</f>
        <v/>
      </c>
      <c r="G884" s="5">
        <f>IF(F884&lt;=0.000000001,"",1/SQRT(F884))</f>
        <v/>
      </c>
      <c r="H884">
        <f>IF(OR(C884=0,C884=D884),"BIÊN","")</f>
        <v/>
      </c>
    </row>
    <row r="885">
      <c r="A885" t="n">
        <v>884</v>
      </c>
      <c r="B885">
        <f>'01_Data'!A885</f>
        <v/>
      </c>
      <c r="C885">
        <f>'03_Lap_Theta'!C885</f>
        <v/>
      </c>
      <c r="D885">
        <f>'03_Lap_Theta'!D885</f>
        <v/>
      </c>
      <c r="E885" s="5">
        <f>'03_Lap_Theta'!$AC885</f>
        <v/>
      </c>
      <c r="F885" s="5">
        <f>SUMPRODUCT(('01_Data'!$B885:$AW885&lt;&gt;"")*(1/(1+EXP(-('03_Lap_Theta'!$AC885-'03_Lap_b'!$B$45:$AW$45))))*(1-(1/(1+EXP(-('03_Lap_Theta'!$AC885-'03_Lap_b'!$B$45:$AW$45))))))</f>
        <v/>
      </c>
      <c r="G885" s="5">
        <f>IF(F885&lt;=0.000000001,"",1/SQRT(F885))</f>
        <v/>
      </c>
      <c r="H885">
        <f>IF(OR(C885=0,C885=D885),"BIÊN","")</f>
        <v/>
      </c>
    </row>
    <row r="886">
      <c r="A886" t="n">
        <v>885</v>
      </c>
      <c r="B886">
        <f>'01_Data'!A886</f>
        <v/>
      </c>
      <c r="C886">
        <f>'03_Lap_Theta'!C886</f>
        <v/>
      </c>
      <c r="D886">
        <f>'03_Lap_Theta'!D886</f>
        <v/>
      </c>
      <c r="E886" s="5">
        <f>'03_Lap_Theta'!$AC886</f>
        <v/>
      </c>
      <c r="F886" s="5">
        <f>SUMPRODUCT(('01_Data'!$B886:$AW886&lt;&gt;"")*(1/(1+EXP(-('03_Lap_Theta'!$AC886-'03_Lap_b'!$B$45:$AW$45))))*(1-(1/(1+EXP(-('03_Lap_Theta'!$AC886-'03_Lap_b'!$B$45:$AW$45))))))</f>
        <v/>
      </c>
      <c r="G886" s="5">
        <f>IF(F886&lt;=0.000000001,"",1/SQRT(F886))</f>
        <v/>
      </c>
      <c r="H886">
        <f>IF(OR(C886=0,C886=D886),"BIÊN","")</f>
        <v/>
      </c>
    </row>
    <row r="887">
      <c r="A887" t="n">
        <v>886</v>
      </c>
      <c r="B887">
        <f>'01_Data'!A887</f>
        <v/>
      </c>
      <c r="C887">
        <f>'03_Lap_Theta'!C887</f>
        <v/>
      </c>
      <c r="D887">
        <f>'03_Lap_Theta'!D887</f>
        <v/>
      </c>
      <c r="E887" s="5">
        <f>'03_Lap_Theta'!$AC887</f>
        <v/>
      </c>
      <c r="F887" s="5">
        <f>SUMPRODUCT(('01_Data'!$B887:$AW887&lt;&gt;"")*(1/(1+EXP(-('03_Lap_Theta'!$AC887-'03_Lap_b'!$B$45:$AW$45))))*(1-(1/(1+EXP(-('03_Lap_Theta'!$AC887-'03_Lap_b'!$B$45:$AW$45))))))</f>
        <v/>
      </c>
      <c r="G887" s="5">
        <f>IF(F887&lt;=0.000000001,"",1/SQRT(F887))</f>
        <v/>
      </c>
      <c r="H887">
        <f>IF(OR(C887=0,C887=D887),"BIÊN","")</f>
        <v/>
      </c>
    </row>
    <row r="888">
      <c r="A888" t="n">
        <v>887</v>
      </c>
      <c r="B888">
        <f>'01_Data'!A888</f>
        <v/>
      </c>
      <c r="C888">
        <f>'03_Lap_Theta'!C888</f>
        <v/>
      </c>
      <c r="D888">
        <f>'03_Lap_Theta'!D888</f>
        <v/>
      </c>
      <c r="E888" s="5">
        <f>'03_Lap_Theta'!$AC888</f>
        <v/>
      </c>
      <c r="F888" s="5">
        <f>SUMPRODUCT(('01_Data'!$B888:$AW888&lt;&gt;"")*(1/(1+EXP(-('03_Lap_Theta'!$AC888-'03_Lap_b'!$B$45:$AW$45))))*(1-(1/(1+EXP(-('03_Lap_Theta'!$AC888-'03_Lap_b'!$B$45:$AW$45))))))</f>
        <v/>
      </c>
      <c r="G888" s="5">
        <f>IF(F888&lt;=0.000000001,"",1/SQRT(F888))</f>
        <v/>
      </c>
      <c r="H888">
        <f>IF(OR(C888=0,C888=D888),"BIÊN","")</f>
        <v/>
      </c>
    </row>
    <row r="889">
      <c r="A889" t="n">
        <v>888</v>
      </c>
      <c r="B889">
        <f>'01_Data'!A889</f>
        <v/>
      </c>
      <c r="C889">
        <f>'03_Lap_Theta'!C889</f>
        <v/>
      </c>
      <c r="D889">
        <f>'03_Lap_Theta'!D889</f>
        <v/>
      </c>
      <c r="E889" s="5">
        <f>'03_Lap_Theta'!$AC889</f>
        <v/>
      </c>
      <c r="F889" s="5">
        <f>SUMPRODUCT(('01_Data'!$B889:$AW889&lt;&gt;"")*(1/(1+EXP(-('03_Lap_Theta'!$AC889-'03_Lap_b'!$B$45:$AW$45))))*(1-(1/(1+EXP(-('03_Lap_Theta'!$AC889-'03_Lap_b'!$B$45:$AW$45))))))</f>
        <v/>
      </c>
      <c r="G889" s="5">
        <f>IF(F889&lt;=0.000000001,"",1/SQRT(F889))</f>
        <v/>
      </c>
      <c r="H889">
        <f>IF(OR(C889=0,C889=D889),"BIÊN","")</f>
        <v/>
      </c>
    </row>
    <row r="890">
      <c r="A890" t="n">
        <v>889</v>
      </c>
      <c r="B890">
        <f>'01_Data'!A890</f>
        <v/>
      </c>
      <c r="C890">
        <f>'03_Lap_Theta'!C890</f>
        <v/>
      </c>
      <c r="D890">
        <f>'03_Lap_Theta'!D890</f>
        <v/>
      </c>
      <c r="E890" s="5">
        <f>'03_Lap_Theta'!$AC890</f>
        <v/>
      </c>
      <c r="F890" s="5">
        <f>SUMPRODUCT(('01_Data'!$B890:$AW890&lt;&gt;"")*(1/(1+EXP(-('03_Lap_Theta'!$AC890-'03_Lap_b'!$B$45:$AW$45))))*(1-(1/(1+EXP(-('03_Lap_Theta'!$AC890-'03_Lap_b'!$B$45:$AW$45))))))</f>
        <v/>
      </c>
      <c r="G890" s="5">
        <f>IF(F890&lt;=0.000000001,"",1/SQRT(F890))</f>
        <v/>
      </c>
      <c r="H890">
        <f>IF(OR(C890=0,C890=D890),"BIÊN","")</f>
        <v/>
      </c>
    </row>
    <row r="891">
      <c r="A891" t="n">
        <v>890</v>
      </c>
      <c r="B891">
        <f>'01_Data'!A891</f>
        <v/>
      </c>
      <c r="C891">
        <f>'03_Lap_Theta'!C891</f>
        <v/>
      </c>
      <c r="D891">
        <f>'03_Lap_Theta'!D891</f>
        <v/>
      </c>
      <c r="E891" s="5">
        <f>'03_Lap_Theta'!$AC891</f>
        <v/>
      </c>
      <c r="F891" s="5">
        <f>SUMPRODUCT(('01_Data'!$B891:$AW891&lt;&gt;"")*(1/(1+EXP(-('03_Lap_Theta'!$AC891-'03_Lap_b'!$B$45:$AW$45))))*(1-(1/(1+EXP(-('03_Lap_Theta'!$AC891-'03_Lap_b'!$B$45:$AW$45))))))</f>
        <v/>
      </c>
      <c r="G891" s="5">
        <f>IF(F891&lt;=0.000000001,"",1/SQRT(F891))</f>
        <v/>
      </c>
      <c r="H891">
        <f>IF(OR(C891=0,C891=D891),"BIÊN","")</f>
        <v/>
      </c>
    </row>
    <row r="892">
      <c r="A892" t="n">
        <v>891</v>
      </c>
      <c r="B892">
        <f>'01_Data'!A892</f>
        <v/>
      </c>
      <c r="C892">
        <f>'03_Lap_Theta'!C892</f>
        <v/>
      </c>
      <c r="D892">
        <f>'03_Lap_Theta'!D892</f>
        <v/>
      </c>
      <c r="E892" s="5">
        <f>'03_Lap_Theta'!$AC892</f>
        <v/>
      </c>
      <c r="F892" s="5">
        <f>SUMPRODUCT(('01_Data'!$B892:$AW892&lt;&gt;"")*(1/(1+EXP(-('03_Lap_Theta'!$AC892-'03_Lap_b'!$B$45:$AW$45))))*(1-(1/(1+EXP(-('03_Lap_Theta'!$AC892-'03_Lap_b'!$B$45:$AW$45))))))</f>
        <v/>
      </c>
      <c r="G892" s="5">
        <f>IF(F892&lt;=0.000000001,"",1/SQRT(F892))</f>
        <v/>
      </c>
      <c r="H892">
        <f>IF(OR(C892=0,C892=D892),"BIÊN","")</f>
        <v/>
      </c>
    </row>
    <row r="893">
      <c r="A893" t="n">
        <v>892</v>
      </c>
      <c r="B893">
        <f>'01_Data'!A893</f>
        <v/>
      </c>
      <c r="C893">
        <f>'03_Lap_Theta'!C893</f>
        <v/>
      </c>
      <c r="D893">
        <f>'03_Lap_Theta'!D893</f>
        <v/>
      </c>
      <c r="E893" s="5">
        <f>'03_Lap_Theta'!$AC893</f>
        <v/>
      </c>
      <c r="F893" s="5">
        <f>SUMPRODUCT(('01_Data'!$B893:$AW893&lt;&gt;"")*(1/(1+EXP(-('03_Lap_Theta'!$AC893-'03_Lap_b'!$B$45:$AW$45))))*(1-(1/(1+EXP(-('03_Lap_Theta'!$AC893-'03_Lap_b'!$B$45:$AW$45))))))</f>
        <v/>
      </c>
      <c r="G893" s="5">
        <f>IF(F893&lt;=0.000000001,"",1/SQRT(F893))</f>
        <v/>
      </c>
      <c r="H893">
        <f>IF(OR(C893=0,C893=D893),"BIÊN","")</f>
        <v/>
      </c>
    </row>
    <row r="894">
      <c r="A894" t="n">
        <v>893</v>
      </c>
      <c r="B894">
        <f>'01_Data'!A894</f>
        <v/>
      </c>
      <c r="C894">
        <f>'03_Lap_Theta'!C894</f>
        <v/>
      </c>
      <c r="D894">
        <f>'03_Lap_Theta'!D894</f>
        <v/>
      </c>
      <c r="E894" s="5">
        <f>'03_Lap_Theta'!$AC894</f>
        <v/>
      </c>
      <c r="F894" s="5">
        <f>SUMPRODUCT(('01_Data'!$B894:$AW894&lt;&gt;"")*(1/(1+EXP(-('03_Lap_Theta'!$AC894-'03_Lap_b'!$B$45:$AW$45))))*(1-(1/(1+EXP(-('03_Lap_Theta'!$AC894-'03_Lap_b'!$B$45:$AW$45))))))</f>
        <v/>
      </c>
      <c r="G894" s="5">
        <f>IF(F894&lt;=0.000000001,"",1/SQRT(F894))</f>
        <v/>
      </c>
      <c r="H894">
        <f>IF(OR(C894=0,C894=D894),"BIÊN","")</f>
        <v/>
      </c>
    </row>
    <row r="895">
      <c r="A895" t="n">
        <v>894</v>
      </c>
      <c r="B895">
        <f>'01_Data'!A895</f>
        <v/>
      </c>
      <c r="C895">
        <f>'03_Lap_Theta'!C895</f>
        <v/>
      </c>
      <c r="D895">
        <f>'03_Lap_Theta'!D895</f>
        <v/>
      </c>
      <c r="E895" s="5">
        <f>'03_Lap_Theta'!$AC895</f>
        <v/>
      </c>
      <c r="F895" s="5">
        <f>SUMPRODUCT(('01_Data'!$B895:$AW895&lt;&gt;"")*(1/(1+EXP(-('03_Lap_Theta'!$AC895-'03_Lap_b'!$B$45:$AW$45))))*(1-(1/(1+EXP(-('03_Lap_Theta'!$AC895-'03_Lap_b'!$B$45:$AW$45))))))</f>
        <v/>
      </c>
      <c r="G895" s="5">
        <f>IF(F895&lt;=0.000000001,"",1/SQRT(F895))</f>
        <v/>
      </c>
      <c r="H895">
        <f>IF(OR(C895=0,C895=D895),"BIÊN","")</f>
        <v/>
      </c>
    </row>
    <row r="896">
      <c r="A896" t="n">
        <v>895</v>
      </c>
      <c r="B896">
        <f>'01_Data'!A896</f>
        <v/>
      </c>
      <c r="C896">
        <f>'03_Lap_Theta'!C896</f>
        <v/>
      </c>
      <c r="D896">
        <f>'03_Lap_Theta'!D896</f>
        <v/>
      </c>
      <c r="E896" s="5">
        <f>'03_Lap_Theta'!$AC896</f>
        <v/>
      </c>
      <c r="F896" s="5">
        <f>SUMPRODUCT(('01_Data'!$B896:$AW896&lt;&gt;"")*(1/(1+EXP(-('03_Lap_Theta'!$AC896-'03_Lap_b'!$B$45:$AW$45))))*(1-(1/(1+EXP(-('03_Lap_Theta'!$AC896-'03_Lap_b'!$B$45:$AW$45))))))</f>
        <v/>
      </c>
      <c r="G896" s="5">
        <f>IF(F896&lt;=0.000000001,"",1/SQRT(F896))</f>
        <v/>
      </c>
      <c r="H896">
        <f>IF(OR(C896=0,C896=D896),"BIÊN","")</f>
        <v/>
      </c>
    </row>
    <row r="897">
      <c r="A897" t="n">
        <v>896</v>
      </c>
      <c r="B897">
        <f>'01_Data'!A897</f>
        <v/>
      </c>
      <c r="C897">
        <f>'03_Lap_Theta'!C897</f>
        <v/>
      </c>
      <c r="D897">
        <f>'03_Lap_Theta'!D897</f>
        <v/>
      </c>
      <c r="E897" s="5">
        <f>'03_Lap_Theta'!$AC897</f>
        <v/>
      </c>
      <c r="F897" s="5">
        <f>SUMPRODUCT(('01_Data'!$B897:$AW897&lt;&gt;"")*(1/(1+EXP(-('03_Lap_Theta'!$AC897-'03_Lap_b'!$B$45:$AW$45))))*(1-(1/(1+EXP(-('03_Lap_Theta'!$AC897-'03_Lap_b'!$B$45:$AW$45))))))</f>
        <v/>
      </c>
      <c r="G897" s="5">
        <f>IF(F897&lt;=0.000000001,"",1/SQRT(F897))</f>
        <v/>
      </c>
      <c r="H897">
        <f>IF(OR(C897=0,C897=D897),"BIÊN","")</f>
        <v/>
      </c>
    </row>
    <row r="898">
      <c r="A898" t="n">
        <v>897</v>
      </c>
      <c r="B898">
        <f>'01_Data'!A898</f>
        <v/>
      </c>
      <c r="C898">
        <f>'03_Lap_Theta'!C898</f>
        <v/>
      </c>
      <c r="D898">
        <f>'03_Lap_Theta'!D898</f>
        <v/>
      </c>
      <c r="E898" s="5">
        <f>'03_Lap_Theta'!$AC898</f>
        <v/>
      </c>
      <c r="F898" s="5">
        <f>SUMPRODUCT(('01_Data'!$B898:$AW898&lt;&gt;"")*(1/(1+EXP(-('03_Lap_Theta'!$AC898-'03_Lap_b'!$B$45:$AW$45))))*(1-(1/(1+EXP(-('03_Lap_Theta'!$AC898-'03_Lap_b'!$B$45:$AW$45))))))</f>
        <v/>
      </c>
      <c r="G898" s="5">
        <f>IF(F898&lt;=0.000000001,"",1/SQRT(F898))</f>
        <v/>
      </c>
      <c r="H898">
        <f>IF(OR(C898=0,C898=D898),"BIÊN","")</f>
        <v/>
      </c>
    </row>
    <row r="899">
      <c r="A899" t="n">
        <v>898</v>
      </c>
      <c r="B899">
        <f>'01_Data'!A899</f>
        <v/>
      </c>
      <c r="C899">
        <f>'03_Lap_Theta'!C899</f>
        <v/>
      </c>
      <c r="D899">
        <f>'03_Lap_Theta'!D899</f>
        <v/>
      </c>
      <c r="E899" s="5">
        <f>'03_Lap_Theta'!$AC899</f>
        <v/>
      </c>
      <c r="F899" s="5">
        <f>SUMPRODUCT(('01_Data'!$B899:$AW899&lt;&gt;"")*(1/(1+EXP(-('03_Lap_Theta'!$AC899-'03_Lap_b'!$B$45:$AW$45))))*(1-(1/(1+EXP(-('03_Lap_Theta'!$AC899-'03_Lap_b'!$B$45:$AW$45))))))</f>
        <v/>
      </c>
      <c r="G899" s="5">
        <f>IF(F899&lt;=0.000000001,"",1/SQRT(F899))</f>
        <v/>
      </c>
      <c r="H899">
        <f>IF(OR(C899=0,C899=D899),"BIÊN","")</f>
        <v/>
      </c>
    </row>
    <row r="900">
      <c r="A900" t="n">
        <v>899</v>
      </c>
      <c r="B900">
        <f>'01_Data'!A900</f>
        <v/>
      </c>
      <c r="C900">
        <f>'03_Lap_Theta'!C900</f>
        <v/>
      </c>
      <c r="D900">
        <f>'03_Lap_Theta'!D900</f>
        <v/>
      </c>
      <c r="E900" s="5">
        <f>'03_Lap_Theta'!$AC900</f>
        <v/>
      </c>
      <c r="F900" s="5">
        <f>SUMPRODUCT(('01_Data'!$B900:$AW900&lt;&gt;"")*(1/(1+EXP(-('03_Lap_Theta'!$AC900-'03_Lap_b'!$B$45:$AW$45))))*(1-(1/(1+EXP(-('03_Lap_Theta'!$AC900-'03_Lap_b'!$B$45:$AW$45))))))</f>
        <v/>
      </c>
      <c r="G900" s="5">
        <f>IF(F900&lt;=0.000000001,"",1/SQRT(F900))</f>
        <v/>
      </c>
      <c r="H900">
        <f>IF(OR(C900=0,C900=D900),"BIÊN","")</f>
        <v/>
      </c>
    </row>
    <row r="901">
      <c r="A901" t="n">
        <v>900</v>
      </c>
      <c r="B901">
        <f>'01_Data'!A901</f>
        <v/>
      </c>
      <c r="C901">
        <f>'03_Lap_Theta'!C901</f>
        <v/>
      </c>
      <c r="D901">
        <f>'03_Lap_Theta'!D901</f>
        <v/>
      </c>
      <c r="E901" s="5">
        <f>'03_Lap_Theta'!$AC901</f>
        <v/>
      </c>
      <c r="F901" s="5">
        <f>SUMPRODUCT(('01_Data'!$B901:$AW901&lt;&gt;"")*(1/(1+EXP(-('03_Lap_Theta'!$AC901-'03_Lap_b'!$B$45:$AW$45))))*(1-(1/(1+EXP(-('03_Lap_Theta'!$AC901-'03_Lap_b'!$B$45:$AW$45))))))</f>
        <v/>
      </c>
      <c r="G901" s="5">
        <f>IF(F901&lt;=0.000000001,"",1/SQRT(F901))</f>
        <v/>
      </c>
      <c r="H901">
        <f>IF(OR(C901=0,C901=D901),"BIÊN","")</f>
        <v/>
      </c>
    </row>
    <row r="902">
      <c r="A902" t="n">
        <v>901</v>
      </c>
      <c r="B902">
        <f>'01_Data'!A902</f>
        <v/>
      </c>
      <c r="C902">
        <f>'03_Lap_Theta'!C902</f>
        <v/>
      </c>
      <c r="D902">
        <f>'03_Lap_Theta'!D902</f>
        <v/>
      </c>
      <c r="E902" s="5">
        <f>'03_Lap_Theta'!$AC902</f>
        <v/>
      </c>
      <c r="F902" s="5">
        <f>SUMPRODUCT(('01_Data'!$B902:$AW902&lt;&gt;"")*(1/(1+EXP(-('03_Lap_Theta'!$AC902-'03_Lap_b'!$B$45:$AW$45))))*(1-(1/(1+EXP(-('03_Lap_Theta'!$AC902-'03_Lap_b'!$B$45:$AW$45))))))</f>
        <v/>
      </c>
      <c r="G902" s="5">
        <f>IF(F902&lt;=0.000000001,"",1/SQRT(F902))</f>
        <v/>
      </c>
      <c r="H902">
        <f>IF(OR(C902=0,C902=D902),"BIÊN","")</f>
        <v/>
      </c>
    </row>
    <row r="903">
      <c r="A903" t="n">
        <v>902</v>
      </c>
      <c r="B903">
        <f>'01_Data'!A903</f>
        <v/>
      </c>
      <c r="C903">
        <f>'03_Lap_Theta'!C903</f>
        <v/>
      </c>
      <c r="D903">
        <f>'03_Lap_Theta'!D903</f>
        <v/>
      </c>
      <c r="E903" s="5">
        <f>'03_Lap_Theta'!$AC903</f>
        <v/>
      </c>
      <c r="F903" s="5">
        <f>SUMPRODUCT(('01_Data'!$B903:$AW903&lt;&gt;"")*(1/(1+EXP(-('03_Lap_Theta'!$AC903-'03_Lap_b'!$B$45:$AW$45))))*(1-(1/(1+EXP(-('03_Lap_Theta'!$AC903-'03_Lap_b'!$B$45:$AW$45))))))</f>
        <v/>
      </c>
      <c r="G903" s="5">
        <f>IF(F903&lt;=0.000000001,"",1/SQRT(F903))</f>
        <v/>
      </c>
      <c r="H903">
        <f>IF(OR(C903=0,C903=D903),"BIÊN","")</f>
        <v/>
      </c>
    </row>
    <row r="904">
      <c r="A904" t="n">
        <v>903</v>
      </c>
      <c r="B904">
        <f>'01_Data'!A904</f>
        <v/>
      </c>
      <c r="C904">
        <f>'03_Lap_Theta'!C904</f>
        <v/>
      </c>
      <c r="D904">
        <f>'03_Lap_Theta'!D904</f>
        <v/>
      </c>
      <c r="E904" s="5">
        <f>'03_Lap_Theta'!$AC904</f>
        <v/>
      </c>
      <c r="F904" s="5">
        <f>SUMPRODUCT(('01_Data'!$B904:$AW904&lt;&gt;"")*(1/(1+EXP(-('03_Lap_Theta'!$AC904-'03_Lap_b'!$B$45:$AW$45))))*(1-(1/(1+EXP(-('03_Lap_Theta'!$AC904-'03_Lap_b'!$B$45:$AW$45))))))</f>
        <v/>
      </c>
      <c r="G904" s="5">
        <f>IF(F904&lt;=0.000000001,"",1/SQRT(F904))</f>
        <v/>
      </c>
      <c r="H904">
        <f>IF(OR(C904=0,C904=D904),"BIÊN","")</f>
        <v/>
      </c>
    </row>
    <row r="905">
      <c r="A905" t="n">
        <v>904</v>
      </c>
      <c r="B905">
        <f>'01_Data'!A905</f>
        <v/>
      </c>
      <c r="C905">
        <f>'03_Lap_Theta'!C905</f>
        <v/>
      </c>
      <c r="D905">
        <f>'03_Lap_Theta'!D905</f>
        <v/>
      </c>
      <c r="E905" s="5">
        <f>'03_Lap_Theta'!$AC905</f>
        <v/>
      </c>
      <c r="F905" s="5">
        <f>SUMPRODUCT(('01_Data'!$B905:$AW905&lt;&gt;"")*(1/(1+EXP(-('03_Lap_Theta'!$AC905-'03_Lap_b'!$B$45:$AW$45))))*(1-(1/(1+EXP(-('03_Lap_Theta'!$AC905-'03_Lap_b'!$B$45:$AW$45))))))</f>
        <v/>
      </c>
      <c r="G905" s="5">
        <f>IF(F905&lt;=0.000000001,"",1/SQRT(F905))</f>
        <v/>
      </c>
      <c r="H905">
        <f>IF(OR(C905=0,C905=D905),"BIÊN","")</f>
        <v/>
      </c>
    </row>
    <row r="906">
      <c r="A906" t="n">
        <v>905</v>
      </c>
      <c r="B906">
        <f>'01_Data'!A906</f>
        <v/>
      </c>
      <c r="C906">
        <f>'03_Lap_Theta'!C906</f>
        <v/>
      </c>
      <c r="D906">
        <f>'03_Lap_Theta'!D906</f>
        <v/>
      </c>
      <c r="E906" s="5">
        <f>'03_Lap_Theta'!$AC906</f>
        <v/>
      </c>
      <c r="F906" s="5">
        <f>SUMPRODUCT(('01_Data'!$B906:$AW906&lt;&gt;"")*(1/(1+EXP(-('03_Lap_Theta'!$AC906-'03_Lap_b'!$B$45:$AW$45))))*(1-(1/(1+EXP(-('03_Lap_Theta'!$AC906-'03_Lap_b'!$B$45:$AW$45))))))</f>
        <v/>
      </c>
      <c r="G906" s="5">
        <f>IF(F906&lt;=0.000000001,"",1/SQRT(F906))</f>
        <v/>
      </c>
      <c r="H906">
        <f>IF(OR(C906=0,C906=D906),"BIÊN","")</f>
        <v/>
      </c>
    </row>
    <row r="907">
      <c r="A907" t="n">
        <v>906</v>
      </c>
      <c r="B907">
        <f>'01_Data'!A907</f>
        <v/>
      </c>
      <c r="C907">
        <f>'03_Lap_Theta'!C907</f>
        <v/>
      </c>
      <c r="D907">
        <f>'03_Lap_Theta'!D907</f>
        <v/>
      </c>
      <c r="E907" s="5">
        <f>'03_Lap_Theta'!$AC907</f>
        <v/>
      </c>
      <c r="F907" s="5">
        <f>SUMPRODUCT(('01_Data'!$B907:$AW907&lt;&gt;"")*(1/(1+EXP(-('03_Lap_Theta'!$AC907-'03_Lap_b'!$B$45:$AW$45))))*(1-(1/(1+EXP(-('03_Lap_Theta'!$AC907-'03_Lap_b'!$B$45:$AW$45))))))</f>
        <v/>
      </c>
      <c r="G907" s="5">
        <f>IF(F907&lt;=0.000000001,"",1/SQRT(F907))</f>
        <v/>
      </c>
      <c r="H907">
        <f>IF(OR(C907=0,C907=D907),"BIÊN","")</f>
        <v/>
      </c>
    </row>
    <row r="908">
      <c r="A908" t="n">
        <v>907</v>
      </c>
      <c r="B908">
        <f>'01_Data'!A908</f>
        <v/>
      </c>
      <c r="C908">
        <f>'03_Lap_Theta'!C908</f>
        <v/>
      </c>
      <c r="D908">
        <f>'03_Lap_Theta'!D908</f>
        <v/>
      </c>
      <c r="E908" s="5">
        <f>'03_Lap_Theta'!$AC908</f>
        <v/>
      </c>
      <c r="F908" s="5">
        <f>SUMPRODUCT(('01_Data'!$B908:$AW908&lt;&gt;"")*(1/(1+EXP(-('03_Lap_Theta'!$AC908-'03_Lap_b'!$B$45:$AW$45))))*(1-(1/(1+EXP(-('03_Lap_Theta'!$AC908-'03_Lap_b'!$B$45:$AW$45))))))</f>
        <v/>
      </c>
      <c r="G908" s="5">
        <f>IF(F908&lt;=0.000000001,"",1/SQRT(F908))</f>
        <v/>
      </c>
      <c r="H908">
        <f>IF(OR(C908=0,C908=D908),"BIÊN","")</f>
        <v/>
      </c>
    </row>
    <row r="909">
      <c r="A909" t="n">
        <v>908</v>
      </c>
      <c r="B909">
        <f>'01_Data'!A909</f>
        <v/>
      </c>
      <c r="C909">
        <f>'03_Lap_Theta'!C909</f>
        <v/>
      </c>
      <c r="D909">
        <f>'03_Lap_Theta'!D909</f>
        <v/>
      </c>
      <c r="E909" s="5">
        <f>'03_Lap_Theta'!$AC909</f>
        <v/>
      </c>
      <c r="F909" s="5">
        <f>SUMPRODUCT(('01_Data'!$B909:$AW909&lt;&gt;"")*(1/(1+EXP(-('03_Lap_Theta'!$AC909-'03_Lap_b'!$B$45:$AW$45))))*(1-(1/(1+EXP(-('03_Lap_Theta'!$AC909-'03_Lap_b'!$B$45:$AW$45))))))</f>
        <v/>
      </c>
      <c r="G909" s="5">
        <f>IF(F909&lt;=0.000000001,"",1/SQRT(F909))</f>
        <v/>
      </c>
      <c r="H909">
        <f>IF(OR(C909=0,C909=D909),"BIÊN","")</f>
        <v/>
      </c>
    </row>
    <row r="910">
      <c r="A910" t="n">
        <v>909</v>
      </c>
      <c r="B910">
        <f>'01_Data'!A910</f>
        <v/>
      </c>
      <c r="C910">
        <f>'03_Lap_Theta'!C910</f>
        <v/>
      </c>
      <c r="D910">
        <f>'03_Lap_Theta'!D910</f>
        <v/>
      </c>
      <c r="E910" s="5">
        <f>'03_Lap_Theta'!$AC910</f>
        <v/>
      </c>
      <c r="F910" s="5">
        <f>SUMPRODUCT(('01_Data'!$B910:$AW910&lt;&gt;"")*(1/(1+EXP(-('03_Lap_Theta'!$AC910-'03_Lap_b'!$B$45:$AW$45))))*(1-(1/(1+EXP(-('03_Lap_Theta'!$AC910-'03_Lap_b'!$B$45:$AW$45))))))</f>
        <v/>
      </c>
      <c r="G910" s="5">
        <f>IF(F910&lt;=0.000000001,"",1/SQRT(F910))</f>
        <v/>
      </c>
      <c r="H910">
        <f>IF(OR(C910=0,C910=D910),"BIÊN","")</f>
        <v/>
      </c>
    </row>
    <row r="911">
      <c r="A911" t="n">
        <v>910</v>
      </c>
      <c r="B911">
        <f>'01_Data'!A911</f>
        <v/>
      </c>
      <c r="C911">
        <f>'03_Lap_Theta'!C911</f>
        <v/>
      </c>
      <c r="D911">
        <f>'03_Lap_Theta'!D911</f>
        <v/>
      </c>
      <c r="E911" s="5">
        <f>'03_Lap_Theta'!$AC911</f>
        <v/>
      </c>
      <c r="F911" s="5">
        <f>SUMPRODUCT(('01_Data'!$B911:$AW911&lt;&gt;"")*(1/(1+EXP(-('03_Lap_Theta'!$AC911-'03_Lap_b'!$B$45:$AW$45))))*(1-(1/(1+EXP(-('03_Lap_Theta'!$AC911-'03_Lap_b'!$B$45:$AW$45))))))</f>
        <v/>
      </c>
      <c r="G911" s="5">
        <f>IF(F911&lt;=0.000000001,"",1/SQRT(F911))</f>
        <v/>
      </c>
      <c r="H911">
        <f>IF(OR(C911=0,C911=D911),"BIÊN","")</f>
        <v/>
      </c>
    </row>
    <row r="912">
      <c r="A912" t="n">
        <v>911</v>
      </c>
      <c r="B912">
        <f>'01_Data'!A912</f>
        <v/>
      </c>
      <c r="C912">
        <f>'03_Lap_Theta'!C912</f>
        <v/>
      </c>
      <c r="D912">
        <f>'03_Lap_Theta'!D912</f>
        <v/>
      </c>
      <c r="E912" s="5">
        <f>'03_Lap_Theta'!$AC912</f>
        <v/>
      </c>
      <c r="F912" s="5">
        <f>SUMPRODUCT(('01_Data'!$B912:$AW912&lt;&gt;"")*(1/(1+EXP(-('03_Lap_Theta'!$AC912-'03_Lap_b'!$B$45:$AW$45))))*(1-(1/(1+EXP(-('03_Lap_Theta'!$AC912-'03_Lap_b'!$B$45:$AW$45))))))</f>
        <v/>
      </c>
      <c r="G912" s="5">
        <f>IF(F912&lt;=0.000000001,"",1/SQRT(F912))</f>
        <v/>
      </c>
      <c r="H912">
        <f>IF(OR(C912=0,C912=D912),"BIÊN","")</f>
        <v/>
      </c>
    </row>
    <row r="913">
      <c r="A913" t="n">
        <v>912</v>
      </c>
      <c r="B913">
        <f>'01_Data'!A913</f>
        <v/>
      </c>
      <c r="C913">
        <f>'03_Lap_Theta'!C913</f>
        <v/>
      </c>
      <c r="D913">
        <f>'03_Lap_Theta'!D913</f>
        <v/>
      </c>
      <c r="E913" s="5">
        <f>'03_Lap_Theta'!$AC913</f>
        <v/>
      </c>
      <c r="F913" s="5">
        <f>SUMPRODUCT(('01_Data'!$B913:$AW913&lt;&gt;"")*(1/(1+EXP(-('03_Lap_Theta'!$AC913-'03_Lap_b'!$B$45:$AW$45))))*(1-(1/(1+EXP(-('03_Lap_Theta'!$AC913-'03_Lap_b'!$B$45:$AW$45))))))</f>
        <v/>
      </c>
      <c r="G913" s="5">
        <f>IF(F913&lt;=0.000000001,"",1/SQRT(F913))</f>
        <v/>
      </c>
      <c r="H913">
        <f>IF(OR(C913=0,C913=D913),"BIÊN","")</f>
        <v/>
      </c>
    </row>
    <row r="914">
      <c r="A914" t="n">
        <v>913</v>
      </c>
      <c r="B914">
        <f>'01_Data'!A914</f>
        <v/>
      </c>
      <c r="C914">
        <f>'03_Lap_Theta'!C914</f>
        <v/>
      </c>
      <c r="D914">
        <f>'03_Lap_Theta'!D914</f>
        <v/>
      </c>
      <c r="E914" s="5">
        <f>'03_Lap_Theta'!$AC914</f>
        <v/>
      </c>
      <c r="F914" s="5">
        <f>SUMPRODUCT(('01_Data'!$B914:$AW914&lt;&gt;"")*(1/(1+EXP(-('03_Lap_Theta'!$AC914-'03_Lap_b'!$B$45:$AW$45))))*(1-(1/(1+EXP(-('03_Lap_Theta'!$AC914-'03_Lap_b'!$B$45:$AW$45))))))</f>
        <v/>
      </c>
      <c r="G914" s="5">
        <f>IF(F914&lt;=0.000000001,"",1/SQRT(F914))</f>
        <v/>
      </c>
      <c r="H914">
        <f>IF(OR(C914=0,C914=D914),"BIÊN","")</f>
        <v/>
      </c>
    </row>
    <row r="915">
      <c r="A915" t="n">
        <v>914</v>
      </c>
      <c r="B915">
        <f>'01_Data'!A915</f>
        <v/>
      </c>
      <c r="C915">
        <f>'03_Lap_Theta'!C915</f>
        <v/>
      </c>
      <c r="D915">
        <f>'03_Lap_Theta'!D915</f>
        <v/>
      </c>
      <c r="E915" s="5">
        <f>'03_Lap_Theta'!$AC915</f>
        <v/>
      </c>
      <c r="F915" s="5">
        <f>SUMPRODUCT(('01_Data'!$B915:$AW915&lt;&gt;"")*(1/(1+EXP(-('03_Lap_Theta'!$AC915-'03_Lap_b'!$B$45:$AW$45))))*(1-(1/(1+EXP(-('03_Lap_Theta'!$AC915-'03_Lap_b'!$B$45:$AW$45))))))</f>
        <v/>
      </c>
      <c r="G915" s="5">
        <f>IF(F915&lt;=0.000000001,"",1/SQRT(F915))</f>
        <v/>
      </c>
      <c r="H915">
        <f>IF(OR(C915=0,C915=D915),"BIÊN","")</f>
        <v/>
      </c>
    </row>
    <row r="916">
      <c r="A916" t="n">
        <v>915</v>
      </c>
      <c r="B916">
        <f>'01_Data'!A916</f>
        <v/>
      </c>
      <c r="C916">
        <f>'03_Lap_Theta'!C916</f>
        <v/>
      </c>
      <c r="D916">
        <f>'03_Lap_Theta'!D916</f>
        <v/>
      </c>
      <c r="E916" s="5">
        <f>'03_Lap_Theta'!$AC916</f>
        <v/>
      </c>
      <c r="F916" s="5">
        <f>SUMPRODUCT(('01_Data'!$B916:$AW916&lt;&gt;"")*(1/(1+EXP(-('03_Lap_Theta'!$AC916-'03_Lap_b'!$B$45:$AW$45))))*(1-(1/(1+EXP(-('03_Lap_Theta'!$AC916-'03_Lap_b'!$B$45:$AW$45))))))</f>
        <v/>
      </c>
      <c r="G916" s="5">
        <f>IF(F916&lt;=0.000000001,"",1/SQRT(F916))</f>
        <v/>
      </c>
      <c r="H916">
        <f>IF(OR(C916=0,C916=D916),"BIÊN","")</f>
        <v/>
      </c>
    </row>
    <row r="917">
      <c r="A917" t="n">
        <v>916</v>
      </c>
      <c r="B917">
        <f>'01_Data'!A917</f>
        <v/>
      </c>
      <c r="C917">
        <f>'03_Lap_Theta'!C917</f>
        <v/>
      </c>
      <c r="D917">
        <f>'03_Lap_Theta'!D917</f>
        <v/>
      </c>
      <c r="E917" s="5">
        <f>'03_Lap_Theta'!$AC917</f>
        <v/>
      </c>
      <c r="F917" s="5">
        <f>SUMPRODUCT(('01_Data'!$B917:$AW917&lt;&gt;"")*(1/(1+EXP(-('03_Lap_Theta'!$AC917-'03_Lap_b'!$B$45:$AW$45))))*(1-(1/(1+EXP(-('03_Lap_Theta'!$AC917-'03_Lap_b'!$B$45:$AW$45))))))</f>
        <v/>
      </c>
      <c r="G917" s="5">
        <f>IF(F917&lt;=0.000000001,"",1/SQRT(F917))</f>
        <v/>
      </c>
      <c r="H917">
        <f>IF(OR(C917=0,C917=D917),"BIÊN","")</f>
        <v/>
      </c>
    </row>
    <row r="918">
      <c r="A918" t="n">
        <v>917</v>
      </c>
      <c r="B918">
        <f>'01_Data'!A918</f>
        <v/>
      </c>
      <c r="C918">
        <f>'03_Lap_Theta'!C918</f>
        <v/>
      </c>
      <c r="D918">
        <f>'03_Lap_Theta'!D918</f>
        <v/>
      </c>
      <c r="E918" s="5">
        <f>'03_Lap_Theta'!$AC918</f>
        <v/>
      </c>
      <c r="F918" s="5">
        <f>SUMPRODUCT(('01_Data'!$B918:$AW918&lt;&gt;"")*(1/(1+EXP(-('03_Lap_Theta'!$AC918-'03_Lap_b'!$B$45:$AW$45))))*(1-(1/(1+EXP(-('03_Lap_Theta'!$AC918-'03_Lap_b'!$B$45:$AW$45))))))</f>
        <v/>
      </c>
      <c r="G918" s="5">
        <f>IF(F918&lt;=0.000000001,"",1/SQRT(F918))</f>
        <v/>
      </c>
      <c r="H918">
        <f>IF(OR(C918=0,C918=D918),"BIÊN","")</f>
        <v/>
      </c>
    </row>
    <row r="919">
      <c r="A919" t="n">
        <v>918</v>
      </c>
      <c r="B919">
        <f>'01_Data'!A919</f>
        <v/>
      </c>
      <c r="C919">
        <f>'03_Lap_Theta'!C919</f>
        <v/>
      </c>
      <c r="D919">
        <f>'03_Lap_Theta'!D919</f>
        <v/>
      </c>
      <c r="E919" s="5">
        <f>'03_Lap_Theta'!$AC919</f>
        <v/>
      </c>
      <c r="F919" s="5">
        <f>SUMPRODUCT(('01_Data'!$B919:$AW919&lt;&gt;"")*(1/(1+EXP(-('03_Lap_Theta'!$AC919-'03_Lap_b'!$B$45:$AW$45))))*(1-(1/(1+EXP(-('03_Lap_Theta'!$AC919-'03_Lap_b'!$B$45:$AW$45))))))</f>
        <v/>
      </c>
      <c r="G919" s="5">
        <f>IF(F919&lt;=0.000000001,"",1/SQRT(F919))</f>
        <v/>
      </c>
      <c r="H919">
        <f>IF(OR(C919=0,C919=D919),"BIÊN","")</f>
        <v/>
      </c>
    </row>
    <row r="920">
      <c r="A920" t="n">
        <v>919</v>
      </c>
      <c r="B920">
        <f>'01_Data'!A920</f>
        <v/>
      </c>
      <c r="C920">
        <f>'03_Lap_Theta'!C920</f>
        <v/>
      </c>
      <c r="D920">
        <f>'03_Lap_Theta'!D920</f>
        <v/>
      </c>
      <c r="E920" s="5">
        <f>'03_Lap_Theta'!$AC920</f>
        <v/>
      </c>
      <c r="F920" s="5">
        <f>SUMPRODUCT(('01_Data'!$B920:$AW920&lt;&gt;"")*(1/(1+EXP(-('03_Lap_Theta'!$AC920-'03_Lap_b'!$B$45:$AW$45))))*(1-(1/(1+EXP(-('03_Lap_Theta'!$AC920-'03_Lap_b'!$B$45:$AW$45))))))</f>
        <v/>
      </c>
      <c r="G920" s="5">
        <f>IF(F920&lt;=0.000000001,"",1/SQRT(F920))</f>
        <v/>
      </c>
      <c r="H920">
        <f>IF(OR(C920=0,C920=D920),"BIÊN","")</f>
        <v/>
      </c>
    </row>
    <row r="921">
      <c r="A921" t="n">
        <v>920</v>
      </c>
      <c r="B921">
        <f>'01_Data'!A921</f>
        <v/>
      </c>
      <c r="C921">
        <f>'03_Lap_Theta'!C921</f>
        <v/>
      </c>
      <c r="D921">
        <f>'03_Lap_Theta'!D921</f>
        <v/>
      </c>
      <c r="E921" s="5">
        <f>'03_Lap_Theta'!$AC921</f>
        <v/>
      </c>
      <c r="F921" s="5">
        <f>SUMPRODUCT(('01_Data'!$B921:$AW921&lt;&gt;"")*(1/(1+EXP(-('03_Lap_Theta'!$AC921-'03_Lap_b'!$B$45:$AW$45))))*(1-(1/(1+EXP(-('03_Lap_Theta'!$AC921-'03_Lap_b'!$B$45:$AW$45))))))</f>
        <v/>
      </c>
      <c r="G921" s="5">
        <f>IF(F921&lt;=0.000000001,"",1/SQRT(F921))</f>
        <v/>
      </c>
      <c r="H921">
        <f>IF(OR(C921=0,C921=D921),"BIÊN","")</f>
        <v/>
      </c>
    </row>
    <row r="922">
      <c r="A922" t="n">
        <v>921</v>
      </c>
      <c r="B922">
        <f>'01_Data'!A922</f>
        <v/>
      </c>
      <c r="C922">
        <f>'03_Lap_Theta'!C922</f>
        <v/>
      </c>
      <c r="D922">
        <f>'03_Lap_Theta'!D922</f>
        <v/>
      </c>
      <c r="E922" s="5">
        <f>'03_Lap_Theta'!$AC922</f>
        <v/>
      </c>
      <c r="F922" s="5">
        <f>SUMPRODUCT(('01_Data'!$B922:$AW922&lt;&gt;"")*(1/(1+EXP(-('03_Lap_Theta'!$AC922-'03_Lap_b'!$B$45:$AW$45))))*(1-(1/(1+EXP(-('03_Lap_Theta'!$AC922-'03_Lap_b'!$B$45:$AW$45))))))</f>
        <v/>
      </c>
      <c r="G922" s="5">
        <f>IF(F922&lt;=0.000000001,"",1/SQRT(F922))</f>
        <v/>
      </c>
      <c r="H922">
        <f>IF(OR(C922=0,C922=D922),"BIÊN","")</f>
        <v/>
      </c>
    </row>
    <row r="923">
      <c r="A923" t="n">
        <v>922</v>
      </c>
      <c r="B923">
        <f>'01_Data'!A923</f>
        <v/>
      </c>
      <c r="C923">
        <f>'03_Lap_Theta'!C923</f>
        <v/>
      </c>
      <c r="D923">
        <f>'03_Lap_Theta'!D923</f>
        <v/>
      </c>
      <c r="E923" s="5">
        <f>'03_Lap_Theta'!$AC923</f>
        <v/>
      </c>
      <c r="F923" s="5">
        <f>SUMPRODUCT(('01_Data'!$B923:$AW923&lt;&gt;"")*(1/(1+EXP(-('03_Lap_Theta'!$AC923-'03_Lap_b'!$B$45:$AW$45))))*(1-(1/(1+EXP(-('03_Lap_Theta'!$AC923-'03_Lap_b'!$B$45:$AW$45))))))</f>
        <v/>
      </c>
      <c r="G923" s="5">
        <f>IF(F923&lt;=0.000000001,"",1/SQRT(F923))</f>
        <v/>
      </c>
      <c r="H923">
        <f>IF(OR(C923=0,C923=D923),"BIÊN","")</f>
        <v/>
      </c>
    </row>
    <row r="924">
      <c r="A924" t="n">
        <v>923</v>
      </c>
      <c r="B924">
        <f>'01_Data'!A924</f>
        <v/>
      </c>
      <c r="C924">
        <f>'03_Lap_Theta'!C924</f>
        <v/>
      </c>
      <c r="D924">
        <f>'03_Lap_Theta'!D924</f>
        <v/>
      </c>
      <c r="E924" s="5">
        <f>'03_Lap_Theta'!$AC924</f>
        <v/>
      </c>
      <c r="F924" s="5">
        <f>SUMPRODUCT(('01_Data'!$B924:$AW924&lt;&gt;"")*(1/(1+EXP(-('03_Lap_Theta'!$AC924-'03_Lap_b'!$B$45:$AW$45))))*(1-(1/(1+EXP(-('03_Lap_Theta'!$AC924-'03_Lap_b'!$B$45:$AW$45))))))</f>
        <v/>
      </c>
      <c r="G924" s="5">
        <f>IF(F924&lt;=0.000000001,"",1/SQRT(F924))</f>
        <v/>
      </c>
      <c r="H924">
        <f>IF(OR(C924=0,C924=D924),"BIÊN","")</f>
        <v/>
      </c>
    </row>
    <row r="925">
      <c r="A925" t="n">
        <v>924</v>
      </c>
      <c r="B925">
        <f>'01_Data'!A925</f>
        <v/>
      </c>
      <c r="C925">
        <f>'03_Lap_Theta'!C925</f>
        <v/>
      </c>
      <c r="D925">
        <f>'03_Lap_Theta'!D925</f>
        <v/>
      </c>
      <c r="E925" s="5">
        <f>'03_Lap_Theta'!$AC925</f>
        <v/>
      </c>
      <c r="F925" s="5">
        <f>SUMPRODUCT(('01_Data'!$B925:$AW925&lt;&gt;"")*(1/(1+EXP(-('03_Lap_Theta'!$AC925-'03_Lap_b'!$B$45:$AW$45))))*(1-(1/(1+EXP(-('03_Lap_Theta'!$AC925-'03_Lap_b'!$B$45:$AW$45))))))</f>
        <v/>
      </c>
      <c r="G925" s="5">
        <f>IF(F925&lt;=0.000000001,"",1/SQRT(F925))</f>
        <v/>
      </c>
      <c r="H925">
        <f>IF(OR(C925=0,C925=D925),"BIÊN","")</f>
        <v/>
      </c>
    </row>
    <row r="926">
      <c r="A926" t="n">
        <v>925</v>
      </c>
      <c r="B926">
        <f>'01_Data'!A926</f>
        <v/>
      </c>
      <c r="C926">
        <f>'03_Lap_Theta'!C926</f>
        <v/>
      </c>
      <c r="D926">
        <f>'03_Lap_Theta'!D926</f>
        <v/>
      </c>
      <c r="E926" s="5">
        <f>'03_Lap_Theta'!$AC926</f>
        <v/>
      </c>
      <c r="F926" s="5">
        <f>SUMPRODUCT(('01_Data'!$B926:$AW926&lt;&gt;"")*(1/(1+EXP(-('03_Lap_Theta'!$AC926-'03_Lap_b'!$B$45:$AW$45))))*(1-(1/(1+EXP(-('03_Lap_Theta'!$AC926-'03_Lap_b'!$B$45:$AW$45))))))</f>
        <v/>
      </c>
      <c r="G926" s="5">
        <f>IF(F926&lt;=0.000000001,"",1/SQRT(F926))</f>
        <v/>
      </c>
      <c r="H926">
        <f>IF(OR(C926=0,C926=D926),"BIÊN","")</f>
        <v/>
      </c>
    </row>
    <row r="927">
      <c r="A927" t="n">
        <v>926</v>
      </c>
      <c r="B927">
        <f>'01_Data'!A927</f>
        <v/>
      </c>
      <c r="C927">
        <f>'03_Lap_Theta'!C927</f>
        <v/>
      </c>
      <c r="D927">
        <f>'03_Lap_Theta'!D927</f>
        <v/>
      </c>
      <c r="E927" s="5">
        <f>'03_Lap_Theta'!$AC927</f>
        <v/>
      </c>
      <c r="F927" s="5">
        <f>SUMPRODUCT(('01_Data'!$B927:$AW927&lt;&gt;"")*(1/(1+EXP(-('03_Lap_Theta'!$AC927-'03_Lap_b'!$B$45:$AW$45))))*(1-(1/(1+EXP(-('03_Lap_Theta'!$AC927-'03_Lap_b'!$B$45:$AW$45))))))</f>
        <v/>
      </c>
      <c r="G927" s="5">
        <f>IF(F927&lt;=0.000000001,"",1/SQRT(F927))</f>
        <v/>
      </c>
      <c r="H927">
        <f>IF(OR(C927=0,C927=D927),"BIÊN","")</f>
        <v/>
      </c>
    </row>
    <row r="928">
      <c r="A928" t="n">
        <v>927</v>
      </c>
      <c r="B928">
        <f>'01_Data'!A928</f>
        <v/>
      </c>
      <c r="C928">
        <f>'03_Lap_Theta'!C928</f>
        <v/>
      </c>
      <c r="D928">
        <f>'03_Lap_Theta'!D928</f>
        <v/>
      </c>
      <c r="E928" s="5">
        <f>'03_Lap_Theta'!$AC928</f>
        <v/>
      </c>
      <c r="F928" s="5">
        <f>SUMPRODUCT(('01_Data'!$B928:$AW928&lt;&gt;"")*(1/(1+EXP(-('03_Lap_Theta'!$AC928-'03_Lap_b'!$B$45:$AW$45))))*(1-(1/(1+EXP(-('03_Lap_Theta'!$AC928-'03_Lap_b'!$B$45:$AW$45))))))</f>
        <v/>
      </c>
      <c r="G928" s="5">
        <f>IF(F928&lt;=0.000000001,"",1/SQRT(F928))</f>
        <v/>
      </c>
      <c r="H928">
        <f>IF(OR(C928=0,C928=D928),"BIÊN","")</f>
        <v/>
      </c>
    </row>
    <row r="929">
      <c r="A929" t="n">
        <v>928</v>
      </c>
      <c r="B929">
        <f>'01_Data'!A929</f>
        <v/>
      </c>
      <c r="C929">
        <f>'03_Lap_Theta'!C929</f>
        <v/>
      </c>
      <c r="D929">
        <f>'03_Lap_Theta'!D929</f>
        <v/>
      </c>
      <c r="E929" s="5">
        <f>'03_Lap_Theta'!$AC929</f>
        <v/>
      </c>
      <c r="F929" s="5">
        <f>SUMPRODUCT(('01_Data'!$B929:$AW929&lt;&gt;"")*(1/(1+EXP(-('03_Lap_Theta'!$AC929-'03_Lap_b'!$B$45:$AW$45))))*(1-(1/(1+EXP(-('03_Lap_Theta'!$AC929-'03_Lap_b'!$B$45:$AW$45))))))</f>
        <v/>
      </c>
      <c r="G929" s="5">
        <f>IF(F929&lt;=0.000000001,"",1/SQRT(F929))</f>
        <v/>
      </c>
      <c r="H929">
        <f>IF(OR(C929=0,C929=D929),"BIÊN","")</f>
        <v/>
      </c>
    </row>
    <row r="930">
      <c r="A930" t="n">
        <v>929</v>
      </c>
      <c r="B930">
        <f>'01_Data'!A930</f>
        <v/>
      </c>
      <c r="C930">
        <f>'03_Lap_Theta'!C930</f>
        <v/>
      </c>
      <c r="D930">
        <f>'03_Lap_Theta'!D930</f>
        <v/>
      </c>
      <c r="E930" s="5">
        <f>'03_Lap_Theta'!$AC930</f>
        <v/>
      </c>
      <c r="F930" s="5">
        <f>SUMPRODUCT(('01_Data'!$B930:$AW930&lt;&gt;"")*(1/(1+EXP(-('03_Lap_Theta'!$AC930-'03_Lap_b'!$B$45:$AW$45))))*(1-(1/(1+EXP(-('03_Lap_Theta'!$AC930-'03_Lap_b'!$B$45:$AW$45))))))</f>
        <v/>
      </c>
      <c r="G930" s="5">
        <f>IF(F930&lt;=0.000000001,"",1/SQRT(F930))</f>
        <v/>
      </c>
      <c r="H930">
        <f>IF(OR(C930=0,C930=D930),"BIÊN","")</f>
        <v/>
      </c>
    </row>
    <row r="931">
      <c r="A931" t="n">
        <v>930</v>
      </c>
      <c r="B931">
        <f>'01_Data'!A931</f>
        <v/>
      </c>
      <c r="C931">
        <f>'03_Lap_Theta'!C931</f>
        <v/>
      </c>
      <c r="D931">
        <f>'03_Lap_Theta'!D931</f>
        <v/>
      </c>
      <c r="E931" s="5">
        <f>'03_Lap_Theta'!$AC931</f>
        <v/>
      </c>
      <c r="F931" s="5">
        <f>SUMPRODUCT(('01_Data'!$B931:$AW931&lt;&gt;"")*(1/(1+EXP(-('03_Lap_Theta'!$AC931-'03_Lap_b'!$B$45:$AW$45))))*(1-(1/(1+EXP(-('03_Lap_Theta'!$AC931-'03_Lap_b'!$B$45:$AW$45))))))</f>
        <v/>
      </c>
      <c r="G931" s="5">
        <f>IF(F931&lt;=0.000000001,"",1/SQRT(F931))</f>
        <v/>
      </c>
      <c r="H931">
        <f>IF(OR(C931=0,C931=D931),"BIÊN","")</f>
        <v/>
      </c>
    </row>
    <row r="932">
      <c r="A932" t="n">
        <v>931</v>
      </c>
      <c r="B932">
        <f>'01_Data'!A932</f>
        <v/>
      </c>
      <c r="C932">
        <f>'03_Lap_Theta'!C932</f>
        <v/>
      </c>
      <c r="D932">
        <f>'03_Lap_Theta'!D932</f>
        <v/>
      </c>
      <c r="E932" s="5">
        <f>'03_Lap_Theta'!$AC932</f>
        <v/>
      </c>
      <c r="F932" s="5">
        <f>SUMPRODUCT(('01_Data'!$B932:$AW932&lt;&gt;"")*(1/(1+EXP(-('03_Lap_Theta'!$AC932-'03_Lap_b'!$B$45:$AW$45))))*(1-(1/(1+EXP(-('03_Lap_Theta'!$AC932-'03_Lap_b'!$B$45:$AW$45))))))</f>
        <v/>
      </c>
      <c r="G932" s="5">
        <f>IF(F932&lt;=0.000000001,"",1/SQRT(F932))</f>
        <v/>
      </c>
      <c r="H932">
        <f>IF(OR(C932=0,C932=D932),"BIÊN","")</f>
        <v/>
      </c>
    </row>
    <row r="933">
      <c r="A933" t="n">
        <v>932</v>
      </c>
      <c r="B933">
        <f>'01_Data'!A933</f>
        <v/>
      </c>
      <c r="C933">
        <f>'03_Lap_Theta'!C933</f>
        <v/>
      </c>
      <c r="D933">
        <f>'03_Lap_Theta'!D933</f>
        <v/>
      </c>
      <c r="E933" s="5">
        <f>'03_Lap_Theta'!$AC933</f>
        <v/>
      </c>
      <c r="F933" s="5">
        <f>SUMPRODUCT(('01_Data'!$B933:$AW933&lt;&gt;"")*(1/(1+EXP(-('03_Lap_Theta'!$AC933-'03_Lap_b'!$B$45:$AW$45))))*(1-(1/(1+EXP(-('03_Lap_Theta'!$AC933-'03_Lap_b'!$B$45:$AW$45))))))</f>
        <v/>
      </c>
      <c r="G933" s="5">
        <f>IF(F933&lt;=0.000000001,"",1/SQRT(F933))</f>
        <v/>
      </c>
      <c r="H933">
        <f>IF(OR(C933=0,C933=D933),"BIÊN","")</f>
        <v/>
      </c>
    </row>
    <row r="934">
      <c r="A934" t="n">
        <v>933</v>
      </c>
      <c r="B934">
        <f>'01_Data'!A934</f>
        <v/>
      </c>
      <c r="C934">
        <f>'03_Lap_Theta'!C934</f>
        <v/>
      </c>
      <c r="D934">
        <f>'03_Lap_Theta'!D934</f>
        <v/>
      </c>
      <c r="E934" s="5">
        <f>'03_Lap_Theta'!$AC934</f>
        <v/>
      </c>
      <c r="F934" s="5">
        <f>SUMPRODUCT(('01_Data'!$B934:$AW934&lt;&gt;"")*(1/(1+EXP(-('03_Lap_Theta'!$AC934-'03_Lap_b'!$B$45:$AW$45))))*(1-(1/(1+EXP(-('03_Lap_Theta'!$AC934-'03_Lap_b'!$B$45:$AW$45))))))</f>
        <v/>
      </c>
      <c r="G934" s="5">
        <f>IF(F934&lt;=0.000000001,"",1/SQRT(F934))</f>
        <v/>
      </c>
      <c r="H934">
        <f>IF(OR(C934=0,C934=D934),"BIÊN","")</f>
        <v/>
      </c>
    </row>
    <row r="935">
      <c r="A935" t="n">
        <v>934</v>
      </c>
      <c r="B935">
        <f>'01_Data'!A935</f>
        <v/>
      </c>
      <c r="C935">
        <f>'03_Lap_Theta'!C935</f>
        <v/>
      </c>
      <c r="D935">
        <f>'03_Lap_Theta'!D935</f>
        <v/>
      </c>
      <c r="E935" s="5">
        <f>'03_Lap_Theta'!$AC935</f>
        <v/>
      </c>
      <c r="F935" s="5">
        <f>SUMPRODUCT(('01_Data'!$B935:$AW935&lt;&gt;"")*(1/(1+EXP(-('03_Lap_Theta'!$AC935-'03_Lap_b'!$B$45:$AW$45))))*(1-(1/(1+EXP(-('03_Lap_Theta'!$AC935-'03_Lap_b'!$B$45:$AW$45))))))</f>
        <v/>
      </c>
      <c r="G935" s="5">
        <f>IF(F935&lt;=0.000000001,"",1/SQRT(F935))</f>
        <v/>
      </c>
      <c r="H935">
        <f>IF(OR(C935=0,C935=D935),"BIÊN","")</f>
        <v/>
      </c>
    </row>
    <row r="936">
      <c r="A936" t="n">
        <v>935</v>
      </c>
      <c r="B936">
        <f>'01_Data'!A936</f>
        <v/>
      </c>
      <c r="C936">
        <f>'03_Lap_Theta'!C936</f>
        <v/>
      </c>
      <c r="D936">
        <f>'03_Lap_Theta'!D936</f>
        <v/>
      </c>
      <c r="E936" s="5">
        <f>'03_Lap_Theta'!$AC936</f>
        <v/>
      </c>
      <c r="F936" s="5">
        <f>SUMPRODUCT(('01_Data'!$B936:$AW936&lt;&gt;"")*(1/(1+EXP(-('03_Lap_Theta'!$AC936-'03_Lap_b'!$B$45:$AW$45))))*(1-(1/(1+EXP(-('03_Lap_Theta'!$AC936-'03_Lap_b'!$B$45:$AW$45))))))</f>
        <v/>
      </c>
      <c r="G936" s="5">
        <f>IF(F936&lt;=0.000000001,"",1/SQRT(F936))</f>
        <v/>
      </c>
      <c r="H936">
        <f>IF(OR(C936=0,C936=D936),"BIÊN","")</f>
        <v/>
      </c>
    </row>
    <row r="937">
      <c r="A937" t="n">
        <v>936</v>
      </c>
      <c r="B937">
        <f>'01_Data'!A937</f>
        <v/>
      </c>
      <c r="C937">
        <f>'03_Lap_Theta'!C937</f>
        <v/>
      </c>
      <c r="D937">
        <f>'03_Lap_Theta'!D937</f>
        <v/>
      </c>
      <c r="E937" s="5">
        <f>'03_Lap_Theta'!$AC937</f>
        <v/>
      </c>
      <c r="F937" s="5">
        <f>SUMPRODUCT(('01_Data'!$B937:$AW937&lt;&gt;"")*(1/(1+EXP(-('03_Lap_Theta'!$AC937-'03_Lap_b'!$B$45:$AW$45))))*(1-(1/(1+EXP(-('03_Lap_Theta'!$AC937-'03_Lap_b'!$B$45:$AW$45))))))</f>
        <v/>
      </c>
      <c r="G937" s="5">
        <f>IF(F937&lt;=0.000000001,"",1/SQRT(F937))</f>
        <v/>
      </c>
      <c r="H937">
        <f>IF(OR(C937=0,C937=D937),"BIÊN","")</f>
        <v/>
      </c>
    </row>
    <row r="938">
      <c r="A938" t="n">
        <v>937</v>
      </c>
      <c r="B938">
        <f>'01_Data'!A938</f>
        <v/>
      </c>
      <c r="C938">
        <f>'03_Lap_Theta'!C938</f>
        <v/>
      </c>
      <c r="D938">
        <f>'03_Lap_Theta'!D938</f>
        <v/>
      </c>
      <c r="E938" s="5">
        <f>'03_Lap_Theta'!$AC938</f>
        <v/>
      </c>
      <c r="F938" s="5">
        <f>SUMPRODUCT(('01_Data'!$B938:$AW938&lt;&gt;"")*(1/(1+EXP(-('03_Lap_Theta'!$AC938-'03_Lap_b'!$B$45:$AW$45))))*(1-(1/(1+EXP(-('03_Lap_Theta'!$AC938-'03_Lap_b'!$B$45:$AW$45))))))</f>
        <v/>
      </c>
      <c r="G938" s="5">
        <f>IF(F938&lt;=0.000000001,"",1/SQRT(F938))</f>
        <v/>
      </c>
      <c r="H938">
        <f>IF(OR(C938=0,C938=D938),"BIÊN","")</f>
        <v/>
      </c>
    </row>
    <row r="939">
      <c r="A939" t="n">
        <v>938</v>
      </c>
      <c r="B939">
        <f>'01_Data'!A939</f>
        <v/>
      </c>
      <c r="C939">
        <f>'03_Lap_Theta'!C939</f>
        <v/>
      </c>
      <c r="D939">
        <f>'03_Lap_Theta'!D939</f>
        <v/>
      </c>
      <c r="E939" s="5">
        <f>'03_Lap_Theta'!$AC939</f>
        <v/>
      </c>
      <c r="F939" s="5">
        <f>SUMPRODUCT(('01_Data'!$B939:$AW939&lt;&gt;"")*(1/(1+EXP(-('03_Lap_Theta'!$AC939-'03_Lap_b'!$B$45:$AW$45))))*(1-(1/(1+EXP(-('03_Lap_Theta'!$AC939-'03_Lap_b'!$B$45:$AW$45))))))</f>
        <v/>
      </c>
      <c r="G939" s="5">
        <f>IF(F939&lt;=0.000000001,"",1/SQRT(F939))</f>
        <v/>
      </c>
      <c r="H939">
        <f>IF(OR(C939=0,C939=D939),"BIÊN","")</f>
        <v/>
      </c>
    </row>
    <row r="940">
      <c r="A940" t="n">
        <v>939</v>
      </c>
      <c r="B940">
        <f>'01_Data'!A940</f>
        <v/>
      </c>
      <c r="C940">
        <f>'03_Lap_Theta'!C940</f>
        <v/>
      </c>
      <c r="D940">
        <f>'03_Lap_Theta'!D940</f>
        <v/>
      </c>
      <c r="E940" s="5">
        <f>'03_Lap_Theta'!$AC940</f>
        <v/>
      </c>
      <c r="F940" s="5">
        <f>SUMPRODUCT(('01_Data'!$B940:$AW940&lt;&gt;"")*(1/(1+EXP(-('03_Lap_Theta'!$AC940-'03_Lap_b'!$B$45:$AW$45))))*(1-(1/(1+EXP(-('03_Lap_Theta'!$AC940-'03_Lap_b'!$B$45:$AW$45))))))</f>
        <v/>
      </c>
      <c r="G940" s="5">
        <f>IF(F940&lt;=0.000000001,"",1/SQRT(F940))</f>
        <v/>
      </c>
      <c r="H940">
        <f>IF(OR(C940=0,C940=D940),"BIÊN","")</f>
        <v/>
      </c>
    </row>
    <row r="941">
      <c r="A941" t="n">
        <v>940</v>
      </c>
      <c r="B941">
        <f>'01_Data'!A941</f>
        <v/>
      </c>
      <c r="C941">
        <f>'03_Lap_Theta'!C941</f>
        <v/>
      </c>
      <c r="D941">
        <f>'03_Lap_Theta'!D941</f>
        <v/>
      </c>
      <c r="E941" s="5">
        <f>'03_Lap_Theta'!$AC941</f>
        <v/>
      </c>
      <c r="F941" s="5">
        <f>SUMPRODUCT(('01_Data'!$B941:$AW941&lt;&gt;"")*(1/(1+EXP(-('03_Lap_Theta'!$AC941-'03_Lap_b'!$B$45:$AW$45))))*(1-(1/(1+EXP(-('03_Lap_Theta'!$AC941-'03_Lap_b'!$B$45:$AW$45))))))</f>
        <v/>
      </c>
      <c r="G941" s="5">
        <f>IF(F941&lt;=0.000000001,"",1/SQRT(F941))</f>
        <v/>
      </c>
      <c r="H941">
        <f>IF(OR(C941=0,C941=D941),"BIÊN","")</f>
        <v/>
      </c>
    </row>
    <row r="942">
      <c r="A942" t="n">
        <v>941</v>
      </c>
      <c r="B942">
        <f>'01_Data'!A942</f>
        <v/>
      </c>
      <c r="C942">
        <f>'03_Lap_Theta'!C942</f>
        <v/>
      </c>
      <c r="D942">
        <f>'03_Lap_Theta'!D942</f>
        <v/>
      </c>
      <c r="E942" s="5">
        <f>'03_Lap_Theta'!$AC942</f>
        <v/>
      </c>
      <c r="F942" s="5">
        <f>SUMPRODUCT(('01_Data'!$B942:$AW942&lt;&gt;"")*(1/(1+EXP(-('03_Lap_Theta'!$AC942-'03_Lap_b'!$B$45:$AW$45))))*(1-(1/(1+EXP(-('03_Lap_Theta'!$AC942-'03_Lap_b'!$B$45:$AW$45))))))</f>
        <v/>
      </c>
      <c r="G942" s="5">
        <f>IF(F942&lt;=0.000000001,"",1/SQRT(F942))</f>
        <v/>
      </c>
      <c r="H942">
        <f>IF(OR(C942=0,C942=D942),"BIÊN","")</f>
        <v/>
      </c>
    </row>
    <row r="943">
      <c r="A943" t="n">
        <v>942</v>
      </c>
      <c r="B943">
        <f>'01_Data'!A943</f>
        <v/>
      </c>
      <c r="C943">
        <f>'03_Lap_Theta'!C943</f>
        <v/>
      </c>
      <c r="D943">
        <f>'03_Lap_Theta'!D943</f>
        <v/>
      </c>
      <c r="E943" s="5">
        <f>'03_Lap_Theta'!$AC943</f>
        <v/>
      </c>
      <c r="F943" s="5">
        <f>SUMPRODUCT(('01_Data'!$B943:$AW943&lt;&gt;"")*(1/(1+EXP(-('03_Lap_Theta'!$AC943-'03_Lap_b'!$B$45:$AW$45))))*(1-(1/(1+EXP(-('03_Lap_Theta'!$AC943-'03_Lap_b'!$B$45:$AW$45))))))</f>
        <v/>
      </c>
      <c r="G943" s="5">
        <f>IF(F943&lt;=0.000000001,"",1/SQRT(F943))</f>
        <v/>
      </c>
      <c r="H943">
        <f>IF(OR(C943=0,C943=D943),"BIÊN","")</f>
        <v/>
      </c>
    </row>
    <row r="944">
      <c r="A944" t="n">
        <v>943</v>
      </c>
      <c r="B944">
        <f>'01_Data'!A944</f>
        <v/>
      </c>
      <c r="C944">
        <f>'03_Lap_Theta'!C944</f>
        <v/>
      </c>
      <c r="D944">
        <f>'03_Lap_Theta'!D944</f>
        <v/>
      </c>
      <c r="E944" s="5">
        <f>'03_Lap_Theta'!$AC944</f>
        <v/>
      </c>
      <c r="F944" s="5">
        <f>SUMPRODUCT(('01_Data'!$B944:$AW944&lt;&gt;"")*(1/(1+EXP(-('03_Lap_Theta'!$AC944-'03_Lap_b'!$B$45:$AW$45))))*(1-(1/(1+EXP(-('03_Lap_Theta'!$AC944-'03_Lap_b'!$B$45:$AW$45))))))</f>
        <v/>
      </c>
      <c r="G944" s="5">
        <f>IF(F944&lt;=0.000000001,"",1/SQRT(F944))</f>
        <v/>
      </c>
      <c r="H944">
        <f>IF(OR(C944=0,C944=D944),"BIÊN","")</f>
        <v/>
      </c>
    </row>
    <row r="945">
      <c r="A945" t="n">
        <v>944</v>
      </c>
      <c r="B945">
        <f>'01_Data'!A945</f>
        <v/>
      </c>
      <c r="C945">
        <f>'03_Lap_Theta'!C945</f>
        <v/>
      </c>
      <c r="D945">
        <f>'03_Lap_Theta'!D945</f>
        <v/>
      </c>
      <c r="E945" s="5">
        <f>'03_Lap_Theta'!$AC945</f>
        <v/>
      </c>
      <c r="F945" s="5">
        <f>SUMPRODUCT(('01_Data'!$B945:$AW945&lt;&gt;"")*(1/(1+EXP(-('03_Lap_Theta'!$AC945-'03_Lap_b'!$B$45:$AW$45))))*(1-(1/(1+EXP(-('03_Lap_Theta'!$AC945-'03_Lap_b'!$B$45:$AW$45))))))</f>
        <v/>
      </c>
      <c r="G945" s="5">
        <f>IF(F945&lt;=0.000000001,"",1/SQRT(F945))</f>
        <v/>
      </c>
      <c r="H945">
        <f>IF(OR(C945=0,C945=D945),"BIÊN","")</f>
        <v/>
      </c>
    </row>
    <row r="946">
      <c r="A946" t="n">
        <v>945</v>
      </c>
      <c r="B946">
        <f>'01_Data'!A946</f>
        <v/>
      </c>
      <c r="C946">
        <f>'03_Lap_Theta'!C946</f>
        <v/>
      </c>
      <c r="D946">
        <f>'03_Lap_Theta'!D946</f>
        <v/>
      </c>
      <c r="E946" s="5">
        <f>'03_Lap_Theta'!$AC946</f>
        <v/>
      </c>
      <c r="F946" s="5">
        <f>SUMPRODUCT(('01_Data'!$B946:$AW946&lt;&gt;"")*(1/(1+EXP(-('03_Lap_Theta'!$AC946-'03_Lap_b'!$B$45:$AW$45))))*(1-(1/(1+EXP(-('03_Lap_Theta'!$AC946-'03_Lap_b'!$B$45:$AW$45))))))</f>
        <v/>
      </c>
      <c r="G946" s="5">
        <f>IF(F946&lt;=0.000000001,"",1/SQRT(F946))</f>
        <v/>
      </c>
      <c r="H946">
        <f>IF(OR(C946=0,C946=D946),"BIÊN","")</f>
        <v/>
      </c>
    </row>
    <row r="947">
      <c r="A947" t="n">
        <v>946</v>
      </c>
      <c r="B947">
        <f>'01_Data'!A947</f>
        <v/>
      </c>
      <c r="C947">
        <f>'03_Lap_Theta'!C947</f>
        <v/>
      </c>
      <c r="D947">
        <f>'03_Lap_Theta'!D947</f>
        <v/>
      </c>
      <c r="E947" s="5">
        <f>'03_Lap_Theta'!$AC947</f>
        <v/>
      </c>
      <c r="F947" s="5">
        <f>SUMPRODUCT(('01_Data'!$B947:$AW947&lt;&gt;"")*(1/(1+EXP(-('03_Lap_Theta'!$AC947-'03_Lap_b'!$B$45:$AW$45))))*(1-(1/(1+EXP(-('03_Lap_Theta'!$AC947-'03_Lap_b'!$B$45:$AW$45))))))</f>
        <v/>
      </c>
      <c r="G947" s="5">
        <f>IF(F947&lt;=0.000000001,"",1/SQRT(F947))</f>
        <v/>
      </c>
      <c r="H947">
        <f>IF(OR(C947=0,C947=D947),"BIÊN","")</f>
        <v/>
      </c>
    </row>
    <row r="948">
      <c r="A948" t="n">
        <v>947</v>
      </c>
      <c r="B948">
        <f>'01_Data'!A948</f>
        <v/>
      </c>
      <c r="C948">
        <f>'03_Lap_Theta'!C948</f>
        <v/>
      </c>
      <c r="D948">
        <f>'03_Lap_Theta'!D948</f>
        <v/>
      </c>
      <c r="E948" s="5">
        <f>'03_Lap_Theta'!$AC948</f>
        <v/>
      </c>
      <c r="F948" s="5">
        <f>SUMPRODUCT(('01_Data'!$B948:$AW948&lt;&gt;"")*(1/(1+EXP(-('03_Lap_Theta'!$AC948-'03_Lap_b'!$B$45:$AW$45))))*(1-(1/(1+EXP(-('03_Lap_Theta'!$AC948-'03_Lap_b'!$B$45:$AW$45))))))</f>
        <v/>
      </c>
      <c r="G948" s="5">
        <f>IF(F948&lt;=0.000000001,"",1/SQRT(F948))</f>
        <v/>
      </c>
      <c r="H948">
        <f>IF(OR(C948=0,C948=D948),"BIÊN","")</f>
        <v/>
      </c>
    </row>
    <row r="949">
      <c r="A949" t="n">
        <v>948</v>
      </c>
      <c r="B949">
        <f>'01_Data'!A949</f>
        <v/>
      </c>
      <c r="C949">
        <f>'03_Lap_Theta'!C949</f>
        <v/>
      </c>
      <c r="D949">
        <f>'03_Lap_Theta'!D949</f>
        <v/>
      </c>
      <c r="E949" s="5">
        <f>'03_Lap_Theta'!$AC949</f>
        <v/>
      </c>
      <c r="F949" s="5">
        <f>SUMPRODUCT(('01_Data'!$B949:$AW949&lt;&gt;"")*(1/(1+EXP(-('03_Lap_Theta'!$AC949-'03_Lap_b'!$B$45:$AW$45))))*(1-(1/(1+EXP(-('03_Lap_Theta'!$AC949-'03_Lap_b'!$B$45:$AW$45))))))</f>
        <v/>
      </c>
      <c r="G949" s="5">
        <f>IF(F949&lt;=0.000000001,"",1/SQRT(F949))</f>
        <v/>
      </c>
      <c r="H949">
        <f>IF(OR(C949=0,C949=D949),"BIÊN","")</f>
        <v/>
      </c>
    </row>
    <row r="950">
      <c r="A950" t="n">
        <v>949</v>
      </c>
      <c r="B950">
        <f>'01_Data'!A950</f>
        <v/>
      </c>
      <c r="C950">
        <f>'03_Lap_Theta'!C950</f>
        <v/>
      </c>
      <c r="D950">
        <f>'03_Lap_Theta'!D950</f>
        <v/>
      </c>
      <c r="E950" s="5">
        <f>'03_Lap_Theta'!$AC950</f>
        <v/>
      </c>
      <c r="F950" s="5">
        <f>SUMPRODUCT(('01_Data'!$B950:$AW950&lt;&gt;"")*(1/(1+EXP(-('03_Lap_Theta'!$AC950-'03_Lap_b'!$B$45:$AW$45))))*(1-(1/(1+EXP(-('03_Lap_Theta'!$AC950-'03_Lap_b'!$B$45:$AW$45))))))</f>
        <v/>
      </c>
      <c r="G950" s="5">
        <f>IF(F950&lt;=0.000000001,"",1/SQRT(F950))</f>
        <v/>
      </c>
      <c r="H950">
        <f>IF(OR(C950=0,C950=D950),"BIÊN","")</f>
        <v/>
      </c>
    </row>
    <row r="951">
      <c r="A951" t="n">
        <v>950</v>
      </c>
      <c r="B951">
        <f>'01_Data'!A951</f>
        <v/>
      </c>
      <c r="C951">
        <f>'03_Lap_Theta'!C951</f>
        <v/>
      </c>
      <c r="D951">
        <f>'03_Lap_Theta'!D951</f>
        <v/>
      </c>
      <c r="E951" s="5">
        <f>'03_Lap_Theta'!$AC951</f>
        <v/>
      </c>
      <c r="F951" s="5">
        <f>SUMPRODUCT(('01_Data'!$B951:$AW951&lt;&gt;"")*(1/(1+EXP(-('03_Lap_Theta'!$AC951-'03_Lap_b'!$B$45:$AW$45))))*(1-(1/(1+EXP(-('03_Lap_Theta'!$AC951-'03_Lap_b'!$B$45:$AW$45))))))</f>
        <v/>
      </c>
      <c r="G951" s="5">
        <f>IF(F951&lt;=0.000000001,"",1/SQRT(F951))</f>
        <v/>
      </c>
      <c r="H951">
        <f>IF(OR(C951=0,C951=D951),"BIÊN","")</f>
        <v/>
      </c>
    </row>
    <row r="952">
      <c r="A952" t="n">
        <v>951</v>
      </c>
      <c r="B952">
        <f>'01_Data'!A952</f>
        <v/>
      </c>
      <c r="C952">
        <f>'03_Lap_Theta'!C952</f>
        <v/>
      </c>
      <c r="D952">
        <f>'03_Lap_Theta'!D952</f>
        <v/>
      </c>
      <c r="E952" s="5">
        <f>'03_Lap_Theta'!$AC952</f>
        <v/>
      </c>
      <c r="F952" s="5">
        <f>SUMPRODUCT(('01_Data'!$B952:$AW952&lt;&gt;"")*(1/(1+EXP(-('03_Lap_Theta'!$AC952-'03_Lap_b'!$B$45:$AW$45))))*(1-(1/(1+EXP(-('03_Lap_Theta'!$AC952-'03_Lap_b'!$B$45:$AW$45))))))</f>
        <v/>
      </c>
      <c r="G952" s="5">
        <f>IF(F952&lt;=0.000000001,"",1/SQRT(F952))</f>
        <v/>
      </c>
      <c r="H952">
        <f>IF(OR(C952=0,C952=D952),"BIÊN","")</f>
        <v/>
      </c>
    </row>
    <row r="953">
      <c r="A953" t="n">
        <v>952</v>
      </c>
      <c r="B953">
        <f>'01_Data'!A953</f>
        <v/>
      </c>
      <c r="C953">
        <f>'03_Lap_Theta'!C953</f>
        <v/>
      </c>
      <c r="D953">
        <f>'03_Lap_Theta'!D953</f>
        <v/>
      </c>
      <c r="E953" s="5">
        <f>'03_Lap_Theta'!$AC953</f>
        <v/>
      </c>
      <c r="F953" s="5">
        <f>SUMPRODUCT(('01_Data'!$B953:$AW953&lt;&gt;"")*(1/(1+EXP(-('03_Lap_Theta'!$AC953-'03_Lap_b'!$B$45:$AW$45))))*(1-(1/(1+EXP(-('03_Lap_Theta'!$AC953-'03_Lap_b'!$B$45:$AW$45))))))</f>
        <v/>
      </c>
      <c r="G953" s="5">
        <f>IF(F953&lt;=0.000000001,"",1/SQRT(F953))</f>
        <v/>
      </c>
      <c r="H953">
        <f>IF(OR(C953=0,C953=D953),"BIÊN","")</f>
        <v/>
      </c>
    </row>
    <row r="954">
      <c r="A954" t="n">
        <v>953</v>
      </c>
      <c r="B954">
        <f>'01_Data'!A954</f>
        <v/>
      </c>
      <c r="C954">
        <f>'03_Lap_Theta'!C954</f>
        <v/>
      </c>
      <c r="D954">
        <f>'03_Lap_Theta'!D954</f>
        <v/>
      </c>
      <c r="E954" s="5">
        <f>'03_Lap_Theta'!$AC954</f>
        <v/>
      </c>
      <c r="F954" s="5">
        <f>SUMPRODUCT(('01_Data'!$B954:$AW954&lt;&gt;"")*(1/(1+EXP(-('03_Lap_Theta'!$AC954-'03_Lap_b'!$B$45:$AW$45))))*(1-(1/(1+EXP(-('03_Lap_Theta'!$AC954-'03_Lap_b'!$B$45:$AW$45))))))</f>
        <v/>
      </c>
      <c r="G954" s="5">
        <f>IF(F954&lt;=0.000000001,"",1/SQRT(F954))</f>
        <v/>
      </c>
      <c r="H954">
        <f>IF(OR(C954=0,C954=D954),"BIÊN","")</f>
        <v/>
      </c>
    </row>
    <row r="955">
      <c r="A955" t="n">
        <v>954</v>
      </c>
      <c r="B955">
        <f>'01_Data'!A955</f>
        <v/>
      </c>
      <c r="C955">
        <f>'03_Lap_Theta'!C955</f>
        <v/>
      </c>
      <c r="D955">
        <f>'03_Lap_Theta'!D955</f>
        <v/>
      </c>
      <c r="E955" s="5">
        <f>'03_Lap_Theta'!$AC955</f>
        <v/>
      </c>
      <c r="F955" s="5">
        <f>SUMPRODUCT(('01_Data'!$B955:$AW955&lt;&gt;"")*(1/(1+EXP(-('03_Lap_Theta'!$AC955-'03_Lap_b'!$B$45:$AW$45))))*(1-(1/(1+EXP(-('03_Lap_Theta'!$AC955-'03_Lap_b'!$B$45:$AW$45))))))</f>
        <v/>
      </c>
      <c r="G955" s="5">
        <f>IF(F955&lt;=0.000000001,"",1/SQRT(F955))</f>
        <v/>
      </c>
      <c r="H955">
        <f>IF(OR(C955=0,C955=D955),"BIÊN","")</f>
        <v/>
      </c>
    </row>
    <row r="956">
      <c r="A956" t="n">
        <v>955</v>
      </c>
      <c r="B956">
        <f>'01_Data'!A956</f>
        <v/>
      </c>
      <c r="C956">
        <f>'03_Lap_Theta'!C956</f>
        <v/>
      </c>
      <c r="D956">
        <f>'03_Lap_Theta'!D956</f>
        <v/>
      </c>
      <c r="E956" s="5">
        <f>'03_Lap_Theta'!$AC956</f>
        <v/>
      </c>
      <c r="F956" s="5">
        <f>SUMPRODUCT(('01_Data'!$B956:$AW956&lt;&gt;"")*(1/(1+EXP(-('03_Lap_Theta'!$AC956-'03_Lap_b'!$B$45:$AW$45))))*(1-(1/(1+EXP(-('03_Lap_Theta'!$AC956-'03_Lap_b'!$B$45:$AW$45))))))</f>
        <v/>
      </c>
      <c r="G956" s="5">
        <f>IF(F956&lt;=0.000000001,"",1/SQRT(F956))</f>
        <v/>
      </c>
      <c r="H956">
        <f>IF(OR(C956=0,C956=D956),"BIÊN","")</f>
        <v/>
      </c>
    </row>
    <row r="957">
      <c r="A957" t="n">
        <v>956</v>
      </c>
      <c r="B957">
        <f>'01_Data'!A957</f>
        <v/>
      </c>
      <c r="C957">
        <f>'03_Lap_Theta'!C957</f>
        <v/>
      </c>
      <c r="D957">
        <f>'03_Lap_Theta'!D957</f>
        <v/>
      </c>
      <c r="E957" s="5">
        <f>'03_Lap_Theta'!$AC957</f>
        <v/>
      </c>
      <c r="F957" s="5">
        <f>SUMPRODUCT(('01_Data'!$B957:$AW957&lt;&gt;"")*(1/(1+EXP(-('03_Lap_Theta'!$AC957-'03_Lap_b'!$B$45:$AW$45))))*(1-(1/(1+EXP(-('03_Lap_Theta'!$AC957-'03_Lap_b'!$B$45:$AW$45))))))</f>
        <v/>
      </c>
      <c r="G957" s="5">
        <f>IF(F957&lt;=0.000000001,"",1/SQRT(F957))</f>
        <v/>
      </c>
      <c r="H957">
        <f>IF(OR(C957=0,C957=D957),"BIÊN","")</f>
        <v/>
      </c>
    </row>
    <row r="958">
      <c r="A958" t="n">
        <v>957</v>
      </c>
      <c r="B958">
        <f>'01_Data'!A958</f>
        <v/>
      </c>
      <c r="C958">
        <f>'03_Lap_Theta'!C958</f>
        <v/>
      </c>
      <c r="D958">
        <f>'03_Lap_Theta'!D958</f>
        <v/>
      </c>
      <c r="E958" s="5">
        <f>'03_Lap_Theta'!$AC958</f>
        <v/>
      </c>
      <c r="F958" s="5">
        <f>SUMPRODUCT(('01_Data'!$B958:$AW958&lt;&gt;"")*(1/(1+EXP(-('03_Lap_Theta'!$AC958-'03_Lap_b'!$B$45:$AW$45))))*(1-(1/(1+EXP(-('03_Lap_Theta'!$AC958-'03_Lap_b'!$B$45:$AW$45))))))</f>
        <v/>
      </c>
      <c r="G958" s="5">
        <f>IF(F958&lt;=0.000000001,"",1/SQRT(F958))</f>
        <v/>
      </c>
      <c r="H958">
        <f>IF(OR(C958=0,C958=D958),"BIÊN","")</f>
        <v/>
      </c>
    </row>
    <row r="959">
      <c r="A959" t="n">
        <v>958</v>
      </c>
      <c r="B959">
        <f>'01_Data'!A959</f>
        <v/>
      </c>
      <c r="C959">
        <f>'03_Lap_Theta'!C959</f>
        <v/>
      </c>
      <c r="D959">
        <f>'03_Lap_Theta'!D959</f>
        <v/>
      </c>
      <c r="E959" s="5">
        <f>'03_Lap_Theta'!$AC959</f>
        <v/>
      </c>
      <c r="F959" s="5">
        <f>SUMPRODUCT(('01_Data'!$B959:$AW959&lt;&gt;"")*(1/(1+EXP(-('03_Lap_Theta'!$AC959-'03_Lap_b'!$B$45:$AW$45))))*(1-(1/(1+EXP(-('03_Lap_Theta'!$AC959-'03_Lap_b'!$B$45:$AW$45))))))</f>
        <v/>
      </c>
      <c r="G959" s="5">
        <f>IF(F959&lt;=0.000000001,"",1/SQRT(F959))</f>
        <v/>
      </c>
      <c r="H959">
        <f>IF(OR(C959=0,C959=D959),"BIÊN","")</f>
        <v/>
      </c>
    </row>
    <row r="960">
      <c r="A960" t="n">
        <v>959</v>
      </c>
      <c r="B960">
        <f>'01_Data'!A960</f>
        <v/>
      </c>
      <c r="C960">
        <f>'03_Lap_Theta'!C960</f>
        <v/>
      </c>
      <c r="D960">
        <f>'03_Lap_Theta'!D960</f>
        <v/>
      </c>
      <c r="E960" s="5">
        <f>'03_Lap_Theta'!$AC960</f>
        <v/>
      </c>
      <c r="F960" s="5">
        <f>SUMPRODUCT(('01_Data'!$B960:$AW960&lt;&gt;"")*(1/(1+EXP(-('03_Lap_Theta'!$AC960-'03_Lap_b'!$B$45:$AW$45))))*(1-(1/(1+EXP(-('03_Lap_Theta'!$AC960-'03_Lap_b'!$B$45:$AW$45))))))</f>
        <v/>
      </c>
      <c r="G960" s="5">
        <f>IF(F960&lt;=0.000000001,"",1/SQRT(F960))</f>
        <v/>
      </c>
      <c r="H960">
        <f>IF(OR(C960=0,C960=D960),"BIÊN","")</f>
        <v/>
      </c>
    </row>
    <row r="961">
      <c r="A961" t="n">
        <v>960</v>
      </c>
      <c r="B961">
        <f>'01_Data'!A961</f>
        <v/>
      </c>
      <c r="C961">
        <f>'03_Lap_Theta'!C961</f>
        <v/>
      </c>
      <c r="D961">
        <f>'03_Lap_Theta'!D961</f>
        <v/>
      </c>
      <c r="E961" s="5">
        <f>'03_Lap_Theta'!$AC961</f>
        <v/>
      </c>
      <c r="F961" s="5">
        <f>SUMPRODUCT(('01_Data'!$B961:$AW961&lt;&gt;"")*(1/(1+EXP(-('03_Lap_Theta'!$AC961-'03_Lap_b'!$B$45:$AW$45))))*(1-(1/(1+EXP(-('03_Lap_Theta'!$AC961-'03_Lap_b'!$B$45:$AW$45))))))</f>
        <v/>
      </c>
      <c r="G961" s="5">
        <f>IF(F961&lt;=0.000000001,"",1/SQRT(F961))</f>
        <v/>
      </c>
      <c r="H961">
        <f>IF(OR(C961=0,C961=D961),"BIÊN","")</f>
        <v/>
      </c>
    </row>
    <row r="962">
      <c r="A962" t="n">
        <v>961</v>
      </c>
      <c r="B962">
        <f>'01_Data'!A962</f>
        <v/>
      </c>
      <c r="C962">
        <f>'03_Lap_Theta'!C962</f>
        <v/>
      </c>
      <c r="D962">
        <f>'03_Lap_Theta'!D962</f>
        <v/>
      </c>
      <c r="E962" s="5">
        <f>'03_Lap_Theta'!$AC962</f>
        <v/>
      </c>
      <c r="F962" s="5">
        <f>SUMPRODUCT(('01_Data'!$B962:$AW962&lt;&gt;"")*(1/(1+EXP(-('03_Lap_Theta'!$AC962-'03_Lap_b'!$B$45:$AW$45))))*(1-(1/(1+EXP(-('03_Lap_Theta'!$AC962-'03_Lap_b'!$B$45:$AW$45))))))</f>
        <v/>
      </c>
      <c r="G962" s="5">
        <f>IF(F962&lt;=0.000000001,"",1/SQRT(F962))</f>
        <v/>
      </c>
      <c r="H962">
        <f>IF(OR(C962=0,C962=D962),"BIÊN","")</f>
        <v/>
      </c>
    </row>
    <row r="963">
      <c r="A963" t="n">
        <v>962</v>
      </c>
      <c r="B963">
        <f>'01_Data'!A963</f>
        <v/>
      </c>
      <c r="C963">
        <f>'03_Lap_Theta'!C963</f>
        <v/>
      </c>
      <c r="D963">
        <f>'03_Lap_Theta'!D963</f>
        <v/>
      </c>
      <c r="E963" s="5">
        <f>'03_Lap_Theta'!$AC963</f>
        <v/>
      </c>
      <c r="F963" s="5">
        <f>SUMPRODUCT(('01_Data'!$B963:$AW963&lt;&gt;"")*(1/(1+EXP(-('03_Lap_Theta'!$AC963-'03_Lap_b'!$B$45:$AW$45))))*(1-(1/(1+EXP(-('03_Lap_Theta'!$AC963-'03_Lap_b'!$B$45:$AW$45))))))</f>
        <v/>
      </c>
      <c r="G963" s="5">
        <f>IF(F963&lt;=0.000000001,"",1/SQRT(F963))</f>
        <v/>
      </c>
      <c r="H963">
        <f>IF(OR(C963=0,C963=D963),"BIÊN","")</f>
        <v/>
      </c>
    </row>
    <row r="964">
      <c r="A964" t="n">
        <v>963</v>
      </c>
      <c r="B964">
        <f>'01_Data'!A964</f>
        <v/>
      </c>
      <c r="C964">
        <f>'03_Lap_Theta'!C964</f>
        <v/>
      </c>
      <c r="D964">
        <f>'03_Lap_Theta'!D964</f>
        <v/>
      </c>
      <c r="E964" s="5">
        <f>'03_Lap_Theta'!$AC964</f>
        <v/>
      </c>
      <c r="F964" s="5">
        <f>SUMPRODUCT(('01_Data'!$B964:$AW964&lt;&gt;"")*(1/(1+EXP(-('03_Lap_Theta'!$AC964-'03_Lap_b'!$B$45:$AW$45))))*(1-(1/(1+EXP(-('03_Lap_Theta'!$AC964-'03_Lap_b'!$B$45:$AW$45))))))</f>
        <v/>
      </c>
      <c r="G964" s="5">
        <f>IF(F964&lt;=0.000000001,"",1/SQRT(F964))</f>
        <v/>
      </c>
      <c r="H964">
        <f>IF(OR(C964=0,C964=D964),"BIÊN","")</f>
        <v/>
      </c>
    </row>
    <row r="965">
      <c r="A965" t="n">
        <v>964</v>
      </c>
      <c r="B965">
        <f>'01_Data'!A965</f>
        <v/>
      </c>
      <c r="C965">
        <f>'03_Lap_Theta'!C965</f>
        <v/>
      </c>
      <c r="D965">
        <f>'03_Lap_Theta'!D965</f>
        <v/>
      </c>
      <c r="E965" s="5">
        <f>'03_Lap_Theta'!$AC965</f>
        <v/>
      </c>
      <c r="F965" s="5">
        <f>SUMPRODUCT(('01_Data'!$B965:$AW965&lt;&gt;"")*(1/(1+EXP(-('03_Lap_Theta'!$AC965-'03_Lap_b'!$B$45:$AW$45))))*(1-(1/(1+EXP(-('03_Lap_Theta'!$AC965-'03_Lap_b'!$B$45:$AW$45))))))</f>
        <v/>
      </c>
      <c r="G965" s="5">
        <f>IF(F965&lt;=0.000000001,"",1/SQRT(F965))</f>
        <v/>
      </c>
      <c r="H965">
        <f>IF(OR(C965=0,C965=D965),"BIÊN","")</f>
        <v/>
      </c>
    </row>
    <row r="966">
      <c r="A966" t="n">
        <v>965</v>
      </c>
      <c r="B966">
        <f>'01_Data'!A966</f>
        <v/>
      </c>
      <c r="C966">
        <f>'03_Lap_Theta'!C966</f>
        <v/>
      </c>
      <c r="D966">
        <f>'03_Lap_Theta'!D966</f>
        <v/>
      </c>
      <c r="E966" s="5">
        <f>'03_Lap_Theta'!$AC966</f>
        <v/>
      </c>
      <c r="F966" s="5">
        <f>SUMPRODUCT(('01_Data'!$B966:$AW966&lt;&gt;"")*(1/(1+EXP(-('03_Lap_Theta'!$AC966-'03_Lap_b'!$B$45:$AW$45))))*(1-(1/(1+EXP(-('03_Lap_Theta'!$AC966-'03_Lap_b'!$B$45:$AW$45))))))</f>
        <v/>
      </c>
      <c r="G966" s="5">
        <f>IF(F966&lt;=0.000000001,"",1/SQRT(F966))</f>
        <v/>
      </c>
      <c r="H966">
        <f>IF(OR(C966=0,C966=D966),"BIÊN","")</f>
        <v/>
      </c>
    </row>
    <row r="967">
      <c r="A967" t="n">
        <v>966</v>
      </c>
      <c r="B967">
        <f>'01_Data'!A967</f>
        <v/>
      </c>
      <c r="C967">
        <f>'03_Lap_Theta'!C967</f>
        <v/>
      </c>
      <c r="D967">
        <f>'03_Lap_Theta'!D967</f>
        <v/>
      </c>
      <c r="E967" s="5">
        <f>'03_Lap_Theta'!$AC967</f>
        <v/>
      </c>
      <c r="F967" s="5">
        <f>SUMPRODUCT(('01_Data'!$B967:$AW967&lt;&gt;"")*(1/(1+EXP(-('03_Lap_Theta'!$AC967-'03_Lap_b'!$B$45:$AW$45))))*(1-(1/(1+EXP(-('03_Lap_Theta'!$AC967-'03_Lap_b'!$B$45:$AW$45))))))</f>
        <v/>
      </c>
      <c r="G967" s="5">
        <f>IF(F967&lt;=0.000000001,"",1/SQRT(F967))</f>
        <v/>
      </c>
      <c r="H967">
        <f>IF(OR(C967=0,C967=D967),"BIÊN","")</f>
        <v/>
      </c>
    </row>
    <row r="968">
      <c r="A968" t="n">
        <v>967</v>
      </c>
      <c r="B968">
        <f>'01_Data'!A968</f>
        <v/>
      </c>
      <c r="C968">
        <f>'03_Lap_Theta'!C968</f>
        <v/>
      </c>
      <c r="D968">
        <f>'03_Lap_Theta'!D968</f>
        <v/>
      </c>
      <c r="E968" s="5">
        <f>'03_Lap_Theta'!$AC968</f>
        <v/>
      </c>
      <c r="F968" s="5">
        <f>SUMPRODUCT(('01_Data'!$B968:$AW968&lt;&gt;"")*(1/(1+EXP(-('03_Lap_Theta'!$AC968-'03_Lap_b'!$B$45:$AW$45))))*(1-(1/(1+EXP(-('03_Lap_Theta'!$AC968-'03_Lap_b'!$B$45:$AW$45))))))</f>
        <v/>
      </c>
      <c r="G968" s="5">
        <f>IF(F968&lt;=0.000000001,"",1/SQRT(F968))</f>
        <v/>
      </c>
      <c r="H968">
        <f>IF(OR(C968=0,C968=D968),"BIÊN","")</f>
        <v/>
      </c>
    </row>
    <row r="969">
      <c r="A969" t="n">
        <v>968</v>
      </c>
      <c r="B969">
        <f>'01_Data'!A969</f>
        <v/>
      </c>
      <c r="C969">
        <f>'03_Lap_Theta'!C969</f>
        <v/>
      </c>
      <c r="D969">
        <f>'03_Lap_Theta'!D969</f>
        <v/>
      </c>
      <c r="E969" s="5">
        <f>'03_Lap_Theta'!$AC969</f>
        <v/>
      </c>
      <c r="F969" s="5">
        <f>SUMPRODUCT(('01_Data'!$B969:$AW969&lt;&gt;"")*(1/(1+EXP(-('03_Lap_Theta'!$AC969-'03_Lap_b'!$B$45:$AW$45))))*(1-(1/(1+EXP(-('03_Lap_Theta'!$AC969-'03_Lap_b'!$B$45:$AW$45))))))</f>
        <v/>
      </c>
      <c r="G969" s="5">
        <f>IF(F969&lt;=0.000000001,"",1/SQRT(F969))</f>
        <v/>
      </c>
      <c r="H969">
        <f>IF(OR(C969=0,C969=D969),"BIÊN","")</f>
        <v/>
      </c>
    </row>
    <row r="970">
      <c r="A970" t="n">
        <v>969</v>
      </c>
      <c r="B970">
        <f>'01_Data'!A970</f>
        <v/>
      </c>
      <c r="C970">
        <f>'03_Lap_Theta'!C970</f>
        <v/>
      </c>
      <c r="D970">
        <f>'03_Lap_Theta'!D970</f>
        <v/>
      </c>
      <c r="E970" s="5">
        <f>'03_Lap_Theta'!$AC970</f>
        <v/>
      </c>
      <c r="F970" s="5">
        <f>SUMPRODUCT(('01_Data'!$B970:$AW970&lt;&gt;"")*(1/(1+EXP(-('03_Lap_Theta'!$AC970-'03_Lap_b'!$B$45:$AW$45))))*(1-(1/(1+EXP(-('03_Lap_Theta'!$AC970-'03_Lap_b'!$B$45:$AW$45))))))</f>
        <v/>
      </c>
      <c r="G970" s="5">
        <f>IF(F970&lt;=0.000000001,"",1/SQRT(F970))</f>
        <v/>
      </c>
      <c r="H970">
        <f>IF(OR(C970=0,C970=D970),"BIÊN","")</f>
        <v/>
      </c>
    </row>
    <row r="971">
      <c r="A971" t="n">
        <v>970</v>
      </c>
      <c r="B971">
        <f>'01_Data'!A971</f>
        <v/>
      </c>
      <c r="C971">
        <f>'03_Lap_Theta'!C971</f>
        <v/>
      </c>
      <c r="D971">
        <f>'03_Lap_Theta'!D971</f>
        <v/>
      </c>
      <c r="E971" s="5">
        <f>'03_Lap_Theta'!$AC971</f>
        <v/>
      </c>
      <c r="F971" s="5">
        <f>SUMPRODUCT(('01_Data'!$B971:$AW971&lt;&gt;"")*(1/(1+EXP(-('03_Lap_Theta'!$AC971-'03_Lap_b'!$B$45:$AW$45))))*(1-(1/(1+EXP(-('03_Lap_Theta'!$AC971-'03_Lap_b'!$B$45:$AW$45))))))</f>
        <v/>
      </c>
      <c r="G971" s="5">
        <f>IF(F971&lt;=0.000000001,"",1/SQRT(F971))</f>
        <v/>
      </c>
      <c r="H971">
        <f>IF(OR(C971=0,C971=D971),"BIÊN","")</f>
        <v/>
      </c>
    </row>
    <row r="972">
      <c r="A972" t="n">
        <v>971</v>
      </c>
      <c r="B972">
        <f>'01_Data'!A972</f>
        <v/>
      </c>
      <c r="C972">
        <f>'03_Lap_Theta'!C972</f>
        <v/>
      </c>
      <c r="D972">
        <f>'03_Lap_Theta'!D972</f>
        <v/>
      </c>
      <c r="E972" s="5">
        <f>'03_Lap_Theta'!$AC972</f>
        <v/>
      </c>
      <c r="F972" s="5">
        <f>SUMPRODUCT(('01_Data'!$B972:$AW972&lt;&gt;"")*(1/(1+EXP(-('03_Lap_Theta'!$AC972-'03_Lap_b'!$B$45:$AW$45))))*(1-(1/(1+EXP(-('03_Lap_Theta'!$AC972-'03_Lap_b'!$B$45:$AW$45))))))</f>
        <v/>
      </c>
      <c r="G972" s="5">
        <f>IF(F972&lt;=0.000000001,"",1/SQRT(F972))</f>
        <v/>
      </c>
      <c r="H972">
        <f>IF(OR(C972=0,C972=D972),"BIÊN","")</f>
        <v/>
      </c>
    </row>
    <row r="973">
      <c r="A973" t="n">
        <v>972</v>
      </c>
      <c r="B973">
        <f>'01_Data'!A973</f>
        <v/>
      </c>
      <c r="C973">
        <f>'03_Lap_Theta'!C973</f>
        <v/>
      </c>
      <c r="D973">
        <f>'03_Lap_Theta'!D973</f>
        <v/>
      </c>
      <c r="E973" s="5">
        <f>'03_Lap_Theta'!$AC973</f>
        <v/>
      </c>
      <c r="F973" s="5">
        <f>SUMPRODUCT(('01_Data'!$B973:$AW973&lt;&gt;"")*(1/(1+EXP(-('03_Lap_Theta'!$AC973-'03_Lap_b'!$B$45:$AW$45))))*(1-(1/(1+EXP(-('03_Lap_Theta'!$AC973-'03_Lap_b'!$B$45:$AW$45))))))</f>
        <v/>
      </c>
      <c r="G973" s="5">
        <f>IF(F973&lt;=0.000000001,"",1/SQRT(F973))</f>
        <v/>
      </c>
      <c r="H973">
        <f>IF(OR(C973=0,C973=D973),"BIÊN","")</f>
        <v/>
      </c>
    </row>
    <row r="974">
      <c r="A974" t="n">
        <v>973</v>
      </c>
      <c r="B974">
        <f>'01_Data'!A974</f>
        <v/>
      </c>
      <c r="C974">
        <f>'03_Lap_Theta'!C974</f>
        <v/>
      </c>
      <c r="D974">
        <f>'03_Lap_Theta'!D974</f>
        <v/>
      </c>
      <c r="E974" s="5">
        <f>'03_Lap_Theta'!$AC974</f>
        <v/>
      </c>
      <c r="F974" s="5">
        <f>SUMPRODUCT(('01_Data'!$B974:$AW974&lt;&gt;"")*(1/(1+EXP(-('03_Lap_Theta'!$AC974-'03_Lap_b'!$B$45:$AW$45))))*(1-(1/(1+EXP(-('03_Lap_Theta'!$AC974-'03_Lap_b'!$B$45:$AW$45))))))</f>
        <v/>
      </c>
      <c r="G974" s="5">
        <f>IF(F974&lt;=0.000000001,"",1/SQRT(F974))</f>
        <v/>
      </c>
      <c r="H974">
        <f>IF(OR(C974=0,C974=D974),"BIÊN","")</f>
        <v/>
      </c>
    </row>
    <row r="975">
      <c r="A975" t="n">
        <v>974</v>
      </c>
      <c r="B975">
        <f>'01_Data'!A975</f>
        <v/>
      </c>
      <c r="C975">
        <f>'03_Lap_Theta'!C975</f>
        <v/>
      </c>
      <c r="D975">
        <f>'03_Lap_Theta'!D975</f>
        <v/>
      </c>
      <c r="E975" s="5">
        <f>'03_Lap_Theta'!$AC975</f>
        <v/>
      </c>
      <c r="F975" s="5">
        <f>SUMPRODUCT(('01_Data'!$B975:$AW975&lt;&gt;"")*(1/(1+EXP(-('03_Lap_Theta'!$AC975-'03_Lap_b'!$B$45:$AW$45))))*(1-(1/(1+EXP(-('03_Lap_Theta'!$AC975-'03_Lap_b'!$B$45:$AW$45))))))</f>
        <v/>
      </c>
      <c r="G975" s="5">
        <f>IF(F975&lt;=0.000000001,"",1/SQRT(F975))</f>
        <v/>
      </c>
      <c r="H975">
        <f>IF(OR(C975=0,C975=D975),"BIÊN","")</f>
        <v/>
      </c>
    </row>
    <row r="976">
      <c r="A976" t="n">
        <v>975</v>
      </c>
      <c r="B976">
        <f>'01_Data'!A976</f>
        <v/>
      </c>
      <c r="C976">
        <f>'03_Lap_Theta'!C976</f>
        <v/>
      </c>
      <c r="D976">
        <f>'03_Lap_Theta'!D976</f>
        <v/>
      </c>
      <c r="E976" s="5">
        <f>'03_Lap_Theta'!$AC976</f>
        <v/>
      </c>
      <c r="F976" s="5">
        <f>SUMPRODUCT(('01_Data'!$B976:$AW976&lt;&gt;"")*(1/(1+EXP(-('03_Lap_Theta'!$AC976-'03_Lap_b'!$B$45:$AW$45))))*(1-(1/(1+EXP(-('03_Lap_Theta'!$AC976-'03_Lap_b'!$B$45:$AW$45))))))</f>
        <v/>
      </c>
      <c r="G976" s="5">
        <f>IF(F976&lt;=0.000000001,"",1/SQRT(F976))</f>
        <v/>
      </c>
      <c r="H976">
        <f>IF(OR(C976=0,C976=D976),"BIÊN","")</f>
        <v/>
      </c>
    </row>
    <row r="977">
      <c r="A977" t="n">
        <v>976</v>
      </c>
      <c r="B977">
        <f>'01_Data'!A977</f>
        <v/>
      </c>
      <c r="C977">
        <f>'03_Lap_Theta'!C977</f>
        <v/>
      </c>
      <c r="D977">
        <f>'03_Lap_Theta'!D977</f>
        <v/>
      </c>
      <c r="E977" s="5">
        <f>'03_Lap_Theta'!$AC977</f>
        <v/>
      </c>
      <c r="F977" s="5">
        <f>SUMPRODUCT(('01_Data'!$B977:$AW977&lt;&gt;"")*(1/(1+EXP(-('03_Lap_Theta'!$AC977-'03_Lap_b'!$B$45:$AW$45))))*(1-(1/(1+EXP(-('03_Lap_Theta'!$AC977-'03_Lap_b'!$B$45:$AW$45))))))</f>
        <v/>
      </c>
      <c r="G977" s="5">
        <f>IF(F977&lt;=0.000000001,"",1/SQRT(F977))</f>
        <v/>
      </c>
      <c r="H977">
        <f>IF(OR(C977=0,C977=D977),"BIÊN","")</f>
        <v/>
      </c>
    </row>
    <row r="978">
      <c r="A978" t="n">
        <v>977</v>
      </c>
      <c r="B978">
        <f>'01_Data'!A978</f>
        <v/>
      </c>
      <c r="C978">
        <f>'03_Lap_Theta'!C978</f>
        <v/>
      </c>
      <c r="D978">
        <f>'03_Lap_Theta'!D978</f>
        <v/>
      </c>
      <c r="E978" s="5">
        <f>'03_Lap_Theta'!$AC978</f>
        <v/>
      </c>
      <c r="F978" s="5">
        <f>SUMPRODUCT(('01_Data'!$B978:$AW978&lt;&gt;"")*(1/(1+EXP(-('03_Lap_Theta'!$AC978-'03_Lap_b'!$B$45:$AW$45))))*(1-(1/(1+EXP(-('03_Lap_Theta'!$AC978-'03_Lap_b'!$B$45:$AW$45))))))</f>
        <v/>
      </c>
      <c r="G978" s="5">
        <f>IF(F978&lt;=0.000000001,"",1/SQRT(F978))</f>
        <v/>
      </c>
      <c r="H978">
        <f>IF(OR(C978=0,C978=D978),"BIÊN","")</f>
        <v/>
      </c>
    </row>
    <row r="979">
      <c r="A979" t="n">
        <v>978</v>
      </c>
      <c r="B979">
        <f>'01_Data'!A979</f>
        <v/>
      </c>
      <c r="C979">
        <f>'03_Lap_Theta'!C979</f>
        <v/>
      </c>
      <c r="D979">
        <f>'03_Lap_Theta'!D979</f>
        <v/>
      </c>
      <c r="E979" s="5">
        <f>'03_Lap_Theta'!$AC979</f>
        <v/>
      </c>
      <c r="F979" s="5">
        <f>SUMPRODUCT(('01_Data'!$B979:$AW979&lt;&gt;"")*(1/(1+EXP(-('03_Lap_Theta'!$AC979-'03_Lap_b'!$B$45:$AW$45))))*(1-(1/(1+EXP(-('03_Lap_Theta'!$AC979-'03_Lap_b'!$B$45:$AW$45))))))</f>
        <v/>
      </c>
      <c r="G979" s="5">
        <f>IF(F979&lt;=0.000000001,"",1/SQRT(F979))</f>
        <v/>
      </c>
      <c r="H979">
        <f>IF(OR(C979=0,C979=D979),"BIÊN","")</f>
        <v/>
      </c>
    </row>
    <row r="980">
      <c r="A980" t="n">
        <v>979</v>
      </c>
      <c r="B980">
        <f>'01_Data'!A980</f>
        <v/>
      </c>
      <c r="C980">
        <f>'03_Lap_Theta'!C980</f>
        <v/>
      </c>
      <c r="D980">
        <f>'03_Lap_Theta'!D980</f>
        <v/>
      </c>
      <c r="E980" s="5">
        <f>'03_Lap_Theta'!$AC980</f>
        <v/>
      </c>
      <c r="F980" s="5">
        <f>SUMPRODUCT(('01_Data'!$B980:$AW980&lt;&gt;"")*(1/(1+EXP(-('03_Lap_Theta'!$AC980-'03_Lap_b'!$B$45:$AW$45))))*(1-(1/(1+EXP(-('03_Lap_Theta'!$AC980-'03_Lap_b'!$B$45:$AW$45))))))</f>
        <v/>
      </c>
      <c r="G980" s="5">
        <f>IF(F980&lt;=0.000000001,"",1/SQRT(F980))</f>
        <v/>
      </c>
      <c r="H980">
        <f>IF(OR(C980=0,C980=D980),"BIÊN","")</f>
        <v/>
      </c>
    </row>
    <row r="981">
      <c r="A981" t="n">
        <v>980</v>
      </c>
      <c r="B981">
        <f>'01_Data'!A981</f>
        <v/>
      </c>
      <c r="C981">
        <f>'03_Lap_Theta'!C981</f>
        <v/>
      </c>
      <c r="D981">
        <f>'03_Lap_Theta'!D981</f>
        <v/>
      </c>
      <c r="E981" s="5">
        <f>'03_Lap_Theta'!$AC981</f>
        <v/>
      </c>
      <c r="F981" s="5">
        <f>SUMPRODUCT(('01_Data'!$B981:$AW981&lt;&gt;"")*(1/(1+EXP(-('03_Lap_Theta'!$AC981-'03_Lap_b'!$B$45:$AW$45))))*(1-(1/(1+EXP(-('03_Lap_Theta'!$AC981-'03_Lap_b'!$B$45:$AW$45))))))</f>
        <v/>
      </c>
      <c r="G981" s="5">
        <f>IF(F981&lt;=0.000000001,"",1/SQRT(F981))</f>
        <v/>
      </c>
      <c r="H981">
        <f>IF(OR(C981=0,C981=D981),"BIÊN","")</f>
        <v/>
      </c>
    </row>
    <row r="982">
      <c r="A982" t="n">
        <v>981</v>
      </c>
      <c r="B982">
        <f>'01_Data'!A982</f>
        <v/>
      </c>
      <c r="C982">
        <f>'03_Lap_Theta'!C982</f>
        <v/>
      </c>
      <c r="D982">
        <f>'03_Lap_Theta'!D982</f>
        <v/>
      </c>
      <c r="E982" s="5">
        <f>'03_Lap_Theta'!$AC982</f>
        <v/>
      </c>
      <c r="F982" s="5">
        <f>SUMPRODUCT(('01_Data'!$B982:$AW982&lt;&gt;"")*(1/(1+EXP(-('03_Lap_Theta'!$AC982-'03_Lap_b'!$B$45:$AW$45))))*(1-(1/(1+EXP(-('03_Lap_Theta'!$AC982-'03_Lap_b'!$B$45:$AW$45))))))</f>
        <v/>
      </c>
      <c r="G982" s="5">
        <f>IF(F982&lt;=0.000000001,"",1/SQRT(F982))</f>
        <v/>
      </c>
      <c r="H982">
        <f>IF(OR(C982=0,C982=D982),"BIÊN","")</f>
        <v/>
      </c>
    </row>
    <row r="983">
      <c r="A983" t="n">
        <v>982</v>
      </c>
      <c r="B983">
        <f>'01_Data'!A983</f>
        <v/>
      </c>
      <c r="C983">
        <f>'03_Lap_Theta'!C983</f>
        <v/>
      </c>
      <c r="D983">
        <f>'03_Lap_Theta'!D983</f>
        <v/>
      </c>
      <c r="E983" s="5">
        <f>'03_Lap_Theta'!$AC983</f>
        <v/>
      </c>
      <c r="F983" s="5">
        <f>SUMPRODUCT(('01_Data'!$B983:$AW983&lt;&gt;"")*(1/(1+EXP(-('03_Lap_Theta'!$AC983-'03_Lap_b'!$B$45:$AW$45))))*(1-(1/(1+EXP(-('03_Lap_Theta'!$AC983-'03_Lap_b'!$B$45:$AW$45))))))</f>
        <v/>
      </c>
      <c r="G983" s="5">
        <f>IF(F983&lt;=0.000000001,"",1/SQRT(F983))</f>
        <v/>
      </c>
      <c r="H983">
        <f>IF(OR(C983=0,C983=D983),"BIÊN","")</f>
        <v/>
      </c>
    </row>
    <row r="984">
      <c r="A984" t="n">
        <v>983</v>
      </c>
      <c r="B984">
        <f>'01_Data'!A984</f>
        <v/>
      </c>
      <c r="C984">
        <f>'03_Lap_Theta'!C984</f>
        <v/>
      </c>
      <c r="D984">
        <f>'03_Lap_Theta'!D984</f>
        <v/>
      </c>
      <c r="E984" s="5">
        <f>'03_Lap_Theta'!$AC984</f>
        <v/>
      </c>
      <c r="F984" s="5">
        <f>SUMPRODUCT(('01_Data'!$B984:$AW984&lt;&gt;"")*(1/(1+EXP(-('03_Lap_Theta'!$AC984-'03_Lap_b'!$B$45:$AW$45))))*(1-(1/(1+EXP(-('03_Lap_Theta'!$AC984-'03_Lap_b'!$B$45:$AW$45))))))</f>
        <v/>
      </c>
      <c r="G984" s="5">
        <f>IF(F984&lt;=0.000000001,"",1/SQRT(F984))</f>
        <v/>
      </c>
      <c r="H984">
        <f>IF(OR(C984=0,C984=D984),"BIÊN","")</f>
        <v/>
      </c>
    </row>
    <row r="985">
      <c r="A985" t="n">
        <v>984</v>
      </c>
      <c r="B985">
        <f>'01_Data'!A985</f>
        <v/>
      </c>
      <c r="C985">
        <f>'03_Lap_Theta'!C985</f>
        <v/>
      </c>
      <c r="D985">
        <f>'03_Lap_Theta'!D985</f>
        <v/>
      </c>
      <c r="E985" s="5">
        <f>'03_Lap_Theta'!$AC985</f>
        <v/>
      </c>
      <c r="F985" s="5">
        <f>SUMPRODUCT(('01_Data'!$B985:$AW985&lt;&gt;"")*(1/(1+EXP(-('03_Lap_Theta'!$AC985-'03_Lap_b'!$B$45:$AW$45))))*(1-(1/(1+EXP(-('03_Lap_Theta'!$AC985-'03_Lap_b'!$B$45:$AW$45))))))</f>
        <v/>
      </c>
      <c r="G985" s="5">
        <f>IF(F985&lt;=0.000000001,"",1/SQRT(F985))</f>
        <v/>
      </c>
      <c r="H985">
        <f>IF(OR(C985=0,C985=D985),"BIÊN","")</f>
        <v/>
      </c>
    </row>
    <row r="986">
      <c r="A986" t="n">
        <v>985</v>
      </c>
      <c r="B986">
        <f>'01_Data'!A986</f>
        <v/>
      </c>
      <c r="C986">
        <f>'03_Lap_Theta'!C986</f>
        <v/>
      </c>
      <c r="D986">
        <f>'03_Lap_Theta'!D986</f>
        <v/>
      </c>
      <c r="E986" s="5">
        <f>'03_Lap_Theta'!$AC986</f>
        <v/>
      </c>
      <c r="F986" s="5">
        <f>SUMPRODUCT(('01_Data'!$B986:$AW986&lt;&gt;"")*(1/(1+EXP(-('03_Lap_Theta'!$AC986-'03_Lap_b'!$B$45:$AW$45))))*(1-(1/(1+EXP(-('03_Lap_Theta'!$AC986-'03_Lap_b'!$B$45:$AW$45))))))</f>
        <v/>
      </c>
      <c r="G986" s="5">
        <f>IF(F986&lt;=0.000000001,"",1/SQRT(F986))</f>
        <v/>
      </c>
      <c r="H986">
        <f>IF(OR(C986=0,C986=D986),"BIÊN","")</f>
        <v/>
      </c>
    </row>
    <row r="987">
      <c r="A987" t="n">
        <v>986</v>
      </c>
      <c r="B987">
        <f>'01_Data'!A987</f>
        <v/>
      </c>
      <c r="C987">
        <f>'03_Lap_Theta'!C987</f>
        <v/>
      </c>
      <c r="D987">
        <f>'03_Lap_Theta'!D987</f>
        <v/>
      </c>
      <c r="E987" s="5">
        <f>'03_Lap_Theta'!$AC987</f>
        <v/>
      </c>
      <c r="F987" s="5">
        <f>SUMPRODUCT(('01_Data'!$B987:$AW987&lt;&gt;"")*(1/(1+EXP(-('03_Lap_Theta'!$AC987-'03_Lap_b'!$B$45:$AW$45))))*(1-(1/(1+EXP(-('03_Lap_Theta'!$AC987-'03_Lap_b'!$B$45:$AW$45))))))</f>
        <v/>
      </c>
      <c r="G987" s="5">
        <f>IF(F987&lt;=0.000000001,"",1/SQRT(F987))</f>
        <v/>
      </c>
      <c r="H987">
        <f>IF(OR(C987=0,C987=D987),"BIÊN","")</f>
        <v/>
      </c>
    </row>
    <row r="988">
      <c r="A988" t="n">
        <v>987</v>
      </c>
      <c r="B988">
        <f>'01_Data'!A988</f>
        <v/>
      </c>
      <c r="C988">
        <f>'03_Lap_Theta'!C988</f>
        <v/>
      </c>
      <c r="D988">
        <f>'03_Lap_Theta'!D988</f>
        <v/>
      </c>
      <c r="E988" s="5">
        <f>'03_Lap_Theta'!$AC988</f>
        <v/>
      </c>
      <c r="F988" s="5">
        <f>SUMPRODUCT(('01_Data'!$B988:$AW988&lt;&gt;"")*(1/(1+EXP(-('03_Lap_Theta'!$AC988-'03_Lap_b'!$B$45:$AW$45))))*(1-(1/(1+EXP(-('03_Lap_Theta'!$AC988-'03_Lap_b'!$B$45:$AW$45))))))</f>
        <v/>
      </c>
      <c r="G988" s="5">
        <f>IF(F988&lt;=0.000000001,"",1/SQRT(F988))</f>
        <v/>
      </c>
      <c r="H988">
        <f>IF(OR(C988=0,C988=D988),"BIÊN","")</f>
        <v/>
      </c>
    </row>
    <row r="989">
      <c r="A989" t="n">
        <v>988</v>
      </c>
      <c r="B989">
        <f>'01_Data'!A989</f>
        <v/>
      </c>
      <c r="C989">
        <f>'03_Lap_Theta'!C989</f>
        <v/>
      </c>
      <c r="D989">
        <f>'03_Lap_Theta'!D989</f>
        <v/>
      </c>
      <c r="E989" s="5">
        <f>'03_Lap_Theta'!$AC989</f>
        <v/>
      </c>
      <c r="F989" s="5">
        <f>SUMPRODUCT(('01_Data'!$B989:$AW989&lt;&gt;"")*(1/(1+EXP(-('03_Lap_Theta'!$AC989-'03_Lap_b'!$B$45:$AW$45))))*(1-(1/(1+EXP(-('03_Lap_Theta'!$AC989-'03_Lap_b'!$B$45:$AW$45))))))</f>
        <v/>
      </c>
      <c r="G989" s="5">
        <f>IF(F989&lt;=0.000000001,"",1/SQRT(F989))</f>
        <v/>
      </c>
      <c r="H989">
        <f>IF(OR(C989=0,C989=D989),"BIÊN","")</f>
        <v/>
      </c>
    </row>
    <row r="990">
      <c r="A990" t="n">
        <v>989</v>
      </c>
      <c r="B990">
        <f>'01_Data'!A990</f>
        <v/>
      </c>
      <c r="C990">
        <f>'03_Lap_Theta'!C990</f>
        <v/>
      </c>
      <c r="D990">
        <f>'03_Lap_Theta'!D990</f>
        <v/>
      </c>
      <c r="E990" s="5">
        <f>'03_Lap_Theta'!$AC990</f>
        <v/>
      </c>
      <c r="F990" s="5">
        <f>SUMPRODUCT(('01_Data'!$B990:$AW990&lt;&gt;"")*(1/(1+EXP(-('03_Lap_Theta'!$AC990-'03_Lap_b'!$B$45:$AW$45))))*(1-(1/(1+EXP(-('03_Lap_Theta'!$AC990-'03_Lap_b'!$B$45:$AW$45))))))</f>
        <v/>
      </c>
      <c r="G990" s="5">
        <f>IF(F990&lt;=0.000000001,"",1/SQRT(F990))</f>
        <v/>
      </c>
      <c r="H990">
        <f>IF(OR(C990=0,C990=D990),"BIÊN","")</f>
        <v/>
      </c>
    </row>
    <row r="991">
      <c r="A991" t="n">
        <v>990</v>
      </c>
      <c r="B991">
        <f>'01_Data'!A991</f>
        <v/>
      </c>
      <c r="C991">
        <f>'03_Lap_Theta'!C991</f>
        <v/>
      </c>
      <c r="D991">
        <f>'03_Lap_Theta'!D991</f>
        <v/>
      </c>
      <c r="E991" s="5">
        <f>'03_Lap_Theta'!$AC991</f>
        <v/>
      </c>
      <c r="F991" s="5">
        <f>SUMPRODUCT(('01_Data'!$B991:$AW991&lt;&gt;"")*(1/(1+EXP(-('03_Lap_Theta'!$AC991-'03_Lap_b'!$B$45:$AW$45))))*(1-(1/(1+EXP(-('03_Lap_Theta'!$AC991-'03_Lap_b'!$B$45:$AW$45))))))</f>
        <v/>
      </c>
      <c r="G991" s="5">
        <f>IF(F991&lt;=0.000000001,"",1/SQRT(F991))</f>
        <v/>
      </c>
      <c r="H991">
        <f>IF(OR(C991=0,C991=D991),"BIÊN","")</f>
        <v/>
      </c>
    </row>
    <row r="992">
      <c r="A992" t="n">
        <v>991</v>
      </c>
      <c r="B992">
        <f>'01_Data'!A992</f>
        <v/>
      </c>
      <c r="C992">
        <f>'03_Lap_Theta'!C992</f>
        <v/>
      </c>
      <c r="D992">
        <f>'03_Lap_Theta'!D992</f>
        <v/>
      </c>
      <c r="E992" s="5">
        <f>'03_Lap_Theta'!$AC992</f>
        <v/>
      </c>
      <c r="F992" s="5">
        <f>SUMPRODUCT(('01_Data'!$B992:$AW992&lt;&gt;"")*(1/(1+EXP(-('03_Lap_Theta'!$AC992-'03_Lap_b'!$B$45:$AW$45))))*(1-(1/(1+EXP(-('03_Lap_Theta'!$AC992-'03_Lap_b'!$B$45:$AW$45))))))</f>
        <v/>
      </c>
      <c r="G992" s="5">
        <f>IF(F992&lt;=0.000000001,"",1/SQRT(F992))</f>
        <v/>
      </c>
      <c r="H992">
        <f>IF(OR(C992=0,C992=D992),"BIÊN","")</f>
        <v/>
      </c>
    </row>
    <row r="993">
      <c r="A993" t="n">
        <v>992</v>
      </c>
      <c r="B993">
        <f>'01_Data'!A993</f>
        <v/>
      </c>
      <c r="C993">
        <f>'03_Lap_Theta'!C993</f>
        <v/>
      </c>
      <c r="D993">
        <f>'03_Lap_Theta'!D993</f>
        <v/>
      </c>
      <c r="E993" s="5">
        <f>'03_Lap_Theta'!$AC993</f>
        <v/>
      </c>
      <c r="F993" s="5">
        <f>SUMPRODUCT(('01_Data'!$B993:$AW993&lt;&gt;"")*(1/(1+EXP(-('03_Lap_Theta'!$AC993-'03_Lap_b'!$B$45:$AW$45))))*(1-(1/(1+EXP(-('03_Lap_Theta'!$AC993-'03_Lap_b'!$B$45:$AW$45))))))</f>
        <v/>
      </c>
      <c r="G993" s="5">
        <f>IF(F993&lt;=0.000000001,"",1/SQRT(F993))</f>
        <v/>
      </c>
      <c r="H993">
        <f>IF(OR(C993=0,C993=D993),"BIÊN","")</f>
        <v/>
      </c>
    </row>
    <row r="994">
      <c r="A994" t="n">
        <v>993</v>
      </c>
      <c r="B994">
        <f>'01_Data'!A994</f>
        <v/>
      </c>
      <c r="C994">
        <f>'03_Lap_Theta'!C994</f>
        <v/>
      </c>
      <c r="D994">
        <f>'03_Lap_Theta'!D994</f>
        <v/>
      </c>
      <c r="E994" s="5">
        <f>'03_Lap_Theta'!$AC994</f>
        <v/>
      </c>
      <c r="F994" s="5">
        <f>SUMPRODUCT(('01_Data'!$B994:$AW994&lt;&gt;"")*(1/(1+EXP(-('03_Lap_Theta'!$AC994-'03_Lap_b'!$B$45:$AW$45))))*(1-(1/(1+EXP(-('03_Lap_Theta'!$AC994-'03_Lap_b'!$B$45:$AW$45))))))</f>
        <v/>
      </c>
      <c r="G994" s="5">
        <f>IF(F994&lt;=0.000000001,"",1/SQRT(F994))</f>
        <v/>
      </c>
      <c r="H994">
        <f>IF(OR(C994=0,C994=D994),"BIÊN","")</f>
        <v/>
      </c>
    </row>
    <row r="995">
      <c r="A995" t="n">
        <v>994</v>
      </c>
      <c r="B995">
        <f>'01_Data'!A995</f>
        <v/>
      </c>
      <c r="C995">
        <f>'03_Lap_Theta'!C995</f>
        <v/>
      </c>
      <c r="D995">
        <f>'03_Lap_Theta'!D995</f>
        <v/>
      </c>
      <c r="E995" s="5">
        <f>'03_Lap_Theta'!$AC995</f>
        <v/>
      </c>
      <c r="F995" s="5">
        <f>SUMPRODUCT(('01_Data'!$B995:$AW995&lt;&gt;"")*(1/(1+EXP(-('03_Lap_Theta'!$AC995-'03_Lap_b'!$B$45:$AW$45))))*(1-(1/(1+EXP(-('03_Lap_Theta'!$AC995-'03_Lap_b'!$B$45:$AW$45))))))</f>
        <v/>
      </c>
      <c r="G995" s="5">
        <f>IF(F995&lt;=0.000000001,"",1/SQRT(F995))</f>
        <v/>
      </c>
      <c r="H995">
        <f>IF(OR(C995=0,C995=D995),"BIÊN","")</f>
        <v/>
      </c>
    </row>
    <row r="996">
      <c r="A996" t="n">
        <v>995</v>
      </c>
      <c r="B996">
        <f>'01_Data'!A996</f>
        <v/>
      </c>
      <c r="C996">
        <f>'03_Lap_Theta'!C996</f>
        <v/>
      </c>
      <c r="D996">
        <f>'03_Lap_Theta'!D996</f>
        <v/>
      </c>
      <c r="E996" s="5">
        <f>'03_Lap_Theta'!$AC996</f>
        <v/>
      </c>
      <c r="F996" s="5">
        <f>SUMPRODUCT(('01_Data'!$B996:$AW996&lt;&gt;"")*(1/(1+EXP(-('03_Lap_Theta'!$AC996-'03_Lap_b'!$B$45:$AW$45))))*(1-(1/(1+EXP(-('03_Lap_Theta'!$AC996-'03_Lap_b'!$B$45:$AW$45))))))</f>
        <v/>
      </c>
      <c r="G996" s="5">
        <f>IF(F996&lt;=0.000000001,"",1/SQRT(F996))</f>
        <v/>
      </c>
      <c r="H996">
        <f>IF(OR(C996=0,C996=D996),"BIÊN","")</f>
        <v/>
      </c>
    </row>
    <row r="997">
      <c r="A997" t="n">
        <v>996</v>
      </c>
      <c r="B997">
        <f>'01_Data'!A997</f>
        <v/>
      </c>
      <c r="C997">
        <f>'03_Lap_Theta'!C997</f>
        <v/>
      </c>
      <c r="D997">
        <f>'03_Lap_Theta'!D997</f>
        <v/>
      </c>
      <c r="E997" s="5">
        <f>'03_Lap_Theta'!$AC997</f>
        <v/>
      </c>
      <c r="F997" s="5">
        <f>SUMPRODUCT(('01_Data'!$B997:$AW997&lt;&gt;"")*(1/(1+EXP(-('03_Lap_Theta'!$AC997-'03_Lap_b'!$B$45:$AW$45))))*(1-(1/(1+EXP(-('03_Lap_Theta'!$AC997-'03_Lap_b'!$B$45:$AW$45))))))</f>
        <v/>
      </c>
      <c r="G997" s="5">
        <f>IF(F997&lt;=0.000000001,"",1/SQRT(F997))</f>
        <v/>
      </c>
      <c r="H997">
        <f>IF(OR(C997=0,C997=D997),"BIÊN","")</f>
        <v/>
      </c>
    </row>
    <row r="998">
      <c r="A998" t="n">
        <v>997</v>
      </c>
      <c r="B998">
        <f>'01_Data'!A998</f>
        <v/>
      </c>
      <c r="C998">
        <f>'03_Lap_Theta'!C998</f>
        <v/>
      </c>
      <c r="D998">
        <f>'03_Lap_Theta'!D998</f>
        <v/>
      </c>
      <c r="E998" s="5">
        <f>'03_Lap_Theta'!$AC998</f>
        <v/>
      </c>
      <c r="F998" s="5">
        <f>SUMPRODUCT(('01_Data'!$B998:$AW998&lt;&gt;"")*(1/(1+EXP(-('03_Lap_Theta'!$AC998-'03_Lap_b'!$B$45:$AW$45))))*(1-(1/(1+EXP(-('03_Lap_Theta'!$AC998-'03_Lap_b'!$B$45:$AW$45))))))</f>
        <v/>
      </c>
      <c r="G998" s="5">
        <f>IF(F998&lt;=0.000000001,"",1/SQRT(F998))</f>
        <v/>
      </c>
      <c r="H998">
        <f>IF(OR(C998=0,C998=D998),"BIÊN","")</f>
        <v/>
      </c>
    </row>
    <row r="999">
      <c r="A999" t="n">
        <v>998</v>
      </c>
      <c r="B999">
        <f>'01_Data'!A999</f>
        <v/>
      </c>
      <c r="C999">
        <f>'03_Lap_Theta'!C999</f>
        <v/>
      </c>
      <c r="D999">
        <f>'03_Lap_Theta'!D999</f>
        <v/>
      </c>
      <c r="E999" s="5">
        <f>'03_Lap_Theta'!$AC999</f>
        <v/>
      </c>
      <c r="F999" s="5">
        <f>SUMPRODUCT(('01_Data'!$B999:$AW999&lt;&gt;"")*(1/(1+EXP(-('03_Lap_Theta'!$AC999-'03_Lap_b'!$B$45:$AW$45))))*(1-(1/(1+EXP(-('03_Lap_Theta'!$AC999-'03_Lap_b'!$B$45:$AW$45))))))</f>
        <v/>
      </c>
      <c r="G999" s="5">
        <f>IF(F999&lt;=0.000000001,"",1/SQRT(F999))</f>
        <v/>
      </c>
      <c r="H999">
        <f>IF(OR(C999=0,C999=D999),"BIÊN","")</f>
        <v/>
      </c>
    </row>
    <row r="1000">
      <c r="A1000" t="n">
        <v>999</v>
      </c>
      <c r="B1000">
        <f>'01_Data'!A1000</f>
        <v/>
      </c>
      <c r="C1000">
        <f>'03_Lap_Theta'!C1000</f>
        <v/>
      </c>
      <c r="D1000">
        <f>'03_Lap_Theta'!D1000</f>
        <v/>
      </c>
      <c r="E1000" s="5">
        <f>'03_Lap_Theta'!$AC1000</f>
        <v/>
      </c>
      <c r="F1000" s="5">
        <f>SUMPRODUCT(('01_Data'!$B1000:$AW1000&lt;&gt;"")*(1/(1+EXP(-('03_Lap_Theta'!$AC1000-'03_Lap_b'!$B$45:$AW$45))))*(1-(1/(1+EXP(-('03_Lap_Theta'!$AC1000-'03_Lap_b'!$B$45:$AW$45))))))</f>
        <v/>
      </c>
      <c r="G1000" s="5">
        <f>IF(F1000&lt;=0.000000001,"",1/SQRT(F1000))</f>
        <v/>
      </c>
      <c r="H1000">
        <f>IF(OR(C1000=0,C1000=D1000),"BIÊN","")</f>
        <v/>
      </c>
    </row>
    <row r="1001">
      <c r="A1001" t="n">
        <v>1000</v>
      </c>
      <c r="B1001">
        <f>'01_Data'!A1001</f>
        <v/>
      </c>
      <c r="C1001">
        <f>'03_Lap_Theta'!C1001</f>
        <v/>
      </c>
      <c r="D1001">
        <f>'03_Lap_Theta'!D1001</f>
        <v/>
      </c>
      <c r="E1001" s="5">
        <f>'03_Lap_Theta'!$AC1001</f>
        <v/>
      </c>
      <c r="F1001" s="5">
        <f>SUMPRODUCT(('01_Data'!$B1001:$AW1001&lt;&gt;"")*(1/(1+EXP(-('03_Lap_Theta'!$AC1001-'03_Lap_b'!$B$45:$AW$45))))*(1-(1/(1+EXP(-('03_Lap_Theta'!$AC1001-'03_Lap_b'!$B$45:$AW$45))))))</f>
        <v/>
      </c>
      <c r="G1001" s="5">
        <f>IF(F1001&lt;=0.000000001,"",1/SQRT(F1001))</f>
        <v/>
      </c>
      <c r="H1001">
        <f>IF(OR(C1001=0,C1001=D1001),"BIÊN","")</f>
        <v/>
      </c>
    </row>
    <row r="1002">
      <c r="A1002" t="n">
        <v>1001</v>
      </c>
      <c r="B1002">
        <f>'01_Data'!A1002</f>
        <v/>
      </c>
      <c r="C1002">
        <f>'03_Lap_Theta'!C1002</f>
        <v/>
      </c>
      <c r="D1002">
        <f>'03_Lap_Theta'!D1002</f>
        <v/>
      </c>
      <c r="E1002" s="5">
        <f>'03_Lap_Theta'!$AC1002</f>
        <v/>
      </c>
      <c r="F1002" s="5">
        <f>SUMPRODUCT(('01_Data'!$B1002:$AW1002&lt;&gt;"")*(1/(1+EXP(-('03_Lap_Theta'!$AC1002-'03_Lap_b'!$B$45:$AW$45))))*(1-(1/(1+EXP(-('03_Lap_Theta'!$AC1002-'03_Lap_b'!$B$45:$AW$45))))))</f>
        <v/>
      </c>
      <c r="G1002" s="5">
        <f>IF(F1002&lt;=0.000000001,"",1/SQRT(F1002))</f>
        <v/>
      </c>
      <c r="H1002">
        <f>IF(OR(C1002=0,C1002=D1002),"BIÊN","")</f>
        <v/>
      </c>
    </row>
    <row r="1003">
      <c r="A1003" t="n">
        <v>1002</v>
      </c>
      <c r="B1003">
        <f>'01_Data'!A1003</f>
        <v/>
      </c>
      <c r="C1003">
        <f>'03_Lap_Theta'!C1003</f>
        <v/>
      </c>
      <c r="D1003">
        <f>'03_Lap_Theta'!D1003</f>
        <v/>
      </c>
      <c r="E1003" s="5">
        <f>'03_Lap_Theta'!$AC1003</f>
        <v/>
      </c>
      <c r="F1003" s="5">
        <f>SUMPRODUCT(('01_Data'!$B1003:$AW1003&lt;&gt;"")*(1/(1+EXP(-('03_Lap_Theta'!$AC1003-'03_Lap_b'!$B$45:$AW$45))))*(1-(1/(1+EXP(-('03_Lap_Theta'!$AC1003-'03_Lap_b'!$B$45:$AW$45))))))</f>
        <v/>
      </c>
      <c r="G1003" s="5">
        <f>IF(F1003&lt;=0.000000001,"",1/SQRT(F1003))</f>
        <v/>
      </c>
      <c r="H1003">
        <f>IF(OR(C1003=0,C1003=D1003),"BIÊN","")</f>
        <v/>
      </c>
    </row>
    <row r="1004">
      <c r="A1004" t="n">
        <v>1003</v>
      </c>
      <c r="B1004">
        <f>'01_Data'!A1004</f>
        <v/>
      </c>
      <c r="C1004">
        <f>'03_Lap_Theta'!C1004</f>
        <v/>
      </c>
      <c r="D1004">
        <f>'03_Lap_Theta'!D1004</f>
        <v/>
      </c>
      <c r="E1004" s="5">
        <f>'03_Lap_Theta'!$AC1004</f>
        <v/>
      </c>
      <c r="F1004" s="5">
        <f>SUMPRODUCT(('01_Data'!$B1004:$AW1004&lt;&gt;"")*(1/(1+EXP(-('03_Lap_Theta'!$AC1004-'03_Lap_b'!$B$45:$AW$45))))*(1-(1/(1+EXP(-('03_Lap_Theta'!$AC1004-'03_Lap_b'!$B$45:$AW$45))))))</f>
        <v/>
      </c>
      <c r="G1004" s="5">
        <f>IF(F1004&lt;=0.000000001,"",1/SQRT(F1004))</f>
        <v/>
      </c>
      <c r="H1004">
        <f>IF(OR(C1004=0,C1004=D1004),"BIÊN","")</f>
        <v/>
      </c>
    </row>
    <row r="1005">
      <c r="A1005" t="n">
        <v>1004</v>
      </c>
      <c r="B1005">
        <f>'01_Data'!A1005</f>
        <v/>
      </c>
      <c r="C1005">
        <f>'03_Lap_Theta'!C1005</f>
        <v/>
      </c>
      <c r="D1005">
        <f>'03_Lap_Theta'!D1005</f>
        <v/>
      </c>
      <c r="E1005" s="5">
        <f>'03_Lap_Theta'!$AC1005</f>
        <v/>
      </c>
      <c r="F1005" s="5">
        <f>SUMPRODUCT(('01_Data'!$B1005:$AW1005&lt;&gt;"")*(1/(1+EXP(-('03_Lap_Theta'!$AC1005-'03_Lap_b'!$B$45:$AW$45))))*(1-(1/(1+EXP(-('03_Lap_Theta'!$AC1005-'03_Lap_b'!$B$45:$AW$45))))))</f>
        <v/>
      </c>
      <c r="G1005" s="5">
        <f>IF(F1005&lt;=0.000000001,"",1/SQRT(F1005))</f>
        <v/>
      </c>
      <c r="H1005">
        <f>IF(OR(C1005=0,C1005=D1005),"BIÊN","")</f>
        <v/>
      </c>
    </row>
    <row r="1006">
      <c r="A1006" t="n">
        <v>1005</v>
      </c>
      <c r="B1006">
        <f>'01_Data'!A1006</f>
        <v/>
      </c>
      <c r="C1006">
        <f>'03_Lap_Theta'!C1006</f>
        <v/>
      </c>
      <c r="D1006">
        <f>'03_Lap_Theta'!D1006</f>
        <v/>
      </c>
      <c r="E1006" s="5">
        <f>'03_Lap_Theta'!$AC1006</f>
        <v/>
      </c>
      <c r="F1006" s="5">
        <f>SUMPRODUCT(('01_Data'!$B1006:$AW1006&lt;&gt;"")*(1/(1+EXP(-('03_Lap_Theta'!$AC1006-'03_Lap_b'!$B$45:$AW$45))))*(1-(1/(1+EXP(-('03_Lap_Theta'!$AC1006-'03_Lap_b'!$B$45:$AW$45))))))</f>
        <v/>
      </c>
      <c r="G1006" s="5">
        <f>IF(F1006&lt;=0.000000001,"",1/SQRT(F1006))</f>
        <v/>
      </c>
      <c r="H1006">
        <f>IF(OR(C1006=0,C1006=D1006),"BIÊN","")</f>
        <v/>
      </c>
    </row>
    <row r="1007">
      <c r="A1007" t="n">
        <v>1006</v>
      </c>
      <c r="B1007">
        <f>'01_Data'!A1007</f>
        <v/>
      </c>
      <c r="C1007">
        <f>'03_Lap_Theta'!C1007</f>
        <v/>
      </c>
      <c r="D1007">
        <f>'03_Lap_Theta'!D1007</f>
        <v/>
      </c>
      <c r="E1007" s="5">
        <f>'03_Lap_Theta'!$AC1007</f>
        <v/>
      </c>
      <c r="F1007" s="5">
        <f>SUMPRODUCT(('01_Data'!$B1007:$AW1007&lt;&gt;"")*(1/(1+EXP(-('03_Lap_Theta'!$AC1007-'03_Lap_b'!$B$45:$AW$45))))*(1-(1/(1+EXP(-('03_Lap_Theta'!$AC1007-'03_Lap_b'!$B$45:$AW$45))))))</f>
        <v/>
      </c>
      <c r="G1007" s="5">
        <f>IF(F1007&lt;=0.000000001,"",1/SQRT(F1007))</f>
        <v/>
      </c>
      <c r="H1007">
        <f>IF(OR(C1007=0,C1007=D1007),"BIÊN","")</f>
        <v/>
      </c>
    </row>
    <row r="1008">
      <c r="A1008" t="n">
        <v>1007</v>
      </c>
      <c r="B1008">
        <f>'01_Data'!A1008</f>
        <v/>
      </c>
      <c r="C1008">
        <f>'03_Lap_Theta'!C1008</f>
        <v/>
      </c>
      <c r="D1008">
        <f>'03_Lap_Theta'!D1008</f>
        <v/>
      </c>
      <c r="E1008" s="5">
        <f>'03_Lap_Theta'!$AC1008</f>
        <v/>
      </c>
      <c r="F1008" s="5">
        <f>SUMPRODUCT(('01_Data'!$B1008:$AW1008&lt;&gt;"")*(1/(1+EXP(-('03_Lap_Theta'!$AC1008-'03_Lap_b'!$B$45:$AW$45))))*(1-(1/(1+EXP(-('03_Lap_Theta'!$AC1008-'03_Lap_b'!$B$45:$AW$45))))))</f>
        <v/>
      </c>
      <c r="G1008" s="5">
        <f>IF(F1008&lt;=0.000000001,"",1/SQRT(F1008))</f>
        <v/>
      </c>
      <c r="H1008">
        <f>IF(OR(C1008=0,C1008=D1008),"BIÊN","")</f>
        <v/>
      </c>
    </row>
    <row r="1009">
      <c r="A1009" t="n">
        <v>1008</v>
      </c>
      <c r="B1009">
        <f>'01_Data'!A1009</f>
        <v/>
      </c>
      <c r="C1009">
        <f>'03_Lap_Theta'!C1009</f>
        <v/>
      </c>
      <c r="D1009">
        <f>'03_Lap_Theta'!D1009</f>
        <v/>
      </c>
      <c r="E1009" s="5">
        <f>'03_Lap_Theta'!$AC1009</f>
        <v/>
      </c>
      <c r="F1009" s="5">
        <f>SUMPRODUCT(('01_Data'!$B1009:$AW1009&lt;&gt;"")*(1/(1+EXP(-('03_Lap_Theta'!$AC1009-'03_Lap_b'!$B$45:$AW$45))))*(1-(1/(1+EXP(-('03_Lap_Theta'!$AC1009-'03_Lap_b'!$B$45:$AW$45))))))</f>
        <v/>
      </c>
      <c r="G1009" s="5">
        <f>IF(F1009&lt;=0.000000001,"",1/SQRT(F1009))</f>
        <v/>
      </c>
      <c r="H1009">
        <f>IF(OR(C1009=0,C1009=D1009),"BIÊN","")</f>
        <v/>
      </c>
    </row>
    <row r="1010">
      <c r="A1010" t="n">
        <v>1009</v>
      </c>
      <c r="B1010">
        <f>'01_Data'!A1010</f>
        <v/>
      </c>
      <c r="C1010">
        <f>'03_Lap_Theta'!C1010</f>
        <v/>
      </c>
      <c r="D1010">
        <f>'03_Lap_Theta'!D1010</f>
        <v/>
      </c>
      <c r="E1010" s="5">
        <f>'03_Lap_Theta'!$AC1010</f>
        <v/>
      </c>
      <c r="F1010" s="5">
        <f>SUMPRODUCT(('01_Data'!$B1010:$AW1010&lt;&gt;"")*(1/(1+EXP(-('03_Lap_Theta'!$AC1010-'03_Lap_b'!$B$45:$AW$45))))*(1-(1/(1+EXP(-('03_Lap_Theta'!$AC1010-'03_Lap_b'!$B$45:$AW$45))))))</f>
        <v/>
      </c>
      <c r="G1010" s="5">
        <f>IF(F1010&lt;=0.000000001,"",1/SQRT(F1010))</f>
        <v/>
      </c>
      <c r="H1010">
        <f>IF(OR(C1010=0,C1010=D1010),"BIÊN","")</f>
        <v/>
      </c>
    </row>
    <row r="1011">
      <c r="A1011" t="n">
        <v>1010</v>
      </c>
      <c r="B1011">
        <f>'01_Data'!A1011</f>
        <v/>
      </c>
      <c r="C1011">
        <f>'03_Lap_Theta'!C1011</f>
        <v/>
      </c>
      <c r="D1011">
        <f>'03_Lap_Theta'!D1011</f>
        <v/>
      </c>
      <c r="E1011" s="5">
        <f>'03_Lap_Theta'!$AC1011</f>
        <v/>
      </c>
      <c r="F1011" s="5">
        <f>SUMPRODUCT(('01_Data'!$B1011:$AW1011&lt;&gt;"")*(1/(1+EXP(-('03_Lap_Theta'!$AC1011-'03_Lap_b'!$B$45:$AW$45))))*(1-(1/(1+EXP(-('03_Lap_Theta'!$AC1011-'03_Lap_b'!$B$45:$AW$45))))))</f>
        <v/>
      </c>
      <c r="G1011" s="5">
        <f>IF(F1011&lt;=0.000000001,"",1/SQRT(F1011))</f>
        <v/>
      </c>
      <c r="H1011">
        <f>IF(OR(C1011=0,C1011=D1011),"BIÊN","")</f>
        <v/>
      </c>
    </row>
    <row r="1012">
      <c r="A1012" t="n">
        <v>1011</v>
      </c>
      <c r="B1012">
        <f>'01_Data'!A1012</f>
        <v/>
      </c>
      <c r="C1012">
        <f>'03_Lap_Theta'!C1012</f>
        <v/>
      </c>
      <c r="D1012">
        <f>'03_Lap_Theta'!D1012</f>
        <v/>
      </c>
      <c r="E1012" s="5">
        <f>'03_Lap_Theta'!$AC1012</f>
        <v/>
      </c>
      <c r="F1012" s="5">
        <f>SUMPRODUCT(('01_Data'!$B1012:$AW1012&lt;&gt;"")*(1/(1+EXP(-('03_Lap_Theta'!$AC1012-'03_Lap_b'!$B$45:$AW$45))))*(1-(1/(1+EXP(-('03_Lap_Theta'!$AC1012-'03_Lap_b'!$B$45:$AW$45))))))</f>
        <v/>
      </c>
      <c r="G1012" s="5">
        <f>IF(F1012&lt;=0.000000001,"",1/SQRT(F1012))</f>
        <v/>
      </c>
      <c r="H1012">
        <f>IF(OR(C1012=0,C1012=D1012),"BIÊN","")</f>
        <v/>
      </c>
    </row>
    <row r="1013">
      <c r="A1013" t="n">
        <v>1012</v>
      </c>
      <c r="B1013">
        <f>'01_Data'!A1013</f>
        <v/>
      </c>
      <c r="C1013">
        <f>'03_Lap_Theta'!C1013</f>
        <v/>
      </c>
      <c r="D1013">
        <f>'03_Lap_Theta'!D1013</f>
        <v/>
      </c>
      <c r="E1013" s="5">
        <f>'03_Lap_Theta'!$AC1013</f>
        <v/>
      </c>
      <c r="F1013" s="5">
        <f>SUMPRODUCT(('01_Data'!$B1013:$AW1013&lt;&gt;"")*(1/(1+EXP(-('03_Lap_Theta'!$AC1013-'03_Lap_b'!$B$45:$AW$45))))*(1-(1/(1+EXP(-('03_Lap_Theta'!$AC1013-'03_Lap_b'!$B$45:$AW$45))))))</f>
        <v/>
      </c>
      <c r="G1013" s="5">
        <f>IF(F1013&lt;=0.000000001,"",1/SQRT(F1013))</f>
        <v/>
      </c>
      <c r="H1013">
        <f>IF(OR(C1013=0,C1013=D1013),"BIÊN","")</f>
        <v/>
      </c>
    </row>
    <row r="1014">
      <c r="A1014" t="n">
        <v>1013</v>
      </c>
      <c r="B1014">
        <f>'01_Data'!A1014</f>
        <v/>
      </c>
      <c r="C1014">
        <f>'03_Lap_Theta'!C1014</f>
        <v/>
      </c>
      <c r="D1014">
        <f>'03_Lap_Theta'!D1014</f>
        <v/>
      </c>
      <c r="E1014" s="5">
        <f>'03_Lap_Theta'!$AC1014</f>
        <v/>
      </c>
      <c r="F1014" s="5">
        <f>SUMPRODUCT(('01_Data'!$B1014:$AW1014&lt;&gt;"")*(1/(1+EXP(-('03_Lap_Theta'!$AC1014-'03_Lap_b'!$B$45:$AW$45))))*(1-(1/(1+EXP(-('03_Lap_Theta'!$AC1014-'03_Lap_b'!$B$45:$AW$45))))))</f>
        <v/>
      </c>
      <c r="G1014" s="5">
        <f>IF(F1014&lt;=0.000000001,"",1/SQRT(F1014))</f>
        <v/>
      </c>
      <c r="H1014">
        <f>IF(OR(C1014=0,C1014=D1014),"BIÊN","")</f>
        <v/>
      </c>
    </row>
    <row r="1015">
      <c r="A1015" t="n">
        <v>1014</v>
      </c>
      <c r="B1015">
        <f>'01_Data'!A1015</f>
        <v/>
      </c>
      <c r="C1015">
        <f>'03_Lap_Theta'!C1015</f>
        <v/>
      </c>
      <c r="D1015">
        <f>'03_Lap_Theta'!D1015</f>
        <v/>
      </c>
      <c r="E1015" s="5">
        <f>'03_Lap_Theta'!$AC1015</f>
        <v/>
      </c>
      <c r="F1015" s="5">
        <f>SUMPRODUCT(('01_Data'!$B1015:$AW1015&lt;&gt;"")*(1/(1+EXP(-('03_Lap_Theta'!$AC1015-'03_Lap_b'!$B$45:$AW$45))))*(1-(1/(1+EXP(-('03_Lap_Theta'!$AC1015-'03_Lap_b'!$B$45:$AW$45))))))</f>
        <v/>
      </c>
      <c r="G1015" s="5">
        <f>IF(F1015&lt;=0.000000001,"",1/SQRT(F1015))</f>
        <v/>
      </c>
      <c r="H1015">
        <f>IF(OR(C1015=0,C1015=D1015),"BIÊN","")</f>
        <v/>
      </c>
    </row>
    <row r="1016">
      <c r="A1016" t="n">
        <v>1015</v>
      </c>
      <c r="B1016">
        <f>'01_Data'!A1016</f>
        <v/>
      </c>
      <c r="C1016">
        <f>'03_Lap_Theta'!C1016</f>
        <v/>
      </c>
      <c r="D1016">
        <f>'03_Lap_Theta'!D1016</f>
        <v/>
      </c>
      <c r="E1016" s="5">
        <f>'03_Lap_Theta'!$AC1016</f>
        <v/>
      </c>
      <c r="F1016" s="5">
        <f>SUMPRODUCT(('01_Data'!$B1016:$AW1016&lt;&gt;"")*(1/(1+EXP(-('03_Lap_Theta'!$AC1016-'03_Lap_b'!$B$45:$AW$45))))*(1-(1/(1+EXP(-('03_Lap_Theta'!$AC1016-'03_Lap_b'!$B$45:$AW$45))))))</f>
        <v/>
      </c>
      <c r="G1016" s="5">
        <f>IF(F1016&lt;=0.000000001,"",1/SQRT(F1016))</f>
        <v/>
      </c>
      <c r="H1016">
        <f>IF(OR(C1016=0,C1016=D1016),"BIÊN","")</f>
        <v/>
      </c>
    </row>
    <row r="1017">
      <c r="A1017" t="n">
        <v>1016</v>
      </c>
      <c r="B1017">
        <f>'01_Data'!A1017</f>
        <v/>
      </c>
      <c r="C1017">
        <f>'03_Lap_Theta'!C1017</f>
        <v/>
      </c>
      <c r="D1017">
        <f>'03_Lap_Theta'!D1017</f>
        <v/>
      </c>
      <c r="E1017" s="5">
        <f>'03_Lap_Theta'!$AC1017</f>
        <v/>
      </c>
      <c r="F1017" s="5">
        <f>SUMPRODUCT(('01_Data'!$B1017:$AW1017&lt;&gt;"")*(1/(1+EXP(-('03_Lap_Theta'!$AC1017-'03_Lap_b'!$B$45:$AW$45))))*(1-(1/(1+EXP(-('03_Lap_Theta'!$AC1017-'03_Lap_b'!$B$45:$AW$45))))))</f>
        <v/>
      </c>
      <c r="G1017" s="5">
        <f>IF(F1017&lt;=0.000000001,"",1/SQRT(F1017))</f>
        <v/>
      </c>
      <c r="H1017">
        <f>IF(OR(C1017=0,C1017=D1017),"BIÊN","")</f>
        <v/>
      </c>
    </row>
    <row r="1018">
      <c r="A1018" t="n">
        <v>1017</v>
      </c>
      <c r="B1018">
        <f>'01_Data'!A1018</f>
        <v/>
      </c>
      <c r="C1018">
        <f>'03_Lap_Theta'!C1018</f>
        <v/>
      </c>
      <c r="D1018">
        <f>'03_Lap_Theta'!D1018</f>
        <v/>
      </c>
      <c r="E1018" s="5">
        <f>'03_Lap_Theta'!$AC1018</f>
        <v/>
      </c>
      <c r="F1018" s="5">
        <f>SUMPRODUCT(('01_Data'!$B1018:$AW1018&lt;&gt;"")*(1/(1+EXP(-('03_Lap_Theta'!$AC1018-'03_Lap_b'!$B$45:$AW$45))))*(1-(1/(1+EXP(-('03_Lap_Theta'!$AC1018-'03_Lap_b'!$B$45:$AW$45))))))</f>
        <v/>
      </c>
      <c r="G1018" s="5">
        <f>IF(F1018&lt;=0.000000001,"",1/SQRT(F1018))</f>
        <v/>
      </c>
      <c r="H1018">
        <f>IF(OR(C1018=0,C1018=D1018),"BIÊN","")</f>
        <v/>
      </c>
    </row>
    <row r="1019">
      <c r="A1019" t="n">
        <v>1018</v>
      </c>
      <c r="B1019">
        <f>'01_Data'!A1019</f>
        <v/>
      </c>
      <c r="C1019">
        <f>'03_Lap_Theta'!C1019</f>
        <v/>
      </c>
      <c r="D1019">
        <f>'03_Lap_Theta'!D1019</f>
        <v/>
      </c>
      <c r="E1019" s="5">
        <f>'03_Lap_Theta'!$AC1019</f>
        <v/>
      </c>
      <c r="F1019" s="5">
        <f>SUMPRODUCT(('01_Data'!$B1019:$AW1019&lt;&gt;"")*(1/(1+EXP(-('03_Lap_Theta'!$AC1019-'03_Lap_b'!$B$45:$AW$45))))*(1-(1/(1+EXP(-('03_Lap_Theta'!$AC1019-'03_Lap_b'!$B$45:$AW$45))))))</f>
        <v/>
      </c>
      <c r="G1019" s="5">
        <f>IF(F1019&lt;=0.000000001,"",1/SQRT(F1019))</f>
        <v/>
      </c>
      <c r="H1019">
        <f>IF(OR(C1019=0,C1019=D1019),"BIÊN","")</f>
        <v/>
      </c>
    </row>
    <row r="1020">
      <c r="A1020" t="n">
        <v>1019</v>
      </c>
      <c r="B1020">
        <f>'01_Data'!A1020</f>
        <v/>
      </c>
      <c r="C1020">
        <f>'03_Lap_Theta'!C1020</f>
        <v/>
      </c>
      <c r="D1020">
        <f>'03_Lap_Theta'!D1020</f>
        <v/>
      </c>
      <c r="E1020" s="5">
        <f>'03_Lap_Theta'!$AC1020</f>
        <v/>
      </c>
      <c r="F1020" s="5">
        <f>SUMPRODUCT(('01_Data'!$B1020:$AW1020&lt;&gt;"")*(1/(1+EXP(-('03_Lap_Theta'!$AC1020-'03_Lap_b'!$B$45:$AW$45))))*(1-(1/(1+EXP(-('03_Lap_Theta'!$AC1020-'03_Lap_b'!$B$45:$AW$45))))))</f>
        <v/>
      </c>
      <c r="G1020" s="5">
        <f>IF(F1020&lt;=0.000000001,"",1/SQRT(F1020))</f>
        <v/>
      </c>
      <c r="H1020">
        <f>IF(OR(C1020=0,C1020=D1020),"BIÊN","")</f>
        <v/>
      </c>
    </row>
    <row r="1021">
      <c r="A1021" t="n">
        <v>1020</v>
      </c>
      <c r="B1021">
        <f>'01_Data'!A1021</f>
        <v/>
      </c>
      <c r="C1021">
        <f>'03_Lap_Theta'!C1021</f>
        <v/>
      </c>
      <c r="D1021">
        <f>'03_Lap_Theta'!D1021</f>
        <v/>
      </c>
      <c r="E1021" s="5">
        <f>'03_Lap_Theta'!$AC1021</f>
        <v/>
      </c>
      <c r="F1021" s="5">
        <f>SUMPRODUCT(('01_Data'!$B1021:$AW1021&lt;&gt;"")*(1/(1+EXP(-('03_Lap_Theta'!$AC1021-'03_Lap_b'!$B$45:$AW$45))))*(1-(1/(1+EXP(-('03_Lap_Theta'!$AC1021-'03_Lap_b'!$B$45:$AW$45))))))</f>
        <v/>
      </c>
      <c r="G1021" s="5">
        <f>IF(F1021&lt;=0.000000001,"",1/SQRT(F1021))</f>
        <v/>
      </c>
      <c r="H1021">
        <f>IF(OR(C1021=0,C1021=D1021),"BIÊN","")</f>
        <v/>
      </c>
    </row>
    <row r="1022">
      <c r="A1022" t="n">
        <v>1021</v>
      </c>
      <c r="B1022">
        <f>'01_Data'!A1022</f>
        <v/>
      </c>
      <c r="C1022">
        <f>'03_Lap_Theta'!C1022</f>
        <v/>
      </c>
      <c r="D1022">
        <f>'03_Lap_Theta'!D1022</f>
        <v/>
      </c>
      <c r="E1022" s="5">
        <f>'03_Lap_Theta'!$AC1022</f>
        <v/>
      </c>
      <c r="F1022" s="5">
        <f>SUMPRODUCT(('01_Data'!$B1022:$AW1022&lt;&gt;"")*(1/(1+EXP(-('03_Lap_Theta'!$AC1022-'03_Lap_b'!$B$45:$AW$45))))*(1-(1/(1+EXP(-('03_Lap_Theta'!$AC1022-'03_Lap_b'!$B$45:$AW$45))))))</f>
        <v/>
      </c>
      <c r="G1022" s="5">
        <f>IF(F1022&lt;=0.000000001,"",1/SQRT(F1022))</f>
        <v/>
      </c>
      <c r="H1022">
        <f>IF(OR(C1022=0,C1022=D1022),"BIÊN","")</f>
        <v/>
      </c>
    </row>
    <row r="1023">
      <c r="A1023" t="n">
        <v>1022</v>
      </c>
      <c r="B1023">
        <f>'01_Data'!A1023</f>
        <v/>
      </c>
      <c r="C1023">
        <f>'03_Lap_Theta'!C1023</f>
        <v/>
      </c>
      <c r="D1023">
        <f>'03_Lap_Theta'!D1023</f>
        <v/>
      </c>
      <c r="E1023" s="5">
        <f>'03_Lap_Theta'!$AC1023</f>
        <v/>
      </c>
      <c r="F1023" s="5">
        <f>SUMPRODUCT(('01_Data'!$B1023:$AW1023&lt;&gt;"")*(1/(1+EXP(-('03_Lap_Theta'!$AC1023-'03_Lap_b'!$B$45:$AW$45))))*(1-(1/(1+EXP(-('03_Lap_Theta'!$AC1023-'03_Lap_b'!$B$45:$AW$45))))))</f>
        <v/>
      </c>
      <c r="G1023" s="5">
        <f>IF(F1023&lt;=0.000000001,"",1/SQRT(F1023))</f>
        <v/>
      </c>
      <c r="H1023">
        <f>IF(OR(C1023=0,C1023=D1023),"BIÊN","")</f>
        <v/>
      </c>
    </row>
    <row r="1024">
      <c r="A1024" t="n">
        <v>1023</v>
      </c>
      <c r="B1024">
        <f>'01_Data'!A1024</f>
        <v/>
      </c>
      <c r="C1024">
        <f>'03_Lap_Theta'!C1024</f>
        <v/>
      </c>
      <c r="D1024">
        <f>'03_Lap_Theta'!D1024</f>
        <v/>
      </c>
      <c r="E1024" s="5">
        <f>'03_Lap_Theta'!$AC1024</f>
        <v/>
      </c>
      <c r="F1024" s="5">
        <f>SUMPRODUCT(('01_Data'!$B1024:$AW1024&lt;&gt;"")*(1/(1+EXP(-('03_Lap_Theta'!$AC1024-'03_Lap_b'!$B$45:$AW$45))))*(1-(1/(1+EXP(-('03_Lap_Theta'!$AC1024-'03_Lap_b'!$B$45:$AW$45))))))</f>
        <v/>
      </c>
      <c r="G1024" s="5">
        <f>IF(F1024&lt;=0.000000001,"",1/SQRT(F1024))</f>
        <v/>
      </c>
      <c r="H1024">
        <f>IF(OR(C1024=0,C1024=D1024),"BIÊN","")</f>
        <v/>
      </c>
    </row>
    <row r="1025">
      <c r="A1025" t="n">
        <v>1024</v>
      </c>
      <c r="B1025">
        <f>'01_Data'!A1025</f>
        <v/>
      </c>
      <c r="C1025">
        <f>'03_Lap_Theta'!C1025</f>
        <v/>
      </c>
      <c r="D1025">
        <f>'03_Lap_Theta'!D1025</f>
        <v/>
      </c>
      <c r="E1025" s="5">
        <f>'03_Lap_Theta'!$AC1025</f>
        <v/>
      </c>
      <c r="F1025" s="5">
        <f>SUMPRODUCT(('01_Data'!$B1025:$AW1025&lt;&gt;"")*(1/(1+EXP(-('03_Lap_Theta'!$AC1025-'03_Lap_b'!$B$45:$AW$45))))*(1-(1/(1+EXP(-('03_Lap_Theta'!$AC1025-'03_Lap_b'!$B$45:$AW$45))))))</f>
        <v/>
      </c>
      <c r="G1025" s="5">
        <f>IF(F1025&lt;=0.000000001,"",1/SQRT(F1025))</f>
        <v/>
      </c>
      <c r="H1025">
        <f>IF(OR(C1025=0,C1025=D1025),"BIÊN","")</f>
        <v/>
      </c>
    </row>
    <row r="1026">
      <c r="A1026" t="n">
        <v>1025</v>
      </c>
      <c r="B1026">
        <f>'01_Data'!A1026</f>
        <v/>
      </c>
      <c r="C1026">
        <f>'03_Lap_Theta'!C1026</f>
        <v/>
      </c>
      <c r="D1026">
        <f>'03_Lap_Theta'!D1026</f>
        <v/>
      </c>
      <c r="E1026" s="5">
        <f>'03_Lap_Theta'!$AC1026</f>
        <v/>
      </c>
      <c r="F1026" s="5">
        <f>SUMPRODUCT(('01_Data'!$B1026:$AW1026&lt;&gt;"")*(1/(1+EXP(-('03_Lap_Theta'!$AC1026-'03_Lap_b'!$B$45:$AW$45))))*(1-(1/(1+EXP(-('03_Lap_Theta'!$AC1026-'03_Lap_b'!$B$45:$AW$45))))))</f>
        <v/>
      </c>
      <c r="G1026" s="5">
        <f>IF(F1026&lt;=0.000000001,"",1/SQRT(F1026))</f>
        <v/>
      </c>
      <c r="H1026">
        <f>IF(OR(C1026=0,C1026=D1026),"BIÊN","")</f>
        <v/>
      </c>
    </row>
    <row r="1027">
      <c r="A1027" t="n">
        <v>1026</v>
      </c>
      <c r="B1027">
        <f>'01_Data'!A1027</f>
        <v/>
      </c>
      <c r="C1027">
        <f>'03_Lap_Theta'!C1027</f>
        <v/>
      </c>
      <c r="D1027">
        <f>'03_Lap_Theta'!D1027</f>
        <v/>
      </c>
      <c r="E1027" s="5">
        <f>'03_Lap_Theta'!$AC1027</f>
        <v/>
      </c>
      <c r="F1027" s="5">
        <f>SUMPRODUCT(('01_Data'!$B1027:$AW1027&lt;&gt;"")*(1/(1+EXP(-('03_Lap_Theta'!$AC1027-'03_Lap_b'!$B$45:$AW$45))))*(1-(1/(1+EXP(-('03_Lap_Theta'!$AC1027-'03_Lap_b'!$B$45:$AW$45))))))</f>
        <v/>
      </c>
      <c r="G1027" s="5">
        <f>IF(F1027&lt;=0.000000001,"",1/SQRT(F1027))</f>
        <v/>
      </c>
      <c r="H1027">
        <f>IF(OR(C1027=0,C1027=D1027),"BIÊN","")</f>
        <v/>
      </c>
    </row>
    <row r="1028">
      <c r="A1028" t="n">
        <v>1027</v>
      </c>
      <c r="B1028">
        <f>'01_Data'!A1028</f>
        <v/>
      </c>
      <c r="C1028">
        <f>'03_Lap_Theta'!C1028</f>
        <v/>
      </c>
      <c r="D1028">
        <f>'03_Lap_Theta'!D1028</f>
        <v/>
      </c>
      <c r="E1028" s="5">
        <f>'03_Lap_Theta'!$AC1028</f>
        <v/>
      </c>
      <c r="F1028" s="5">
        <f>SUMPRODUCT(('01_Data'!$B1028:$AW1028&lt;&gt;"")*(1/(1+EXP(-('03_Lap_Theta'!$AC1028-'03_Lap_b'!$B$45:$AW$45))))*(1-(1/(1+EXP(-('03_Lap_Theta'!$AC1028-'03_Lap_b'!$B$45:$AW$45))))))</f>
        <v/>
      </c>
      <c r="G1028" s="5">
        <f>IF(F1028&lt;=0.000000001,"",1/SQRT(F1028))</f>
        <v/>
      </c>
      <c r="H1028">
        <f>IF(OR(C1028=0,C1028=D1028),"BIÊN","")</f>
        <v/>
      </c>
    </row>
    <row r="1029">
      <c r="A1029" t="n">
        <v>1028</v>
      </c>
      <c r="B1029">
        <f>'01_Data'!A1029</f>
        <v/>
      </c>
      <c r="C1029">
        <f>'03_Lap_Theta'!C1029</f>
        <v/>
      </c>
      <c r="D1029">
        <f>'03_Lap_Theta'!D1029</f>
        <v/>
      </c>
      <c r="E1029" s="5">
        <f>'03_Lap_Theta'!$AC1029</f>
        <v/>
      </c>
      <c r="F1029" s="5">
        <f>SUMPRODUCT(('01_Data'!$B1029:$AW1029&lt;&gt;"")*(1/(1+EXP(-('03_Lap_Theta'!$AC1029-'03_Lap_b'!$B$45:$AW$45))))*(1-(1/(1+EXP(-('03_Lap_Theta'!$AC1029-'03_Lap_b'!$B$45:$AW$45))))))</f>
        <v/>
      </c>
      <c r="G1029" s="5">
        <f>IF(F1029&lt;=0.000000001,"",1/SQRT(F1029))</f>
        <v/>
      </c>
      <c r="H1029">
        <f>IF(OR(C1029=0,C1029=D1029),"BIÊN","")</f>
        <v/>
      </c>
    </row>
    <row r="1030">
      <c r="A1030" t="n">
        <v>1029</v>
      </c>
      <c r="B1030">
        <f>'01_Data'!A1030</f>
        <v/>
      </c>
      <c r="C1030">
        <f>'03_Lap_Theta'!C1030</f>
        <v/>
      </c>
      <c r="D1030">
        <f>'03_Lap_Theta'!D1030</f>
        <v/>
      </c>
      <c r="E1030" s="5">
        <f>'03_Lap_Theta'!$AC1030</f>
        <v/>
      </c>
      <c r="F1030" s="5">
        <f>SUMPRODUCT(('01_Data'!$B1030:$AW1030&lt;&gt;"")*(1/(1+EXP(-('03_Lap_Theta'!$AC1030-'03_Lap_b'!$B$45:$AW$45))))*(1-(1/(1+EXP(-('03_Lap_Theta'!$AC1030-'03_Lap_b'!$B$45:$AW$45))))))</f>
        <v/>
      </c>
      <c r="G1030" s="5">
        <f>IF(F1030&lt;=0.000000001,"",1/SQRT(F1030))</f>
        <v/>
      </c>
      <c r="H1030">
        <f>IF(OR(C1030=0,C1030=D1030),"BIÊN","")</f>
        <v/>
      </c>
    </row>
    <row r="1031">
      <c r="A1031" t="n">
        <v>1030</v>
      </c>
      <c r="B1031">
        <f>'01_Data'!A1031</f>
        <v/>
      </c>
      <c r="C1031">
        <f>'03_Lap_Theta'!C1031</f>
        <v/>
      </c>
      <c r="D1031">
        <f>'03_Lap_Theta'!D1031</f>
        <v/>
      </c>
      <c r="E1031" s="5">
        <f>'03_Lap_Theta'!$AC1031</f>
        <v/>
      </c>
      <c r="F1031" s="5">
        <f>SUMPRODUCT(('01_Data'!$B1031:$AW1031&lt;&gt;"")*(1/(1+EXP(-('03_Lap_Theta'!$AC1031-'03_Lap_b'!$B$45:$AW$45))))*(1-(1/(1+EXP(-('03_Lap_Theta'!$AC1031-'03_Lap_b'!$B$45:$AW$45))))))</f>
        <v/>
      </c>
      <c r="G1031" s="5">
        <f>IF(F1031&lt;=0.000000001,"",1/SQRT(F1031))</f>
        <v/>
      </c>
      <c r="H1031">
        <f>IF(OR(C1031=0,C1031=D1031),"BIÊN","")</f>
        <v/>
      </c>
    </row>
    <row r="1032">
      <c r="A1032" t="n">
        <v>1031</v>
      </c>
      <c r="B1032">
        <f>'01_Data'!A1032</f>
        <v/>
      </c>
      <c r="C1032">
        <f>'03_Lap_Theta'!C1032</f>
        <v/>
      </c>
      <c r="D1032">
        <f>'03_Lap_Theta'!D1032</f>
        <v/>
      </c>
      <c r="E1032" s="5">
        <f>'03_Lap_Theta'!$AC1032</f>
        <v/>
      </c>
      <c r="F1032" s="5">
        <f>SUMPRODUCT(('01_Data'!$B1032:$AW1032&lt;&gt;"")*(1/(1+EXP(-('03_Lap_Theta'!$AC1032-'03_Lap_b'!$B$45:$AW$45))))*(1-(1/(1+EXP(-('03_Lap_Theta'!$AC1032-'03_Lap_b'!$B$45:$AW$45))))))</f>
        <v/>
      </c>
      <c r="G1032" s="5">
        <f>IF(F1032&lt;=0.000000001,"",1/SQRT(F1032))</f>
        <v/>
      </c>
      <c r="H1032">
        <f>IF(OR(C1032=0,C1032=D1032),"BIÊN","")</f>
        <v/>
      </c>
    </row>
    <row r="1033">
      <c r="A1033" t="n">
        <v>1032</v>
      </c>
      <c r="B1033">
        <f>'01_Data'!A1033</f>
        <v/>
      </c>
      <c r="C1033">
        <f>'03_Lap_Theta'!C1033</f>
        <v/>
      </c>
      <c r="D1033">
        <f>'03_Lap_Theta'!D1033</f>
        <v/>
      </c>
      <c r="E1033" s="5">
        <f>'03_Lap_Theta'!$AC1033</f>
        <v/>
      </c>
      <c r="F1033" s="5">
        <f>SUMPRODUCT(('01_Data'!$B1033:$AW1033&lt;&gt;"")*(1/(1+EXP(-('03_Lap_Theta'!$AC1033-'03_Lap_b'!$B$45:$AW$45))))*(1-(1/(1+EXP(-('03_Lap_Theta'!$AC1033-'03_Lap_b'!$B$45:$AW$45))))))</f>
        <v/>
      </c>
      <c r="G1033" s="5">
        <f>IF(F1033&lt;=0.000000001,"",1/SQRT(F1033))</f>
        <v/>
      </c>
      <c r="H1033">
        <f>IF(OR(C1033=0,C1033=D1033),"BIÊN","")</f>
        <v/>
      </c>
    </row>
    <row r="1034">
      <c r="A1034" t="n">
        <v>1033</v>
      </c>
      <c r="B1034">
        <f>'01_Data'!A1034</f>
        <v/>
      </c>
      <c r="C1034">
        <f>'03_Lap_Theta'!C1034</f>
        <v/>
      </c>
      <c r="D1034">
        <f>'03_Lap_Theta'!D1034</f>
        <v/>
      </c>
      <c r="E1034" s="5">
        <f>'03_Lap_Theta'!$AC1034</f>
        <v/>
      </c>
      <c r="F1034" s="5">
        <f>SUMPRODUCT(('01_Data'!$B1034:$AW1034&lt;&gt;"")*(1/(1+EXP(-('03_Lap_Theta'!$AC1034-'03_Lap_b'!$B$45:$AW$45))))*(1-(1/(1+EXP(-('03_Lap_Theta'!$AC1034-'03_Lap_b'!$B$45:$AW$45))))))</f>
        <v/>
      </c>
      <c r="G1034" s="5">
        <f>IF(F1034&lt;=0.000000001,"",1/SQRT(F1034))</f>
        <v/>
      </c>
      <c r="H1034">
        <f>IF(OR(C1034=0,C1034=D1034),"BIÊN","")</f>
        <v/>
      </c>
    </row>
    <row r="1035">
      <c r="A1035" t="n">
        <v>1034</v>
      </c>
      <c r="B1035">
        <f>'01_Data'!A1035</f>
        <v/>
      </c>
      <c r="C1035">
        <f>'03_Lap_Theta'!C1035</f>
        <v/>
      </c>
      <c r="D1035">
        <f>'03_Lap_Theta'!D1035</f>
        <v/>
      </c>
      <c r="E1035" s="5">
        <f>'03_Lap_Theta'!$AC1035</f>
        <v/>
      </c>
      <c r="F1035" s="5">
        <f>SUMPRODUCT(('01_Data'!$B1035:$AW1035&lt;&gt;"")*(1/(1+EXP(-('03_Lap_Theta'!$AC1035-'03_Lap_b'!$B$45:$AW$45))))*(1-(1/(1+EXP(-('03_Lap_Theta'!$AC1035-'03_Lap_b'!$B$45:$AW$45))))))</f>
        <v/>
      </c>
      <c r="G1035" s="5">
        <f>IF(F1035&lt;=0.000000001,"",1/SQRT(F1035))</f>
        <v/>
      </c>
      <c r="H1035">
        <f>IF(OR(C1035=0,C1035=D1035),"BIÊN","")</f>
        <v/>
      </c>
    </row>
    <row r="1036">
      <c r="A1036" t="n">
        <v>1035</v>
      </c>
      <c r="B1036">
        <f>'01_Data'!A1036</f>
        <v/>
      </c>
      <c r="C1036">
        <f>'03_Lap_Theta'!C1036</f>
        <v/>
      </c>
      <c r="D1036">
        <f>'03_Lap_Theta'!D1036</f>
        <v/>
      </c>
      <c r="E1036" s="5">
        <f>'03_Lap_Theta'!$AC1036</f>
        <v/>
      </c>
      <c r="F1036" s="5">
        <f>SUMPRODUCT(('01_Data'!$B1036:$AW1036&lt;&gt;"")*(1/(1+EXP(-('03_Lap_Theta'!$AC1036-'03_Lap_b'!$B$45:$AW$45))))*(1-(1/(1+EXP(-('03_Lap_Theta'!$AC1036-'03_Lap_b'!$B$45:$AW$45))))))</f>
        <v/>
      </c>
      <c r="G1036" s="5">
        <f>IF(F1036&lt;=0.000000001,"",1/SQRT(F1036))</f>
        <v/>
      </c>
      <c r="H1036">
        <f>IF(OR(C1036=0,C1036=D1036),"BIÊN","")</f>
        <v/>
      </c>
    </row>
    <row r="1037">
      <c r="A1037" t="n">
        <v>1036</v>
      </c>
      <c r="B1037">
        <f>'01_Data'!A1037</f>
        <v/>
      </c>
      <c r="C1037">
        <f>'03_Lap_Theta'!C1037</f>
        <v/>
      </c>
      <c r="D1037">
        <f>'03_Lap_Theta'!D1037</f>
        <v/>
      </c>
      <c r="E1037" s="5">
        <f>'03_Lap_Theta'!$AC1037</f>
        <v/>
      </c>
      <c r="F1037" s="5">
        <f>SUMPRODUCT(('01_Data'!$B1037:$AW1037&lt;&gt;"")*(1/(1+EXP(-('03_Lap_Theta'!$AC1037-'03_Lap_b'!$B$45:$AW$45))))*(1-(1/(1+EXP(-('03_Lap_Theta'!$AC1037-'03_Lap_b'!$B$45:$AW$45))))))</f>
        <v/>
      </c>
      <c r="G1037" s="5">
        <f>IF(F1037&lt;=0.000000001,"",1/SQRT(F1037))</f>
        <v/>
      </c>
      <c r="H1037">
        <f>IF(OR(C1037=0,C1037=D1037),"BIÊN","")</f>
        <v/>
      </c>
    </row>
    <row r="1038">
      <c r="A1038" t="n">
        <v>1037</v>
      </c>
      <c r="B1038">
        <f>'01_Data'!A1038</f>
        <v/>
      </c>
      <c r="C1038">
        <f>'03_Lap_Theta'!C1038</f>
        <v/>
      </c>
      <c r="D1038">
        <f>'03_Lap_Theta'!D1038</f>
        <v/>
      </c>
      <c r="E1038" s="5">
        <f>'03_Lap_Theta'!$AC1038</f>
        <v/>
      </c>
      <c r="F1038" s="5">
        <f>SUMPRODUCT(('01_Data'!$B1038:$AW1038&lt;&gt;"")*(1/(1+EXP(-('03_Lap_Theta'!$AC1038-'03_Lap_b'!$B$45:$AW$45))))*(1-(1/(1+EXP(-('03_Lap_Theta'!$AC1038-'03_Lap_b'!$B$45:$AW$45))))))</f>
        <v/>
      </c>
      <c r="G1038" s="5">
        <f>IF(F1038&lt;=0.000000001,"",1/SQRT(F1038))</f>
        <v/>
      </c>
      <c r="H1038">
        <f>IF(OR(C1038=0,C1038=D1038),"BIÊN","")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cols>
    <col width="7" customWidth="1" min="1" max="1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4" customWidth="1" min="24" max="24"/>
    <col hidden="1" width="14" customWidth="1" min="25" max="25"/>
    <col hidden="1" width="14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</cols>
  <sheetData>
    <row r="1">
      <c r="A1" s="1" t="inlineStr">
        <is>
          <t>ĐỒ THỊ — ICC, TIF, Wright map</t>
        </is>
      </c>
    </row>
    <row r="2">
      <c r="A2" s="3" t="inlineStr">
        <is>
          <t>θ</t>
        </is>
      </c>
      <c r="B2" s="3" t="inlineStr">
        <is>
          <t>TIF=Σ I(θ)</t>
        </is>
      </c>
      <c r="C2" s="3" t="inlineStr">
        <is>
          <t>ICC Câu 9 MC</t>
        </is>
      </c>
      <c r="D2" s="3" t="inlineStr">
        <is>
          <t>ICC Câu 1 MC</t>
        </is>
      </c>
      <c r="E2" s="3" t="inlineStr">
        <is>
          <t>ICC Câu 25.a TF</t>
        </is>
      </c>
      <c r="F2" s="3" t="inlineStr">
        <is>
          <t>ICC Câu 26.b TF</t>
        </is>
      </c>
      <c r="G2" s="3" t="inlineStr">
        <is>
          <t>ICC Câu 19 MC</t>
        </is>
      </c>
      <c r="H2" s="3" t="inlineStr">
        <is>
          <t>ICC Câu 21 MC</t>
        </is>
      </c>
      <c r="I2" s="3" t="inlineStr">
        <is>
          <t>TCC=Σ P (điểm thực)</t>
        </is>
      </c>
      <c r="X2" s="4" t="inlineStr">
        <is>
          <t>Wright map — phân bố</t>
        </is>
      </c>
      <c r="AB2" s="4" t="inlineStr">
        <is>
          <t>Quy đổi θ → điểm thực</t>
        </is>
      </c>
    </row>
    <row r="3">
      <c r="A3" s="10" t="n">
        <v>-4</v>
      </c>
      <c r="B3" s="11">
        <f>SUMPRODUCT(J3:BE3*(1-J3:BE3))</f>
        <v/>
      </c>
      <c r="C3" s="5">
        <f>R3</f>
        <v/>
      </c>
      <c r="D3" s="5">
        <f>J3</f>
        <v/>
      </c>
      <c r="E3" s="5">
        <f>AH3</f>
        <v/>
      </c>
      <c r="F3" s="5">
        <f>AQ3</f>
        <v/>
      </c>
      <c r="G3" s="5">
        <f>AE3</f>
        <v/>
      </c>
      <c r="H3" s="5">
        <f>AG3</f>
        <v/>
      </c>
      <c r="I3" s="10">
        <f>SUM(J3:BE3)</f>
        <v/>
      </c>
      <c r="J3" s="9">
        <f>1/(1+EXP(-($A3-'03_Lap_b'!B$45)))</f>
        <v/>
      </c>
      <c r="K3" s="9">
        <f>1/(1+EXP(-($A3-'03_Lap_b'!C$45)))</f>
        <v/>
      </c>
      <c r="L3" s="9">
        <f>1/(1+EXP(-($A3-'03_Lap_b'!D$45)))</f>
        <v/>
      </c>
      <c r="M3" s="9">
        <f>1/(1+EXP(-($A3-'03_Lap_b'!E$45)))</f>
        <v/>
      </c>
      <c r="N3" s="9">
        <f>1/(1+EXP(-($A3-'03_Lap_b'!F$45)))</f>
        <v/>
      </c>
      <c r="O3" s="9">
        <f>1/(1+EXP(-($A3-'03_Lap_b'!G$45)))</f>
        <v/>
      </c>
      <c r="P3" s="9">
        <f>1/(1+EXP(-($A3-'03_Lap_b'!H$45)))</f>
        <v/>
      </c>
      <c r="Q3" s="9">
        <f>1/(1+EXP(-($A3-'03_Lap_b'!I$45)))</f>
        <v/>
      </c>
      <c r="R3" s="9">
        <f>1/(1+EXP(-($A3-'03_Lap_b'!J$45)))</f>
        <v/>
      </c>
      <c r="S3" s="9">
        <f>1/(1+EXP(-($A3-'03_Lap_b'!K$45)))</f>
        <v/>
      </c>
      <c r="T3" s="9">
        <f>1/(1+EXP(-($A3-'03_Lap_b'!L$45)))</f>
        <v/>
      </c>
      <c r="U3" s="9">
        <f>1/(1+EXP(-($A3-'03_Lap_b'!M$45)))</f>
        <v/>
      </c>
      <c r="V3" s="9">
        <f>1/(1+EXP(-($A3-'03_Lap_b'!N$45)))</f>
        <v/>
      </c>
      <c r="W3" s="9">
        <f>1/(1+EXP(-($A3-'03_Lap_b'!O$45)))</f>
        <v/>
      </c>
      <c r="X3" s="12" t="inlineStr">
        <is>
          <t>Khoảng (logit)</t>
        </is>
      </c>
      <c r="Y3" s="12" t="inlineStr">
        <is>
          <t>Số HS (θ)</t>
        </is>
      </c>
      <c r="Z3" s="12" t="inlineStr">
        <is>
          <t>Số câu (b)</t>
        </is>
      </c>
      <c r="AA3" s="9">
        <f>1/(1+EXP(-($A3-'03_Lap_b'!S$45)))</f>
        <v/>
      </c>
      <c r="AB3" s="12" t="inlineStr">
        <is>
          <t>θ</t>
        </is>
      </c>
      <c r="AC3" s="12" t="inlineStr">
        <is>
          <t>τ(θ)</t>
        </is>
      </c>
      <c r="AD3" s="12" t="inlineStr">
        <is>
          <t>% /48</t>
        </is>
      </c>
      <c r="AE3" s="9">
        <f>1/(1+EXP(-($A3-'03_Lap_b'!W$45)))</f>
        <v/>
      </c>
      <c r="AF3" s="9">
        <f>1/(1+EXP(-($A3-'03_Lap_b'!X$45)))</f>
        <v/>
      </c>
      <c r="AG3" s="9">
        <f>1/(1+EXP(-($A3-'03_Lap_b'!Y$45)))</f>
        <v/>
      </c>
      <c r="AH3" s="9">
        <f>1/(1+EXP(-($A3-'03_Lap_b'!Z$45)))</f>
        <v/>
      </c>
      <c r="AI3" s="9">
        <f>1/(1+EXP(-($A3-'03_Lap_b'!AA$45)))</f>
        <v/>
      </c>
      <c r="AJ3" s="9">
        <f>1/(1+EXP(-($A3-'03_Lap_b'!AB$45)))</f>
        <v/>
      </c>
      <c r="AK3" s="9">
        <f>1/(1+EXP(-($A3-'03_Lap_b'!AC$45)))</f>
        <v/>
      </c>
      <c r="AL3" s="9">
        <f>1/(1+EXP(-($A3-'03_Lap_b'!AD$45)))</f>
        <v/>
      </c>
      <c r="AM3" s="9">
        <f>1/(1+EXP(-($A3-'03_Lap_b'!AE$45)))</f>
        <v/>
      </c>
      <c r="AN3" s="9">
        <f>1/(1+EXP(-($A3-'03_Lap_b'!AF$45)))</f>
        <v/>
      </c>
      <c r="AO3" s="9">
        <f>1/(1+EXP(-($A3-'03_Lap_b'!AG$45)))</f>
        <v/>
      </c>
      <c r="AP3" s="9">
        <f>1/(1+EXP(-($A3-'03_Lap_b'!AH$45)))</f>
        <v/>
      </c>
      <c r="AQ3" s="9">
        <f>1/(1+EXP(-($A3-'03_Lap_b'!AI$45)))</f>
        <v/>
      </c>
      <c r="AR3" s="9">
        <f>1/(1+EXP(-($A3-'03_Lap_b'!AJ$45)))</f>
        <v/>
      </c>
      <c r="AS3" s="9">
        <f>1/(1+EXP(-($A3-'03_Lap_b'!AK$45)))</f>
        <v/>
      </c>
      <c r="AT3" s="9">
        <f>1/(1+EXP(-($A3-'03_Lap_b'!AL$45)))</f>
        <v/>
      </c>
      <c r="AU3" s="9">
        <f>1/(1+EXP(-($A3-'03_Lap_b'!AM$45)))</f>
        <v/>
      </c>
      <c r="AV3" s="9">
        <f>1/(1+EXP(-($A3-'03_Lap_b'!AN$45)))</f>
        <v/>
      </c>
      <c r="AW3" s="9">
        <f>1/(1+EXP(-($A3-'03_Lap_b'!AO$45)))</f>
        <v/>
      </c>
      <c r="AX3" s="9">
        <f>1/(1+EXP(-($A3-'03_Lap_b'!AP$45)))</f>
        <v/>
      </c>
      <c r="AY3" s="9">
        <f>1/(1+EXP(-($A3-'03_Lap_b'!AQ$45)))</f>
        <v/>
      </c>
      <c r="AZ3" s="9">
        <f>1/(1+EXP(-($A3-'03_Lap_b'!AR$45)))</f>
        <v/>
      </c>
      <c r="BA3" s="9">
        <f>1/(1+EXP(-($A3-'03_Lap_b'!AS$45)))</f>
        <v/>
      </c>
      <c r="BB3" s="9">
        <f>1/(1+EXP(-($A3-'03_Lap_b'!AT$45)))</f>
        <v/>
      </c>
      <c r="BC3" s="9">
        <f>1/(1+EXP(-($A3-'03_Lap_b'!AU$45)))</f>
        <v/>
      </c>
      <c r="BD3" s="9">
        <f>1/(1+EXP(-($A3-'03_Lap_b'!AV$45)))</f>
        <v/>
      </c>
      <c r="BE3" s="9">
        <f>1/(1+EXP(-($A3-'03_Lap_b'!AW$45)))</f>
        <v/>
      </c>
    </row>
    <row r="4">
      <c r="A4" s="10" t="n">
        <v>-3.8</v>
      </c>
      <c r="B4" s="11">
        <f>SUMPRODUCT(J4:BE4*(1-J4:BE4))</f>
        <v/>
      </c>
      <c r="C4" s="5">
        <f>R4</f>
        <v/>
      </c>
      <c r="D4" s="5">
        <f>J4</f>
        <v/>
      </c>
      <c r="E4" s="5">
        <f>AH4</f>
        <v/>
      </c>
      <c r="F4" s="5">
        <f>AQ4</f>
        <v/>
      </c>
      <c r="G4" s="5">
        <f>AE4</f>
        <v/>
      </c>
      <c r="H4" s="5">
        <f>AG4</f>
        <v/>
      </c>
      <c r="I4" s="10">
        <f>SUM(J4:BE4)</f>
        <v/>
      </c>
      <c r="J4" s="9">
        <f>1/(1+EXP(-($A4-'03_Lap_b'!B$45)))</f>
        <v/>
      </c>
      <c r="K4" s="9">
        <f>1/(1+EXP(-($A4-'03_Lap_b'!C$45)))</f>
        <v/>
      </c>
      <c r="L4" s="9">
        <f>1/(1+EXP(-($A4-'03_Lap_b'!D$45)))</f>
        <v/>
      </c>
      <c r="M4" s="9">
        <f>1/(1+EXP(-($A4-'03_Lap_b'!E$45)))</f>
        <v/>
      </c>
      <c r="N4" s="9">
        <f>1/(1+EXP(-($A4-'03_Lap_b'!F$45)))</f>
        <v/>
      </c>
      <c r="O4" s="9">
        <f>1/(1+EXP(-($A4-'03_Lap_b'!G$45)))</f>
        <v/>
      </c>
      <c r="P4" s="9">
        <f>1/(1+EXP(-($A4-'03_Lap_b'!H$45)))</f>
        <v/>
      </c>
      <c r="Q4" s="9">
        <f>1/(1+EXP(-($A4-'03_Lap_b'!I$45)))</f>
        <v/>
      </c>
      <c r="R4" s="9">
        <f>1/(1+EXP(-($A4-'03_Lap_b'!J$45)))</f>
        <v/>
      </c>
      <c r="S4" s="9">
        <f>1/(1+EXP(-($A4-'03_Lap_b'!K$45)))</f>
        <v/>
      </c>
      <c r="T4" s="9">
        <f>1/(1+EXP(-($A4-'03_Lap_b'!L$45)))</f>
        <v/>
      </c>
      <c r="U4" s="9">
        <f>1/(1+EXP(-($A4-'03_Lap_b'!M$45)))</f>
        <v/>
      </c>
      <c r="V4" s="9">
        <f>1/(1+EXP(-($A4-'03_Lap_b'!N$45)))</f>
        <v/>
      </c>
      <c r="W4" s="9">
        <f>1/(1+EXP(-($A4-'03_Lap_b'!O$45)))</f>
        <v/>
      </c>
      <c r="X4" s="9" t="inlineStr">
        <is>
          <t>[-5.0, -4.5)</t>
        </is>
      </c>
      <c r="Y4" s="9">
        <f>COUNTIFS('05_NangLuc'!$E$2:$E$1038,"&gt;="&amp;-5.0,'05_NangLuc'!$E$2:$E$1038,"&lt;"&amp;-4.5)</f>
        <v/>
      </c>
      <c r="Z4" s="9">
        <f>COUNTIFS('04_Item'!$F$2:$F$49,"&gt;="&amp;-5.0,'04_Item'!$F$2:$F$49,"&lt;"&amp;-4.5)</f>
        <v/>
      </c>
      <c r="AA4" s="9">
        <f>1/(1+EXP(-($A4-'03_Lap_b'!S$45)))</f>
        <v/>
      </c>
      <c r="AB4" s="9" t="n">
        <v>-3</v>
      </c>
      <c r="AC4" s="10">
        <f>SUMPRODUCT(1/(1+EXP(-(-3-'03_Lap_b'!$B$45:$AW$45))))</f>
        <v/>
      </c>
      <c r="AD4" s="10">
        <f>AC4/48*100</f>
        <v/>
      </c>
      <c r="AE4" s="9">
        <f>1/(1+EXP(-($A4-'03_Lap_b'!W$45)))</f>
        <v/>
      </c>
      <c r="AF4" s="9">
        <f>1/(1+EXP(-($A4-'03_Lap_b'!X$45)))</f>
        <v/>
      </c>
      <c r="AG4" s="9">
        <f>1/(1+EXP(-($A4-'03_Lap_b'!Y$45)))</f>
        <v/>
      </c>
      <c r="AH4" s="9">
        <f>1/(1+EXP(-($A4-'03_Lap_b'!Z$45)))</f>
        <v/>
      </c>
      <c r="AI4" s="9">
        <f>1/(1+EXP(-($A4-'03_Lap_b'!AA$45)))</f>
        <v/>
      </c>
      <c r="AJ4" s="9">
        <f>1/(1+EXP(-($A4-'03_Lap_b'!AB$45)))</f>
        <v/>
      </c>
      <c r="AK4" s="9">
        <f>1/(1+EXP(-($A4-'03_Lap_b'!AC$45)))</f>
        <v/>
      </c>
      <c r="AL4" s="9">
        <f>1/(1+EXP(-($A4-'03_Lap_b'!AD$45)))</f>
        <v/>
      </c>
      <c r="AM4" s="9">
        <f>1/(1+EXP(-($A4-'03_Lap_b'!AE$45)))</f>
        <v/>
      </c>
      <c r="AN4" s="9">
        <f>1/(1+EXP(-($A4-'03_Lap_b'!AF$45)))</f>
        <v/>
      </c>
      <c r="AO4" s="9">
        <f>1/(1+EXP(-($A4-'03_Lap_b'!AG$45)))</f>
        <v/>
      </c>
      <c r="AP4" s="9">
        <f>1/(1+EXP(-($A4-'03_Lap_b'!AH$45)))</f>
        <v/>
      </c>
      <c r="AQ4" s="9">
        <f>1/(1+EXP(-($A4-'03_Lap_b'!AI$45)))</f>
        <v/>
      </c>
      <c r="AR4" s="9">
        <f>1/(1+EXP(-($A4-'03_Lap_b'!AJ$45)))</f>
        <v/>
      </c>
      <c r="AS4" s="9">
        <f>1/(1+EXP(-($A4-'03_Lap_b'!AK$45)))</f>
        <v/>
      </c>
      <c r="AT4" s="9">
        <f>1/(1+EXP(-($A4-'03_Lap_b'!AL$45)))</f>
        <v/>
      </c>
      <c r="AU4" s="9">
        <f>1/(1+EXP(-($A4-'03_Lap_b'!AM$45)))</f>
        <v/>
      </c>
      <c r="AV4" s="9">
        <f>1/(1+EXP(-($A4-'03_Lap_b'!AN$45)))</f>
        <v/>
      </c>
      <c r="AW4" s="9">
        <f>1/(1+EXP(-($A4-'03_Lap_b'!AO$45)))</f>
        <v/>
      </c>
      <c r="AX4" s="9">
        <f>1/(1+EXP(-($A4-'03_Lap_b'!AP$45)))</f>
        <v/>
      </c>
      <c r="AY4" s="9">
        <f>1/(1+EXP(-($A4-'03_Lap_b'!AQ$45)))</f>
        <v/>
      </c>
      <c r="AZ4" s="9">
        <f>1/(1+EXP(-($A4-'03_Lap_b'!AR$45)))</f>
        <v/>
      </c>
      <c r="BA4" s="9">
        <f>1/(1+EXP(-($A4-'03_Lap_b'!AS$45)))</f>
        <v/>
      </c>
      <c r="BB4" s="9">
        <f>1/(1+EXP(-($A4-'03_Lap_b'!AT$45)))</f>
        <v/>
      </c>
      <c r="BC4" s="9">
        <f>1/(1+EXP(-($A4-'03_Lap_b'!AU$45)))</f>
        <v/>
      </c>
      <c r="BD4" s="9">
        <f>1/(1+EXP(-($A4-'03_Lap_b'!AV$45)))</f>
        <v/>
      </c>
      <c r="BE4" s="9">
        <f>1/(1+EXP(-($A4-'03_Lap_b'!AW$45)))</f>
        <v/>
      </c>
    </row>
    <row r="5">
      <c r="A5" s="10" t="n">
        <v>-3.6</v>
      </c>
      <c r="B5" s="11">
        <f>SUMPRODUCT(J5:BE5*(1-J5:BE5))</f>
        <v/>
      </c>
      <c r="C5" s="5">
        <f>R5</f>
        <v/>
      </c>
      <c r="D5" s="5">
        <f>J5</f>
        <v/>
      </c>
      <c r="E5" s="5">
        <f>AH5</f>
        <v/>
      </c>
      <c r="F5" s="5">
        <f>AQ5</f>
        <v/>
      </c>
      <c r="G5" s="5">
        <f>AE5</f>
        <v/>
      </c>
      <c r="H5" s="5">
        <f>AG5</f>
        <v/>
      </c>
      <c r="I5" s="10">
        <f>SUM(J5:BE5)</f>
        <v/>
      </c>
      <c r="J5" s="9">
        <f>1/(1+EXP(-($A5-'03_Lap_b'!B$45)))</f>
        <v/>
      </c>
      <c r="K5" s="9">
        <f>1/(1+EXP(-($A5-'03_Lap_b'!C$45)))</f>
        <v/>
      </c>
      <c r="L5" s="9">
        <f>1/(1+EXP(-($A5-'03_Lap_b'!D$45)))</f>
        <v/>
      </c>
      <c r="M5" s="9">
        <f>1/(1+EXP(-($A5-'03_Lap_b'!E$45)))</f>
        <v/>
      </c>
      <c r="N5" s="9">
        <f>1/(1+EXP(-($A5-'03_Lap_b'!F$45)))</f>
        <v/>
      </c>
      <c r="O5" s="9">
        <f>1/(1+EXP(-($A5-'03_Lap_b'!G$45)))</f>
        <v/>
      </c>
      <c r="P5" s="9">
        <f>1/(1+EXP(-($A5-'03_Lap_b'!H$45)))</f>
        <v/>
      </c>
      <c r="Q5" s="9">
        <f>1/(1+EXP(-($A5-'03_Lap_b'!I$45)))</f>
        <v/>
      </c>
      <c r="R5" s="9">
        <f>1/(1+EXP(-($A5-'03_Lap_b'!J$45)))</f>
        <v/>
      </c>
      <c r="S5" s="9">
        <f>1/(1+EXP(-($A5-'03_Lap_b'!K$45)))</f>
        <v/>
      </c>
      <c r="T5" s="9">
        <f>1/(1+EXP(-($A5-'03_Lap_b'!L$45)))</f>
        <v/>
      </c>
      <c r="U5" s="9">
        <f>1/(1+EXP(-($A5-'03_Lap_b'!M$45)))</f>
        <v/>
      </c>
      <c r="V5" s="9">
        <f>1/(1+EXP(-($A5-'03_Lap_b'!N$45)))</f>
        <v/>
      </c>
      <c r="W5" s="9">
        <f>1/(1+EXP(-($A5-'03_Lap_b'!O$45)))</f>
        <v/>
      </c>
      <c r="X5" s="9" t="inlineStr">
        <is>
          <t>[-4.5, -4.0)</t>
        </is>
      </c>
      <c r="Y5" s="9">
        <f>COUNTIFS('05_NangLuc'!$E$2:$E$1038,"&gt;="&amp;-4.5,'05_NangLuc'!$E$2:$E$1038,"&lt;"&amp;-4.0)</f>
        <v/>
      </c>
      <c r="Z5" s="9">
        <f>COUNTIFS('04_Item'!$F$2:$F$49,"&gt;="&amp;-4.5,'04_Item'!$F$2:$F$49,"&lt;"&amp;-4.0)</f>
        <v/>
      </c>
      <c r="AA5" s="9">
        <f>1/(1+EXP(-($A5-'03_Lap_b'!S$45)))</f>
        <v/>
      </c>
      <c r="AB5" s="9" t="n">
        <v>-2</v>
      </c>
      <c r="AC5" s="10">
        <f>SUMPRODUCT(1/(1+EXP(-(-2-'03_Lap_b'!$B$45:$AW$45))))</f>
        <v/>
      </c>
      <c r="AD5" s="10">
        <f>AC5/48*100</f>
        <v/>
      </c>
      <c r="AE5" s="9">
        <f>1/(1+EXP(-($A5-'03_Lap_b'!W$45)))</f>
        <v/>
      </c>
      <c r="AF5" s="9">
        <f>1/(1+EXP(-($A5-'03_Lap_b'!X$45)))</f>
        <v/>
      </c>
      <c r="AG5" s="9">
        <f>1/(1+EXP(-($A5-'03_Lap_b'!Y$45)))</f>
        <v/>
      </c>
      <c r="AH5" s="9">
        <f>1/(1+EXP(-($A5-'03_Lap_b'!Z$45)))</f>
        <v/>
      </c>
      <c r="AI5" s="9">
        <f>1/(1+EXP(-($A5-'03_Lap_b'!AA$45)))</f>
        <v/>
      </c>
      <c r="AJ5" s="9">
        <f>1/(1+EXP(-($A5-'03_Lap_b'!AB$45)))</f>
        <v/>
      </c>
      <c r="AK5" s="9">
        <f>1/(1+EXP(-($A5-'03_Lap_b'!AC$45)))</f>
        <v/>
      </c>
      <c r="AL5" s="9">
        <f>1/(1+EXP(-($A5-'03_Lap_b'!AD$45)))</f>
        <v/>
      </c>
      <c r="AM5" s="9">
        <f>1/(1+EXP(-($A5-'03_Lap_b'!AE$45)))</f>
        <v/>
      </c>
      <c r="AN5" s="9">
        <f>1/(1+EXP(-($A5-'03_Lap_b'!AF$45)))</f>
        <v/>
      </c>
      <c r="AO5" s="9">
        <f>1/(1+EXP(-($A5-'03_Lap_b'!AG$45)))</f>
        <v/>
      </c>
      <c r="AP5" s="9">
        <f>1/(1+EXP(-($A5-'03_Lap_b'!AH$45)))</f>
        <v/>
      </c>
      <c r="AQ5" s="9">
        <f>1/(1+EXP(-($A5-'03_Lap_b'!AI$45)))</f>
        <v/>
      </c>
      <c r="AR5" s="9">
        <f>1/(1+EXP(-($A5-'03_Lap_b'!AJ$45)))</f>
        <v/>
      </c>
      <c r="AS5" s="9">
        <f>1/(1+EXP(-($A5-'03_Lap_b'!AK$45)))</f>
        <v/>
      </c>
      <c r="AT5" s="9">
        <f>1/(1+EXP(-($A5-'03_Lap_b'!AL$45)))</f>
        <v/>
      </c>
      <c r="AU5" s="9">
        <f>1/(1+EXP(-($A5-'03_Lap_b'!AM$45)))</f>
        <v/>
      </c>
      <c r="AV5" s="9">
        <f>1/(1+EXP(-($A5-'03_Lap_b'!AN$45)))</f>
        <v/>
      </c>
      <c r="AW5" s="9">
        <f>1/(1+EXP(-($A5-'03_Lap_b'!AO$45)))</f>
        <v/>
      </c>
      <c r="AX5" s="9">
        <f>1/(1+EXP(-($A5-'03_Lap_b'!AP$45)))</f>
        <v/>
      </c>
      <c r="AY5" s="9">
        <f>1/(1+EXP(-($A5-'03_Lap_b'!AQ$45)))</f>
        <v/>
      </c>
      <c r="AZ5" s="9">
        <f>1/(1+EXP(-($A5-'03_Lap_b'!AR$45)))</f>
        <v/>
      </c>
      <c r="BA5" s="9">
        <f>1/(1+EXP(-($A5-'03_Lap_b'!AS$45)))</f>
        <v/>
      </c>
      <c r="BB5" s="9">
        <f>1/(1+EXP(-($A5-'03_Lap_b'!AT$45)))</f>
        <v/>
      </c>
      <c r="BC5" s="9">
        <f>1/(1+EXP(-($A5-'03_Lap_b'!AU$45)))</f>
        <v/>
      </c>
      <c r="BD5" s="9">
        <f>1/(1+EXP(-($A5-'03_Lap_b'!AV$45)))</f>
        <v/>
      </c>
      <c r="BE5" s="9">
        <f>1/(1+EXP(-($A5-'03_Lap_b'!AW$45)))</f>
        <v/>
      </c>
    </row>
    <row r="6">
      <c r="A6" s="10" t="n">
        <v>-3.4</v>
      </c>
      <c r="B6" s="11">
        <f>SUMPRODUCT(J6:BE6*(1-J6:BE6))</f>
        <v/>
      </c>
      <c r="C6" s="5">
        <f>R6</f>
        <v/>
      </c>
      <c r="D6" s="5">
        <f>J6</f>
        <v/>
      </c>
      <c r="E6" s="5">
        <f>AH6</f>
        <v/>
      </c>
      <c r="F6" s="5">
        <f>AQ6</f>
        <v/>
      </c>
      <c r="G6" s="5">
        <f>AE6</f>
        <v/>
      </c>
      <c r="H6" s="5">
        <f>AG6</f>
        <v/>
      </c>
      <c r="I6" s="10">
        <f>SUM(J6:BE6)</f>
        <v/>
      </c>
      <c r="J6" s="9">
        <f>1/(1+EXP(-($A6-'03_Lap_b'!B$45)))</f>
        <v/>
      </c>
      <c r="K6" s="9">
        <f>1/(1+EXP(-($A6-'03_Lap_b'!C$45)))</f>
        <v/>
      </c>
      <c r="L6" s="9">
        <f>1/(1+EXP(-($A6-'03_Lap_b'!D$45)))</f>
        <v/>
      </c>
      <c r="M6" s="9">
        <f>1/(1+EXP(-($A6-'03_Lap_b'!E$45)))</f>
        <v/>
      </c>
      <c r="N6" s="9">
        <f>1/(1+EXP(-($A6-'03_Lap_b'!F$45)))</f>
        <v/>
      </c>
      <c r="O6" s="9">
        <f>1/(1+EXP(-($A6-'03_Lap_b'!G$45)))</f>
        <v/>
      </c>
      <c r="P6" s="9">
        <f>1/(1+EXP(-($A6-'03_Lap_b'!H$45)))</f>
        <v/>
      </c>
      <c r="Q6" s="9">
        <f>1/(1+EXP(-($A6-'03_Lap_b'!I$45)))</f>
        <v/>
      </c>
      <c r="R6" s="9">
        <f>1/(1+EXP(-($A6-'03_Lap_b'!J$45)))</f>
        <v/>
      </c>
      <c r="S6" s="9">
        <f>1/(1+EXP(-($A6-'03_Lap_b'!K$45)))</f>
        <v/>
      </c>
      <c r="T6" s="9">
        <f>1/(1+EXP(-($A6-'03_Lap_b'!L$45)))</f>
        <v/>
      </c>
      <c r="U6" s="9">
        <f>1/(1+EXP(-($A6-'03_Lap_b'!M$45)))</f>
        <v/>
      </c>
      <c r="V6" s="9">
        <f>1/(1+EXP(-($A6-'03_Lap_b'!N$45)))</f>
        <v/>
      </c>
      <c r="W6" s="9">
        <f>1/(1+EXP(-($A6-'03_Lap_b'!O$45)))</f>
        <v/>
      </c>
      <c r="X6" s="9" t="inlineStr">
        <is>
          <t>[-4.0, -3.5)</t>
        </is>
      </c>
      <c r="Y6" s="9">
        <f>COUNTIFS('05_NangLuc'!$E$2:$E$1038,"&gt;="&amp;-4.0,'05_NangLuc'!$E$2:$E$1038,"&lt;"&amp;-3.5)</f>
        <v/>
      </c>
      <c r="Z6" s="9">
        <f>COUNTIFS('04_Item'!$F$2:$F$49,"&gt;="&amp;-4.0,'04_Item'!$F$2:$F$49,"&lt;"&amp;-3.5)</f>
        <v/>
      </c>
      <c r="AA6" s="9">
        <f>1/(1+EXP(-($A6-'03_Lap_b'!S$45)))</f>
        <v/>
      </c>
      <c r="AB6" s="9" t="n">
        <v>-1</v>
      </c>
      <c r="AC6" s="10">
        <f>SUMPRODUCT(1/(1+EXP(-(-1-'03_Lap_b'!$B$45:$AW$45))))</f>
        <v/>
      </c>
      <c r="AD6" s="10">
        <f>AC6/48*100</f>
        <v/>
      </c>
      <c r="AE6" s="9">
        <f>1/(1+EXP(-($A6-'03_Lap_b'!W$45)))</f>
        <v/>
      </c>
      <c r="AF6" s="9">
        <f>1/(1+EXP(-($A6-'03_Lap_b'!X$45)))</f>
        <v/>
      </c>
      <c r="AG6" s="9">
        <f>1/(1+EXP(-($A6-'03_Lap_b'!Y$45)))</f>
        <v/>
      </c>
      <c r="AH6" s="9">
        <f>1/(1+EXP(-($A6-'03_Lap_b'!Z$45)))</f>
        <v/>
      </c>
      <c r="AI6" s="9">
        <f>1/(1+EXP(-($A6-'03_Lap_b'!AA$45)))</f>
        <v/>
      </c>
      <c r="AJ6" s="9">
        <f>1/(1+EXP(-($A6-'03_Lap_b'!AB$45)))</f>
        <v/>
      </c>
      <c r="AK6" s="9">
        <f>1/(1+EXP(-($A6-'03_Lap_b'!AC$45)))</f>
        <v/>
      </c>
      <c r="AL6" s="9">
        <f>1/(1+EXP(-($A6-'03_Lap_b'!AD$45)))</f>
        <v/>
      </c>
      <c r="AM6" s="9">
        <f>1/(1+EXP(-($A6-'03_Lap_b'!AE$45)))</f>
        <v/>
      </c>
      <c r="AN6" s="9">
        <f>1/(1+EXP(-($A6-'03_Lap_b'!AF$45)))</f>
        <v/>
      </c>
      <c r="AO6" s="9">
        <f>1/(1+EXP(-($A6-'03_Lap_b'!AG$45)))</f>
        <v/>
      </c>
      <c r="AP6" s="9">
        <f>1/(1+EXP(-($A6-'03_Lap_b'!AH$45)))</f>
        <v/>
      </c>
      <c r="AQ6" s="9">
        <f>1/(1+EXP(-($A6-'03_Lap_b'!AI$45)))</f>
        <v/>
      </c>
      <c r="AR6" s="9">
        <f>1/(1+EXP(-($A6-'03_Lap_b'!AJ$45)))</f>
        <v/>
      </c>
      <c r="AS6" s="9">
        <f>1/(1+EXP(-($A6-'03_Lap_b'!AK$45)))</f>
        <v/>
      </c>
      <c r="AT6" s="9">
        <f>1/(1+EXP(-($A6-'03_Lap_b'!AL$45)))</f>
        <v/>
      </c>
      <c r="AU6" s="9">
        <f>1/(1+EXP(-($A6-'03_Lap_b'!AM$45)))</f>
        <v/>
      </c>
      <c r="AV6" s="9">
        <f>1/(1+EXP(-($A6-'03_Lap_b'!AN$45)))</f>
        <v/>
      </c>
      <c r="AW6" s="9">
        <f>1/(1+EXP(-($A6-'03_Lap_b'!AO$45)))</f>
        <v/>
      </c>
      <c r="AX6" s="9">
        <f>1/(1+EXP(-($A6-'03_Lap_b'!AP$45)))</f>
        <v/>
      </c>
      <c r="AY6" s="9">
        <f>1/(1+EXP(-($A6-'03_Lap_b'!AQ$45)))</f>
        <v/>
      </c>
      <c r="AZ6" s="9">
        <f>1/(1+EXP(-($A6-'03_Lap_b'!AR$45)))</f>
        <v/>
      </c>
      <c r="BA6" s="9">
        <f>1/(1+EXP(-($A6-'03_Lap_b'!AS$45)))</f>
        <v/>
      </c>
      <c r="BB6" s="9">
        <f>1/(1+EXP(-($A6-'03_Lap_b'!AT$45)))</f>
        <v/>
      </c>
      <c r="BC6" s="9">
        <f>1/(1+EXP(-($A6-'03_Lap_b'!AU$45)))</f>
        <v/>
      </c>
      <c r="BD6" s="9">
        <f>1/(1+EXP(-($A6-'03_Lap_b'!AV$45)))</f>
        <v/>
      </c>
      <c r="BE6" s="9">
        <f>1/(1+EXP(-($A6-'03_Lap_b'!AW$45)))</f>
        <v/>
      </c>
    </row>
    <row r="7">
      <c r="A7" s="10" t="n">
        <v>-3.2</v>
      </c>
      <c r="B7" s="11">
        <f>SUMPRODUCT(J7:BE7*(1-J7:BE7))</f>
        <v/>
      </c>
      <c r="C7" s="5">
        <f>R7</f>
        <v/>
      </c>
      <c r="D7" s="5">
        <f>J7</f>
        <v/>
      </c>
      <c r="E7" s="5">
        <f>AH7</f>
        <v/>
      </c>
      <c r="F7" s="5">
        <f>AQ7</f>
        <v/>
      </c>
      <c r="G7" s="5">
        <f>AE7</f>
        <v/>
      </c>
      <c r="H7" s="5">
        <f>AG7</f>
        <v/>
      </c>
      <c r="I7" s="10">
        <f>SUM(J7:BE7)</f>
        <v/>
      </c>
      <c r="J7" s="9">
        <f>1/(1+EXP(-($A7-'03_Lap_b'!B$45)))</f>
        <v/>
      </c>
      <c r="K7" s="9">
        <f>1/(1+EXP(-($A7-'03_Lap_b'!C$45)))</f>
        <v/>
      </c>
      <c r="L7" s="9">
        <f>1/(1+EXP(-($A7-'03_Lap_b'!D$45)))</f>
        <v/>
      </c>
      <c r="M7" s="9">
        <f>1/(1+EXP(-($A7-'03_Lap_b'!E$45)))</f>
        <v/>
      </c>
      <c r="N7" s="9">
        <f>1/(1+EXP(-($A7-'03_Lap_b'!F$45)))</f>
        <v/>
      </c>
      <c r="O7" s="9">
        <f>1/(1+EXP(-($A7-'03_Lap_b'!G$45)))</f>
        <v/>
      </c>
      <c r="P7" s="9">
        <f>1/(1+EXP(-($A7-'03_Lap_b'!H$45)))</f>
        <v/>
      </c>
      <c r="Q7" s="9">
        <f>1/(1+EXP(-($A7-'03_Lap_b'!I$45)))</f>
        <v/>
      </c>
      <c r="R7" s="9">
        <f>1/(1+EXP(-($A7-'03_Lap_b'!J$45)))</f>
        <v/>
      </c>
      <c r="S7" s="9">
        <f>1/(1+EXP(-($A7-'03_Lap_b'!K$45)))</f>
        <v/>
      </c>
      <c r="T7" s="9">
        <f>1/(1+EXP(-($A7-'03_Lap_b'!L$45)))</f>
        <v/>
      </c>
      <c r="U7" s="9">
        <f>1/(1+EXP(-($A7-'03_Lap_b'!M$45)))</f>
        <v/>
      </c>
      <c r="V7" s="9">
        <f>1/(1+EXP(-($A7-'03_Lap_b'!N$45)))</f>
        <v/>
      </c>
      <c r="W7" s="9">
        <f>1/(1+EXP(-($A7-'03_Lap_b'!O$45)))</f>
        <v/>
      </c>
      <c r="X7" s="9" t="inlineStr">
        <is>
          <t>[-3.5, -3.0)</t>
        </is>
      </c>
      <c r="Y7" s="9">
        <f>COUNTIFS('05_NangLuc'!$E$2:$E$1038,"&gt;="&amp;-3.5,'05_NangLuc'!$E$2:$E$1038,"&lt;"&amp;-3.0)</f>
        <v/>
      </c>
      <c r="Z7" s="9">
        <f>COUNTIFS('04_Item'!$F$2:$F$49,"&gt;="&amp;-3.5,'04_Item'!$F$2:$F$49,"&lt;"&amp;-3.0)</f>
        <v/>
      </c>
      <c r="AA7" s="9">
        <f>1/(1+EXP(-($A7-'03_Lap_b'!S$45)))</f>
        <v/>
      </c>
      <c r="AB7" s="9" t="n">
        <v>0</v>
      </c>
      <c r="AC7" s="10">
        <f>SUMPRODUCT(1/(1+EXP(-(0-'03_Lap_b'!$B$45:$AW$45))))</f>
        <v/>
      </c>
      <c r="AD7" s="10">
        <f>AC7/48*100</f>
        <v/>
      </c>
      <c r="AE7" s="9">
        <f>1/(1+EXP(-($A7-'03_Lap_b'!W$45)))</f>
        <v/>
      </c>
      <c r="AF7" s="9">
        <f>1/(1+EXP(-($A7-'03_Lap_b'!X$45)))</f>
        <v/>
      </c>
      <c r="AG7" s="9">
        <f>1/(1+EXP(-($A7-'03_Lap_b'!Y$45)))</f>
        <v/>
      </c>
      <c r="AH7" s="9">
        <f>1/(1+EXP(-($A7-'03_Lap_b'!Z$45)))</f>
        <v/>
      </c>
      <c r="AI7" s="9">
        <f>1/(1+EXP(-($A7-'03_Lap_b'!AA$45)))</f>
        <v/>
      </c>
      <c r="AJ7" s="9">
        <f>1/(1+EXP(-($A7-'03_Lap_b'!AB$45)))</f>
        <v/>
      </c>
      <c r="AK7" s="9">
        <f>1/(1+EXP(-($A7-'03_Lap_b'!AC$45)))</f>
        <v/>
      </c>
      <c r="AL7" s="9">
        <f>1/(1+EXP(-($A7-'03_Lap_b'!AD$45)))</f>
        <v/>
      </c>
      <c r="AM7" s="9">
        <f>1/(1+EXP(-($A7-'03_Lap_b'!AE$45)))</f>
        <v/>
      </c>
      <c r="AN7" s="9">
        <f>1/(1+EXP(-($A7-'03_Lap_b'!AF$45)))</f>
        <v/>
      </c>
      <c r="AO7" s="9">
        <f>1/(1+EXP(-($A7-'03_Lap_b'!AG$45)))</f>
        <v/>
      </c>
      <c r="AP7" s="9">
        <f>1/(1+EXP(-($A7-'03_Lap_b'!AH$45)))</f>
        <v/>
      </c>
      <c r="AQ7" s="9">
        <f>1/(1+EXP(-($A7-'03_Lap_b'!AI$45)))</f>
        <v/>
      </c>
      <c r="AR7" s="9">
        <f>1/(1+EXP(-($A7-'03_Lap_b'!AJ$45)))</f>
        <v/>
      </c>
      <c r="AS7" s="9">
        <f>1/(1+EXP(-($A7-'03_Lap_b'!AK$45)))</f>
        <v/>
      </c>
      <c r="AT7" s="9">
        <f>1/(1+EXP(-($A7-'03_Lap_b'!AL$45)))</f>
        <v/>
      </c>
      <c r="AU7" s="9">
        <f>1/(1+EXP(-($A7-'03_Lap_b'!AM$45)))</f>
        <v/>
      </c>
      <c r="AV7" s="9">
        <f>1/(1+EXP(-($A7-'03_Lap_b'!AN$45)))</f>
        <v/>
      </c>
      <c r="AW7" s="9">
        <f>1/(1+EXP(-($A7-'03_Lap_b'!AO$45)))</f>
        <v/>
      </c>
      <c r="AX7" s="9">
        <f>1/(1+EXP(-($A7-'03_Lap_b'!AP$45)))</f>
        <v/>
      </c>
      <c r="AY7" s="9">
        <f>1/(1+EXP(-($A7-'03_Lap_b'!AQ$45)))</f>
        <v/>
      </c>
      <c r="AZ7" s="9">
        <f>1/(1+EXP(-($A7-'03_Lap_b'!AR$45)))</f>
        <v/>
      </c>
      <c r="BA7" s="9">
        <f>1/(1+EXP(-($A7-'03_Lap_b'!AS$45)))</f>
        <v/>
      </c>
      <c r="BB7" s="9">
        <f>1/(1+EXP(-($A7-'03_Lap_b'!AT$45)))</f>
        <v/>
      </c>
      <c r="BC7" s="9">
        <f>1/(1+EXP(-($A7-'03_Lap_b'!AU$45)))</f>
        <v/>
      </c>
      <c r="BD7" s="9">
        <f>1/(1+EXP(-($A7-'03_Lap_b'!AV$45)))</f>
        <v/>
      </c>
      <c r="BE7" s="9">
        <f>1/(1+EXP(-($A7-'03_Lap_b'!AW$45)))</f>
        <v/>
      </c>
    </row>
    <row r="8">
      <c r="A8" s="10" t="n">
        <v>-3</v>
      </c>
      <c r="B8" s="11">
        <f>SUMPRODUCT(J8:BE8*(1-J8:BE8))</f>
        <v/>
      </c>
      <c r="C8" s="5">
        <f>R8</f>
        <v/>
      </c>
      <c r="D8" s="5">
        <f>J8</f>
        <v/>
      </c>
      <c r="E8" s="5">
        <f>AH8</f>
        <v/>
      </c>
      <c r="F8" s="5">
        <f>AQ8</f>
        <v/>
      </c>
      <c r="G8" s="5">
        <f>AE8</f>
        <v/>
      </c>
      <c r="H8" s="5">
        <f>AG8</f>
        <v/>
      </c>
      <c r="I8" s="10">
        <f>SUM(J8:BE8)</f>
        <v/>
      </c>
      <c r="J8" s="9">
        <f>1/(1+EXP(-($A8-'03_Lap_b'!B$45)))</f>
        <v/>
      </c>
      <c r="K8" s="9">
        <f>1/(1+EXP(-($A8-'03_Lap_b'!C$45)))</f>
        <v/>
      </c>
      <c r="L8" s="9">
        <f>1/(1+EXP(-($A8-'03_Lap_b'!D$45)))</f>
        <v/>
      </c>
      <c r="M8" s="9">
        <f>1/(1+EXP(-($A8-'03_Lap_b'!E$45)))</f>
        <v/>
      </c>
      <c r="N8" s="9">
        <f>1/(1+EXP(-($A8-'03_Lap_b'!F$45)))</f>
        <v/>
      </c>
      <c r="O8" s="9">
        <f>1/(1+EXP(-($A8-'03_Lap_b'!G$45)))</f>
        <v/>
      </c>
      <c r="P8" s="9">
        <f>1/(1+EXP(-($A8-'03_Lap_b'!H$45)))</f>
        <v/>
      </c>
      <c r="Q8" s="9">
        <f>1/(1+EXP(-($A8-'03_Lap_b'!I$45)))</f>
        <v/>
      </c>
      <c r="R8" s="9">
        <f>1/(1+EXP(-($A8-'03_Lap_b'!J$45)))</f>
        <v/>
      </c>
      <c r="S8" s="9">
        <f>1/(1+EXP(-($A8-'03_Lap_b'!K$45)))</f>
        <v/>
      </c>
      <c r="T8" s="9">
        <f>1/(1+EXP(-($A8-'03_Lap_b'!L$45)))</f>
        <v/>
      </c>
      <c r="U8" s="9">
        <f>1/(1+EXP(-($A8-'03_Lap_b'!M$45)))</f>
        <v/>
      </c>
      <c r="V8" s="9">
        <f>1/(1+EXP(-($A8-'03_Lap_b'!N$45)))</f>
        <v/>
      </c>
      <c r="W8" s="9">
        <f>1/(1+EXP(-($A8-'03_Lap_b'!O$45)))</f>
        <v/>
      </c>
      <c r="X8" s="9" t="inlineStr">
        <is>
          <t>[-3.0, -2.5)</t>
        </is>
      </c>
      <c r="Y8" s="9">
        <f>COUNTIFS('05_NangLuc'!$E$2:$E$1038,"&gt;="&amp;-3.0,'05_NangLuc'!$E$2:$E$1038,"&lt;"&amp;-2.5)</f>
        <v/>
      </c>
      <c r="Z8" s="9">
        <f>COUNTIFS('04_Item'!$F$2:$F$49,"&gt;="&amp;-3.0,'04_Item'!$F$2:$F$49,"&lt;"&amp;-2.5)</f>
        <v/>
      </c>
      <c r="AA8" s="9">
        <f>1/(1+EXP(-($A8-'03_Lap_b'!S$45)))</f>
        <v/>
      </c>
      <c r="AB8" s="9" t="n">
        <v>1</v>
      </c>
      <c r="AC8" s="10">
        <f>SUMPRODUCT(1/(1+EXP(-(1-'03_Lap_b'!$B$45:$AW$45))))</f>
        <v/>
      </c>
      <c r="AD8" s="10">
        <f>AC8/48*100</f>
        <v/>
      </c>
      <c r="AE8" s="9">
        <f>1/(1+EXP(-($A8-'03_Lap_b'!W$45)))</f>
        <v/>
      </c>
      <c r="AF8" s="9">
        <f>1/(1+EXP(-($A8-'03_Lap_b'!X$45)))</f>
        <v/>
      </c>
      <c r="AG8" s="9">
        <f>1/(1+EXP(-($A8-'03_Lap_b'!Y$45)))</f>
        <v/>
      </c>
      <c r="AH8" s="9">
        <f>1/(1+EXP(-($A8-'03_Lap_b'!Z$45)))</f>
        <v/>
      </c>
      <c r="AI8" s="9">
        <f>1/(1+EXP(-($A8-'03_Lap_b'!AA$45)))</f>
        <v/>
      </c>
      <c r="AJ8" s="9">
        <f>1/(1+EXP(-($A8-'03_Lap_b'!AB$45)))</f>
        <v/>
      </c>
      <c r="AK8" s="9">
        <f>1/(1+EXP(-($A8-'03_Lap_b'!AC$45)))</f>
        <v/>
      </c>
      <c r="AL8" s="9">
        <f>1/(1+EXP(-($A8-'03_Lap_b'!AD$45)))</f>
        <v/>
      </c>
      <c r="AM8" s="9">
        <f>1/(1+EXP(-($A8-'03_Lap_b'!AE$45)))</f>
        <v/>
      </c>
      <c r="AN8" s="9">
        <f>1/(1+EXP(-($A8-'03_Lap_b'!AF$45)))</f>
        <v/>
      </c>
      <c r="AO8" s="9">
        <f>1/(1+EXP(-($A8-'03_Lap_b'!AG$45)))</f>
        <v/>
      </c>
      <c r="AP8" s="9">
        <f>1/(1+EXP(-($A8-'03_Lap_b'!AH$45)))</f>
        <v/>
      </c>
      <c r="AQ8" s="9">
        <f>1/(1+EXP(-($A8-'03_Lap_b'!AI$45)))</f>
        <v/>
      </c>
      <c r="AR8" s="9">
        <f>1/(1+EXP(-($A8-'03_Lap_b'!AJ$45)))</f>
        <v/>
      </c>
      <c r="AS8" s="9">
        <f>1/(1+EXP(-($A8-'03_Lap_b'!AK$45)))</f>
        <v/>
      </c>
      <c r="AT8" s="9">
        <f>1/(1+EXP(-($A8-'03_Lap_b'!AL$45)))</f>
        <v/>
      </c>
      <c r="AU8" s="9">
        <f>1/(1+EXP(-($A8-'03_Lap_b'!AM$45)))</f>
        <v/>
      </c>
      <c r="AV8" s="9">
        <f>1/(1+EXP(-($A8-'03_Lap_b'!AN$45)))</f>
        <v/>
      </c>
      <c r="AW8" s="9">
        <f>1/(1+EXP(-($A8-'03_Lap_b'!AO$45)))</f>
        <v/>
      </c>
      <c r="AX8" s="9">
        <f>1/(1+EXP(-($A8-'03_Lap_b'!AP$45)))</f>
        <v/>
      </c>
      <c r="AY8" s="9">
        <f>1/(1+EXP(-($A8-'03_Lap_b'!AQ$45)))</f>
        <v/>
      </c>
      <c r="AZ8" s="9">
        <f>1/(1+EXP(-($A8-'03_Lap_b'!AR$45)))</f>
        <v/>
      </c>
      <c r="BA8" s="9">
        <f>1/(1+EXP(-($A8-'03_Lap_b'!AS$45)))</f>
        <v/>
      </c>
      <c r="BB8" s="9">
        <f>1/(1+EXP(-($A8-'03_Lap_b'!AT$45)))</f>
        <v/>
      </c>
      <c r="BC8" s="9">
        <f>1/(1+EXP(-($A8-'03_Lap_b'!AU$45)))</f>
        <v/>
      </c>
      <c r="BD8" s="9">
        <f>1/(1+EXP(-($A8-'03_Lap_b'!AV$45)))</f>
        <v/>
      </c>
      <c r="BE8" s="9">
        <f>1/(1+EXP(-($A8-'03_Lap_b'!AW$45)))</f>
        <v/>
      </c>
    </row>
    <row r="9">
      <c r="A9" s="10" t="n">
        <v>-2.8</v>
      </c>
      <c r="B9" s="11">
        <f>SUMPRODUCT(J9:BE9*(1-J9:BE9))</f>
        <v/>
      </c>
      <c r="C9" s="5">
        <f>R9</f>
        <v/>
      </c>
      <c r="D9" s="5">
        <f>J9</f>
        <v/>
      </c>
      <c r="E9" s="5">
        <f>AH9</f>
        <v/>
      </c>
      <c r="F9" s="5">
        <f>AQ9</f>
        <v/>
      </c>
      <c r="G9" s="5">
        <f>AE9</f>
        <v/>
      </c>
      <c r="H9" s="5">
        <f>AG9</f>
        <v/>
      </c>
      <c r="I9" s="10">
        <f>SUM(J9:BE9)</f>
        <v/>
      </c>
      <c r="J9" s="9">
        <f>1/(1+EXP(-($A9-'03_Lap_b'!B$45)))</f>
        <v/>
      </c>
      <c r="K9" s="9">
        <f>1/(1+EXP(-($A9-'03_Lap_b'!C$45)))</f>
        <v/>
      </c>
      <c r="L9" s="9">
        <f>1/(1+EXP(-($A9-'03_Lap_b'!D$45)))</f>
        <v/>
      </c>
      <c r="M9" s="9">
        <f>1/(1+EXP(-($A9-'03_Lap_b'!E$45)))</f>
        <v/>
      </c>
      <c r="N9" s="9">
        <f>1/(1+EXP(-($A9-'03_Lap_b'!F$45)))</f>
        <v/>
      </c>
      <c r="O9" s="9">
        <f>1/(1+EXP(-($A9-'03_Lap_b'!G$45)))</f>
        <v/>
      </c>
      <c r="P9" s="9">
        <f>1/(1+EXP(-($A9-'03_Lap_b'!H$45)))</f>
        <v/>
      </c>
      <c r="Q9" s="9">
        <f>1/(1+EXP(-($A9-'03_Lap_b'!I$45)))</f>
        <v/>
      </c>
      <c r="R9" s="9">
        <f>1/(1+EXP(-($A9-'03_Lap_b'!J$45)))</f>
        <v/>
      </c>
      <c r="S9" s="9">
        <f>1/(1+EXP(-($A9-'03_Lap_b'!K$45)))</f>
        <v/>
      </c>
      <c r="T9" s="9">
        <f>1/(1+EXP(-($A9-'03_Lap_b'!L$45)))</f>
        <v/>
      </c>
      <c r="U9" s="9">
        <f>1/(1+EXP(-($A9-'03_Lap_b'!M$45)))</f>
        <v/>
      </c>
      <c r="V9" s="9">
        <f>1/(1+EXP(-($A9-'03_Lap_b'!N$45)))</f>
        <v/>
      </c>
      <c r="W9" s="9">
        <f>1/(1+EXP(-($A9-'03_Lap_b'!O$45)))</f>
        <v/>
      </c>
      <c r="X9" s="9" t="inlineStr">
        <is>
          <t>[-2.5, -2.0)</t>
        </is>
      </c>
      <c r="Y9" s="9">
        <f>COUNTIFS('05_NangLuc'!$E$2:$E$1038,"&gt;="&amp;-2.5,'05_NangLuc'!$E$2:$E$1038,"&lt;"&amp;-2.0)</f>
        <v/>
      </c>
      <c r="Z9" s="9">
        <f>COUNTIFS('04_Item'!$F$2:$F$49,"&gt;="&amp;-2.5,'04_Item'!$F$2:$F$49,"&lt;"&amp;-2.0)</f>
        <v/>
      </c>
      <c r="AA9" s="9">
        <f>1/(1+EXP(-($A9-'03_Lap_b'!S$45)))</f>
        <v/>
      </c>
      <c r="AB9" s="9" t="n">
        <v>2</v>
      </c>
      <c r="AC9" s="10">
        <f>SUMPRODUCT(1/(1+EXP(-(2-'03_Lap_b'!$B$45:$AW$45))))</f>
        <v/>
      </c>
      <c r="AD9" s="10">
        <f>AC9/48*100</f>
        <v/>
      </c>
      <c r="AE9" s="9">
        <f>1/(1+EXP(-($A9-'03_Lap_b'!W$45)))</f>
        <v/>
      </c>
      <c r="AF9" s="9">
        <f>1/(1+EXP(-($A9-'03_Lap_b'!X$45)))</f>
        <v/>
      </c>
      <c r="AG9" s="9">
        <f>1/(1+EXP(-($A9-'03_Lap_b'!Y$45)))</f>
        <v/>
      </c>
      <c r="AH9" s="9">
        <f>1/(1+EXP(-($A9-'03_Lap_b'!Z$45)))</f>
        <v/>
      </c>
      <c r="AI9" s="9">
        <f>1/(1+EXP(-($A9-'03_Lap_b'!AA$45)))</f>
        <v/>
      </c>
      <c r="AJ9" s="9">
        <f>1/(1+EXP(-($A9-'03_Lap_b'!AB$45)))</f>
        <v/>
      </c>
      <c r="AK9" s="9">
        <f>1/(1+EXP(-($A9-'03_Lap_b'!AC$45)))</f>
        <v/>
      </c>
      <c r="AL9" s="9">
        <f>1/(1+EXP(-($A9-'03_Lap_b'!AD$45)))</f>
        <v/>
      </c>
      <c r="AM9" s="9">
        <f>1/(1+EXP(-($A9-'03_Lap_b'!AE$45)))</f>
        <v/>
      </c>
      <c r="AN9" s="9">
        <f>1/(1+EXP(-($A9-'03_Lap_b'!AF$45)))</f>
        <v/>
      </c>
      <c r="AO9" s="9">
        <f>1/(1+EXP(-($A9-'03_Lap_b'!AG$45)))</f>
        <v/>
      </c>
      <c r="AP9" s="9">
        <f>1/(1+EXP(-($A9-'03_Lap_b'!AH$45)))</f>
        <v/>
      </c>
      <c r="AQ9" s="9">
        <f>1/(1+EXP(-($A9-'03_Lap_b'!AI$45)))</f>
        <v/>
      </c>
      <c r="AR9" s="9">
        <f>1/(1+EXP(-($A9-'03_Lap_b'!AJ$45)))</f>
        <v/>
      </c>
      <c r="AS9" s="9">
        <f>1/(1+EXP(-($A9-'03_Lap_b'!AK$45)))</f>
        <v/>
      </c>
      <c r="AT9" s="9">
        <f>1/(1+EXP(-($A9-'03_Lap_b'!AL$45)))</f>
        <v/>
      </c>
      <c r="AU9" s="9">
        <f>1/(1+EXP(-($A9-'03_Lap_b'!AM$45)))</f>
        <v/>
      </c>
      <c r="AV9" s="9">
        <f>1/(1+EXP(-($A9-'03_Lap_b'!AN$45)))</f>
        <v/>
      </c>
      <c r="AW9" s="9">
        <f>1/(1+EXP(-($A9-'03_Lap_b'!AO$45)))</f>
        <v/>
      </c>
      <c r="AX9" s="9">
        <f>1/(1+EXP(-($A9-'03_Lap_b'!AP$45)))</f>
        <v/>
      </c>
      <c r="AY9" s="9">
        <f>1/(1+EXP(-($A9-'03_Lap_b'!AQ$45)))</f>
        <v/>
      </c>
      <c r="AZ9" s="9">
        <f>1/(1+EXP(-($A9-'03_Lap_b'!AR$45)))</f>
        <v/>
      </c>
      <c r="BA9" s="9">
        <f>1/(1+EXP(-($A9-'03_Lap_b'!AS$45)))</f>
        <v/>
      </c>
      <c r="BB9" s="9">
        <f>1/(1+EXP(-($A9-'03_Lap_b'!AT$45)))</f>
        <v/>
      </c>
      <c r="BC9" s="9">
        <f>1/(1+EXP(-($A9-'03_Lap_b'!AU$45)))</f>
        <v/>
      </c>
      <c r="BD9" s="9">
        <f>1/(1+EXP(-($A9-'03_Lap_b'!AV$45)))</f>
        <v/>
      </c>
      <c r="BE9" s="9">
        <f>1/(1+EXP(-($A9-'03_Lap_b'!AW$45)))</f>
        <v/>
      </c>
    </row>
    <row r="10">
      <c r="A10" s="10" t="n">
        <v>-2.6</v>
      </c>
      <c r="B10" s="11">
        <f>SUMPRODUCT(J10:BE10*(1-J10:BE10))</f>
        <v/>
      </c>
      <c r="C10" s="5">
        <f>R10</f>
        <v/>
      </c>
      <c r="D10" s="5">
        <f>J10</f>
        <v/>
      </c>
      <c r="E10" s="5">
        <f>AH10</f>
        <v/>
      </c>
      <c r="F10" s="5">
        <f>AQ10</f>
        <v/>
      </c>
      <c r="G10" s="5">
        <f>AE10</f>
        <v/>
      </c>
      <c r="H10" s="5">
        <f>AG10</f>
        <v/>
      </c>
      <c r="I10" s="10">
        <f>SUM(J10:BE10)</f>
        <v/>
      </c>
      <c r="J10" s="9">
        <f>1/(1+EXP(-($A10-'03_Lap_b'!B$45)))</f>
        <v/>
      </c>
      <c r="K10" s="9">
        <f>1/(1+EXP(-($A10-'03_Lap_b'!C$45)))</f>
        <v/>
      </c>
      <c r="L10" s="9">
        <f>1/(1+EXP(-($A10-'03_Lap_b'!D$45)))</f>
        <v/>
      </c>
      <c r="M10" s="9">
        <f>1/(1+EXP(-($A10-'03_Lap_b'!E$45)))</f>
        <v/>
      </c>
      <c r="N10" s="9">
        <f>1/(1+EXP(-($A10-'03_Lap_b'!F$45)))</f>
        <v/>
      </c>
      <c r="O10" s="9">
        <f>1/(1+EXP(-($A10-'03_Lap_b'!G$45)))</f>
        <v/>
      </c>
      <c r="P10" s="9">
        <f>1/(1+EXP(-($A10-'03_Lap_b'!H$45)))</f>
        <v/>
      </c>
      <c r="Q10" s="9">
        <f>1/(1+EXP(-($A10-'03_Lap_b'!I$45)))</f>
        <v/>
      </c>
      <c r="R10" s="9">
        <f>1/(1+EXP(-($A10-'03_Lap_b'!J$45)))</f>
        <v/>
      </c>
      <c r="S10" s="9">
        <f>1/(1+EXP(-($A10-'03_Lap_b'!K$45)))</f>
        <v/>
      </c>
      <c r="T10" s="9">
        <f>1/(1+EXP(-($A10-'03_Lap_b'!L$45)))</f>
        <v/>
      </c>
      <c r="U10" s="9">
        <f>1/(1+EXP(-($A10-'03_Lap_b'!M$45)))</f>
        <v/>
      </c>
      <c r="V10" s="9">
        <f>1/(1+EXP(-($A10-'03_Lap_b'!N$45)))</f>
        <v/>
      </c>
      <c r="W10" s="9">
        <f>1/(1+EXP(-($A10-'03_Lap_b'!O$45)))</f>
        <v/>
      </c>
      <c r="X10" s="9" t="inlineStr">
        <is>
          <t>[-2.0, -1.5)</t>
        </is>
      </c>
      <c r="Y10" s="9">
        <f>COUNTIFS('05_NangLuc'!$E$2:$E$1038,"&gt;="&amp;-2.0,'05_NangLuc'!$E$2:$E$1038,"&lt;"&amp;-1.5)</f>
        <v/>
      </c>
      <c r="Z10" s="9">
        <f>COUNTIFS('04_Item'!$F$2:$F$49,"&gt;="&amp;-2.0,'04_Item'!$F$2:$F$49,"&lt;"&amp;-1.5)</f>
        <v/>
      </c>
      <c r="AA10" s="9">
        <f>1/(1+EXP(-($A10-'03_Lap_b'!S$45)))</f>
        <v/>
      </c>
      <c r="AB10" s="9" t="n">
        <v>3</v>
      </c>
      <c r="AC10" s="10">
        <f>SUMPRODUCT(1/(1+EXP(-(3-'03_Lap_b'!$B$45:$AW$45))))</f>
        <v/>
      </c>
      <c r="AD10" s="10">
        <f>AC10/48*100</f>
        <v/>
      </c>
      <c r="AE10" s="9">
        <f>1/(1+EXP(-($A10-'03_Lap_b'!W$45)))</f>
        <v/>
      </c>
      <c r="AF10" s="9">
        <f>1/(1+EXP(-($A10-'03_Lap_b'!X$45)))</f>
        <v/>
      </c>
      <c r="AG10" s="9">
        <f>1/(1+EXP(-($A10-'03_Lap_b'!Y$45)))</f>
        <v/>
      </c>
      <c r="AH10" s="9">
        <f>1/(1+EXP(-($A10-'03_Lap_b'!Z$45)))</f>
        <v/>
      </c>
      <c r="AI10" s="9">
        <f>1/(1+EXP(-($A10-'03_Lap_b'!AA$45)))</f>
        <v/>
      </c>
      <c r="AJ10" s="9">
        <f>1/(1+EXP(-($A10-'03_Lap_b'!AB$45)))</f>
        <v/>
      </c>
      <c r="AK10" s="9">
        <f>1/(1+EXP(-($A10-'03_Lap_b'!AC$45)))</f>
        <v/>
      </c>
      <c r="AL10" s="9">
        <f>1/(1+EXP(-($A10-'03_Lap_b'!AD$45)))</f>
        <v/>
      </c>
      <c r="AM10" s="9">
        <f>1/(1+EXP(-($A10-'03_Lap_b'!AE$45)))</f>
        <v/>
      </c>
      <c r="AN10" s="9">
        <f>1/(1+EXP(-($A10-'03_Lap_b'!AF$45)))</f>
        <v/>
      </c>
      <c r="AO10" s="9">
        <f>1/(1+EXP(-($A10-'03_Lap_b'!AG$45)))</f>
        <v/>
      </c>
      <c r="AP10" s="9">
        <f>1/(1+EXP(-($A10-'03_Lap_b'!AH$45)))</f>
        <v/>
      </c>
      <c r="AQ10" s="9">
        <f>1/(1+EXP(-($A10-'03_Lap_b'!AI$45)))</f>
        <v/>
      </c>
      <c r="AR10" s="9">
        <f>1/(1+EXP(-($A10-'03_Lap_b'!AJ$45)))</f>
        <v/>
      </c>
      <c r="AS10" s="9">
        <f>1/(1+EXP(-($A10-'03_Lap_b'!AK$45)))</f>
        <v/>
      </c>
      <c r="AT10" s="9">
        <f>1/(1+EXP(-($A10-'03_Lap_b'!AL$45)))</f>
        <v/>
      </c>
      <c r="AU10" s="9">
        <f>1/(1+EXP(-($A10-'03_Lap_b'!AM$45)))</f>
        <v/>
      </c>
      <c r="AV10" s="9">
        <f>1/(1+EXP(-($A10-'03_Lap_b'!AN$45)))</f>
        <v/>
      </c>
      <c r="AW10" s="9">
        <f>1/(1+EXP(-($A10-'03_Lap_b'!AO$45)))</f>
        <v/>
      </c>
      <c r="AX10" s="9">
        <f>1/(1+EXP(-($A10-'03_Lap_b'!AP$45)))</f>
        <v/>
      </c>
      <c r="AY10" s="9">
        <f>1/(1+EXP(-($A10-'03_Lap_b'!AQ$45)))</f>
        <v/>
      </c>
      <c r="AZ10" s="9">
        <f>1/(1+EXP(-($A10-'03_Lap_b'!AR$45)))</f>
        <v/>
      </c>
      <c r="BA10" s="9">
        <f>1/(1+EXP(-($A10-'03_Lap_b'!AS$45)))</f>
        <v/>
      </c>
      <c r="BB10" s="9">
        <f>1/(1+EXP(-($A10-'03_Lap_b'!AT$45)))</f>
        <v/>
      </c>
      <c r="BC10" s="9">
        <f>1/(1+EXP(-($A10-'03_Lap_b'!AU$45)))</f>
        <v/>
      </c>
      <c r="BD10" s="9">
        <f>1/(1+EXP(-($A10-'03_Lap_b'!AV$45)))</f>
        <v/>
      </c>
      <c r="BE10" s="9">
        <f>1/(1+EXP(-($A10-'03_Lap_b'!AW$45)))</f>
        <v/>
      </c>
    </row>
    <row r="11">
      <c r="A11" s="10" t="n">
        <v>-2.4</v>
      </c>
      <c r="B11" s="11">
        <f>SUMPRODUCT(J11:BE11*(1-J11:BE11))</f>
        <v/>
      </c>
      <c r="C11" s="5">
        <f>R11</f>
        <v/>
      </c>
      <c r="D11" s="5">
        <f>J11</f>
        <v/>
      </c>
      <c r="E11" s="5">
        <f>AH11</f>
        <v/>
      </c>
      <c r="F11" s="5">
        <f>AQ11</f>
        <v/>
      </c>
      <c r="G11" s="5">
        <f>AE11</f>
        <v/>
      </c>
      <c r="H11" s="5">
        <f>AG11</f>
        <v/>
      </c>
      <c r="I11" s="10">
        <f>SUM(J11:BE11)</f>
        <v/>
      </c>
      <c r="J11" s="9">
        <f>1/(1+EXP(-($A11-'03_Lap_b'!B$45)))</f>
        <v/>
      </c>
      <c r="K11" s="9">
        <f>1/(1+EXP(-($A11-'03_Lap_b'!C$45)))</f>
        <v/>
      </c>
      <c r="L11" s="9">
        <f>1/(1+EXP(-($A11-'03_Lap_b'!D$45)))</f>
        <v/>
      </c>
      <c r="M11" s="9">
        <f>1/(1+EXP(-($A11-'03_Lap_b'!E$45)))</f>
        <v/>
      </c>
      <c r="N11" s="9">
        <f>1/(1+EXP(-($A11-'03_Lap_b'!F$45)))</f>
        <v/>
      </c>
      <c r="O11" s="9">
        <f>1/(1+EXP(-($A11-'03_Lap_b'!G$45)))</f>
        <v/>
      </c>
      <c r="P11" s="9">
        <f>1/(1+EXP(-($A11-'03_Lap_b'!H$45)))</f>
        <v/>
      </c>
      <c r="Q11" s="9">
        <f>1/(1+EXP(-($A11-'03_Lap_b'!I$45)))</f>
        <v/>
      </c>
      <c r="R11" s="9">
        <f>1/(1+EXP(-($A11-'03_Lap_b'!J$45)))</f>
        <v/>
      </c>
      <c r="S11" s="9">
        <f>1/(1+EXP(-($A11-'03_Lap_b'!K$45)))</f>
        <v/>
      </c>
      <c r="T11" s="9">
        <f>1/(1+EXP(-($A11-'03_Lap_b'!L$45)))</f>
        <v/>
      </c>
      <c r="U11" s="9">
        <f>1/(1+EXP(-($A11-'03_Lap_b'!M$45)))</f>
        <v/>
      </c>
      <c r="V11" s="9">
        <f>1/(1+EXP(-($A11-'03_Lap_b'!N$45)))</f>
        <v/>
      </c>
      <c r="W11" s="9">
        <f>1/(1+EXP(-($A11-'03_Lap_b'!O$45)))</f>
        <v/>
      </c>
      <c r="X11" s="9" t="inlineStr">
        <is>
          <t>[-1.5, -1.0)</t>
        </is>
      </c>
      <c r="Y11" s="9">
        <f>COUNTIFS('05_NangLuc'!$E$2:$E$1038,"&gt;="&amp;-1.5,'05_NangLuc'!$E$2:$E$1038,"&lt;"&amp;-1.0)</f>
        <v/>
      </c>
      <c r="Z11" s="9">
        <f>COUNTIFS('04_Item'!$F$2:$F$49,"&gt;="&amp;-1.5,'04_Item'!$F$2:$F$49,"&lt;"&amp;-1.0)</f>
        <v/>
      </c>
      <c r="AA11" s="9">
        <f>1/(1+EXP(-($A11-'03_Lap_b'!S$45)))</f>
        <v/>
      </c>
      <c r="AB11" s="9">
        <f>1/(1+EXP(-($A11-'03_Lap_b'!T$45)))</f>
        <v/>
      </c>
      <c r="AC11" s="9">
        <f>1/(1+EXP(-($A11-'03_Lap_b'!U$45)))</f>
        <v/>
      </c>
      <c r="AD11" s="9">
        <f>1/(1+EXP(-($A11-'03_Lap_b'!V$45)))</f>
        <v/>
      </c>
      <c r="AE11" s="9">
        <f>1/(1+EXP(-($A11-'03_Lap_b'!W$45)))</f>
        <v/>
      </c>
      <c r="AF11" s="9">
        <f>1/(1+EXP(-($A11-'03_Lap_b'!X$45)))</f>
        <v/>
      </c>
      <c r="AG11" s="9">
        <f>1/(1+EXP(-($A11-'03_Lap_b'!Y$45)))</f>
        <v/>
      </c>
      <c r="AH11" s="9">
        <f>1/(1+EXP(-($A11-'03_Lap_b'!Z$45)))</f>
        <v/>
      </c>
      <c r="AI11" s="9">
        <f>1/(1+EXP(-($A11-'03_Lap_b'!AA$45)))</f>
        <v/>
      </c>
      <c r="AJ11" s="9">
        <f>1/(1+EXP(-($A11-'03_Lap_b'!AB$45)))</f>
        <v/>
      </c>
      <c r="AK11" s="9">
        <f>1/(1+EXP(-($A11-'03_Lap_b'!AC$45)))</f>
        <v/>
      </c>
      <c r="AL11" s="9">
        <f>1/(1+EXP(-($A11-'03_Lap_b'!AD$45)))</f>
        <v/>
      </c>
      <c r="AM11" s="9">
        <f>1/(1+EXP(-($A11-'03_Lap_b'!AE$45)))</f>
        <v/>
      </c>
      <c r="AN11" s="9">
        <f>1/(1+EXP(-($A11-'03_Lap_b'!AF$45)))</f>
        <v/>
      </c>
      <c r="AO11" s="9">
        <f>1/(1+EXP(-($A11-'03_Lap_b'!AG$45)))</f>
        <v/>
      </c>
      <c r="AP11" s="9">
        <f>1/(1+EXP(-($A11-'03_Lap_b'!AH$45)))</f>
        <v/>
      </c>
      <c r="AQ11" s="9">
        <f>1/(1+EXP(-($A11-'03_Lap_b'!AI$45)))</f>
        <v/>
      </c>
      <c r="AR11" s="9">
        <f>1/(1+EXP(-($A11-'03_Lap_b'!AJ$45)))</f>
        <v/>
      </c>
      <c r="AS11" s="9">
        <f>1/(1+EXP(-($A11-'03_Lap_b'!AK$45)))</f>
        <v/>
      </c>
      <c r="AT11" s="9">
        <f>1/(1+EXP(-($A11-'03_Lap_b'!AL$45)))</f>
        <v/>
      </c>
      <c r="AU11" s="9">
        <f>1/(1+EXP(-($A11-'03_Lap_b'!AM$45)))</f>
        <v/>
      </c>
      <c r="AV11" s="9">
        <f>1/(1+EXP(-($A11-'03_Lap_b'!AN$45)))</f>
        <v/>
      </c>
      <c r="AW11" s="9">
        <f>1/(1+EXP(-($A11-'03_Lap_b'!AO$45)))</f>
        <v/>
      </c>
      <c r="AX11" s="9">
        <f>1/(1+EXP(-($A11-'03_Lap_b'!AP$45)))</f>
        <v/>
      </c>
      <c r="AY11" s="9">
        <f>1/(1+EXP(-($A11-'03_Lap_b'!AQ$45)))</f>
        <v/>
      </c>
      <c r="AZ11" s="9">
        <f>1/(1+EXP(-($A11-'03_Lap_b'!AR$45)))</f>
        <v/>
      </c>
      <c r="BA11" s="9">
        <f>1/(1+EXP(-($A11-'03_Lap_b'!AS$45)))</f>
        <v/>
      </c>
      <c r="BB11" s="9">
        <f>1/(1+EXP(-($A11-'03_Lap_b'!AT$45)))</f>
        <v/>
      </c>
      <c r="BC11" s="9">
        <f>1/(1+EXP(-($A11-'03_Lap_b'!AU$45)))</f>
        <v/>
      </c>
      <c r="BD11" s="9">
        <f>1/(1+EXP(-($A11-'03_Lap_b'!AV$45)))</f>
        <v/>
      </c>
      <c r="BE11" s="9">
        <f>1/(1+EXP(-($A11-'03_Lap_b'!AW$45)))</f>
        <v/>
      </c>
    </row>
    <row r="12">
      <c r="A12" s="10" t="n">
        <v>-2.2</v>
      </c>
      <c r="B12" s="11">
        <f>SUMPRODUCT(J12:BE12*(1-J12:BE12))</f>
        <v/>
      </c>
      <c r="C12" s="5">
        <f>R12</f>
        <v/>
      </c>
      <c r="D12" s="5">
        <f>J12</f>
        <v/>
      </c>
      <c r="E12" s="5">
        <f>AH12</f>
        <v/>
      </c>
      <c r="F12" s="5">
        <f>AQ12</f>
        <v/>
      </c>
      <c r="G12" s="5">
        <f>AE12</f>
        <v/>
      </c>
      <c r="H12" s="5">
        <f>AG12</f>
        <v/>
      </c>
      <c r="I12" s="10">
        <f>SUM(J12:BE12)</f>
        <v/>
      </c>
      <c r="J12" s="9">
        <f>1/(1+EXP(-($A12-'03_Lap_b'!B$45)))</f>
        <v/>
      </c>
      <c r="K12" s="9">
        <f>1/(1+EXP(-($A12-'03_Lap_b'!C$45)))</f>
        <v/>
      </c>
      <c r="L12" s="9">
        <f>1/(1+EXP(-($A12-'03_Lap_b'!D$45)))</f>
        <v/>
      </c>
      <c r="M12" s="9">
        <f>1/(1+EXP(-($A12-'03_Lap_b'!E$45)))</f>
        <v/>
      </c>
      <c r="N12" s="9">
        <f>1/(1+EXP(-($A12-'03_Lap_b'!F$45)))</f>
        <v/>
      </c>
      <c r="O12" s="9">
        <f>1/(1+EXP(-($A12-'03_Lap_b'!G$45)))</f>
        <v/>
      </c>
      <c r="P12" s="9">
        <f>1/(1+EXP(-($A12-'03_Lap_b'!H$45)))</f>
        <v/>
      </c>
      <c r="Q12" s="9">
        <f>1/(1+EXP(-($A12-'03_Lap_b'!I$45)))</f>
        <v/>
      </c>
      <c r="R12" s="9">
        <f>1/(1+EXP(-($A12-'03_Lap_b'!J$45)))</f>
        <v/>
      </c>
      <c r="S12" s="9">
        <f>1/(1+EXP(-($A12-'03_Lap_b'!K$45)))</f>
        <v/>
      </c>
      <c r="T12" s="9">
        <f>1/(1+EXP(-($A12-'03_Lap_b'!L$45)))</f>
        <v/>
      </c>
      <c r="U12" s="9">
        <f>1/(1+EXP(-($A12-'03_Lap_b'!M$45)))</f>
        <v/>
      </c>
      <c r="V12" s="9">
        <f>1/(1+EXP(-($A12-'03_Lap_b'!N$45)))</f>
        <v/>
      </c>
      <c r="W12" s="9">
        <f>1/(1+EXP(-($A12-'03_Lap_b'!O$45)))</f>
        <v/>
      </c>
      <c r="X12" s="9" t="inlineStr">
        <is>
          <t>[-1.0, -0.5)</t>
        </is>
      </c>
      <c r="Y12" s="9">
        <f>COUNTIFS('05_NangLuc'!$E$2:$E$1038,"&gt;="&amp;-1.0,'05_NangLuc'!$E$2:$E$1038,"&lt;"&amp;-0.5)</f>
        <v/>
      </c>
      <c r="Z12" s="9">
        <f>COUNTIFS('04_Item'!$F$2:$F$49,"&gt;="&amp;-1.0,'04_Item'!$F$2:$F$49,"&lt;"&amp;-0.5)</f>
        <v/>
      </c>
      <c r="AA12" s="9">
        <f>1/(1+EXP(-($A12-'03_Lap_b'!S$45)))</f>
        <v/>
      </c>
      <c r="AB12" s="9">
        <f>1/(1+EXP(-($A12-'03_Lap_b'!T$45)))</f>
        <v/>
      </c>
      <c r="AC12" s="9">
        <f>1/(1+EXP(-($A12-'03_Lap_b'!U$45)))</f>
        <v/>
      </c>
      <c r="AD12" s="9">
        <f>1/(1+EXP(-($A12-'03_Lap_b'!V$45)))</f>
        <v/>
      </c>
      <c r="AE12" s="9">
        <f>1/(1+EXP(-($A12-'03_Lap_b'!W$45)))</f>
        <v/>
      </c>
      <c r="AF12" s="9">
        <f>1/(1+EXP(-($A12-'03_Lap_b'!X$45)))</f>
        <v/>
      </c>
      <c r="AG12" s="9">
        <f>1/(1+EXP(-($A12-'03_Lap_b'!Y$45)))</f>
        <v/>
      </c>
      <c r="AH12" s="9">
        <f>1/(1+EXP(-($A12-'03_Lap_b'!Z$45)))</f>
        <v/>
      </c>
      <c r="AI12" s="9">
        <f>1/(1+EXP(-($A12-'03_Lap_b'!AA$45)))</f>
        <v/>
      </c>
      <c r="AJ12" s="9">
        <f>1/(1+EXP(-($A12-'03_Lap_b'!AB$45)))</f>
        <v/>
      </c>
      <c r="AK12" s="9">
        <f>1/(1+EXP(-($A12-'03_Lap_b'!AC$45)))</f>
        <v/>
      </c>
      <c r="AL12" s="9">
        <f>1/(1+EXP(-($A12-'03_Lap_b'!AD$45)))</f>
        <v/>
      </c>
      <c r="AM12" s="9">
        <f>1/(1+EXP(-($A12-'03_Lap_b'!AE$45)))</f>
        <v/>
      </c>
      <c r="AN12" s="9">
        <f>1/(1+EXP(-($A12-'03_Lap_b'!AF$45)))</f>
        <v/>
      </c>
      <c r="AO12" s="9">
        <f>1/(1+EXP(-($A12-'03_Lap_b'!AG$45)))</f>
        <v/>
      </c>
      <c r="AP12" s="9">
        <f>1/(1+EXP(-($A12-'03_Lap_b'!AH$45)))</f>
        <v/>
      </c>
      <c r="AQ12" s="9">
        <f>1/(1+EXP(-($A12-'03_Lap_b'!AI$45)))</f>
        <v/>
      </c>
      <c r="AR12" s="9">
        <f>1/(1+EXP(-($A12-'03_Lap_b'!AJ$45)))</f>
        <v/>
      </c>
      <c r="AS12" s="9">
        <f>1/(1+EXP(-($A12-'03_Lap_b'!AK$45)))</f>
        <v/>
      </c>
      <c r="AT12" s="9">
        <f>1/(1+EXP(-($A12-'03_Lap_b'!AL$45)))</f>
        <v/>
      </c>
      <c r="AU12" s="9">
        <f>1/(1+EXP(-($A12-'03_Lap_b'!AM$45)))</f>
        <v/>
      </c>
      <c r="AV12" s="9">
        <f>1/(1+EXP(-($A12-'03_Lap_b'!AN$45)))</f>
        <v/>
      </c>
      <c r="AW12" s="9">
        <f>1/(1+EXP(-($A12-'03_Lap_b'!AO$45)))</f>
        <v/>
      </c>
      <c r="AX12" s="9">
        <f>1/(1+EXP(-($A12-'03_Lap_b'!AP$45)))</f>
        <v/>
      </c>
      <c r="AY12" s="9">
        <f>1/(1+EXP(-($A12-'03_Lap_b'!AQ$45)))</f>
        <v/>
      </c>
      <c r="AZ12" s="9">
        <f>1/(1+EXP(-($A12-'03_Lap_b'!AR$45)))</f>
        <v/>
      </c>
      <c r="BA12" s="9">
        <f>1/(1+EXP(-($A12-'03_Lap_b'!AS$45)))</f>
        <v/>
      </c>
      <c r="BB12" s="9">
        <f>1/(1+EXP(-($A12-'03_Lap_b'!AT$45)))</f>
        <v/>
      </c>
      <c r="BC12" s="9">
        <f>1/(1+EXP(-($A12-'03_Lap_b'!AU$45)))</f>
        <v/>
      </c>
      <c r="BD12" s="9">
        <f>1/(1+EXP(-($A12-'03_Lap_b'!AV$45)))</f>
        <v/>
      </c>
      <c r="BE12" s="9">
        <f>1/(1+EXP(-($A12-'03_Lap_b'!AW$45)))</f>
        <v/>
      </c>
    </row>
    <row r="13">
      <c r="A13" s="10" t="n">
        <v>-2</v>
      </c>
      <c r="B13" s="11">
        <f>SUMPRODUCT(J13:BE13*(1-J13:BE13))</f>
        <v/>
      </c>
      <c r="C13" s="5">
        <f>R13</f>
        <v/>
      </c>
      <c r="D13" s="5">
        <f>J13</f>
        <v/>
      </c>
      <c r="E13" s="5">
        <f>AH13</f>
        <v/>
      </c>
      <c r="F13" s="5">
        <f>AQ13</f>
        <v/>
      </c>
      <c r="G13" s="5">
        <f>AE13</f>
        <v/>
      </c>
      <c r="H13" s="5">
        <f>AG13</f>
        <v/>
      </c>
      <c r="I13" s="10">
        <f>SUM(J13:BE13)</f>
        <v/>
      </c>
      <c r="J13" s="9">
        <f>1/(1+EXP(-($A13-'03_Lap_b'!B$45)))</f>
        <v/>
      </c>
      <c r="K13" s="9">
        <f>1/(1+EXP(-($A13-'03_Lap_b'!C$45)))</f>
        <v/>
      </c>
      <c r="L13" s="9">
        <f>1/(1+EXP(-($A13-'03_Lap_b'!D$45)))</f>
        <v/>
      </c>
      <c r="M13" s="9">
        <f>1/(1+EXP(-($A13-'03_Lap_b'!E$45)))</f>
        <v/>
      </c>
      <c r="N13" s="9">
        <f>1/(1+EXP(-($A13-'03_Lap_b'!F$45)))</f>
        <v/>
      </c>
      <c r="O13" s="9">
        <f>1/(1+EXP(-($A13-'03_Lap_b'!G$45)))</f>
        <v/>
      </c>
      <c r="P13" s="9">
        <f>1/(1+EXP(-($A13-'03_Lap_b'!H$45)))</f>
        <v/>
      </c>
      <c r="Q13" s="9">
        <f>1/(1+EXP(-($A13-'03_Lap_b'!I$45)))</f>
        <v/>
      </c>
      <c r="R13" s="9">
        <f>1/(1+EXP(-($A13-'03_Lap_b'!J$45)))</f>
        <v/>
      </c>
      <c r="S13" s="9">
        <f>1/(1+EXP(-($A13-'03_Lap_b'!K$45)))</f>
        <v/>
      </c>
      <c r="T13" s="9">
        <f>1/(1+EXP(-($A13-'03_Lap_b'!L$45)))</f>
        <v/>
      </c>
      <c r="U13" s="9">
        <f>1/(1+EXP(-($A13-'03_Lap_b'!M$45)))</f>
        <v/>
      </c>
      <c r="V13" s="9">
        <f>1/(1+EXP(-($A13-'03_Lap_b'!N$45)))</f>
        <v/>
      </c>
      <c r="W13" s="9">
        <f>1/(1+EXP(-($A13-'03_Lap_b'!O$45)))</f>
        <v/>
      </c>
      <c r="X13" s="9" t="inlineStr">
        <is>
          <t>[-0.5, 0.0)</t>
        </is>
      </c>
      <c r="Y13" s="9">
        <f>COUNTIFS('05_NangLuc'!$E$2:$E$1038,"&gt;="&amp;-0.5,'05_NangLuc'!$E$2:$E$1038,"&lt;"&amp;0.0)</f>
        <v/>
      </c>
      <c r="Z13" s="9">
        <f>COUNTIFS('04_Item'!$F$2:$F$49,"&gt;="&amp;-0.5,'04_Item'!$F$2:$F$49,"&lt;"&amp;0.0)</f>
        <v/>
      </c>
      <c r="AA13" s="9">
        <f>1/(1+EXP(-($A13-'03_Lap_b'!S$45)))</f>
        <v/>
      </c>
      <c r="AB13" s="9">
        <f>1/(1+EXP(-($A13-'03_Lap_b'!T$45)))</f>
        <v/>
      </c>
      <c r="AC13" s="9">
        <f>1/(1+EXP(-($A13-'03_Lap_b'!U$45)))</f>
        <v/>
      </c>
      <c r="AD13" s="9">
        <f>1/(1+EXP(-($A13-'03_Lap_b'!V$45)))</f>
        <v/>
      </c>
      <c r="AE13" s="9">
        <f>1/(1+EXP(-($A13-'03_Lap_b'!W$45)))</f>
        <v/>
      </c>
      <c r="AF13" s="9">
        <f>1/(1+EXP(-($A13-'03_Lap_b'!X$45)))</f>
        <v/>
      </c>
      <c r="AG13" s="9">
        <f>1/(1+EXP(-($A13-'03_Lap_b'!Y$45)))</f>
        <v/>
      </c>
      <c r="AH13" s="9">
        <f>1/(1+EXP(-($A13-'03_Lap_b'!Z$45)))</f>
        <v/>
      </c>
      <c r="AI13" s="9">
        <f>1/(1+EXP(-($A13-'03_Lap_b'!AA$45)))</f>
        <v/>
      </c>
      <c r="AJ13" s="9">
        <f>1/(1+EXP(-($A13-'03_Lap_b'!AB$45)))</f>
        <v/>
      </c>
      <c r="AK13" s="9">
        <f>1/(1+EXP(-($A13-'03_Lap_b'!AC$45)))</f>
        <v/>
      </c>
      <c r="AL13" s="9">
        <f>1/(1+EXP(-($A13-'03_Lap_b'!AD$45)))</f>
        <v/>
      </c>
      <c r="AM13" s="9">
        <f>1/(1+EXP(-($A13-'03_Lap_b'!AE$45)))</f>
        <v/>
      </c>
      <c r="AN13" s="9">
        <f>1/(1+EXP(-($A13-'03_Lap_b'!AF$45)))</f>
        <v/>
      </c>
      <c r="AO13" s="9">
        <f>1/(1+EXP(-($A13-'03_Lap_b'!AG$45)))</f>
        <v/>
      </c>
      <c r="AP13" s="9">
        <f>1/(1+EXP(-($A13-'03_Lap_b'!AH$45)))</f>
        <v/>
      </c>
      <c r="AQ13" s="9">
        <f>1/(1+EXP(-($A13-'03_Lap_b'!AI$45)))</f>
        <v/>
      </c>
      <c r="AR13" s="9">
        <f>1/(1+EXP(-($A13-'03_Lap_b'!AJ$45)))</f>
        <v/>
      </c>
      <c r="AS13" s="9">
        <f>1/(1+EXP(-($A13-'03_Lap_b'!AK$45)))</f>
        <v/>
      </c>
      <c r="AT13" s="9">
        <f>1/(1+EXP(-($A13-'03_Lap_b'!AL$45)))</f>
        <v/>
      </c>
      <c r="AU13" s="9">
        <f>1/(1+EXP(-($A13-'03_Lap_b'!AM$45)))</f>
        <v/>
      </c>
      <c r="AV13" s="9">
        <f>1/(1+EXP(-($A13-'03_Lap_b'!AN$45)))</f>
        <v/>
      </c>
      <c r="AW13" s="9">
        <f>1/(1+EXP(-($A13-'03_Lap_b'!AO$45)))</f>
        <v/>
      </c>
      <c r="AX13" s="9">
        <f>1/(1+EXP(-($A13-'03_Lap_b'!AP$45)))</f>
        <v/>
      </c>
      <c r="AY13" s="9">
        <f>1/(1+EXP(-($A13-'03_Lap_b'!AQ$45)))</f>
        <v/>
      </c>
      <c r="AZ13" s="9">
        <f>1/(1+EXP(-($A13-'03_Lap_b'!AR$45)))</f>
        <v/>
      </c>
      <c r="BA13" s="9">
        <f>1/(1+EXP(-($A13-'03_Lap_b'!AS$45)))</f>
        <v/>
      </c>
      <c r="BB13" s="9">
        <f>1/(1+EXP(-($A13-'03_Lap_b'!AT$45)))</f>
        <v/>
      </c>
      <c r="BC13" s="9">
        <f>1/(1+EXP(-($A13-'03_Lap_b'!AU$45)))</f>
        <v/>
      </c>
      <c r="BD13" s="9">
        <f>1/(1+EXP(-($A13-'03_Lap_b'!AV$45)))</f>
        <v/>
      </c>
      <c r="BE13" s="9">
        <f>1/(1+EXP(-($A13-'03_Lap_b'!AW$45)))</f>
        <v/>
      </c>
    </row>
    <row r="14">
      <c r="A14" s="10" t="n">
        <v>-1.8</v>
      </c>
      <c r="B14" s="11">
        <f>SUMPRODUCT(J14:BE14*(1-J14:BE14))</f>
        <v/>
      </c>
      <c r="C14" s="5">
        <f>R14</f>
        <v/>
      </c>
      <c r="D14" s="5">
        <f>J14</f>
        <v/>
      </c>
      <c r="E14" s="5">
        <f>AH14</f>
        <v/>
      </c>
      <c r="F14" s="5">
        <f>AQ14</f>
        <v/>
      </c>
      <c r="G14" s="5">
        <f>AE14</f>
        <v/>
      </c>
      <c r="H14" s="5">
        <f>AG14</f>
        <v/>
      </c>
      <c r="I14" s="10">
        <f>SUM(J14:BE14)</f>
        <v/>
      </c>
      <c r="J14" s="9">
        <f>1/(1+EXP(-($A14-'03_Lap_b'!B$45)))</f>
        <v/>
      </c>
      <c r="K14" s="9">
        <f>1/(1+EXP(-($A14-'03_Lap_b'!C$45)))</f>
        <v/>
      </c>
      <c r="L14" s="9">
        <f>1/(1+EXP(-($A14-'03_Lap_b'!D$45)))</f>
        <v/>
      </c>
      <c r="M14" s="9">
        <f>1/(1+EXP(-($A14-'03_Lap_b'!E$45)))</f>
        <v/>
      </c>
      <c r="N14" s="9">
        <f>1/(1+EXP(-($A14-'03_Lap_b'!F$45)))</f>
        <v/>
      </c>
      <c r="O14" s="9">
        <f>1/(1+EXP(-($A14-'03_Lap_b'!G$45)))</f>
        <v/>
      </c>
      <c r="P14" s="9">
        <f>1/(1+EXP(-($A14-'03_Lap_b'!H$45)))</f>
        <v/>
      </c>
      <c r="Q14" s="9">
        <f>1/(1+EXP(-($A14-'03_Lap_b'!I$45)))</f>
        <v/>
      </c>
      <c r="R14" s="9">
        <f>1/(1+EXP(-($A14-'03_Lap_b'!J$45)))</f>
        <v/>
      </c>
      <c r="S14" s="9">
        <f>1/(1+EXP(-($A14-'03_Lap_b'!K$45)))</f>
        <v/>
      </c>
      <c r="T14" s="9">
        <f>1/(1+EXP(-($A14-'03_Lap_b'!L$45)))</f>
        <v/>
      </c>
      <c r="U14" s="9">
        <f>1/(1+EXP(-($A14-'03_Lap_b'!M$45)))</f>
        <v/>
      </c>
      <c r="V14" s="9">
        <f>1/(1+EXP(-($A14-'03_Lap_b'!N$45)))</f>
        <v/>
      </c>
      <c r="W14" s="9">
        <f>1/(1+EXP(-($A14-'03_Lap_b'!O$45)))</f>
        <v/>
      </c>
      <c r="X14" s="9" t="inlineStr">
        <is>
          <t>[0.0, 0.5)</t>
        </is>
      </c>
      <c r="Y14" s="9">
        <f>COUNTIFS('05_NangLuc'!$E$2:$E$1038,"&gt;="&amp;0.0,'05_NangLuc'!$E$2:$E$1038,"&lt;"&amp;0.5)</f>
        <v/>
      </c>
      <c r="Z14" s="9">
        <f>COUNTIFS('04_Item'!$F$2:$F$49,"&gt;="&amp;0.0,'04_Item'!$F$2:$F$49,"&lt;"&amp;0.5)</f>
        <v/>
      </c>
      <c r="AA14" s="9">
        <f>1/(1+EXP(-($A14-'03_Lap_b'!S$45)))</f>
        <v/>
      </c>
      <c r="AB14" s="9">
        <f>1/(1+EXP(-($A14-'03_Lap_b'!T$45)))</f>
        <v/>
      </c>
      <c r="AC14" s="9">
        <f>1/(1+EXP(-($A14-'03_Lap_b'!U$45)))</f>
        <v/>
      </c>
      <c r="AD14" s="9">
        <f>1/(1+EXP(-($A14-'03_Lap_b'!V$45)))</f>
        <v/>
      </c>
      <c r="AE14" s="9">
        <f>1/(1+EXP(-($A14-'03_Lap_b'!W$45)))</f>
        <v/>
      </c>
      <c r="AF14" s="9">
        <f>1/(1+EXP(-($A14-'03_Lap_b'!X$45)))</f>
        <v/>
      </c>
      <c r="AG14" s="9">
        <f>1/(1+EXP(-($A14-'03_Lap_b'!Y$45)))</f>
        <v/>
      </c>
      <c r="AH14" s="9">
        <f>1/(1+EXP(-($A14-'03_Lap_b'!Z$45)))</f>
        <v/>
      </c>
      <c r="AI14" s="9">
        <f>1/(1+EXP(-($A14-'03_Lap_b'!AA$45)))</f>
        <v/>
      </c>
      <c r="AJ14" s="9">
        <f>1/(1+EXP(-($A14-'03_Lap_b'!AB$45)))</f>
        <v/>
      </c>
      <c r="AK14" s="9">
        <f>1/(1+EXP(-($A14-'03_Lap_b'!AC$45)))</f>
        <v/>
      </c>
      <c r="AL14" s="9">
        <f>1/(1+EXP(-($A14-'03_Lap_b'!AD$45)))</f>
        <v/>
      </c>
      <c r="AM14" s="9">
        <f>1/(1+EXP(-($A14-'03_Lap_b'!AE$45)))</f>
        <v/>
      </c>
      <c r="AN14" s="9">
        <f>1/(1+EXP(-($A14-'03_Lap_b'!AF$45)))</f>
        <v/>
      </c>
      <c r="AO14" s="9">
        <f>1/(1+EXP(-($A14-'03_Lap_b'!AG$45)))</f>
        <v/>
      </c>
      <c r="AP14" s="9">
        <f>1/(1+EXP(-($A14-'03_Lap_b'!AH$45)))</f>
        <v/>
      </c>
      <c r="AQ14" s="9">
        <f>1/(1+EXP(-($A14-'03_Lap_b'!AI$45)))</f>
        <v/>
      </c>
      <c r="AR14" s="9">
        <f>1/(1+EXP(-($A14-'03_Lap_b'!AJ$45)))</f>
        <v/>
      </c>
      <c r="AS14" s="9">
        <f>1/(1+EXP(-($A14-'03_Lap_b'!AK$45)))</f>
        <v/>
      </c>
      <c r="AT14" s="9">
        <f>1/(1+EXP(-($A14-'03_Lap_b'!AL$45)))</f>
        <v/>
      </c>
      <c r="AU14" s="9">
        <f>1/(1+EXP(-($A14-'03_Lap_b'!AM$45)))</f>
        <v/>
      </c>
      <c r="AV14" s="9">
        <f>1/(1+EXP(-($A14-'03_Lap_b'!AN$45)))</f>
        <v/>
      </c>
      <c r="AW14" s="9">
        <f>1/(1+EXP(-($A14-'03_Lap_b'!AO$45)))</f>
        <v/>
      </c>
      <c r="AX14" s="9">
        <f>1/(1+EXP(-($A14-'03_Lap_b'!AP$45)))</f>
        <v/>
      </c>
      <c r="AY14" s="9">
        <f>1/(1+EXP(-($A14-'03_Lap_b'!AQ$45)))</f>
        <v/>
      </c>
      <c r="AZ14" s="9">
        <f>1/(1+EXP(-($A14-'03_Lap_b'!AR$45)))</f>
        <v/>
      </c>
      <c r="BA14" s="9">
        <f>1/(1+EXP(-($A14-'03_Lap_b'!AS$45)))</f>
        <v/>
      </c>
      <c r="BB14" s="9">
        <f>1/(1+EXP(-($A14-'03_Lap_b'!AT$45)))</f>
        <v/>
      </c>
      <c r="BC14" s="9">
        <f>1/(1+EXP(-($A14-'03_Lap_b'!AU$45)))</f>
        <v/>
      </c>
      <c r="BD14" s="9">
        <f>1/(1+EXP(-($A14-'03_Lap_b'!AV$45)))</f>
        <v/>
      </c>
      <c r="BE14" s="9">
        <f>1/(1+EXP(-($A14-'03_Lap_b'!AW$45)))</f>
        <v/>
      </c>
    </row>
    <row r="15">
      <c r="A15" s="10" t="n">
        <v>-1.6</v>
      </c>
      <c r="B15" s="11">
        <f>SUMPRODUCT(J15:BE15*(1-J15:BE15))</f>
        <v/>
      </c>
      <c r="C15" s="5">
        <f>R15</f>
        <v/>
      </c>
      <c r="D15" s="5">
        <f>J15</f>
        <v/>
      </c>
      <c r="E15" s="5">
        <f>AH15</f>
        <v/>
      </c>
      <c r="F15" s="5">
        <f>AQ15</f>
        <v/>
      </c>
      <c r="G15" s="5">
        <f>AE15</f>
        <v/>
      </c>
      <c r="H15" s="5">
        <f>AG15</f>
        <v/>
      </c>
      <c r="I15" s="10">
        <f>SUM(J15:BE15)</f>
        <v/>
      </c>
      <c r="J15" s="9">
        <f>1/(1+EXP(-($A15-'03_Lap_b'!B$45)))</f>
        <v/>
      </c>
      <c r="K15" s="9">
        <f>1/(1+EXP(-($A15-'03_Lap_b'!C$45)))</f>
        <v/>
      </c>
      <c r="L15" s="9">
        <f>1/(1+EXP(-($A15-'03_Lap_b'!D$45)))</f>
        <v/>
      </c>
      <c r="M15" s="9">
        <f>1/(1+EXP(-($A15-'03_Lap_b'!E$45)))</f>
        <v/>
      </c>
      <c r="N15" s="9">
        <f>1/(1+EXP(-($A15-'03_Lap_b'!F$45)))</f>
        <v/>
      </c>
      <c r="O15" s="9">
        <f>1/(1+EXP(-($A15-'03_Lap_b'!G$45)))</f>
        <v/>
      </c>
      <c r="P15" s="9">
        <f>1/(1+EXP(-($A15-'03_Lap_b'!H$45)))</f>
        <v/>
      </c>
      <c r="Q15" s="9">
        <f>1/(1+EXP(-($A15-'03_Lap_b'!I$45)))</f>
        <v/>
      </c>
      <c r="R15" s="9">
        <f>1/(1+EXP(-($A15-'03_Lap_b'!J$45)))</f>
        <v/>
      </c>
      <c r="S15" s="9">
        <f>1/(1+EXP(-($A15-'03_Lap_b'!K$45)))</f>
        <v/>
      </c>
      <c r="T15" s="9">
        <f>1/(1+EXP(-($A15-'03_Lap_b'!L$45)))</f>
        <v/>
      </c>
      <c r="U15" s="9">
        <f>1/(1+EXP(-($A15-'03_Lap_b'!M$45)))</f>
        <v/>
      </c>
      <c r="V15" s="9">
        <f>1/(1+EXP(-($A15-'03_Lap_b'!N$45)))</f>
        <v/>
      </c>
      <c r="W15" s="9">
        <f>1/(1+EXP(-($A15-'03_Lap_b'!O$45)))</f>
        <v/>
      </c>
      <c r="X15" s="9" t="inlineStr">
        <is>
          <t>[0.5, 1.0)</t>
        </is>
      </c>
      <c r="Y15" s="9">
        <f>COUNTIFS('05_NangLuc'!$E$2:$E$1038,"&gt;="&amp;0.5,'05_NangLuc'!$E$2:$E$1038,"&lt;"&amp;1.0)</f>
        <v/>
      </c>
      <c r="Z15" s="9">
        <f>COUNTIFS('04_Item'!$F$2:$F$49,"&gt;="&amp;0.5,'04_Item'!$F$2:$F$49,"&lt;"&amp;1.0)</f>
        <v/>
      </c>
      <c r="AA15" s="9">
        <f>1/(1+EXP(-($A15-'03_Lap_b'!S$45)))</f>
        <v/>
      </c>
      <c r="AB15" s="9">
        <f>1/(1+EXP(-($A15-'03_Lap_b'!T$45)))</f>
        <v/>
      </c>
      <c r="AC15" s="9">
        <f>1/(1+EXP(-($A15-'03_Lap_b'!U$45)))</f>
        <v/>
      </c>
      <c r="AD15" s="9">
        <f>1/(1+EXP(-($A15-'03_Lap_b'!V$45)))</f>
        <v/>
      </c>
      <c r="AE15" s="9">
        <f>1/(1+EXP(-($A15-'03_Lap_b'!W$45)))</f>
        <v/>
      </c>
      <c r="AF15" s="9">
        <f>1/(1+EXP(-($A15-'03_Lap_b'!X$45)))</f>
        <v/>
      </c>
      <c r="AG15" s="9">
        <f>1/(1+EXP(-($A15-'03_Lap_b'!Y$45)))</f>
        <v/>
      </c>
      <c r="AH15" s="9">
        <f>1/(1+EXP(-($A15-'03_Lap_b'!Z$45)))</f>
        <v/>
      </c>
      <c r="AI15" s="9">
        <f>1/(1+EXP(-($A15-'03_Lap_b'!AA$45)))</f>
        <v/>
      </c>
      <c r="AJ15" s="9">
        <f>1/(1+EXP(-($A15-'03_Lap_b'!AB$45)))</f>
        <v/>
      </c>
      <c r="AK15" s="9">
        <f>1/(1+EXP(-($A15-'03_Lap_b'!AC$45)))</f>
        <v/>
      </c>
      <c r="AL15" s="9">
        <f>1/(1+EXP(-($A15-'03_Lap_b'!AD$45)))</f>
        <v/>
      </c>
      <c r="AM15" s="9">
        <f>1/(1+EXP(-($A15-'03_Lap_b'!AE$45)))</f>
        <v/>
      </c>
      <c r="AN15" s="9">
        <f>1/(1+EXP(-($A15-'03_Lap_b'!AF$45)))</f>
        <v/>
      </c>
      <c r="AO15" s="9">
        <f>1/(1+EXP(-($A15-'03_Lap_b'!AG$45)))</f>
        <v/>
      </c>
      <c r="AP15" s="9">
        <f>1/(1+EXP(-($A15-'03_Lap_b'!AH$45)))</f>
        <v/>
      </c>
      <c r="AQ15" s="9">
        <f>1/(1+EXP(-($A15-'03_Lap_b'!AI$45)))</f>
        <v/>
      </c>
      <c r="AR15" s="9">
        <f>1/(1+EXP(-($A15-'03_Lap_b'!AJ$45)))</f>
        <v/>
      </c>
      <c r="AS15" s="9">
        <f>1/(1+EXP(-($A15-'03_Lap_b'!AK$45)))</f>
        <v/>
      </c>
      <c r="AT15" s="9">
        <f>1/(1+EXP(-($A15-'03_Lap_b'!AL$45)))</f>
        <v/>
      </c>
      <c r="AU15" s="9">
        <f>1/(1+EXP(-($A15-'03_Lap_b'!AM$45)))</f>
        <v/>
      </c>
      <c r="AV15" s="9">
        <f>1/(1+EXP(-($A15-'03_Lap_b'!AN$45)))</f>
        <v/>
      </c>
      <c r="AW15" s="9">
        <f>1/(1+EXP(-($A15-'03_Lap_b'!AO$45)))</f>
        <v/>
      </c>
      <c r="AX15" s="9">
        <f>1/(1+EXP(-($A15-'03_Lap_b'!AP$45)))</f>
        <v/>
      </c>
      <c r="AY15" s="9">
        <f>1/(1+EXP(-($A15-'03_Lap_b'!AQ$45)))</f>
        <v/>
      </c>
      <c r="AZ15" s="9">
        <f>1/(1+EXP(-($A15-'03_Lap_b'!AR$45)))</f>
        <v/>
      </c>
      <c r="BA15" s="9">
        <f>1/(1+EXP(-($A15-'03_Lap_b'!AS$45)))</f>
        <v/>
      </c>
      <c r="BB15" s="9">
        <f>1/(1+EXP(-($A15-'03_Lap_b'!AT$45)))</f>
        <v/>
      </c>
      <c r="BC15" s="9">
        <f>1/(1+EXP(-($A15-'03_Lap_b'!AU$45)))</f>
        <v/>
      </c>
      <c r="BD15" s="9">
        <f>1/(1+EXP(-($A15-'03_Lap_b'!AV$45)))</f>
        <v/>
      </c>
      <c r="BE15" s="9">
        <f>1/(1+EXP(-($A15-'03_Lap_b'!AW$45)))</f>
        <v/>
      </c>
    </row>
    <row r="16">
      <c r="A16" s="10" t="n">
        <v>-1.4</v>
      </c>
      <c r="B16" s="11">
        <f>SUMPRODUCT(J16:BE16*(1-J16:BE16))</f>
        <v/>
      </c>
      <c r="C16" s="5">
        <f>R16</f>
        <v/>
      </c>
      <c r="D16" s="5">
        <f>J16</f>
        <v/>
      </c>
      <c r="E16" s="5">
        <f>AH16</f>
        <v/>
      </c>
      <c r="F16" s="5">
        <f>AQ16</f>
        <v/>
      </c>
      <c r="G16" s="5">
        <f>AE16</f>
        <v/>
      </c>
      <c r="H16" s="5">
        <f>AG16</f>
        <v/>
      </c>
      <c r="I16" s="10">
        <f>SUM(J16:BE16)</f>
        <v/>
      </c>
      <c r="J16" s="9">
        <f>1/(1+EXP(-($A16-'03_Lap_b'!B$45)))</f>
        <v/>
      </c>
      <c r="K16" s="9">
        <f>1/(1+EXP(-($A16-'03_Lap_b'!C$45)))</f>
        <v/>
      </c>
      <c r="L16" s="9">
        <f>1/(1+EXP(-($A16-'03_Lap_b'!D$45)))</f>
        <v/>
      </c>
      <c r="M16" s="9">
        <f>1/(1+EXP(-($A16-'03_Lap_b'!E$45)))</f>
        <v/>
      </c>
      <c r="N16" s="9">
        <f>1/(1+EXP(-($A16-'03_Lap_b'!F$45)))</f>
        <v/>
      </c>
      <c r="O16" s="9">
        <f>1/(1+EXP(-($A16-'03_Lap_b'!G$45)))</f>
        <v/>
      </c>
      <c r="P16" s="9">
        <f>1/(1+EXP(-($A16-'03_Lap_b'!H$45)))</f>
        <v/>
      </c>
      <c r="Q16" s="9">
        <f>1/(1+EXP(-($A16-'03_Lap_b'!I$45)))</f>
        <v/>
      </c>
      <c r="R16" s="9">
        <f>1/(1+EXP(-($A16-'03_Lap_b'!J$45)))</f>
        <v/>
      </c>
      <c r="S16" s="9">
        <f>1/(1+EXP(-($A16-'03_Lap_b'!K$45)))</f>
        <v/>
      </c>
      <c r="T16" s="9">
        <f>1/(1+EXP(-($A16-'03_Lap_b'!L$45)))</f>
        <v/>
      </c>
      <c r="U16" s="9">
        <f>1/(1+EXP(-($A16-'03_Lap_b'!M$45)))</f>
        <v/>
      </c>
      <c r="V16" s="9">
        <f>1/(1+EXP(-($A16-'03_Lap_b'!N$45)))</f>
        <v/>
      </c>
      <c r="W16" s="9">
        <f>1/(1+EXP(-($A16-'03_Lap_b'!O$45)))</f>
        <v/>
      </c>
      <c r="X16" s="9" t="inlineStr">
        <is>
          <t>[1.0, 1.5)</t>
        </is>
      </c>
      <c r="Y16" s="9">
        <f>COUNTIFS('05_NangLuc'!$E$2:$E$1038,"&gt;="&amp;1.0,'05_NangLuc'!$E$2:$E$1038,"&lt;"&amp;1.5)</f>
        <v/>
      </c>
      <c r="Z16" s="9">
        <f>COUNTIFS('04_Item'!$F$2:$F$49,"&gt;="&amp;1.0,'04_Item'!$F$2:$F$49,"&lt;"&amp;1.5)</f>
        <v/>
      </c>
      <c r="AA16" s="9">
        <f>1/(1+EXP(-($A16-'03_Lap_b'!S$45)))</f>
        <v/>
      </c>
      <c r="AB16" s="9">
        <f>1/(1+EXP(-($A16-'03_Lap_b'!T$45)))</f>
        <v/>
      </c>
      <c r="AC16" s="9">
        <f>1/(1+EXP(-($A16-'03_Lap_b'!U$45)))</f>
        <v/>
      </c>
      <c r="AD16" s="9">
        <f>1/(1+EXP(-($A16-'03_Lap_b'!V$45)))</f>
        <v/>
      </c>
      <c r="AE16" s="9">
        <f>1/(1+EXP(-($A16-'03_Lap_b'!W$45)))</f>
        <v/>
      </c>
      <c r="AF16" s="9">
        <f>1/(1+EXP(-($A16-'03_Lap_b'!X$45)))</f>
        <v/>
      </c>
      <c r="AG16" s="9">
        <f>1/(1+EXP(-($A16-'03_Lap_b'!Y$45)))</f>
        <v/>
      </c>
      <c r="AH16" s="9">
        <f>1/(1+EXP(-($A16-'03_Lap_b'!Z$45)))</f>
        <v/>
      </c>
      <c r="AI16" s="9">
        <f>1/(1+EXP(-($A16-'03_Lap_b'!AA$45)))</f>
        <v/>
      </c>
      <c r="AJ16" s="9">
        <f>1/(1+EXP(-($A16-'03_Lap_b'!AB$45)))</f>
        <v/>
      </c>
      <c r="AK16" s="9">
        <f>1/(1+EXP(-($A16-'03_Lap_b'!AC$45)))</f>
        <v/>
      </c>
      <c r="AL16" s="9">
        <f>1/(1+EXP(-($A16-'03_Lap_b'!AD$45)))</f>
        <v/>
      </c>
      <c r="AM16" s="9">
        <f>1/(1+EXP(-($A16-'03_Lap_b'!AE$45)))</f>
        <v/>
      </c>
      <c r="AN16" s="9">
        <f>1/(1+EXP(-($A16-'03_Lap_b'!AF$45)))</f>
        <v/>
      </c>
      <c r="AO16" s="9">
        <f>1/(1+EXP(-($A16-'03_Lap_b'!AG$45)))</f>
        <v/>
      </c>
      <c r="AP16" s="9">
        <f>1/(1+EXP(-($A16-'03_Lap_b'!AH$45)))</f>
        <v/>
      </c>
      <c r="AQ16" s="9">
        <f>1/(1+EXP(-($A16-'03_Lap_b'!AI$45)))</f>
        <v/>
      </c>
      <c r="AR16" s="9">
        <f>1/(1+EXP(-($A16-'03_Lap_b'!AJ$45)))</f>
        <v/>
      </c>
      <c r="AS16" s="9">
        <f>1/(1+EXP(-($A16-'03_Lap_b'!AK$45)))</f>
        <v/>
      </c>
      <c r="AT16" s="9">
        <f>1/(1+EXP(-($A16-'03_Lap_b'!AL$45)))</f>
        <v/>
      </c>
      <c r="AU16" s="9">
        <f>1/(1+EXP(-($A16-'03_Lap_b'!AM$45)))</f>
        <v/>
      </c>
      <c r="AV16" s="9">
        <f>1/(1+EXP(-($A16-'03_Lap_b'!AN$45)))</f>
        <v/>
      </c>
      <c r="AW16" s="9">
        <f>1/(1+EXP(-($A16-'03_Lap_b'!AO$45)))</f>
        <v/>
      </c>
      <c r="AX16" s="9">
        <f>1/(1+EXP(-($A16-'03_Lap_b'!AP$45)))</f>
        <v/>
      </c>
      <c r="AY16" s="9">
        <f>1/(1+EXP(-($A16-'03_Lap_b'!AQ$45)))</f>
        <v/>
      </c>
      <c r="AZ16" s="9">
        <f>1/(1+EXP(-($A16-'03_Lap_b'!AR$45)))</f>
        <v/>
      </c>
      <c r="BA16" s="9">
        <f>1/(1+EXP(-($A16-'03_Lap_b'!AS$45)))</f>
        <v/>
      </c>
      <c r="BB16" s="9">
        <f>1/(1+EXP(-($A16-'03_Lap_b'!AT$45)))</f>
        <v/>
      </c>
      <c r="BC16" s="9">
        <f>1/(1+EXP(-($A16-'03_Lap_b'!AU$45)))</f>
        <v/>
      </c>
      <c r="BD16" s="9">
        <f>1/(1+EXP(-($A16-'03_Lap_b'!AV$45)))</f>
        <v/>
      </c>
      <c r="BE16" s="9">
        <f>1/(1+EXP(-($A16-'03_Lap_b'!AW$45)))</f>
        <v/>
      </c>
    </row>
    <row r="17">
      <c r="A17" s="10" t="n">
        <v>-1.2</v>
      </c>
      <c r="B17" s="11">
        <f>SUMPRODUCT(J17:BE17*(1-J17:BE17))</f>
        <v/>
      </c>
      <c r="C17" s="5">
        <f>R17</f>
        <v/>
      </c>
      <c r="D17" s="5">
        <f>J17</f>
        <v/>
      </c>
      <c r="E17" s="5">
        <f>AH17</f>
        <v/>
      </c>
      <c r="F17" s="5">
        <f>AQ17</f>
        <v/>
      </c>
      <c r="G17" s="5">
        <f>AE17</f>
        <v/>
      </c>
      <c r="H17" s="5">
        <f>AG17</f>
        <v/>
      </c>
      <c r="I17" s="10">
        <f>SUM(J17:BE17)</f>
        <v/>
      </c>
      <c r="J17" s="9">
        <f>1/(1+EXP(-($A17-'03_Lap_b'!B$45)))</f>
        <v/>
      </c>
      <c r="K17" s="9">
        <f>1/(1+EXP(-($A17-'03_Lap_b'!C$45)))</f>
        <v/>
      </c>
      <c r="L17" s="9">
        <f>1/(1+EXP(-($A17-'03_Lap_b'!D$45)))</f>
        <v/>
      </c>
      <c r="M17" s="9">
        <f>1/(1+EXP(-($A17-'03_Lap_b'!E$45)))</f>
        <v/>
      </c>
      <c r="N17" s="9">
        <f>1/(1+EXP(-($A17-'03_Lap_b'!F$45)))</f>
        <v/>
      </c>
      <c r="O17" s="9">
        <f>1/(1+EXP(-($A17-'03_Lap_b'!G$45)))</f>
        <v/>
      </c>
      <c r="P17" s="9">
        <f>1/(1+EXP(-($A17-'03_Lap_b'!H$45)))</f>
        <v/>
      </c>
      <c r="Q17" s="9">
        <f>1/(1+EXP(-($A17-'03_Lap_b'!I$45)))</f>
        <v/>
      </c>
      <c r="R17" s="9">
        <f>1/(1+EXP(-($A17-'03_Lap_b'!J$45)))</f>
        <v/>
      </c>
      <c r="S17" s="9">
        <f>1/(1+EXP(-($A17-'03_Lap_b'!K$45)))</f>
        <v/>
      </c>
      <c r="T17" s="9">
        <f>1/(1+EXP(-($A17-'03_Lap_b'!L$45)))</f>
        <v/>
      </c>
      <c r="U17" s="9">
        <f>1/(1+EXP(-($A17-'03_Lap_b'!M$45)))</f>
        <v/>
      </c>
      <c r="V17" s="9">
        <f>1/(1+EXP(-($A17-'03_Lap_b'!N$45)))</f>
        <v/>
      </c>
      <c r="W17" s="9">
        <f>1/(1+EXP(-($A17-'03_Lap_b'!O$45)))</f>
        <v/>
      </c>
      <c r="X17" s="9" t="inlineStr">
        <is>
          <t>[1.5, 2.0)</t>
        </is>
      </c>
      <c r="Y17" s="9">
        <f>COUNTIFS('05_NangLuc'!$E$2:$E$1038,"&gt;="&amp;1.5,'05_NangLuc'!$E$2:$E$1038,"&lt;"&amp;2.0)</f>
        <v/>
      </c>
      <c r="Z17" s="9">
        <f>COUNTIFS('04_Item'!$F$2:$F$49,"&gt;="&amp;1.5,'04_Item'!$F$2:$F$49,"&lt;"&amp;2.0)</f>
        <v/>
      </c>
      <c r="AA17" s="9">
        <f>1/(1+EXP(-($A17-'03_Lap_b'!S$45)))</f>
        <v/>
      </c>
      <c r="AB17" s="9">
        <f>1/(1+EXP(-($A17-'03_Lap_b'!T$45)))</f>
        <v/>
      </c>
      <c r="AC17" s="9">
        <f>1/(1+EXP(-($A17-'03_Lap_b'!U$45)))</f>
        <v/>
      </c>
      <c r="AD17" s="9">
        <f>1/(1+EXP(-($A17-'03_Lap_b'!V$45)))</f>
        <v/>
      </c>
      <c r="AE17" s="9">
        <f>1/(1+EXP(-($A17-'03_Lap_b'!W$45)))</f>
        <v/>
      </c>
      <c r="AF17" s="9">
        <f>1/(1+EXP(-($A17-'03_Lap_b'!X$45)))</f>
        <v/>
      </c>
      <c r="AG17" s="9">
        <f>1/(1+EXP(-($A17-'03_Lap_b'!Y$45)))</f>
        <v/>
      </c>
      <c r="AH17" s="9">
        <f>1/(1+EXP(-($A17-'03_Lap_b'!Z$45)))</f>
        <v/>
      </c>
      <c r="AI17" s="9">
        <f>1/(1+EXP(-($A17-'03_Lap_b'!AA$45)))</f>
        <v/>
      </c>
      <c r="AJ17" s="9">
        <f>1/(1+EXP(-($A17-'03_Lap_b'!AB$45)))</f>
        <v/>
      </c>
      <c r="AK17" s="9">
        <f>1/(1+EXP(-($A17-'03_Lap_b'!AC$45)))</f>
        <v/>
      </c>
      <c r="AL17" s="9">
        <f>1/(1+EXP(-($A17-'03_Lap_b'!AD$45)))</f>
        <v/>
      </c>
      <c r="AM17" s="9">
        <f>1/(1+EXP(-($A17-'03_Lap_b'!AE$45)))</f>
        <v/>
      </c>
      <c r="AN17" s="9">
        <f>1/(1+EXP(-($A17-'03_Lap_b'!AF$45)))</f>
        <v/>
      </c>
      <c r="AO17" s="9">
        <f>1/(1+EXP(-($A17-'03_Lap_b'!AG$45)))</f>
        <v/>
      </c>
      <c r="AP17" s="9">
        <f>1/(1+EXP(-($A17-'03_Lap_b'!AH$45)))</f>
        <v/>
      </c>
      <c r="AQ17" s="9">
        <f>1/(1+EXP(-($A17-'03_Lap_b'!AI$45)))</f>
        <v/>
      </c>
      <c r="AR17" s="9">
        <f>1/(1+EXP(-($A17-'03_Lap_b'!AJ$45)))</f>
        <v/>
      </c>
      <c r="AS17" s="9">
        <f>1/(1+EXP(-($A17-'03_Lap_b'!AK$45)))</f>
        <v/>
      </c>
      <c r="AT17" s="9">
        <f>1/(1+EXP(-($A17-'03_Lap_b'!AL$45)))</f>
        <v/>
      </c>
      <c r="AU17" s="9">
        <f>1/(1+EXP(-($A17-'03_Lap_b'!AM$45)))</f>
        <v/>
      </c>
      <c r="AV17" s="9">
        <f>1/(1+EXP(-($A17-'03_Lap_b'!AN$45)))</f>
        <v/>
      </c>
      <c r="AW17" s="9">
        <f>1/(1+EXP(-($A17-'03_Lap_b'!AO$45)))</f>
        <v/>
      </c>
      <c r="AX17" s="9">
        <f>1/(1+EXP(-($A17-'03_Lap_b'!AP$45)))</f>
        <v/>
      </c>
      <c r="AY17" s="9">
        <f>1/(1+EXP(-($A17-'03_Lap_b'!AQ$45)))</f>
        <v/>
      </c>
      <c r="AZ17" s="9">
        <f>1/(1+EXP(-($A17-'03_Lap_b'!AR$45)))</f>
        <v/>
      </c>
      <c r="BA17" s="9">
        <f>1/(1+EXP(-($A17-'03_Lap_b'!AS$45)))</f>
        <v/>
      </c>
      <c r="BB17" s="9">
        <f>1/(1+EXP(-($A17-'03_Lap_b'!AT$45)))</f>
        <v/>
      </c>
      <c r="BC17" s="9">
        <f>1/(1+EXP(-($A17-'03_Lap_b'!AU$45)))</f>
        <v/>
      </c>
      <c r="BD17" s="9">
        <f>1/(1+EXP(-($A17-'03_Lap_b'!AV$45)))</f>
        <v/>
      </c>
      <c r="BE17" s="9">
        <f>1/(1+EXP(-($A17-'03_Lap_b'!AW$45)))</f>
        <v/>
      </c>
    </row>
    <row r="18">
      <c r="A18" s="10" t="n">
        <v>-1</v>
      </c>
      <c r="B18" s="11">
        <f>SUMPRODUCT(J18:BE18*(1-J18:BE18))</f>
        <v/>
      </c>
      <c r="C18" s="5">
        <f>R18</f>
        <v/>
      </c>
      <c r="D18" s="5">
        <f>J18</f>
        <v/>
      </c>
      <c r="E18" s="5">
        <f>AH18</f>
        <v/>
      </c>
      <c r="F18" s="5">
        <f>AQ18</f>
        <v/>
      </c>
      <c r="G18" s="5">
        <f>AE18</f>
        <v/>
      </c>
      <c r="H18" s="5">
        <f>AG18</f>
        <v/>
      </c>
      <c r="I18" s="10">
        <f>SUM(J18:BE18)</f>
        <v/>
      </c>
      <c r="J18" s="9">
        <f>1/(1+EXP(-($A18-'03_Lap_b'!B$45)))</f>
        <v/>
      </c>
      <c r="K18" s="9">
        <f>1/(1+EXP(-($A18-'03_Lap_b'!C$45)))</f>
        <v/>
      </c>
      <c r="L18" s="9">
        <f>1/(1+EXP(-($A18-'03_Lap_b'!D$45)))</f>
        <v/>
      </c>
      <c r="M18" s="9">
        <f>1/(1+EXP(-($A18-'03_Lap_b'!E$45)))</f>
        <v/>
      </c>
      <c r="N18" s="9">
        <f>1/(1+EXP(-($A18-'03_Lap_b'!F$45)))</f>
        <v/>
      </c>
      <c r="O18" s="9">
        <f>1/(1+EXP(-($A18-'03_Lap_b'!G$45)))</f>
        <v/>
      </c>
      <c r="P18" s="9">
        <f>1/(1+EXP(-($A18-'03_Lap_b'!H$45)))</f>
        <v/>
      </c>
      <c r="Q18" s="9">
        <f>1/(1+EXP(-($A18-'03_Lap_b'!I$45)))</f>
        <v/>
      </c>
      <c r="R18" s="9">
        <f>1/(1+EXP(-($A18-'03_Lap_b'!J$45)))</f>
        <v/>
      </c>
      <c r="S18" s="9">
        <f>1/(1+EXP(-($A18-'03_Lap_b'!K$45)))</f>
        <v/>
      </c>
      <c r="T18" s="9">
        <f>1/(1+EXP(-($A18-'03_Lap_b'!L$45)))</f>
        <v/>
      </c>
      <c r="U18" s="9">
        <f>1/(1+EXP(-($A18-'03_Lap_b'!M$45)))</f>
        <v/>
      </c>
      <c r="V18" s="9">
        <f>1/(1+EXP(-($A18-'03_Lap_b'!N$45)))</f>
        <v/>
      </c>
      <c r="W18" s="9">
        <f>1/(1+EXP(-($A18-'03_Lap_b'!O$45)))</f>
        <v/>
      </c>
      <c r="X18" s="9" t="inlineStr">
        <is>
          <t>[2.0, 2.5)</t>
        </is>
      </c>
      <c r="Y18" s="9">
        <f>COUNTIFS('05_NangLuc'!$E$2:$E$1038,"&gt;="&amp;2.0,'05_NangLuc'!$E$2:$E$1038,"&lt;"&amp;2.5)</f>
        <v/>
      </c>
      <c r="Z18" s="9">
        <f>COUNTIFS('04_Item'!$F$2:$F$49,"&gt;="&amp;2.0,'04_Item'!$F$2:$F$49,"&lt;"&amp;2.5)</f>
        <v/>
      </c>
      <c r="AA18" s="9">
        <f>1/(1+EXP(-($A18-'03_Lap_b'!S$45)))</f>
        <v/>
      </c>
      <c r="AB18" s="9">
        <f>1/(1+EXP(-($A18-'03_Lap_b'!T$45)))</f>
        <v/>
      </c>
      <c r="AC18" s="9">
        <f>1/(1+EXP(-($A18-'03_Lap_b'!U$45)))</f>
        <v/>
      </c>
      <c r="AD18" s="9">
        <f>1/(1+EXP(-($A18-'03_Lap_b'!V$45)))</f>
        <v/>
      </c>
      <c r="AE18" s="9">
        <f>1/(1+EXP(-($A18-'03_Lap_b'!W$45)))</f>
        <v/>
      </c>
      <c r="AF18" s="9">
        <f>1/(1+EXP(-($A18-'03_Lap_b'!X$45)))</f>
        <v/>
      </c>
      <c r="AG18" s="9">
        <f>1/(1+EXP(-($A18-'03_Lap_b'!Y$45)))</f>
        <v/>
      </c>
      <c r="AH18" s="9">
        <f>1/(1+EXP(-($A18-'03_Lap_b'!Z$45)))</f>
        <v/>
      </c>
      <c r="AI18" s="9">
        <f>1/(1+EXP(-($A18-'03_Lap_b'!AA$45)))</f>
        <v/>
      </c>
      <c r="AJ18" s="9">
        <f>1/(1+EXP(-($A18-'03_Lap_b'!AB$45)))</f>
        <v/>
      </c>
      <c r="AK18" s="9">
        <f>1/(1+EXP(-($A18-'03_Lap_b'!AC$45)))</f>
        <v/>
      </c>
      <c r="AL18" s="9">
        <f>1/(1+EXP(-($A18-'03_Lap_b'!AD$45)))</f>
        <v/>
      </c>
      <c r="AM18" s="9">
        <f>1/(1+EXP(-($A18-'03_Lap_b'!AE$45)))</f>
        <v/>
      </c>
      <c r="AN18" s="9">
        <f>1/(1+EXP(-($A18-'03_Lap_b'!AF$45)))</f>
        <v/>
      </c>
      <c r="AO18" s="9">
        <f>1/(1+EXP(-($A18-'03_Lap_b'!AG$45)))</f>
        <v/>
      </c>
      <c r="AP18" s="9">
        <f>1/(1+EXP(-($A18-'03_Lap_b'!AH$45)))</f>
        <v/>
      </c>
      <c r="AQ18" s="9">
        <f>1/(1+EXP(-($A18-'03_Lap_b'!AI$45)))</f>
        <v/>
      </c>
      <c r="AR18" s="9">
        <f>1/(1+EXP(-($A18-'03_Lap_b'!AJ$45)))</f>
        <v/>
      </c>
      <c r="AS18" s="9">
        <f>1/(1+EXP(-($A18-'03_Lap_b'!AK$45)))</f>
        <v/>
      </c>
      <c r="AT18" s="9">
        <f>1/(1+EXP(-($A18-'03_Lap_b'!AL$45)))</f>
        <v/>
      </c>
      <c r="AU18" s="9">
        <f>1/(1+EXP(-($A18-'03_Lap_b'!AM$45)))</f>
        <v/>
      </c>
      <c r="AV18" s="9">
        <f>1/(1+EXP(-($A18-'03_Lap_b'!AN$45)))</f>
        <v/>
      </c>
      <c r="AW18" s="9">
        <f>1/(1+EXP(-($A18-'03_Lap_b'!AO$45)))</f>
        <v/>
      </c>
      <c r="AX18" s="9">
        <f>1/(1+EXP(-($A18-'03_Lap_b'!AP$45)))</f>
        <v/>
      </c>
      <c r="AY18" s="9">
        <f>1/(1+EXP(-($A18-'03_Lap_b'!AQ$45)))</f>
        <v/>
      </c>
      <c r="AZ18" s="9">
        <f>1/(1+EXP(-($A18-'03_Lap_b'!AR$45)))</f>
        <v/>
      </c>
      <c r="BA18" s="9">
        <f>1/(1+EXP(-($A18-'03_Lap_b'!AS$45)))</f>
        <v/>
      </c>
      <c r="BB18" s="9">
        <f>1/(1+EXP(-($A18-'03_Lap_b'!AT$45)))</f>
        <v/>
      </c>
      <c r="BC18" s="9">
        <f>1/(1+EXP(-($A18-'03_Lap_b'!AU$45)))</f>
        <v/>
      </c>
      <c r="BD18" s="9">
        <f>1/(1+EXP(-($A18-'03_Lap_b'!AV$45)))</f>
        <v/>
      </c>
      <c r="BE18" s="9">
        <f>1/(1+EXP(-($A18-'03_Lap_b'!AW$45)))</f>
        <v/>
      </c>
    </row>
    <row r="19">
      <c r="A19" s="10" t="n">
        <v>-0.8</v>
      </c>
      <c r="B19" s="11">
        <f>SUMPRODUCT(J19:BE19*(1-J19:BE19))</f>
        <v/>
      </c>
      <c r="C19" s="5">
        <f>R19</f>
        <v/>
      </c>
      <c r="D19" s="5">
        <f>J19</f>
        <v/>
      </c>
      <c r="E19" s="5">
        <f>AH19</f>
        <v/>
      </c>
      <c r="F19" s="5">
        <f>AQ19</f>
        <v/>
      </c>
      <c r="G19" s="5">
        <f>AE19</f>
        <v/>
      </c>
      <c r="H19" s="5">
        <f>AG19</f>
        <v/>
      </c>
      <c r="I19" s="10">
        <f>SUM(J19:BE19)</f>
        <v/>
      </c>
      <c r="J19" s="9">
        <f>1/(1+EXP(-($A19-'03_Lap_b'!B$45)))</f>
        <v/>
      </c>
      <c r="K19" s="9">
        <f>1/(1+EXP(-($A19-'03_Lap_b'!C$45)))</f>
        <v/>
      </c>
      <c r="L19" s="9">
        <f>1/(1+EXP(-($A19-'03_Lap_b'!D$45)))</f>
        <v/>
      </c>
      <c r="M19" s="9">
        <f>1/(1+EXP(-($A19-'03_Lap_b'!E$45)))</f>
        <v/>
      </c>
      <c r="N19" s="9">
        <f>1/(1+EXP(-($A19-'03_Lap_b'!F$45)))</f>
        <v/>
      </c>
      <c r="O19" s="9">
        <f>1/(1+EXP(-($A19-'03_Lap_b'!G$45)))</f>
        <v/>
      </c>
      <c r="P19" s="9">
        <f>1/(1+EXP(-($A19-'03_Lap_b'!H$45)))</f>
        <v/>
      </c>
      <c r="Q19" s="9">
        <f>1/(1+EXP(-($A19-'03_Lap_b'!I$45)))</f>
        <v/>
      </c>
      <c r="R19" s="9">
        <f>1/(1+EXP(-($A19-'03_Lap_b'!J$45)))</f>
        <v/>
      </c>
      <c r="S19" s="9">
        <f>1/(1+EXP(-($A19-'03_Lap_b'!K$45)))</f>
        <v/>
      </c>
      <c r="T19" s="9">
        <f>1/(1+EXP(-($A19-'03_Lap_b'!L$45)))</f>
        <v/>
      </c>
      <c r="U19" s="9">
        <f>1/(1+EXP(-($A19-'03_Lap_b'!M$45)))</f>
        <v/>
      </c>
      <c r="V19" s="9">
        <f>1/(1+EXP(-($A19-'03_Lap_b'!N$45)))</f>
        <v/>
      </c>
      <c r="W19" s="9">
        <f>1/(1+EXP(-($A19-'03_Lap_b'!O$45)))</f>
        <v/>
      </c>
      <c r="X19" s="9" t="inlineStr">
        <is>
          <t>[2.5, 3.0)</t>
        </is>
      </c>
      <c r="Y19" s="9">
        <f>COUNTIFS('05_NangLuc'!$E$2:$E$1038,"&gt;="&amp;2.5,'05_NangLuc'!$E$2:$E$1038,"&lt;"&amp;3.0)</f>
        <v/>
      </c>
      <c r="Z19" s="9">
        <f>COUNTIFS('04_Item'!$F$2:$F$49,"&gt;="&amp;2.5,'04_Item'!$F$2:$F$49,"&lt;"&amp;3.0)</f>
        <v/>
      </c>
      <c r="AA19" s="9">
        <f>1/(1+EXP(-($A19-'03_Lap_b'!S$45)))</f>
        <v/>
      </c>
      <c r="AB19" s="9">
        <f>1/(1+EXP(-($A19-'03_Lap_b'!T$45)))</f>
        <v/>
      </c>
      <c r="AC19" s="9">
        <f>1/(1+EXP(-($A19-'03_Lap_b'!U$45)))</f>
        <v/>
      </c>
      <c r="AD19" s="9">
        <f>1/(1+EXP(-($A19-'03_Lap_b'!V$45)))</f>
        <v/>
      </c>
      <c r="AE19" s="9">
        <f>1/(1+EXP(-($A19-'03_Lap_b'!W$45)))</f>
        <v/>
      </c>
      <c r="AF19" s="9">
        <f>1/(1+EXP(-($A19-'03_Lap_b'!X$45)))</f>
        <v/>
      </c>
      <c r="AG19" s="9">
        <f>1/(1+EXP(-($A19-'03_Lap_b'!Y$45)))</f>
        <v/>
      </c>
      <c r="AH19" s="9">
        <f>1/(1+EXP(-($A19-'03_Lap_b'!Z$45)))</f>
        <v/>
      </c>
      <c r="AI19" s="9">
        <f>1/(1+EXP(-($A19-'03_Lap_b'!AA$45)))</f>
        <v/>
      </c>
      <c r="AJ19" s="9">
        <f>1/(1+EXP(-($A19-'03_Lap_b'!AB$45)))</f>
        <v/>
      </c>
      <c r="AK19" s="9">
        <f>1/(1+EXP(-($A19-'03_Lap_b'!AC$45)))</f>
        <v/>
      </c>
      <c r="AL19" s="9">
        <f>1/(1+EXP(-($A19-'03_Lap_b'!AD$45)))</f>
        <v/>
      </c>
      <c r="AM19" s="9">
        <f>1/(1+EXP(-($A19-'03_Lap_b'!AE$45)))</f>
        <v/>
      </c>
      <c r="AN19" s="9">
        <f>1/(1+EXP(-($A19-'03_Lap_b'!AF$45)))</f>
        <v/>
      </c>
      <c r="AO19" s="9">
        <f>1/(1+EXP(-($A19-'03_Lap_b'!AG$45)))</f>
        <v/>
      </c>
      <c r="AP19" s="9">
        <f>1/(1+EXP(-($A19-'03_Lap_b'!AH$45)))</f>
        <v/>
      </c>
      <c r="AQ19" s="9">
        <f>1/(1+EXP(-($A19-'03_Lap_b'!AI$45)))</f>
        <v/>
      </c>
      <c r="AR19" s="9">
        <f>1/(1+EXP(-($A19-'03_Lap_b'!AJ$45)))</f>
        <v/>
      </c>
      <c r="AS19" s="9">
        <f>1/(1+EXP(-($A19-'03_Lap_b'!AK$45)))</f>
        <v/>
      </c>
      <c r="AT19" s="9">
        <f>1/(1+EXP(-($A19-'03_Lap_b'!AL$45)))</f>
        <v/>
      </c>
      <c r="AU19" s="9">
        <f>1/(1+EXP(-($A19-'03_Lap_b'!AM$45)))</f>
        <v/>
      </c>
      <c r="AV19" s="9">
        <f>1/(1+EXP(-($A19-'03_Lap_b'!AN$45)))</f>
        <v/>
      </c>
      <c r="AW19" s="9">
        <f>1/(1+EXP(-($A19-'03_Lap_b'!AO$45)))</f>
        <v/>
      </c>
      <c r="AX19" s="9">
        <f>1/(1+EXP(-($A19-'03_Lap_b'!AP$45)))</f>
        <v/>
      </c>
      <c r="AY19" s="9">
        <f>1/(1+EXP(-($A19-'03_Lap_b'!AQ$45)))</f>
        <v/>
      </c>
      <c r="AZ19" s="9">
        <f>1/(1+EXP(-($A19-'03_Lap_b'!AR$45)))</f>
        <v/>
      </c>
      <c r="BA19" s="9">
        <f>1/(1+EXP(-($A19-'03_Lap_b'!AS$45)))</f>
        <v/>
      </c>
      <c r="BB19" s="9">
        <f>1/(1+EXP(-($A19-'03_Lap_b'!AT$45)))</f>
        <v/>
      </c>
      <c r="BC19" s="9">
        <f>1/(1+EXP(-($A19-'03_Lap_b'!AU$45)))</f>
        <v/>
      </c>
      <c r="BD19" s="9">
        <f>1/(1+EXP(-($A19-'03_Lap_b'!AV$45)))</f>
        <v/>
      </c>
      <c r="BE19" s="9">
        <f>1/(1+EXP(-($A19-'03_Lap_b'!AW$45)))</f>
        <v/>
      </c>
    </row>
    <row r="20">
      <c r="A20" s="10" t="n">
        <v>-0.6</v>
      </c>
      <c r="B20" s="11">
        <f>SUMPRODUCT(J20:BE20*(1-J20:BE20))</f>
        <v/>
      </c>
      <c r="C20" s="5">
        <f>R20</f>
        <v/>
      </c>
      <c r="D20" s="5">
        <f>J20</f>
        <v/>
      </c>
      <c r="E20" s="5">
        <f>AH20</f>
        <v/>
      </c>
      <c r="F20" s="5">
        <f>AQ20</f>
        <v/>
      </c>
      <c r="G20" s="5">
        <f>AE20</f>
        <v/>
      </c>
      <c r="H20" s="5">
        <f>AG20</f>
        <v/>
      </c>
      <c r="I20" s="10">
        <f>SUM(J20:BE20)</f>
        <v/>
      </c>
      <c r="J20" s="9">
        <f>1/(1+EXP(-($A20-'03_Lap_b'!B$45)))</f>
        <v/>
      </c>
      <c r="K20" s="9">
        <f>1/(1+EXP(-($A20-'03_Lap_b'!C$45)))</f>
        <v/>
      </c>
      <c r="L20" s="9">
        <f>1/(1+EXP(-($A20-'03_Lap_b'!D$45)))</f>
        <v/>
      </c>
      <c r="M20" s="9">
        <f>1/(1+EXP(-($A20-'03_Lap_b'!E$45)))</f>
        <v/>
      </c>
      <c r="N20" s="9">
        <f>1/(1+EXP(-($A20-'03_Lap_b'!F$45)))</f>
        <v/>
      </c>
      <c r="O20" s="9">
        <f>1/(1+EXP(-($A20-'03_Lap_b'!G$45)))</f>
        <v/>
      </c>
      <c r="P20" s="9">
        <f>1/(1+EXP(-($A20-'03_Lap_b'!H$45)))</f>
        <v/>
      </c>
      <c r="Q20" s="9">
        <f>1/(1+EXP(-($A20-'03_Lap_b'!I$45)))</f>
        <v/>
      </c>
      <c r="R20" s="9">
        <f>1/(1+EXP(-($A20-'03_Lap_b'!J$45)))</f>
        <v/>
      </c>
      <c r="S20" s="9">
        <f>1/(1+EXP(-($A20-'03_Lap_b'!K$45)))</f>
        <v/>
      </c>
      <c r="T20" s="9">
        <f>1/(1+EXP(-($A20-'03_Lap_b'!L$45)))</f>
        <v/>
      </c>
      <c r="U20" s="9">
        <f>1/(1+EXP(-($A20-'03_Lap_b'!M$45)))</f>
        <v/>
      </c>
      <c r="V20" s="9">
        <f>1/(1+EXP(-($A20-'03_Lap_b'!N$45)))</f>
        <v/>
      </c>
      <c r="W20" s="9">
        <f>1/(1+EXP(-($A20-'03_Lap_b'!O$45)))</f>
        <v/>
      </c>
      <c r="X20" s="9" t="inlineStr">
        <is>
          <t>[3.0, 3.5)</t>
        </is>
      </c>
      <c r="Y20" s="9">
        <f>COUNTIFS('05_NangLuc'!$E$2:$E$1038,"&gt;="&amp;3.0,'05_NangLuc'!$E$2:$E$1038,"&lt;"&amp;3.5)</f>
        <v/>
      </c>
      <c r="Z20" s="9">
        <f>COUNTIFS('04_Item'!$F$2:$F$49,"&gt;="&amp;3.0,'04_Item'!$F$2:$F$49,"&lt;"&amp;3.5)</f>
        <v/>
      </c>
      <c r="AA20" s="9">
        <f>1/(1+EXP(-($A20-'03_Lap_b'!S$45)))</f>
        <v/>
      </c>
      <c r="AB20" s="9">
        <f>1/(1+EXP(-($A20-'03_Lap_b'!T$45)))</f>
        <v/>
      </c>
      <c r="AC20" s="9">
        <f>1/(1+EXP(-($A20-'03_Lap_b'!U$45)))</f>
        <v/>
      </c>
      <c r="AD20" s="9">
        <f>1/(1+EXP(-($A20-'03_Lap_b'!V$45)))</f>
        <v/>
      </c>
      <c r="AE20" s="9">
        <f>1/(1+EXP(-($A20-'03_Lap_b'!W$45)))</f>
        <v/>
      </c>
      <c r="AF20" s="9">
        <f>1/(1+EXP(-($A20-'03_Lap_b'!X$45)))</f>
        <v/>
      </c>
      <c r="AG20" s="9">
        <f>1/(1+EXP(-($A20-'03_Lap_b'!Y$45)))</f>
        <v/>
      </c>
      <c r="AH20" s="9">
        <f>1/(1+EXP(-($A20-'03_Lap_b'!Z$45)))</f>
        <v/>
      </c>
      <c r="AI20" s="9">
        <f>1/(1+EXP(-($A20-'03_Lap_b'!AA$45)))</f>
        <v/>
      </c>
      <c r="AJ20" s="9">
        <f>1/(1+EXP(-($A20-'03_Lap_b'!AB$45)))</f>
        <v/>
      </c>
      <c r="AK20" s="9">
        <f>1/(1+EXP(-($A20-'03_Lap_b'!AC$45)))</f>
        <v/>
      </c>
      <c r="AL20" s="9">
        <f>1/(1+EXP(-($A20-'03_Lap_b'!AD$45)))</f>
        <v/>
      </c>
      <c r="AM20" s="9">
        <f>1/(1+EXP(-($A20-'03_Lap_b'!AE$45)))</f>
        <v/>
      </c>
      <c r="AN20" s="9">
        <f>1/(1+EXP(-($A20-'03_Lap_b'!AF$45)))</f>
        <v/>
      </c>
      <c r="AO20" s="9">
        <f>1/(1+EXP(-($A20-'03_Lap_b'!AG$45)))</f>
        <v/>
      </c>
      <c r="AP20" s="9">
        <f>1/(1+EXP(-($A20-'03_Lap_b'!AH$45)))</f>
        <v/>
      </c>
      <c r="AQ20" s="9">
        <f>1/(1+EXP(-($A20-'03_Lap_b'!AI$45)))</f>
        <v/>
      </c>
      <c r="AR20" s="9">
        <f>1/(1+EXP(-($A20-'03_Lap_b'!AJ$45)))</f>
        <v/>
      </c>
      <c r="AS20" s="9">
        <f>1/(1+EXP(-($A20-'03_Lap_b'!AK$45)))</f>
        <v/>
      </c>
      <c r="AT20" s="9">
        <f>1/(1+EXP(-($A20-'03_Lap_b'!AL$45)))</f>
        <v/>
      </c>
      <c r="AU20" s="9">
        <f>1/(1+EXP(-($A20-'03_Lap_b'!AM$45)))</f>
        <v/>
      </c>
      <c r="AV20" s="9">
        <f>1/(1+EXP(-($A20-'03_Lap_b'!AN$45)))</f>
        <v/>
      </c>
      <c r="AW20" s="9">
        <f>1/(1+EXP(-($A20-'03_Lap_b'!AO$45)))</f>
        <v/>
      </c>
      <c r="AX20" s="9">
        <f>1/(1+EXP(-($A20-'03_Lap_b'!AP$45)))</f>
        <v/>
      </c>
      <c r="AY20" s="9">
        <f>1/(1+EXP(-($A20-'03_Lap_b'!AQ$45)))</f>
        <v/>
      </c>
      <c r="AZ20" s="9">
        <f>1/(1+EXP(-($A20-'03_Lap_b'!AR$45)))</f>
        <v/>
      </c>
      <c r="BA20" s="9">
        <f>1/(1+EXP(-($A20-'03_Lap_b'!AS$45)))</f>
        <v/>
      </c>
      <c r="BB20" s="9">
        <f>1/(1+EXP(-($A20-'03_Lap_b'!AT$45)))</f>
        <v/>
      </c>
      <c r="BC20" s="9">
        <f>1/(1+EXP(-($A20-'03_Lap_b'!AU$45)))</f>
        <v/>
      </c>
      <c r="BD20" s="9">
        <f>1/(1+EXP(-($A20-'03_Lap_b'!AV$45)))</f>
        <v/>
      </c>
      <c r="BE20" s="9">
        <f>1/(1+EXP(-($A20-'03_Lap_b'!AW$45)))</f>
        <v/>
      </c>
    </row>
    <row r="21">
      <c r="A21" s="10" t="n">
        <v>-0.4</v>
      </c>
      <c r="B21" s="11">
        <f>SUMPRODUCT(J21:BE21*(1-J21:BE21))</f>
        <v/>
      </c>
      <c r="C21" s="5">
        <f>R21</f>
        <v/>
      </c>
      <c r="D21" s="5">
        <f>J21</f>
        <v/>
      </c>
      <c r="E21" s="5">
        <f>AH21</f>
        <v/>
      </c>
      <c r="F21" s="5">
        <f>AQ21</f>
        <v/>
      </c>
      <c r="G21" s="5">
        <f>AE21</f>
        <v/>
      </c>
      <c r="H21" s="5">
        <f>AG21</f>
        <v/>
      </c>
      <c r="I21" s="10">
        <f>SUM(J21:BE21)</f>
        <v/>
      </c>
      <c r="J21" s="9">
        <f>1/(1+EXP(-($A21-'03_Lap_b'!B$45)))</f>
        <v/>
      </c>
      <c r="K21" s="9">
        <f>1/(1+EXP(-($A21-'03_Lap_b'!C$45)))</f>
        <v/>
      </c>
      <c r="L21" s="9">
        <f>1/(1+EXP(-($A21-'03_Lap_b'!D$45)))</f>
        <v/>
      </c>
      <c r="M21" s="9">
        <f>1/(1+EXP(-($A21-'03_Lap_b'!E$45)))</f>
        <v/>
      </c>
      <c r="N21" s="9">
        <f>1/(1+EXP(-($A21-'03_Lap_b'!F$45)))</f>
        <v/>
      </c>
      <c r="O21" s="9">
        <f>1/(1+EXP(-($A21-'03_Lap_b'!G$45)))</f>
        <v/>
      </c>
      <c r="P21" s="9">
        <f>1/(1+EXP(-($A21-'03_Lap_b'!H$45)))</f>
        <v/>
      </c>
      <c r="Q21" s="9">
        <f>1/(1+EXP(-($A21-'03_Lap_b'!I$45)))</f>
        <v/>
      </c>
      <c r="R21" s="9">
        <f>1/(1+EXP(-($A21-'03_Lap_b'!J$45)))</f>
        <v/>
      </c>
      <c r="S21" s="9">
        <f>1/(1+EXP(-($A21-'03_Lap_b'!K$45)))</f>
        <v/>
      </c>
      <c r="T21" s="9">
        <f>1/(1+EXP(-($A21-'03_Lap_b'!L$45)))</f>
        <v/>
      </c>
      <c r="U21" s="9">
        <f>1/(1+EXP(-($A21-'03_Lap_b'!M$45)))</f>
        <v/>
      </c>
      <c r="V21" s="9">
        <f>1/(1+EXP(-($A21-'03_Lap_b'!N$45)))</f>
        <v/>
      </c>
      <c r="W21" s="9">
        <f>1/(1+EXP(-($A21-'03_Lap_b'!O$45)))</f>
        <v/>
      </c>
      <c r="X21" s="9" t="inlineStr">
        <is>
          <t>[3.5, 4.0)</t>
        </is>
      </c>
      <c r="Y21" s="9">
        <f>COUNTIFS('05_NangLuc'!$E$2:$E$1038,"&gt;="&amp;3.5,'05_NangLuc'!$E$2:$E$1038,"&lt;"&amp;4.0)</f>
        <v/>
      </c>
      <c r="Z21" s="9">
        <f>COUNTIFS('04_Item'!$F$2:$F$49,"&gt;="&amp;3.5,'04_Item'!$F$2:$F$49,"&lt;"&amp;4.0)</f>
        <v/>
      </c>
      <c r="AA21" s="9">
        <f>1/(1+EXP(-($A21-'03_Lap_b'!S$45)))</f>
        <v/>
      </c>
      <c r="AB21" s="9">
        <f>1/(1+EXP(-($A21-'03_Lap_b'!T$45)))</f>
        <v/>
      </c>
      <c r="AC21" s="9">
        <f>1/(1+EXP(-($A21-'03_Lap_b'!U$45)))</f>
        <v/>
      </c>
      <c r="AD21" s="9">
        <f>1/(1+EXP(-($A21-'03_Lap_b'!V$45)))</f>
        <v/>
      </c>
      <c r="AE21" s="9">
        <f>1/(1+EXP(-($A21-'03_Lap_b'!W$45)))</f>
        <v/>
      </c>
      <c r="AF21" s="9">
        <f>1/(1+EXP(-($A21-'03_Lap_b'!X$45)))</f>
        <v/>
      </c>
      <c r="AG21" s="9">
        <f>1/(1+EXP(-($A21-'03_Lap_b'!Y$45)))</f>
        <v/>
      </c>
      <c r="AH21" s="9">
        <f>1/(1+EXP(-($A21-'03_Lap_b'!Z$45)))</f>
        <v/>
      </c>
      <c r="AI21" s="9">
        <f>1/(1+EXP(-($A21-'03_Lap_b'!AA$45)))</f>
        <v/>
      </c>
      <c r="AJ21" s="9">
        <f>1/(1+EXP(-($A21-'03_Lap_b'!AB$45)))</f>
        <v/>
      </c>
      <c r="AK21" s="9">
        <f>1/(1+EXP(-($A21-'03_Lap_b'!AC$45)))</f>
        <v/>
      </c>
      <c r="AL21" s="9">
        <f>1/(1+EXP(-($A21-'03_Lap_b'!AD$45)))</f>
        <v/>
      </c>
      <c r="AM21" s="9">
        <f>1/(1+EXP(-($A21-'03_Lap_b'!AE$45)))</f>
        <v/>
      </c>
      <c r="AN21" s="9">
        <f>1/(1+EXP(-($A21-'03_Lap_b'!AF$45)))</f>
        <v/>
      </c>
      <c r="AO21" s="9">
        <f>1/(1+EXP(-($A21-'03_Lap_b'!AG$45)))</f>
        <v/>
      </c>
      <c r="AP21" s="9">
        <f>1/(1+EXP(-($A21-'03_Lap_b'!AH$45)))</f>
        <v/>
      </c>
      <c r="AQ21" s="9">
        <f>1/(1+EXP(-($A21-'03_Lap_b'!AI$45)))</f>
        <v/>
      </c>
      <c r="AR21" s="9">
        <f>1/(1+EXP(-($A21-'03_Lap_b'!AJ$45)))</f>
        <v/>
      </c>
      <c r="AS21" s="9">
        <f>1/(1+EXP(-($A21-'03_Lap_b'!AK$45)))</f>
        <v/>
      </c>
      <c r="AT21" s="9">
        <f>1/(1+EXP(-($A21-'03_Lap_b'!AL$45)))</f>
        <v/>
      </c>
      <c r="AU21" s="9">
        <f>1/(1+EXP(-($A21-'03_Lap_b'!AM$45)))</f>
        <v/>
      </c>
      <c r="AV21" s="9">
        <f>1/(1+EXP(-($A21-'03_Lap_b'!AN$45)))</f>
        <v/>
      </c>
      <c r="AW21" s="9">
        <f>1/(1+EXP(-($A21-'03_Lap_b'!AO$45)))</f>
        <v/>
      </c>
      <c r="AX21" s="9">
        <f>1/(1+EXP(-($A21-'03_Lap_b'!AP$45)))</f>
        <v/>
      </c>
      <c r="AY21" s="9">
        <f>1/(1+EXP(-($A21-'03_Lap_b'!AQ$45)))</f>
        <v/>
      </c>
      <c r="AZ21" s="9">
        <f>1/(1+EXP(-($A21-'03_Lap_b'!AR$45)))</f>
        <v/>
      </c>
      <c r="BA21" s="9">
        <f>1/(1+EXP(-($A21-'03_Lap_b'!AS$45)))</f>
        <v/>
      </c>
      <c r="BB21" s="9">
        <f>1/(1+EXP(-($A21-'03_Lap_b'!AT$45)))</f>
        <v/>
      </c>
      <c r="BC21" s="9">
        <f>1/(1+EXP(-($A21-'03_Lap_b'!AU$45)))</f>
        <v/>
      </c>
      <c r="BD21" s="9">
        <f>1/(1+EXP(-($A21-'03_Lap_b'!AV$45)))</f>
        <v/>
      </c>
      <c r="BE21" s="9">
        <f>1/(1+EXP(-($A21-'03_Lap_b'!AW$45)))</f>
        <v/>
      </c>
    </row>
    <row r="22">
      <c r="A22" s="10" t="n">
        <v>-0.2</v>
      </c>
      <c r="B22" s="11">
        <f>SUMPRODUCT(J22:BE22*(1-J22:BE22))</f>
        <v/>
      </c>
      <c r="C22" s="5">
        <f>R22</f>
        <v/>
      </c>
      <c r="D22" s="5">
        <f>J22</f>
        <v/>
      </c>
      <c r="E22" s="5">
        <f>AH22</f>
        <v/>
      </c>
      <c r="F22" s="5">
        <f>AQ22</f>
        <v/>
      </c>
      <c r="G22" s="5">
        <f>AE22</f>
        <v/>
      </c>
      <c r="H22" s="5">
        <f>AG22</f>
        <v/>
      </c>
      <c r="I22" s="10">
        <f>SUM(J22:BE22)</f>
        <v/>
      </c>
      <c r="J22" s="9">
        <f>1/(1+EXP(-($A22-'03_Lap_b'!B$45)))</f>
        <v/>
      </c>
      <c r="K22" s="9">
        <f>1/(1+EXP(-($A22-'03_Lap_b'!C$45)))</f>
        <v/>
      </c>
      <c r="L22" s="9">
        <f>1/(1+EXP(-($A22-'03_Lap_b'!D$45)))</f>
        <v/>
      </c>
      <c r="M22" s="9">
        <f>1/(1+EXP(-($A22-'03_Lap_b'!E$45)))</f>
        <v/>
      </c>
      <c r="N22" s="9">
        <f>1/(1+EXP(-($A22-'03_Lap_b'!F$45)))</f>
        <v/>
      </c>
      <c r="O22" s="9">
        <f>1/(1+EXP(-($A22-'03_Lap_b'!G$45)))</f>
        <v/>
      </c>
      <c r="P22" s="9">
        <f>1/(1+EXP(-($A22-'03_Lap_b'!H$45)))</f>
        <v/>
      </c>
      <c r="Q22" s="9">
        <f>1/(1+EXP(-($A22-'03_Lap_b'!I$45)))</f>
        <v/>
      </c>
      <c r="R22" s="9">
        <f>1/(1+EXP(-($A22-'03_Lap_b'!J$45)))</f>
        <v/>
      </c>
      <c r="S22" s="9">
        <f>1/(1+EXP(-($A22-'03_Lap_b'!K$45)))</f>
        <v/>
      </c>
      <c r="T22" s="9">
        <f>1/(1+EXP(-($A22-'03_Lap_b'!L$45)))</f>
        <v/>
      </c>
      <c r="U22" s="9">
        <f>1/(1+EXP(-($A22-'03_Lap_b'!M$45)))</f>
        <v/>
      </c>
      <c r="V22" s="9">
        <f>1/(1+EXP(-($A22-'03_Lap_b'!N$45)))</f>
        <v/>
      </c>
      <c r="W22" s="9">
        <f>1/(1+EXP(-($A22-'03_Lap_b'!O$45)))</f>
        <v/>
      </c>
      <c r="X22" s="9" t="inlineStr">
        <is>
          <t>[4.0, 4.5)</t>
        </is>
      </c>
      <c r="Y22" s="9">
        <f>COUNTIFS('05_NangLuc'!$E$2:$E$1038,"&gt;="&amp;4.0,'05_NangLuc'!$E$2:$E$1038,"&lt;"&amp;4.5)</f>
        <v/>
      </c>
      <c r="Z22" s="9">
        <f>COUNTIFS('04_Item'!$F$2:$F$49,"&gt;="&amp;4.0,'04_Item'!$F$2:$F$49,"&lt;"&amp;4.5)</f>
        <v/>
      </c>
      <c r="AA22" s="9">
        <f>1/(1+EXP(-($A22-'03_Lap_b'!S$45)))</f>
        <v/>
      </c>
      <c r="AB22" s="9">
        <f>1/(1+EXP(-($A22-'03_Lap_b'!T$45)))</f>
        <v/>
      </c>
      <c r="AC22" s="9">
        <f>1/(1+EXP(-($A22-'03_Lap_b'!U$45)))</f>
        <v/>
      </c>
      <c r="AD22" s="9">
        <f>1/(1+EXP(-($A22-'03_Lap_b'!V$45)))</f>
        <v/>
      </c>
      <c r="AE22" s="9">
        <f>1/(1+EXP(-($A22-'03_Lap_b'!W$45)))</f>
        <v/>
      </c>
      <c r="AF22" s="9">
        <f>1/(1+EXP(-($A22-'03_Lap_b'!X$45)))</f>
        <v/>
      </c>
      <c r="AG22" s="9">
        <f>1/(1+EXP(-($A22-'03_Lap_b'!Y$45)))</f>
        <v/>
      </c>
      <c r="AH22" s="9">
        <f>1/(1+EXP(-($A22-'03_Lap_b'!Z$45)))</f>
        <v/>
      </c>
      <c r="AI22" s="9">
        <f>1/(1+EXP(-($A22-'03_Lap_b'!AA$45)))</f>
        <v/>
      </c>
      <c r="AJ22" s="9">
        <f>1/(1+EXP(-($A22-'03_Lap_b'!AB$45)))</f>
        <v/>
      </c>
      <c r="AK22" s="9">
        <f>1/(1+EXP(-($A22-'03_Lap_b'!AC$45)))</f>
        <v/>
      </c>
      <c r="AL22" s="9">
        <f>1/(1+EXP(-($A22-'03_Lap_b'!AD$45)))</f>
        <v/>
      </c>
      <c r="AM22" s="9">
        <f>1/(1+EXP(-($A22-'03_Lap_b'!AE$45)))</f>
        <v/>
      </c>
      <c r="AN22" s="9">
        <f>1/(1+EXP(-($A22-'03_Lap_b'!AF$45)))</f>
        <v/>
      </c>
      <c r="AO22" s="9">
        <f>1/(1+EXP(-($A22-'03_Lap_b'!AG$45)))</f>
        <v/>
      </c>
      <c r="AP22" s="9">
        <f>1/(1+EXP(-($A22-'03_Lap_b'!AH$45)))</f>
        <v/>
      </c>
      <c r="AQ22" s="9">
        <f>1/(1+EXP(-($A22-'03_Lap_b'!AI$45)))</f>
        <v/>
      </c>
      <c r="AR22" s="9">
        <f>1/(1+EXP(-($A22-'03_Lap_b'!AJ$45)))</f>
        <v/>
      </c>
      <c r="AS22" s="9">
        <f>1/(1+EXP(-($A22-'03_Lap_b'!AK$45)))</f>
        <v/>
      </c>
      <c r="AT22" s="9">
        <f>1/(1+EXP(-($A22-'03_Lap_b'!AL$45)))</f>
        <v/>
      </c>
      <c r="AU22" s="9">
        <f>1/(1+EXP(-($A22-'03_Lap_b'!AM$45)))</f>
        <v/>
      </c>
      <c r="AV22" s="9">
        <f>1/(1+EXP(-($A22-'03_Lap_b'!AN$45)))</f>
        <v/>
      </c>
      <c r="AW22" s="9">
        <f>1/(1+EXP(-($A22-'03_Lap_b'!AO$45)))</f>
        <v/>
      </c>
      <c r="AX22" s="9">
        <f>1/(1+EXP(-($A22-'03_Lap_b'!AP$45)))</f>
        <v/>
      </c>
      <c r="AY22" s="9">
        <f>1/(1+EXP(-($A22-'03_Lap_b'!AQ$45)))</f>
        <v/>
      </c>
      <c r="AZ22" s="9">
        <f>1/(1+EXP(-($A22-'03_Lap_b'!AR$45)))</f>
        <v/>
      </c>
      <c r="BA22" s="9">
        <f>1/(1+EXP(-($A22-'03_Lap_b'!AS$45)))</f>
        <v/>
      </c>
      <c r="BB22" s="9">
        <f>1/(1+EXP(-($A22-'03_Lap_b'!AT$45)))</f>
        <v/>
      </c>
      <c r="BC22" s="9">
        <f>1/(1+EXP(-($A22-'03_Lap_b'!AU$45)))</f>
        <v/>
      </c>
      <c r="BD22" s="9">
        <f>1/(1+EXP(-($A22-'03_Lap_b'!AV$45)))</f>
        <v/>
      </c>
      <c r="BE22" s="9">
        <f>1/(1+EXP(-($A22-'03_Lap_b'!AW$45)))</f>
        <v/>
      </c>
    </row>
    <row r="23">
      <c r="A23" s="10" t="n">
        <v>0</v>
      </c>
      <c r="B23" s="11">
        <f>SUMPRODUCT(J23:BE23*(1-J23:BE23))</f>
        <v/>
      </c>
      <c r="C23" s="5">
        <f>R23</f>
        <v/>
      </c>
      <c r="D23" s="5">
        <f>J23</f>
        <v/>
      </c>
      <c r="E23" s="5">
        <f>AH23</f>
        <v/>
      </c>
      <c r="F23" s="5">
        <f>AQ23</f>
        <v/>
      </c>
      <c r="G23" s="5">
        <f>AE23</f>
        <v/>
      </c>
      <c r="H23" s="5">
        <f>AG23</f>
        <v/>
      </c>
      <c r="I23" s="10">
        <f>SUM(J23:BE23)</f>
        <v/>
      </c>
      <c r="J23" s="9">
        <f>1/(1+EXP(-($A23-'03_Lap_b'!B$45)))</f>
        <v/>
      </c>
      <c r="K23" s="9">
        <f>1/(1+EXP(-($A23-'03_Lap_b'!C$45)))</f>
        <v/>
      </c>
      <c r="L23" s="9">
        <f>1/(1+EXP(-($A23-'03_Lap_b'!D$45)))</f>
        <v/>
      </c>
      <c r="M23" s="9">
        <f>1/(1+EXP(-($A23-'03_Lap_b'!E$45)))</f>
        <v/>
      </c>
      <c r="N23" s="9">
        <f>1/(1+EXP(-($A23-'03_Lap_b'!F$45)))</f>
        <v/>
      </c>
      <c r="O23" s="9">
        <f>1/(1+EXP(-($A23-'03_Lap_b'!G$45)))</f>
        <v/>
      </c>
      <c r="P23" s="9">
        <f>1/(1+EXP(-($A23-'03_Lap_b'!H$45)))</f>
        <v/>
      </c>
      <c r="Q23" s="9">
        <f>1/(1+EXP(-($A23-'03_Lap_b'!I$45)))</f>
        <v/>
      </c>
      <c r="R23" s="9">
        <f>1/(1+EXP(-($A23-'03_Lap_b'!J$45)))</f>
        <v/>
      </c>
      <c r="S23" s="9">
        <f>1/(1+EXP(-($A23-'03_Lap_b'!K$45)))</f>
        <v/>
      </c>
      <c r="T23" s="9">
        <f>1/(1+EXP(-($A23-'03_Lap_b'!L$45)))</f>
        <v/>
      </c>
      <c r="U23" s="9">
        <f>1/(1+EXP(-($A23-'03_Lap_b'!M$45)))</f>
        <v/>
      </c>
      <c r="V23" s="9">
        <f>1/(1+EXP(-($A23-'03_Lap_b'!N$45)))</f>
        <v/>
      </c>
      <c r="W23" s="9">
        <f>1/(1+EXP(-($A23-'03_Lap_b'!O$45)))</f>
        <v/>
      </c>
      <c r="X23" s="9" t="inlineStr">
        <is>
          <t>[4.5, 5.0)</t>
        </is>
      </c>
      <c r="Y23" s="9">
        <f>COUNTIFS('05_NangLuc'!$E$2:$E$1038,"&gt;="&amp;4.5,'05_NangLuc'!$E$2:$E$1038,"&lt;"&amp;5.0)</f>
        <v/>
      </c>
      <c r="Z23" s="9">
        <f>COUNTIFS('04_Item'!$F$2:$F$49,"&gt;="&amp;4.5,'04_Item'!$F$2:$F$49,"&lt;"&amp;5.0)</f>
        <v/>
      </c>
      <c r="AA23" s="9">
        <f>1/(1+EXP(-($A23-'03_Lap_b'!S$45)))</f>
        <v/>
      </c>
      <c r="AB23" s="9">
        <f>1/(1+EXP(-($A23-'03_Lap_b'!T$45)))</f>
        <v/>
      </c>
      <c r="AC23" s="9">
        <f>1/(1+EXP(-($A23-'03_Lap_b'!U$45)))</f>
        <v/>
      </c>
      <c r="AD23" s="9">
        <f>1/(1+EXP(-($A23-'03_Lap_b'!V$45)))</f>
        <v/>
      </c>
      <c r="AE23" s="9">
        <f>1/(1+EXP(-($A23-'03_Lap_b'!W$45)))</f>
        <v/>
      </c>
      <c r="AF23" s="9">
        <f>1/(1+EXP(-($A23-'03_Lap_b'!X$45)))</f>
        <v/>
      </c>
      <c r="AG23" s="9">
        <f>1/(1+EXP(-($A23-'03_Lap_b'!Y$45)))</f>
        <v/>
      </c>
      <c r="AH23" s="9">
        <f>1/(1+EXP(-($A23-'03_Lap_b'!Z$45)))</f>
        <v/>
      </c>
      <c r="AI23" s="9">
        <f>1/(1+EXP(-($A23-'03_Lap_b'!AA$45)))</f>
        <v/>
      </c>
      <c r="AJ23" s="9">
        <f>1/(1+EXP(-($A23-'03_Lap_b'!AB$45)))</f>
        <v/>
      </c>
      <c r="AK23" s="9">
        <f>1/(1+EXP(-($A23-'03_Lap_b'!AC$45)))</f>
        <v/>
      </c>
      <c r="AL23" s="9">
        <f>1/(1+EXP(-($A23-'03_Lap_b'!AD$45)))</f>
        <v/>
      </c>
      <c r="AM23" s="9">
        <f>1/(1+EXP(-($A23-'03_Lap_b'!AE$45)))</f>
        <v/>
      </c>
      <c r="AN23" s="9">
        <f>1/(1+EXP(-($A23-'03_Lap_b'!AF$45)))</f>
        <v/>
      </c>
      <c r="AO23" s="9">
        <f>1/(1+EXP(-($A23-'03_Lap_b'!AG$45)))</f>
        <v/>
      </c>
      <c r="AP23" s="9">
        <f>1/(1+EXP(-($A23-'03_Lap_b'!AH$45)))</f>
        <v/>
      </c>
      <c r="AQ23" s="9">
        <f>1/(1+EXP(-($A23-'03_Lap_b'!AI$45)))</f>
        <v/>
      </c>
      <c r="AR23" s="9">
        <f>1/(1+EXP(-($A23-'03_Lap_b'!AJ$45)))</f>
        <v/>
      </c>
      <c r="AS23" s="9">
        <f>1/(1+EXP(-($A23-'03_Lap_b'!AK$45)))</f>
        <v/>
      </c>
      <c r="AT23" s="9">
        <f>1/(1+EXP(-($A23-'03_Lap_b'!AL$45)))</f>
        <v/>
      </c>
      <c r="AU23" s="9">
        <f>1/(1+EXP(-($A23-'03_Lap_b'!AM$45)))</f>
        <v/>
      </c>
      <c r="AV23" s="9">
        <f>1/(1+EXP(-($A23-'03_Lap_b'!AN$45)))</f>
        <v/>
      </c>
      <c r="AW23" s="9">
        <f>1/(1+EXP(-($A23-'03_Lap_b'!AO$45)))</f>
        <v/>
      </c>
      <c r="AX23" s="9">
        <f>1/(1+EXP(-($A23-'03_Lap_b'!AP$45)))</f>
        <v/>
      </c>
      <c r="AY23" s="9">
        <f>1/(1+EXP(-($A23-'03_Lap_b'!AQ$45)))</f>
        <v/>
      </c>
      <c r="AZ23" s="9">
        <f>1/(1+EXP(-($A23-'03_Lap_b'!AR$45)))</f>
        <v/>
      </c>
      <c r="BA23" s="9">
        <f>1/(1+EXP(-($A23-'03_Lap_b'!AS$45)))</f>
        <v/>
      </c>
      <c r="BB23" s="9">
        <f>1/(1+EXP(-($A23-'03_Lap_b'!AT$45)))</f>
        <v/>
      </c>
      <c r="BC23" s="9">
        <f>1/(1+EXP(-($A23-'03_Lap_b'!AU$45)))</f>
        <v/>
      </c>
      <c r="BD23" s="9">
        <f>1/(1+EXP(-($A23-'03_Lap_b'!AV$45)))</f>
        <v/>
      </c>
      <c r="BE23" s="9">
        <f>1/(1+EXP(-($A23-'03_Lap_b'!AW$45)))</f>
        <v/>
      </c>
    </row>
    <row r="24">
      <c r="A24" s="10" t="n">
        <v>0.2</v>
      </c>
      <c r="B24" s="11">
        <f>SUMPRODUCT(J24:BE24*(1-J24:BE24))</f>
        <v/>
      </c>
      <c r="C24" s="5">
        <f>R24</f>
        <v/>
      </c>
      <c r="D24" s="5">
        <f>J24</f>
        <v/>
      </c>
      <c r="E24" s="5">
        <f>AH24</f>
        <v/>
      </c>
      <c r="F24" s="5">
        <f>AQ24</f>
        <v/>
      </c>
      <c r="G24" s="5">
        <f>AE24</f>
        <v/>
      </c>
      <c r="H24" s="5">
        <f>AG24</f>
        <v/>
      </c>
      <c r="I24" s="10">
        <f>SUM(J24:BE24)</f>
        <v/>
      </c>
      <c r="J24" s="9">
        <f>1/(1+EXP(-($A24-'03_Lap_b'!B$45)))</f>
        <v/>
      </c>
      <c r="K24" s="9">
        <f>1/(1+EXP(-($A24-'03_Lap_b'!C$45)))</f>
        <v/>
      </c>
      <c r="L24" s="9">
        <f>1/(1+EXP(-($A24-'03_Lap_b'!D$45)))</f>
        <v/>
      </c>
      <c r="M24" s="9">
        <f>1/(1+EXP(-($A24-'03_Lap_b'!E$45)))</f>
        <v/>
      </c>
      <c r="N24" s="9">
        <f>1/(1+EXP(-($A24-'03_Lap_b'!F$45)))</f>
        <v/>
      </c>
      <c r="O24" s="9">
        <f>1/(1+EXP(-($A24-'03_Lap_b'!G$45)))</f>
        <v/>
      </c>
      <c r="P24" s="9">
        <f>1/(1+EXP(-($A24-'03_Lap_b'!H$45)))</f>
        <v/>
      </c>
      <c r="Q24" s="9">
        <f>1/(1+EXP(-($A24-'03_Lap_b'!I$45)))</f>
        <v/>
      </c>
      <c r="R24" s="9">
        <f>1/(1+EXP(-($A24-'03_Lap_b'!J$45)))</f>
        <v/>
      </c>
      <c r="S24" s="9">
        <f>1/(1+EXP(-($A24-'03_Lap_b'!K$45)))</f>
        <v/>
      </c>
      <c r="T24" s="9">
        <f>1/(1+EXP(-($A24-'03_Lap_b'!L$45)))</f>
        <v/>
      </c>
      <c r="U24" s="9">
        <f>1/(1+EXP(-($A24-'03_Lap_b'!M$45)))</f>
        <v/>
      </c>
      <c r="V24" s="9">
        <f>1/(1+EXP(-($A24-'03_Lap_b'!N$45)))</f>
        <v/>
      </c>
      <c r="W24" s="9">
        <f>1/(1+EXP(-($A24-'03_Lap_b'!O$45)))</f>
        <v/>
      </c>
      <c r="X24" s="9">
        <f>1/(1+EXP(-($A24-'03_Lap_b'!P$45)))</f>
        <v/>
      </c>
      <c r="Y24" s="9">
        <f>1/(1+EXP(-($A24-'03_Lap_b'!Q$45)))</f>
        <v/>
      </c>
      <c r="Z24" s="9">
        <f>1/(1+EXP(-($A24-'03_Lap_b'!R$45)))</f>
        <v/>
      </c>
      <c r="AA24" s="9">
        <f>1/(1+EXP(-($A24-'03_Lap_b'!S$45)))</f>
        <v/>
      </c>
      <c r="AB24" s="9">
        <f>1/(1+EXP(-($A24-'03_Lap_b'!T$45)))</f>
        <v/>
      </c>
      <c r="AC24" s="9">
        <f>1/(1+EXP(-($A24-'03_Lap_b'!U$45)))</f>
        <v/>
      </c>
      <c r="AD24" s="9">
        <f>1/(1+EXP(-($A24-'03_Lap_b'!V$45)))</f>
        <v/>
      </c>
      <c r="AE24" s="9">
        <f>1/(1+EXP(-($A24-'03_Lap_b'!W$45)))</f>
        <v/>
      </c>
      <c r="AF24" s="9">
        <f>1/(1+EXP(-($A24-'03_Lap_b'!X$45)))</f>
        <v/>
      </c>
      <c r="AG24" s="9">
        <f>1/(1+EXP(-($A24-'03_Lap_b'!Y$45)))</f>
        <v/>
      </c>
      <c r="AH24" s="9">
        <f>1/(1+EXP(-($A24-'03_Lap_b'!Z$45)))</f>
        <v/>
      </c>
      <c r="AI24" s="9">
        <f>1/(1+EXP(-($A24-'03_Lap_b'!AA$45)))</f>
        <v/>
      </c>
      <c r="AJ24" s="9">
        <f>1/(1+EXP(-($A24-'03_Lap_b'!AB$45)))</f>
        <v/>
      </c>
      <c r="AK24" s="9">
        <f>1/(1+EXP(-($A24-'03_Lap_b'!AC$45)))</f>
        <v/>
      </c>
      <c r="AL24" s="9">
        <f>1/(1+EXP(-($A24-'03_Lap_b'!AD$45)))</f>
        <v/>
      </c>
      <c r="AM24" s="9">
        <f>1/(1+EXP(-($A24-'03_Lap_b'!AE$45)))</f>
        <v/>
      </c>
      <c r="AN24" s="9">
        <f>1/(1+EXP(-($A24-'03_Lap_b'!AF$45)))</f>
        <v/>
      </c>
      <c r="AO24" s="9">
        <f>1/(1+EXP(-($A24-'03_Lap_b'!AG$45)))</f>
        <v/>
      </c>
      <c r="AP24" s="9">
        <f>1/(1+EXP(-($A24-'03_Lap_b'!AH$45)))</f>
        <v/>
      </c>
      <c r="AQ24" s="9">
        <f>1/(1+EXP(-($A24-'03_Lap_b'!AI$45)))</f>
        <v/>
      </c>
      <c r="AR24" s="9">
        <f>1/(1+EXP(-($A24-'03_Lap_b'!AJ$45)))</f>
        <v/>
      </c>
      <c r="AS24" s="9">
        <f>1/(1+EXP(-($A24-'03_Lap_b'!AK$45)))</f>
        <v/>
      </c>
      <c r="AT24" s="9">
        <f>1/(1+EXP(-($A24-'03_Lap_b'!AL$45)))</f>
        <v/>
      </c>
      <c r="AU24" s="9">
        <f>1/(1+EXP(-($A24-'03_Lap_b'!AM$45)))</f>
        <v/>
      </c>
      <c r="AV24" s="9">
        <f>1/(1+EXP(-($A24-'03_Lap_b'!AN$45)))</f>
        <v/>
      </c>
      <c r="AW24" s="9">
        <f>1/(1+EXP(-($A24-'03_Lap_b'!AO$45)))</f>
        <v/>
      </c>
      <c r="AX24" s="9">
        <f>1/(1+EXP(-($A24-'03_Lap_b'!AP$45)))</f>
        <v/>
      </c>
      <c r="AY24" s="9">
        <f>1/(1+EXP(-($A24-'03_Lap_b'!AQ$45)))</f>
        <v/>
      </c>
      <c r="AZ24" s="9">
        <f>1/(1+EXP(-($A24-'03_Lap_b'!AR$45)))</f>
        <v/>
      </c>
      <c r="BA24" s="9">
        <f>1/(1+EXP(-($A24-'03_Lap_b'!AS$45)))</f>
        <v/>
      </c>
      <c r="BB24" s="9">
        <f>1/(1+EXP(-($A24-'03_Lap_b'!AT$45)))</f>
        <v/>
      </c>
      <c r="BC24" s="9">
        <f>1/(1+EXP(-($A24-'03_Lap_b'!AU$45)))</f>
        <v/>
      </c>
      <c r="BD24" s="9">
        <f>1/(1+EXP(-($A24-'03_Lap_b'!AV$45)))</f>
        <v/>
      </c>
      <c r="BE24" s="9">
        <f>1/(1+EXP(-($A24-'03_Lap_b'!AW$45)))</f>
        <v/>
      </c>
    </row>
    <row r="25">
      <c r="A25" s="10" t="n">
        <v>0.4</v>
      </c>
      <c r="B25" s="11">
        <f>SUMPRODUCT(J25:BE25*(1-J25:BE25))</f>
        <v/>
      </c>
      <c r="C25" s="5">
        <f>R25</f>
        <v/>
      </c>
      <c r="D25" s="5">
        <f>J25</f>
        <v/>
      </c>
      <c r="E25" s="5">
        <f>AH25</f>
        <v/>
      </c>
      <c r="F25" s="5">
        <f>AQ25</f>
        <v/>
      </c>
      <c r="G25" s="5">
        <f>AE25</f>
        <v/>
      </c>
      <c r="H25" s="5">
        <f>AG25</f>
        <v/>
      </c>
      <c r="I25" s="10">
        <f>SUM(J25:BE25)</f>
        <v/>
      </c>
      <c r="J25" s="9">
        <f>1/(1+EXP(-($A25-'03_Lap_b'!B$45)))</f>
        <v/>
      </c>
      <c r="K25" s="9">
        <f>1/(1+EXP(-($A25-'03_Lap_b'!C$45)))</f>
        <v/>
      </c>
      <c r="L25" s="9">
        <f>1/(1+EXP(-($A25-'03_Lap_b'!D$45)))</f>
        <v/>
      </c>
      <c r="M25" s="9">
        <f>1/(1+EXP(-($A25-'03_Lap_b'!E$45)))</f>
        <v/>
      </c>
      <c r="N25" s="9">
        <f>1/(1+EXP(-($A25-'03_Lap_b'!F$45)))</f>
        <v/>
      </c>
      <c r="O25" s="9">
        <f>1/(1+EXP(-($A25-'03_Lap_b'!G$45)))</f>
        <v/>
      </c>
      <c r="P25" s="9">
        <f>1/(1+EXP(-($A25-'03_Lap_b'!H$45)))</f>
        <v/>
      </c>
      <c r="Q25" s="9">
        <f>1/(1+EXP(-($A25-'03_Lap_b'!I$45)))</f>
        <v/>
      </c>
      <c r="R25" s="9">
        <f>1/(1+EXP(-($A25-'03_Lap_b'!J$45)))</f>
        <v/>
      </c>
      <c r="S25" s="9">
        <f>1/(1+EXP(-($A25-'03_Lap_b'!K$45)))</f>
        <v/>
      </c>
      <c r="T25" s="9">
        <f>1/(1+EXP(-($A25-'03_Lap_b'!L$45)))</f>
        <v/>
      </c>
      <c r="U25" s="9">
        <f>1/(1+EXP(-($A25-'03_Lap_b'!M$45)))</f>
        <v/>
      </c>
      <c r="V25" s="9">
        <f>1/(1+EXP(-($A25-'03_Lap_b'!N$45)))</f>
        <v/>
      </c>
      <c r="W25" s="9">
        <f>1/(1+EXP(-($A25-'03_Lap_b'!O$45)))</f>
        <v/>
      </c>
      <c r="X25" s="9">
        <f>1/(1+EXP(-($A25-'03_Lap_b'!P$45)))</f>
        <v/>
      </c>
      <c r="Y25" s="9">
        <f>1/(1+EXP(-($A25-'03_Lap_b'!Q$45)))</f>
        <v/>
      </c>
      <c r="Z25" s="9">
        <f>1/(1+EXP(-($A25-'03_Lap_b'!R$45)))</f>
        <v/>
      </c>
      <c r="AA25" s="9">
        <f>1/(1+EXP(-($A25-'03_Lap_b'!S$45)))</f>
        <v/>
      </c>
      <c r="AB25" s="9">
        <f>1/(1+EXP(-($A25-'03_Lap_b'!T$45)))</f>
        <v/>
      </c>
      <c r="AC25" s="9">
        <f>1/(1+EXP(-($A25-'03_Lap_b'!U$45)))</f>
        <v/>
      </c>
      <c r="AD25" s="9">
        <f>1/(1+EXP(-($A25-'03_Lap_b'!V$45)))</f>
        <v/>
      </c>
      <c r="AE25" s="9">
        <f>1/(1+EXP(-($A25-'03_Lap_b'!W$45)))</f>
        <v/>
      </c>
      <c r="AF25" s="9">
        <f>1/(1+EXP(-($A25-'03_Lap_b'!X$45)))</f>
        <v/>
      </c>
      <c r="AG25" s="9">
        <f>1/(1+EXP(-($A25-'03_Lap_b'!Y$45)))</f>
        <v/>
      </c>
      <c r="AH25" s="9">
        <f>1/(1+EXP(-($A25-'03_Lap_b'!Z$45)))</f>
        <v/>
      </c>
      <c r="AI25" s="9">
        <f>1/(1+EXP(-($A25-'03_Lap_b'!AA$45)))</f>
        <v/>
      </c>
      <c r="AJ25" s="9">
        <f>1/(1+EXP(-($A25-'03_Lap_b'!AB$45)))</f>
        <v/>
      </c>
      <c r="AK25" s="9">
        <f>1/(1+EXP(-($A25-'03_Lap_b'!AC$45)))</f>
        <v/>
      </c>
      <c r="AL25" s="9">
        <f>1/(1+EXP(-($A25-'03_Lap_b'!AD$45)))</f>
        <v/>
      </c>
      <c r="AM25" s="9">
        <f>1/(1+EXP(-($A25-'03_Lap_b'!AE$45)))</f>
        <v/>
      </c>
      <c r="AN25" s="9">
        <f>1/(1+EXP(-($A25-'03_Lap_b'!AF$45)))</f>
        <v/>
      </c>
      <c r="AO25" s="9">
        <f>1/(1+EXP(-($A25-'03_Lap_b'!AG$45)))</f>
        <v/>
      </c>
      <c r="AP25" s="9">
        <f>1/(1+EXP(-($A25-'03_Lap_b'!AH$45)))</f>
        <v/>
      </c>
      <c r="AQ25" s="9">
        <f>1/(1+EXP(-($A25-'03_Lap_b'!AI$45)))</f>
        <v/>
      </c>
      <c r="AR25" s="9">
        <f>1/(1+EXP(-($A25-'03_Lap_b'!AJ$45)))</f>
        <v/>
      </c>
      <c r="AS25" s="9">
        <f>1/(1+EXP(-($A25-'03_Lap_b'!AK$45)))</f>
        <v/>
      </c>
      <c r="AT25" s="9">
        <f>1/(1+EXP(-($A25-'03_Lap_b'!AL$45)))</f>
        <v/>
      </c>
      <c r="AU25" s="9">
        <f>1/(1+EXP(-($A25-'03_Lap_b'!AM$45)))</f>
        <v/>
      </c>
      <c r="AV25" s="9">
        <f>1/(1+EXP(-($A25-'03_Lap_b'!AN$45)))</f>
        <v/>
      </c>
      <c r="AW25" s="9">
        <f>1/(1+EXP(-($A25-'03_Lap_b'!AO$45)))</f>
        <v/>
      </c>
      <c r="AX25" s="9">
        <f>1/(1+EXP(-($A25-'03_Lap_b'!AP$45)))</f>
        <v/>
      </c>
      <c r="AY25" s="9">
        <f>1/(1+EXP(-($A25-'03_Lap_b'!AQ$45)))</f>
        <v/>
      </c>
      <c r="AZ25" s="9">
        <f>1/(1+EXP(-($A25-'03_Lap_b'!AR$45)))</f>
        <v/>
      </c>
      <c r="BA25" s="9">
        <f>1/(1+EXP(-($A25-'03_Lap_b'!AS$45)))</f>
        <v/>
      </c>
      <c r="BB25" s="9">
        <f>1/(1+EXP(-($A25-'03_Lap_b'!AT$45)))</f>
        <v/>
      </c>
      <c r="BC25" s="9">
        <f>1/(1+EXP(-($A25-'03_Lap_b'!AU$45)))</f>
        <v/>
      </c>
      <c r="BD25" s="9">
        <f>1/(1+EXP(-($A25-'03_Lap_b'!AV$45)))</f>
        <v/>
      </c>
      <c r="BE25" s="9">
        <f>1/(1+EXP(-($A25-'03_Lap_b'!AW$45)))</f>
        <v/>
      </c>
    </row>
    <row r="26">
      <c r="A26" s="10" t="n">
        <v>0.6</v>
      </c>
      <c r="B26" s="11">
        <f>SUMPRODUCT(J26:BE26*(1-J26:BE26))</f>
        <v/>
      </c>
      <c r="C26" s="5">
        <f>R26</f>
        <v/>
      </c>
      <c r="D26" s="5">
        <f>J26</f>
        <v/>
      </c>
      <c r="E26" s="5">
        <f>AH26</f>
        <v/>
      </c>
      <c r="F26" s="5">
        <f>AQ26</f>
        <v/>
      </c>
      <c r="G26" s="5">
        <f>AE26</f>
        <v/>
      </c>
      <c r="H26" s="5">
        <f>AG26</f>
        <v/>
      </c>
      <c r="I26" s="10">
        <f>SUM(J26:BE26)</f>
        <v/>
      </c>
      <c r="J26" s="9">
        <f>1/(1+EXP(-($A26-'03_Lap_b'!B$45)))</f>
        <v/>
      </c>
      <c r="K26" s="9">
        <f>1/(1+EXP(-($A26-'03_Lap_b'!C$45)))</f>
        <v/>
      </c>
      <c r="L26" s="9">
        <f>1/(1+EXP(-($A26-'03_Lap_b'!D$45)))</f>
        <v/>
      </c>
      <c r="M26" s="9">
        <f>1/(1+EXP(-($A26-'03_Lap_b'!E$45)))</f>
        <v/>
      </c>
      <c r="N26" s="9">
        <f>1/(1+EXP(-($A26-'03_Lap_b'!F$45)))</f>
        <v/>
      </c>
      <c r="O26" s="9">
        <f>1/(1+EXP(-($A26-'03_Lap_b'!G$45)))</f>
        <v/>
      </c>
      <c r="P26" s="9">
        <f>1/(1+EXP(-($A26-'03_Lap_b'!H$45)))</f>
        <v/>
      </c>
      <c r="Q26" s="9">
        <f>1/(1+EXP(-($A26-'03_Lap_b'!I$45)))</f>
        <v/>
      </c>
      <c r="R26" s="9">
        <f>1/(1+EXP(-($A26-'03_Lap_b'!J$45)))</f>
        <v/>
      </c>
      <c r="S26" s="9">
        <f>1/(1+EXP(-($A26-'03_Lap_b'!K$45)))</f>
        <v/>
      </c>
      <c r="T26" s="9">
        <f>1/(1+EXP(-($A26-'03_Lap_b'!L$45)))</f>
        <v/>
      </c>
      <c r="U26" s="9">
        <f>1/(1+EXP(-($A26-'03_Lap_b'!M$45)))</f>
        <v/>
      </c>
      <c r="V26" s="9">
        <f>1/(1+EXP(-($A26-'03_Lap_b'!N$45)))</f>
        <v/>
      </c>
      <c r="W26" s="9">
        <f>1/(1+EXP(-($A26-'03_Lap_b'!O$45)))</f>
        <v/>
      </c>
      <c r="X26" s="9">
        <f>1/(1+EXP(-($A26-'03_Lap_b'!P$45)))</f>
        <v/>
      </c>
      <c r="Y26" s="9">
        <f>1/(1+EXP(-($A26-'03_Lap_b'!Q$45)))</f>
        <v/>
      </c>
      <c r="Z26" s="9">
        <f>1/(1+EXP(-($A26-'03_Lap_b'!R$45)))</f>
        <v/>
      </c>
      <c r="AA26" s="9">
        <f>1/(1+EXP(-($A26-'03_Lap_b'!S$45)))</f>
        <v/>
      </c>
      <c r="AB26" s="9">
        <f>1/(1+EXP(-($A26-'03_Lap_b'!T$45)))</f>
        <v/>
      </c>
      <c r="AC26" s="9">
        <f>1/(1+EXP(-($A26-'03_Lap_b'!U$45)))</f>
        <v/>
      </c>
      <c r="AD26" s="9">
        <f>1/(1+EXP(-($A26-'03_Lap_b'!V$45)))</f>
        <v/>
      </c>
      <c r="AE26" s="9">
        <f>1/(1+EXP(-($A26-'03_Lap_b'!W$45)))</f>
        <v/>
      </c>
      <c r="AF26" s="9">
        <f>1/(1+EXP(-($A26-'03_Lap_b'!X$45)))</f>
        <v/>
      </c>
      <c r="AG26" s="9">
        <f>1/(1+EXP(-($A26-'03_Lap_b'!Y$45)))</f>
        <v/>
      </c>
      <c r="AH26" s="9">
        <f>1/(1+EXP(-($A26-'03_Lap_b'!Z$45)))</f>
        <v/>
      </c>
      <c r="AI26" s="9">
        <f>1/(1+EXP(-($A26-'03_Lap_b'!AA$45)))</f>
        <v/>
      </c>
      <c r="AJ26" s="9">
        <f>1/(1+EXP(-($A26-'03_Lap_b'!AB$45)))</f>
        <v/>
      </c>
      <c r="AK26" s="9">
        <f>1/(1+EXP(-($A26-'03_Lap_b'!AC$45)))</f>
        <v/>
      </c>
      <c r="AL26" s="9">
        <f>1/(1+EXP(-($A26-'03_Lap_b'!AD$45)))</f>
        <v/>
      </c>
      <c r="AM26" s="9">
        <f>1/(1+EXP(-($A26-'03_Lap_b'!AE$45)))</f>
        <v/>
      </c>
      <c r="AN26" s="9">
        <f>1/(1+EXP(-($A26-'03_Lap_b'!AF$45)))</f>
        <v/>
      </c>
      <c r="AO26" s="9">
        <f>1/(1+EXP(-($A26-'03_Lap_b'!AG$45)))</f>
        <v/>
      </c>
      <c r="AP26" s="9">
        <f>1/(1+EXP(-($A26-'03_Lap_b'!AH$45)))</f>
        <v/>
      </c>
      <c r="AQ26" s="9">
        <f>1/(1+EXP(-($A26-'03_Lap_b'!AI$45)))</f>
        <v/>
      </c>
      <c r="AR26" s="9">
        <f>1/(1+EXP(-($A26-'03_Lap_b'!AJ$45)))</f>
        <v/>
      </c>
      <c r="AS26" s="9">
        <f>1/(1+EXP(-($A26-'03_Lap_b'!AK$45)))</f>
        <v/>
      </c>
      <c r="AT26" s="9">
        <f>1/(1+EXP(-($A26-'03_Lap_b'!AL$45)))</f>
        <v/>
      </c>
      <c r="AU26" s="9">
        <f>1/(1+EXP(-($A26-'03_Lap_b'!AM$45)))</f>
        <v/>
      </c>
      <c r="AV26" s="9">
        <f>1/(1+EXP(-($A26-'03_Lap_b'!AN$45)))</f>
        <v/>
      </c>
      <c r="AW26" s="9">
        <f>1/(1+EXP(-($A26-'03_Lap_b'!AO$45)))</f>
        <v/>
      </c>
      <c r="AX26" s="9">
        <f>1/(1+EXP(-($A26-'03_Lap_b'!AP$45)))</f>
        <v/>
      </c>
      <c r="AY26" s="9">
        <f>1/(1+EXP(-($A26-'03_Lap_b'!AQ$45)))</f>
        <v/>
      </c>
      <c r="AZ26" s="9">
        <f>1/(1+EXP(-($A26-'03_Lap_b'!AR$45)))</f>
        <v/>
      </c>
      <c r="BA26" s="9">
        <f>1/(1+EXP(-($A26-'03_Lap_b'!AS$45)))</f>
        <v/>
      </c>
      <c r="BB26" s="9">
        <f>1/(1+EXP(-($A26-'03_Lap_b'!AT$45)))</f>
        <v/>
      </c>
      <c r="BC26" s="9">
        <f>1/(1+EXP(-($A26-'03_Lap_b'!AU$45)))</f>
        <v/>
      </c>
      <c r="BD26" s="9">
        <f>1/(1+EXP(-($A26-'03_Lap_b'!AV$45)))</f>
        <v/>
      </c>
      <c r="BE26" s="9">
        <f>1/(1+EXP(-($A26-'03_Lap_b'!AW$45)))</f>
        <v/>
      </c>
    </row>
    <row r="27">
      <c r="A27" s="10" t="n">
        <v>0.8</v>
      </c>
      <c r="B27" s="11">
        <f>SUMPRODUCT(J27:BE27*(1-J27:BE27))</f>
        <v/>
      </c>
      <c r="C27" s="5">
        <f>R27</f>
        <v/>
      </c>
      <c r="D27" s="5">
        <f>J27</f>
        <v/>
      </c>
      <c r="E27" s="5">
        <f>AH27</f>
        <v/>
      </c>
      <c r="F27" s="5">
        <f>AQ27</f>
        <v/>
      </c>
      <c r="G27" s="5">
        <f>AE27</f>
        <v/>
      </c>
      <c r="H27" s="5">
        <f>AG27</f>
        <v/>
      </c>
      <c r="I27" s="10">
        <f>SUM(J27:BE27)</f>
        <v/>
      </c>
      <c r="J27" s="9">
        <f>1/(1+EXP(-($A27-'03_Lap_b'!B$45)))</f>
        <v/>
      </c>
      <c r="K27" s="9">
        <f>1/(1+EXP(-($A27-'03_Lap_b'!C$45)))</f>
        <v/>
      </c>
      <c r="L27" s="9">
        <f>1/(1+EXP(-($A27-'03_Lap_b'!D$45)))</f>
        <v/>
      </c>
      <c r="M27" s="9">
        <f>1/(1+EXP(-($A27-'03_Lap_b'!E$45)))</f>
        <v/>
      </c>
      <c r="N27" s="9">
        <f>1/(1+EXP(-($A27-'03_Lap_b'!F$45)))</f>
        <v/>
      </c>
      <c r="O27" s="9">
        <f>1/(1+EXP(-($A27-'03_Lap_b'!G$45)))</f>
        <v/>
      </c>
      <c r="P27" s="9">
        <f>1/(1+EXP(-($A27-'03_Lap_b'!H$45)))</f>
        <v/>
      </c>
      <c r="Q27" s="9">
        <f>1/(1+EXP(-($A27-'03_Lap_b'!I$45)))</f>
        <v/>
      </c>
      <c r="R27" s="9">
        <f>1/(1+EXP(-($A27-'03_Lap_b'!J$45)))</f>
        <v/>
      </c>
      <c r="S27" s="9">
        <f>1/(1+EXP(-($A27-'03_Lap_b'!K$45)))</f>
        <v/>
      </c>
      <c r="T27" s="9">
        <f>1/(1+EXP(-($A27-'03_Lap_b'!L$45)))</f>
        <v/>
      </c>
      <c r="U27" s="9">
        <f>1/(1+EXP(-($A27-'03_Lap_b'!M$45)))</f>
        <v/>
      </c>
      <c r="V27" s="9">
        <f>1/(1+EXP(-($A27-'03_Lap_b'!N$45)))</f>
        <v/>
      </c>
      <c r="W27" s="9">
        <f>1/(1+EXP(-($A27-'03_Lap_b'!O$45)))</f>
        <v/>
      </c>
      <c r="X27" s="9">
        <f>1/(1+EXP(-($A27-'03_Lap_b'!P$45)))</f>
        <v/>
      </c>
      <c r="Y27" s="9">
        <f>1/(1+EXP(-($A27-'03_Lap_b'!Q$45)))</f>
        <v/>
      </c>
      <c r="Z27" s="9">
        <f>1/(1+EXP(-($A27-'03_Lap_b'!R$45)))</f>
        <v/>
      </c>
      <c r="AA27" s="9">
        <f>1/(1+EXP(-($A27-'03_Lap_b'!S$45)))</f>
        <v/>
      </c>
      <c r="AB27" s="9">
        <f>1/(1+EXP(-($A27-'03_Lap_b'!T$45)))</f>
        <v/>
      </c>
      <c r="AC27" s="9">
        <f>1/(1+EXP(-($A27-'03_Lap_b'!U$45)))</f>
        <v/>
      </c>
      <c r="AD27" s="9">
        <f>1/(1+EXP(-($A27-'03_Lap_b'!V$45)))</f>
        <v/>
      </c>
      <c r="AE27" s="9">
        <f>1/(1+EXP(-($A27-'03_Lap_b'!W$45)))</f>
        <v/>
      </c>
      <c r="AF27" s="9">
        <f>1/(1+EXP(-($A27-'03_Lap_b'!X$45)))</f>
        <v/>
      </c>
      <c r="AG27" s="9">
        <f>1/(1+EXP(-($A27-'03_Lap_b'!Y$45)))</f>
        <v/>
      </c>
      <c r="AH27" s="9">
        <f>1/(1+EXP(-($A27-'03_Lap_b'!Z$45)))</f>
        <v/>
      </c>
      <c r="AI27" s="9">
        <f>1/(1+EXP(-($A27-'03_Lap_b'!AA$45)))</f>
        <v/>
      </c>
      <c r="AJ27" s="9">
        <f>1/(1+EXP(-($A27-'03_Lap_b'!AB$45)))</f>
        <v/>
      </c>
      <c r="AK27" s="9">
        <f>1/(1+EXP(-($A27-'03_Lap_b'!AC$45)))</f>
        <v/>
      </c>
      <c r="AL27" s="9">
        <f>1/(1+EXP(-($A27-'03_Lap_b'!AD$45)))</f>
        <v/>
      </c>
      <c r="AM27" s="9">
        <f>1/(1+EXP(-($A27-'03_Lap_b'!AE$45)))</f>
        <v/>
      </c>
      <c r="AN27" s="9">
        <f>1/(1+EXP(-($A27-'03_Lap_b'!AF$45)))</f>
        <v/>
      </c>
      <c r="AO27" s="9">
        <f>1/(1+EXP(-($A27-'03_Lap_b'!AG$45)))</f>
        <v/>
      </c>
      <c r="AP27" s="9">
        <f>1/(1+EXP(-($A27-'03_Lap_b'!AH$45)))</f>
        <v/>
      </c>
      <c r="AQ27" s="9">
        <f>1/(1+EXP(-($A27-'03_Lap_b'!AI$45)))</f>
        <v/>
      </c>
      <c r="AR27" s="9">
        <f>1/(1+EXP(-($A27-'03_Lap_b'!AJ$45)))</f>
        <v/>
      </c>
      <c r="AS27" s="9">
        <f>1/(1+EXP(-($A27-'03_Lap_b'!AK$45)))</f>
        <v/>
      </c>
      <c r="AT27" s="9">
        <f>1/(1+EXP(-($A27-'03_Lap_b'!AL$45)))</f>
        <v/>
      </c>
      <c r="AU27" s="9">
        <f>1/(1+EXP(-($A27-'03_Lap_b'!AM$45)))</f>
        <v/>
      </c>
      <c r="AV27" s="9">
        <f>1/(1+EXP(-($A27-'03_Lap_b'!AN$45)))</f>
        <v/>
      </c>
      <c r="AW27" s="9">
        <f>1/(1+EXP(-($A27-'03_Lap_b'!AO$45)))</f>
        <v/>
      </c>
      <c r="AX27" s="9">
        <f>1/(1+EXP(-($A27-'03_Lap_b'!AP$45)))</f>
        <v/>
      </c>
      <c r="AY27" s="9">
        <f>1/(1+EXP(-($A27-'03_Lap_b'!AQ$45)))</f>
        <v/>
      </c>
      <c r="AZ27" s="9">
        <f>1/(1+EXP(-($A27-'03_Lap_b'!AR$45)))</f>
        <v/>
      </c>
      <c r="BA27" s="9">
        <f>1/(1+EXP(-($A27-'03_Lap_b'!AS$45)))</f>
        <v/>
      </c>
      <c r="BB27" s="9">
        <f>1/(1+EXP(-($A27-'03_Lap_b'!AT$45)))</f>
        <v/>
      </c>
      <c r="BC27" s="9">
        <f>1/(1+EXP(-($A27-'03_Lap_b'!AU$45)))</f>
        <v/>
      </c>
      <c r="BD27" s="9">
        <f>1/(1+EXP(-($A27-'03_Lap_b'!AV$45)))</f>
        <v/>
      </c>
      <c r="BE27" s="9">
        <f>1/(1+EXP(-($A27-'03_Lap_b'!AW$45)))</f>
        <v/>
      </c>
    </row>
    <row r="28">
      <c r="A28" s="10" t="n">
        <v>1</v>
      </c>
      <c r="B28" s="11">
        <f>SUMPRODUCT(J28:BE28*(1-J28:BE28))</f>
        <v/>
      </c>
      <c r="C28" s="5">
        <f>R28</f>
        <v/>
      </c>
      <c r="D28" s="5">
        <f>J28</f>
        <v/>
      </c>
      <c r="E28" s="5">
        <f>AH28</f>
        <v/>
      </c>
      <c r="F28" s="5">
        <f>AQ28</f>
        <v/>
      </c>
      <c r="G28" s="5">
        <f>AE28</f>
        <v/>
      </c>
      <c r="H28" s="5">
        <f>AG28</f>
        <v/>
      </c>
      <c r="I28" s="10">
        <f>SUM(J28:BE28)</f>
        <v/>
      </c>
      <c r="J28" s="9">
        <f>1/(1+EXP(-($A28-'03_Lap_b'!B$45)))</f>
        <v/>
      </c>
      <c r="K28" s="9">
        <f>1/(1+EXP(-($A28-'03_Lap_b'!C$45)))</f>
        <v/>
      </c>
      <c r="L28" s="9">
        <f>1/(1+EXP(-($A28-'03_Lap_b'!D$45)))</f>
        <v/>
      </c>
      <c r="M28" s="9">
        <f>1/(1+EXP(-($A28-'03_Lap_b'!E$45)))</f>
        <v/>
      </c>
      <c r="N28" s="9">
        <f>1/(1+EXP(-($A28-'03_Lap_b'!F$45)))</f>
        <v/>
      </c>
      <c r="O28" s="9">
        <f>1/(1+EXP(-($A28-'03_Lap_b'!G$45)))</f>
        <v/>
      </c>
      <c r="P28" s="9">
        <f>1/(1+EXP(-($A28-'03_Lap_b'!H$45)))</f>
        <v/>
      </c>
      <c r="Q28" s="9">
        <f>1/(1+EXP(-($A28-'03_Lap_b'!I$45)))</f>
        <v/>
      </c>
      <c r="R28" s="9">
        <f>1/(1+EXP(-($A28-'03_Lap_b'!J$45)))</f>
        <v/>
      </c>
      <c r="S28" s="9">
        <f>1/(1+EXP(-($A28-'03_Lap_b'!K$45)))</f>
        <v/>
      </c>
      <c r="T28" s="9">
        <f>1/(1+EXP(-($A28-'03_Lap_b'!L$45)))</f>
        <v/>
      </c>
      <c r="U28" s="9">
        <f>1/(1+EXP(-($A28-'03_Lap_b'!M$45)))</f>
        <v/>
      </c>
      <c r="V28" s="9">
        <f>1/(1+EXP(-($A28-'03_Lap_b'!N$45)))</f>
        <v/>
      </c>
      <c r="W28" s="9">
        <f>1/(1+EXP(-($A28-'03_Lap_b'!O$45)))</f>
        <v/>
      </c>
      <c r="X28" s="9">
        <f>1/(1+EXP(-($A28-'03_Lap_b'!P$45)))</f>
        <v/>
      </c>
      <c r="Y28" s="9">
        <f>1/(1+EXP(-($A28-'03_Lap_b'!Q$45)))</f>
        <v/>
      </c>
      <c r="Z28" s="9">
        <f>1/(1+EXP(-($A28-'03_Lap_b'!R$45)))</f>
        <v/>
      </c>
      <c r="AA28" s="9">
        <f>1/(1+EXP(-($A28-'03_Lap_b'!S$45)))</f>
        <v/>
      </c>
      <c r="AB28" s="9">
        <f>1/(1+EXP(-($A28-'03_Lap_b'!T$45)))</f>
        <v/>
      </c>
      <c r="AC28" s="9">
        <f>1/(1+EXP(-($A28-'03_Lap_b'!U$45)))</f>
        <v/>
      </c>
      <c r="AD28" s="9">
        <f>1/(1+EXP(-($A28-'03_Lap_b'!V$45)))</f>
        <v/>
      </c>
      <c r="AE28" s="9">
        <f>1/(1+EXP(-($A28-'03_Lap_b'!W$45)))</f>
        <v/>
      </c>
      <c r="AF28" s="9">
        <f>1/(1+EXP(-($A28-'03_Lap_b'!X$45)))</f>
        <v/>
      </c>
      <c r="AG28" s="9">
        <f>1/(1+EXP(-($A28-'03_Lap_b'!Y$45)))</f>
        <v/>
      </c>
      <c r="AH28" s="9">
        <f>1/(1+EXP(-($A28-'03_Lap_b'!Z$45)))</f>
        <v/>
      </c>
      <c r="AI28" s="9">
        <f>1/(1+EXP(-($A28-'03_Lap_b'!AA$45)))</f>
        <v/>
      </c>
      <c r="AJ28" s="9">
        <f>1/(1+EXP(-($A28-'03_Lap_b'!AB$45)))</f>
        <v/>
      </c>
      <c r="AK28" s="9">
        <f>1/(1+EXP(-($A28-'03_Lap_b'!AC$45)))</f>
        <v/>
      </c>
      <c r="AL28" s="9">
        <f>1/(1+EXP(-($A28-'03_Lap_b'!AD$45)))</f>
        <v/>
      </c>
      <c r="AM28" s="9">
        <f>1/(1+EXP(-($A28-'03_Lap_b'!AE$45)))</f>
        <v/>
      </c>
      <c r="AN28" s="9">
        <f>1/(1+EXP(-($A28-'03_Lap_b'!AF$45)))</f>
        <v/>
      </c>
      <c r="AO28" s="9">
        <f>1/(1+EXP(-($A28-'03_Lap_b'!AG$45)))</f>
        <v/>
      </c>
      <c r="AP28" s="9">
        <f>1/(1+EXP(-($A28-'03_Lap_b'!AH$45)))</f>
        <v/>
      </c>
      <c r="AQ28" s="9">
        <f>1/(1+EXP(-($A28-'03_Lap_b'!AI$45)))</f>
        <v/>
      </c>
      <c r="AR28" s="9">
        <f>1/(1+EXP(-($A28-'03_Lap_b'!AJ$45)))</f>
        <v/>
      </c>
      <c r="AS28" s="9">
        <f>1/(1+EXP(-($A28-'03_Lap_b'!AK$45)))</f>
        <v/>
      </c>
      <c r="AT28" s="9">
        <f>1/(1+EXP(-($A28-'03_Lap_b'!AL$45)))</f>
        <v/>
      </c>
      <c r="AU28" s="9">
        <f>1/(1+EXP(-($A28-'03_Lap_b'!AM$45)))</f>
        <v/>
      </c>
      <c r="AV28" s="9">
        <f>1/(1+EXP(-($A28-'03_Lap_b'!AN$45)))</f>
        <v/>
      </c>
      <c r="AW28" s="9">
        <f>1/(1+EXP(-($A28-'03_Lap_b'!AO$45)))</f>
        <v/>
      </c>
      <c r="AX28" s="9">
        <f>1/(1+EXP(-($A28-'03_Lap_b'!AP$45)))</f>
        <v/>
      </c>
      <c r="AY28" s="9">
        <f>1/(1+EXP(-($A28-'03_Lap_b'!AQ$45)))</f>
        <v/>
      </c>
      <c r="AZ28" s="9">
        <f>1/(1+EXP(-($A28-'03_Lap_b'!AR$45)))</f>
        <v/>
      </c>
      <c r="BA28" s="9">
        <f>1/(1+EXP(-($A28-'03_Lap_b'!AS$45)))</f>
        <v/>
      </c>
      <c r="BB28" s="9">
        <f>1/(1+EXP(-($A28-'03_Lap_b'!AT$45)))</f>
        <v/>
      </c>
      <c r="BC28" s="9">
        <f>1/(1+EXP(-($A28-'03_Lap_b'!AU$45)))</f>
        <v/>
      </c>
      <c r="BD28" s="9">
        <f>1/(1+EXP(-($A28-'03_Lap_b'!AV$45)))</f>
        <v/>
      </c>
      <c r="BE28" s="9">
        <f>1/(1+EXP(-($A28-'03_Lap_b'!AW$45)))</f>
        <v/>
      </c>
    </row>
    <row r="29">
      <c r="A29" s="10" t="n">
        <v>1.2</v>
      </c>
      <c r="B29" s="11">
        <f>SUMPRODUCT(J29:BE29*(1-J29:BE29))</f>
        <v/>
      </c>
      <c r="C29" s="5">
        <f>R29</f>
        <v/>
      </c>
      <c r="D29" s="5">
        <f>J29</f>
        <v/>
      </c>
      <c r="E29" s="5">
        <f>AH29</f>
        <v/>
      </c>
      <c r="F29" s="5">
        <f>AQ29</f>
        <v/>
      </c>
      <c r="G29" s="5">
        <f>AE29</f>
        <v/>
      </c>
      <c r="H29" s="5">
        <f>AG29</f>
        <v/>
      </c>
      <c r="I29" s="10">
        <f>SUM(J29:BE29)</f>
        <v/>
      </c>
      <c r="J29" s="9">
        <f>1/(1+EXP(-($A29-'03_Lap_b'!B$45)))</f>
        <v/>
      </c>
      <c r="K29" s="9">
        <f>1/(1+EXP(-($A29-'03_Lap_b'!C$45)))</f>
        <v/>
      </c>
      <c r="L29" s="9">
        <f>1/(1+EXP(-($A29-'03_Lap_b'!D$45)))</f>
        <v/>
      </c>
      <c r="M29" s="9">
        <f>1/(1+EXP(-($A29-'03_Lap_b'!E$45)))</f>
        <v/>
      </c>
      <c r="N29" s="9">
        <f>1/(1+EXP(-($A29-'03_Lap_b'!F$45)))</f>
        <v/>
      </c>
      <c r="O29" s="9">
        <f>1/(1+EXP(-($A29-'03_Lap_b'!G$45)))</f>
        <v/>
      </c>
      <c r="P29" s="9">
        <f>1/(1+EXP(-($A29-'03_Lap_b'!H$45)))</f>
        <v/>
      </c>
      <c r="Q29" s="9">
        <f>1/(1+EXP(-($A29-'03_Lap_b'!I$45)))</f>
        <v/>
      </c>
      <c r="R29" s="9">
        <f>1/(1+EXP(-($A29-'03_Lap_b'!J$45)))</f>
        <v/>
      </c>
      <c r="S29" s="9">
        <f>1/(1+EXP(-($A29-'03_Lap_b'!K$45)))</f>
        <v/>
      </c>
      <c r="T29" s="9">
        <f>1/(1+EXP(-($A29-'03_Lap_b'!L$45)))</f>
        <v/>
      </c>
      <c r="U29" s="9">
        <f>1/(1+EXP(-($A29-'03_Lap_b'!M$45)))</f>
        <v/>
      </c>
      <c r="V29" s="9">
        <f>1/(1+EXP(-($A29-'03_Lap_b'!N$45)))</f>
        <v/>
      </c>
      <c r="W29" s="9">
        <f>1/(1+EXP(-($A29-'03_Lap_b'!O$45)))</f>
        <v/>
      </c>
      <c r="X29" s="9">
        <f>1/(1+EXP(-($A29-'03_Lap_b'!P$45)))</f>
        <v/>
      </c>
      <c r="Y29" s="9">
        <f>1/(1+EXP(-($A29-'03_Lap_b'!Q$45)))</f>
        <v/>
      </c>
      <c r="Z29" s="9">
        <f>1/(1+EXP(-($A29-'03_Lap_b'!R$45)))</f>
        <v/>
      </c>
      <c r="AA29" s="9">
        <f>1/(1+EXP(-($A29-'03_Lap_b'!S$45)))</f>
        <v/>
      </c>
      <c r="AB29" s="9">
        <f>1/(1+EXP(-($A29-'03_Lap_b'!T$45)))</f>
        <v/>
      </c>
      <c r="AC29" s="9">
        <f>1/(1+EXP(-($A29-'03_Lap_b'!U$45)))</f>
        <v/>
      </c>
      <c r="AD29" s="9">
        <f>1/(1+EXP(-($A29-'03_Lap_b'!V$45)))</f>
        <v/>
      </c>
      <c r="AE29" s="9">
        <f>1/(1+EXP(-($A29-'03_Lap_b'!W$45)))</f>
        <v/>
      </c>
      <c r="AF29" s="9">
        <f>1/(1+EXP(-($A29-'03_Lap_b'!X$45)))</f>
        <v/>
      </c>
      <c r="AG29" s="9">
        <f>1/(1+EXP(-($A29-'03_Lap_b'!Y$45)))</f>
        <v/>
      </c>
      <c r="AH29" s="9">
        <f>1/(1+EXP(-($A29-'03_Lap_b'!Z$45)))</f>
        <v/>
      </c>
      <c r="AI29" s="9">
        <f>1/(1+EXP(-($A29-'03_Lap_b'!AA$45)))</f>
        <v/>
      </c>
      <c r="AJ29" s="9">
        <f>1/(1+EXP(-($A29-'03_Lap_b'!AB$45)))</f>
        <v/>
      </c>
      <c r="AK29" s="9">
        <f>1/(1+EXP(-($A29-'03_Lap_b'!AC$45)))</f>
        <v/>
      </c>
      <c r="AL29" s="9">
        <f>1/(1+EXP(-($A29-'03_Lap_b'!AD$45)))</f>
        <v/>
      </c>
      <c r="AM29" s="9">
        <f>1/(1+EXP(-($A29-'03_Lap_b'!AE$45)))</f>
        <v/>
      </c>
      <c r="AN29" s="9">
        <f>1/(1+EXP(-($A29-'03_Lap_b'!AF$45)))</f>
        <v/>
      </c>
      <c r="AO29" s="9">
        <f>1/(1+EXP(-($A29-'03_Lap_b'!AG$45)))</f>
        <v/>
      </c>
      <c r="AP29" s="9">
        <f>1/(1+EXP(-($A29-'03_Lap_b'!AH$45)))</f>
        <v/>
      </c>
      <c r="AQ29" s="9">
        <f>1/(1+EXP(-($A29-'03_Lap_b'!AI$45)))</f>
        <v/>
      </c>
      <c r="AR29" s="9">
        <f>1/(1+EXP(-($A29-'03_Lap_b'!AJ$45)))</f>
        <v/>
      </c>
      <c r="AS29" s="9">
        <f>1/(1+EXP(-($A29-'03_Lap_b'!AK$45)))</f>
        <v/>
      </c>
      <c r="AT29" s="9">
        <f>1/(1+EXP(-($A29-'03_Lap_b'!AL$45)))</f>
        <v/>
      </c>
      <c r="AU29" s="9">
        <f>1/(1+EXP(-($A29-'03_Lap_b'!AM$45)))</f>
        <v/>
      </c>
      <c r="AV29" s="9">
        <f>1/(1+EXP(-($A29-'03_Lap_b'!AN$45)))</f>
        <v/>
      </c>
      <c r="AW29" s="9">
        <f>1/(1+EXP(-($A29-'03_Lap_b'!AO$45)))</f>
        <v/>
      </c>
      <c r="AX29" s="9">
        <f>1/(1+EXP(-($A29-'03_Lap_b'!AP$45)))</f>
        <v/>
      </c>
      <c r="AY29" s="9">
        <f>1/(1+EXP(-($A29-'03_Lap_b'!AQ$45)))</f>
        <v/>
      </c>
      <c r="AZ29" s="9">
        <f>1/(1+EXP(-($A29-'03_Lap_b'!AR$45)))</f>
        <v/>
      </c>
      <c r="BA29" s="9">
        <f>1/(1+EXP(-($A29-'03_Lap_b'!AS$45)))</f>
        <v/>
      </c>
      <c r="BB29" s="9">
        <f>1/(1+EXP(-($A29-'03_Lap_b'!AT$45)))</f>
        <v/>
      </c>
      <c r="BC29" s="9">
        <f>1/(1+EXP(-($A29-'03_Lap_b'!AU$45)))</f>
        <v/>
      </c>
      <c r="BD29" s="9">
        <f>1/(1+EXP(-($A29-'03_Lap_b'!AV$45)))</f>
        <v/>
      </c>
      <c r="BE29" s="9">
        <f>1/(1+EXP(-($A29-'03_Lap_b'!AW$45)))</f>
        <v/>
      </c>
    </row>
    <row r="30">
      <c r="A30" s="10" t="n">
        <v>1.4</v>
      </c>
      <c r="B30" s="11">
        <f>SUMPRODUCT(J30:BE30*(1-J30:BE30))</f>
        <v/>
      </c>
      <c r="C30" s="5">
        <f>R30</f>
        <v/>
      </c>
      <c r="D30" s="5">
        <f>J30</f>
        <v/>
      </c>
      <c r="E30" s="5">
        <f>AH30</f>
        <v/>
      </c>
      <c r="F30" s="5">
        <f>AQ30</f>
        <v/>
      </c>
      <c r="G30" s="5">
        <f>AE30</f>
        <v/>
      </c>
      <c r="H30" s="5">
        <f>AG30</f>
        <v/>
      </c>
      <c r="I30" s="10">
        <f>SUM(J30:BE30)</f>
        <v/>
      </c>
      <c r="J30" s="9">
        <f>1/(1+EXP(-($A30-'03_Lap_b'!B$45)))</f>
        <v/>
      </c>
      <c r="K30" s="9">
        <f>1/(1+EXP(-($A30-'03_Lap_b'!C$45)))</f>
        <v/>
      </c>
      <c r="L30" s="9">
        <f>1/(1+EXP(-($A30-'03_Lap_b'!D$45)))</f>
        <v/>
      </c>
      <c r="M30" s="9">
        <f>1/(1+EXP(-($A30-'03_Lap_b'!E$45)))</f>
        <v/>
      </c>
      <c r="N30" s="9">
        <f>1/(1+EXP(-($A30-'03_Lap_b'!F$45)))</f>
        <v/>
      </c>
      <c r="O30" s="9">
        <f>1/(1+EXP(-($A30-'03_Lap_b'!G$45)))</f>
        <v/>
      </c>
      <c r="P30" s="9">
        <f>1/(1+EXP(-($A30-'03_Lap_b'!H$45)))</f>
        <v/>
      </c>
      <c r="Q30" s="9">
        <f>1/(1+EXP(-($A30-'03_Lap_b'!I$45)))</f>
        <v/>
      </c>
      <c r="R30" s="9">
        <f>1/(1+EXP(-($A30-'03_Lap_b'!J$45)))</f>
        <v/>
      </c>
      <c r="S30" s="9">
        <f>1/(1+EXP(-($A30-'03_Lap_b'!K$45)))</f>
        <v/>
      </c>
      <c r="T30" s="9">
        <f>1/(1+EXP(-($A30-'03_Lap_b'!L$45)))</f>
        <v/>
      </c>
      <c r="U30" s="9">
        <f>1/(1+EXP(-($A30-'03_Lap_b'!M$45)))</f>
        <v/>
      </c>
      <c r="V30" s="9">
        <f>1/(1+EXP(-($A30-'03_Lap_b'!N$45)))</f>
        <v/>
      </c>
      <c r="W30" s="9">
        <f>1/(1+EXP(-($A30-'03_Lap_b'!O$45)))</f>
        <v/>
      </c>
      <c r="X30" s="9">
        <f>1/(1+EXP(-($A30-'03_Lap_b'!P$45)))</f>
        <v/>
      </c>
      <c r="Y30" s="9">
        <f>1/(1+EXP(-($A30-'03_Lap_b'!Q$45)))</f>
        <v/>
      </c>
      <c r="Z30" s="9">
        <f>1/(1+EXP(-($A30-'03_Lap_b'!R$45)))</f>
        <v/>
      </c>
      <c r="AA30" s="9">
        <f>1/(1+EXP(-($A30-'03_Lap_b'!S$45)))</f>
        <v/>
      </c>
      <c r="AB30" s="9">
        <f>1/(1+EXP(-($A30-'03_Lap_b'!T$45)))</f>
        <v/>
      </c>
      <c r="AC30" s="9">
        <f>1/(1+EXP(-($A30-'03_Lap_b'!U$45)))</f>
        <v/>
      </c>
      <c r="AD30" s="9">
        <f>1/(1+EXP(-($A30-'03_Lap_b'!V$45)))</f>
        <v/>
      </c>
      <c r="AE30" s="9">
        <f>1/(1+EXP(-($A30-'03_Lap_b'!W$45)))</f>
        <v/>
      </c>
      <c r="AF30" s="9">
        <f>1/(1+EXP(-($A30-'03_Lap_b'!X$45)))</f>
        <v/>
      </c>
      <c r="AG30" s="9">
        <f>1/(1+EXP(-($A30-'03_Lap_b'!Y$45)))</f>
        <v/>
      </c>
      <c r="AH30" s="9">
        <f>1/(1+EXP(-($A30-'03_Lap_b'!Z$45)))</f>
        <v/>
      </c>
      <c r="AI30" s="9">
        <f>1/(1+EXP(-($A30-'03_Lap_b'!AA$45)))</f>
        <v/>
      </c>
      <c r="AJ30" s="9">
        <f>1/(1+EXP(-($A30-'03_Lap_b'!AB$45)))</f>
        <v/>
      </c>
      <c r="AK30" s="9">
        <f>1/(1+EXP(-($A30-'03_Lap_b'!AC$45)))</f>
        <v/>
      </c>
      <c r="AL30" s="9">
        <f>1/(1+EXP(-($A30-'03_Lap_b'!AD$45)))</f>
        <v/>
      </c>
      <c r="AM30" s="9">
        <f>1/(1+EXP(-($A30-'03_Lap_b'!AE$45)))</f>
        <v/>
      </c>
      <c r="AN30" s="9">
        <f>1/(1+EXP(-($A30-'03_Lap_b'!AF$45)))</f>
        <v/>
      </c>
      <c r="AO30" s="9">
        <f>1/(1+EXP(-($A30-'03_Lap_b'!AG$45)))</f>
        <v/>
      </c>
      <c r="AP30" s="9">
        <f>1/(1+EXP(-($A30-'03_Lap_b'!AH$45)))</f>
        <v/>
      </c>
      <c r="AQ30" s="9">
        <f>1/(1+EXP(-($A30-'03_Lap_b'!AI$45)))</f>
        <v/>
      </c>
      <c r="AR30" s="9">
        <f>1/(1+EXP(-($A30-'03_Lap_b'!AJ$45)))</f>
        <v/>
      </c>
      <c r="AS30" s="9">
        <f>1/(1+EXP(-($A30-'03_Lap_b'!AK$45)))</f>
        <v/>
      </c>
      <c r="AT30" s="9">
        <f>1/(1+EXP(-($A30-'03_Lap_b'!AL$45)))</f>
        <v/>
      </c>
      <c r="AU30" s="9">
        <f>1/(1+EXP(-($A30-'03_Lap_b'!AM$45)))</f>
        <v/>
      </c>
      <c r="AV30" s="9">
        <f>1/(1+EXP(-($A30-'03_Lap_b'!AN$45)))</f>
        <v/>
      </c>
      <c r="AW30" s="9">
        <f>1/(1+EXP(-($A30-'03_Lap_b'!AO$45)))</f>
        <v/>
      </c>
      <c r="AX30" s="9">
        <f>1/(1+EXP(-($A30-'03_Lap_b'!AP$45)))</f>
        <v/>
      </c>
      <c r="AY30" s="9">
        <f>1/(1+EXP(-($A30-'03_Lap_b'!AQ$45)))</f>
        <v/>
      </c>
      <c r="AZ30" s="9">
        <f>1/(1+EXP(-($A30-'03_Lap_b'!AR$45)))</f>
        <v/>
      </c>
      <c r="BA30" s="9">
        <f>1/(1+EXP(-($A30-'03_Lap_b'!AS$45)))</f>
        <v/>
      </c>
      <c r="BB30" s="9">
        <f>1/(1+EXP(-($A30-'03_Lap_b'!AT$45)))</f>
        <v/>
      </c>
      <c r="BC30" s="9">
        <f>1/(1+EXP(-($A30-'03_Lap_b'!AU$45)))</f>
        <v/>
      </c>
      <c r="BD30" s="9">
        <f>1/(1+EXP(-($A30-'03_Lap_b'!AV$45)))</f>
        <v/>
      </c>
      <c r="BE30" s="9">
        <f>1/(1+EXP(-($A30-'03_Lap_b'!AW$45)))</f>
        <v/>
      </c>
    </row>
    <row r="31">
      <c r="A31" s="10" t="n">
        <v>1.6</v>
      </c>
      <c r="B31" s="11">
        <f>SUMPRODUCT(J31:BE31*(1-J31:BE31))</f>
        <v/>
      </c>
      <c r="C31" s="5">
        <f>R31</f>
        <v/>
      </c>
      <c r="D31" s="5">
        <f>J31</f>
        <v/>
      </c>
      <c r="E31" s="5">
        <f>AH31</f>
        <v/>
      </c>
      <c r="F31" s="5">
        <f>AQ31</f>
        <v/>
      </c>
      <c r="G31" s="5">
        <f>AE31</f>
        <v/>
      </c>
      <c r="H31" s="5">
        <f>AG31</f>
        <v/>
      </c>
      <c r="I31" s="10">
        <f>SUM(J31:BE31)</f>
        <v/>
      </c>
      <c r="J31" s="9">
        <f>1/(1+EXP(-($A31-'03_Lap_b'!B$45)))</f>
        <v/>
      </c>
      <c r="K31" s="9">
        <f>1/(1+EXP(-($A31-'03_Lap_b'!C$45)))</f>
        <v/>
      </c>
      <c r="L31" s="9">
        <f>1/(1+EXP(-($A31-'03_Lap_b'!D$45)))</f>
        <v/>
      </c>
      <c r="M31" s="9">
        <f>1/(1+EXP(-($A31-'03_Lap_b'!E$45)))</f>
        <v/>
      </c>
      <c r="N31" s="9">
        <f>1/(1+EXP(-($A31-'03_Lap_b'!F$45)))</f>
        <v/>
      </c>
      <c r="O31" s="9">
        <f>1/(1+EXP(-($A31-'03_Lap_b'!G$45)))</f>
        <v/>
      </c>
      <c r="P31" s="9">
        <f>1/(1+EXP(-($A31-'03_Lap_b'!H$45)))</f>
        <v/>
      </c>
      <c r="Q31" s="9">
        <f>1/(1+EXP(-($A31-'03_Lap_b'!I$45)))</f>
        <v/>
      </c>
      <c r="R31" s="9">
        <f>1/(1+EXP(-($A31-'03_Lap_b'!J$45)))</f>
        <v/>
      </c>
      <c r="S31" s="9">
        <f>1/(1+EXP(-($A31-'03_Lap_b'!K$45)))</f>
        <v/>
      </c>
      <c r="T31" s="9">
        <f>1/(1+EXP(-($A31-'03_Lap_b'!L$45)))</f>
        <v/>
      </c>
      <c r="U31" s="9">
        <f>1/(1+EXP(-($A31-'03_Lap_b'!M$45)))</f>
        <v/>
      </c>
      <c r="V31" s="9">
        <f>1/(1+EXP(-($A31-'03_Lap_b'!N$45)))</f>
        <v/>
      </c>
      <c r="W31" s="9">
        <f>1/(1+EXP(-($A31-'03_Lap_b'!O$45)))</f>
        <v/>
      </c>
      <c r="X31" s="9">
        <f>1/(1+EXP(-($A31-'03_Lap_b'!P$45)))</f>
        <v/>
      </c>
      <c r="Y31" s="9">
        <f>1/(1+EXP(-($A31-'03_Lap_b'!Q$45)))</f>
        <v/>
      </c>
      <c r="Z31" s="9">
        <f>1/(1+EXP(-($A31-'03_Lap_b'!R$45)))</f>
        <v/>
      </c>
      <c r="AA31" s="9">
        <f>1/(1+EXP(-($A31-'03_Lap_b'!S$45)))</f>
        <v/>
      </c>
      <c r="AB31" s="9">
        <f>1/(1+EXP(-($A31-'03_Lap_b'!T$45)))</f>
        <v/>
      </c>
      <c r="AC31" s="9">
        <f>1/(1+EXP(-($A31-'03_Lap_b'!U$45)))</f>
        <v/>
      </c>
      <c r="AD31" s="9">
        <f>1/(1+EXP(-($A31-'03_Lap_b'!V$45)))</f>
        <v/>
      </c>
      <c r="AE31" s="9">
        <f>1/(1+EXP(-($A31-'03_Lap_b'!W$45)))</f>
        <v/>
      </c>
      <c r="AF31" s="9">
        <f>1/(1+EXP(-($A31-'03_Lap_b'!X$45)))</f>
        <v/>
      </c>
      <c r="AG31" s="9">
        <f>1/(1+EXP(-($A31-'03_Lap_b'!Y$45)))</f>
        <v/>
      </c>
      <c r="AH31" s="9">
        <f>1/(1+EXP(-($A31-'03_Lap_b'!Z$45)))</f>
        <v/>
      </c>
      <c r="AI31" s="9">
        <f>1/(1+EXP(-($A31-'03_Lap_b'!AA$45)))</f>
        <v/>
      </c>
      <c r="AJ31" s="9">
        <f>1/(1+EXP(-($A31-'03_Lap_b'!AB$45)))</f>
        <v/>
      </c>
      <c r="AK31" s="9">
        <f>1/(1+EXP(-($A31-'03_Lap_b'!AC$45)))</f>
        <v/>
      </c>
      <c r="AL31" s="9">
        <f>1/(1+EXP(-($A31-'03_Lap_b'!AD$45)))</f>
        <v/>
      </c>
      <c r="AM31" s="9">
        <f>1/(1+EXP(-($A31-'03_Lap_b'!AE$45)))</f>
        <v/>
      </c>
      <c r="AN31" s="9">
        <f>1/(1+EXP(-($A31-'03_Lap_b'!AF$45)))</f>
        <v/>
      </c>
      <c r="AO31" s="9">
        <f>1/(1+EXP(-($A31-'03_Lap_b'!AG$45)))</f>
        <v/>
      </c>
      <c r="AP31" s="9">
        <f>1/(1+EXP(-($A31-'03_Lap_b'!AH$45)))</f>
        <v/>
      </c>
      <c r="AQ31" s="9">
        <f>1/(1+EXP(-($A31-'03_Lap_b'!AI$45)))</f>
        <v/>
      </c>
      <c r="AR31" s="9">
        <f>1/(1+EXP(-($A31-'03_Lap_b'!AJ$45)))</f>
        <v/>
      </c>
      <c r="AS31" s="9">
        <f>1/(1+EXP(-($A31-'03_Lap_b'!AK$45)))</f>
        <v/>
      </c>
      <c r="AT31" s="9">
        <f>1/(1+EXP(-($A31-'03_Lap_b'!AL$45)))</f>
        <v/>
      </c>
      <c r="AU31" s="9">
        <f>1/(1+EXP(-($A31-'03_Lap_b'!AM$45)))</f>
        <v/>
      </c>
      <c r="AV31" s="9">
        <f>1/(1+EXP(-($A31-'03_Lap_b'!AN$45)))</f>
        <v/>
      </c>
      <c r="AW31" s="9">
        <f>1/(1+EXP(-($A31-'03_Lap_b'!AO$45)))</f>
        <v/>
      </c>
      <c r="AX31" s="9">
        <f>1/(1+EXP(-($A31-'03_Lap_b'!AP$45)))</f>
        <v/>
      </c>
      <c r="AY31" s="9">
        <f>1/(1+EXP(-($A31-'03_Lap_b'!AQ$45)))</f>
        <v/>
      </c>
      <c r="AZ31" s="9">
        <f>1/(1+EXP(-($A31-'03_Lap_b'!AR$45)))</f>
        <v/>
      </c>
      <c r="BA31" s="9">
        <f>1/(1+EXP(-($A31-'03_Lap_b'!AS$45)))</f>
        <v/>
      </c>
      <c r="BB31" s="9">
        <f>1/(1+EXP(-($A31-'03_Lap_b'!AT$45)))</f>
        <v/>
      </c>
      <c r="BC31" s="9">
        <f>1/(1+EXP(-($A31-'03_Lap_b'!AU$45)))</f>
        <v/>
      </c>
      <c r="BD31" s="9">
        <f>1/(1+EXP(-($A31-'03_Lap_b'!AV$45)))</f>
        <v/>
      </c>
      <c r="BE31" s="9">
        <f>1/(1+EXP(-($A31-'03_Lap_b'!AW$45)))</f>
        <v/>
      </c>
    </row>
    <row r="32">
      <c r="A32" s="10" t="n">
        <v>1.8</v>
      </c>
      <c r="B32" s="11">
        <f>SUMPRODUCT(J32:BE32*(1-J32:BE32))</f>
        <v/>
      </c>
      <c r="C32" s="5">
        <f>R32</f>
        <v/>
      </c>
      <c r="D32" s="5">
        <f>J32</f>
        <v/>
      </c>
      <c r="E32" s="5">
        <f>AH32</f>
        <v/>
      </c>
      <c r="F32" s="5">
        <f>AQ32</f>
        <v/>
      </c>
      <c r="G32" s="5">
        <f>AE32</f>
        <v/>
      </c>
      <c r="H32" s="5">
        <f>AG32</f>
        <v/>
      </c>
      <c r="I32" s="10">
        <f>SUM(J32:BE32)</f>
        <v/>
      </c>
      <c r="J32" s="9">
        <f>1/(1+EXP(-($A32-'03_Lap_b'!B$45)))</f>
        <v/>
      </c>
      <c r="K32" s="9">
        <f>1/(1+EXP(-($A32-'03_Lap_b'!C$45)))</f>
        <v/>
      </c>
      <c r="L32" s="9">
        <f>1/(1+EXP(-($A32-'03_Lap_b'!D$45)))</f>
        <v/>
      </c>
      <c r="M32" s="9">
        <f>1/(1+EXP(-($A32-'03_Lap_b'!E$45)))</f>
        <v/>
      </c>
      <c r="N32" s="9">
        <f>1/(1+EXP(-($A32-'03_Lap_b'!F$45)))</f>
        <v/>
      </c>
      <c r="O32" s="9">
        <f>1/(1+EXP(-($A32-'03_Lap_b'!G$45)))</f>
        <v/>
      </c>
      <c r="P32" s="9">
        <f>1/(1+EXP(-($A32-'03_Lap_b'!H$45)))</f>
        <v/>
      </c>
      <c r="Q32" s="9">
        <f>1/(1+EXP(-($A32-'03_Lap_b'!I$45)))</f>
        <v/>
      </c>
      <c r="R32" s="9">
        <f>1/(1+EXP(-($A32-'03_Lap_b'!J$45)))</f>
        <v/>
      </c>
      <c r="S32" s="9">
        <f>1/(1+EXP(-($A32-'03_Lap_b'!K$45)))</f>
        <v/>
      </c>
      <c r="T32" s="9">
        <f>1/(1+EXP(-($A32-'03_Lap_b'!L$45)))</f>
        <v/>
      </c>
      <c r="U32" s="9">
        <f>1/(1+EXP(-($A32-'03_Lap_b'!M$45)))</f>
        <v/>
      </c>
      <c r="V32" s="9">
        <f>1/(1+EXP(-($A32-'03_Lap_b'!N$45)))</f>
        <v/>
      </c>
      <c r="W32" s="9">
        <f>1/(1+EXP(-($A32-'03_Lap_b'!O$45)))</f>
        <v/>
      </c>
      <c r="X32" s="9">
        <f>1/(1+EXP(-($A32-'03_Lap_b'!P$45)))</f>
        <v/>
      </c>
      <c r="Y32" s="9">
        <f>1/(1+EXP(-($A32-'03_Lap_b'!Q$45)))</f>
        <v/>
      </c>
      <c r="Z32" s="9">
        <f>1/(1+EXP(-($A32-'03_Lap_b'!R$45)))</f>
        <v/>
      </c>
      <c r="AA32" s="9">
        <f>1/(1+EXP(-($A32-'03_Lap_b'!S$45)))</f>
        <v/>
      </c>
      <c r="AB32" s="9">
        <f>1/(1+EXP(-($A32-'03_Lap_b'!T$45)))</f>
        <v/>
      </c>
      <c r="AC32" s="9">
        <f>1/(1+EXP(-($A32-'03_Lap_b'!U$45)))</f>
        <v/>
      </c>
      <c r="AD32" s="9">
        <f>1/(1+EXP(-($A32-'03_Lap_b'!V$45)))</f>
        <v/>
      </c>
      <c r="AE32" s="9">
        <f>1/(1+EXP(-($A32-'03_Lap_b'!W$45)))</f>
        <v/>
      </c>
      <c r="AF32" s="9">
        <f>1/(1+EXP(-($A32-'03_Lap_b'!X$45)))</f>
        <v/>
      </c>
      <c r="AG32" s="9">
        <f>1/(1+EXP(-($A32-'03_Lap_b'!Y$45)))</f>
        <v/>
      </c>
      <c r="AH32" s="9">
        <f>1/(1+EXP(-($A32-'03_Lap_b'!Z$45)))</f>
        <v/>
      </c>
      <c r="AI32" s="9">
        <f>1/(1+EXP(-($A32-'03_Lap_b'!AA$45)))</f>
        <v/>
      </c>
      <c r="AJ32" s="9">
        <f>1/(1+EXP(-($A32-'03_Lap_b'!AB$45)))</f>
        <v/>
      </c>
      <c r="AK32" s="9">
        <f>1/(1+EXP(-($A32-'03_Lap_b'!AC$45)))</f>
        <v/>
      </c>
      <c r="AL32" s="9">
        <f>1/(1+EXP(-($A32-'03_Lap_b'!AD$45)))</f>
        <v/>
      </c>
      <c r="AM32" s="9">
        <f>1/(1+EXP(-($A32-'03_Lap_b'!AE$45)))</f>
        <v/>
      </c>
      <c r="AN32" s="9">
        <f>1/(1+EXP(-($A32-'03_Lap_b'!AF$45)))</f>
        <v/>
      </c>
      <c r="AO32" s="9">
        <f>1/(1+EXP(-($A32-'03_Lap_b'!AG$45)))</f>
        <v/>
      </c>
      <c r="AP32" s="9">
        <f>1/(1+EXP(-($A32-'03_Lap_b'!AH$45)))</f>
        <v/>
      </c>
      <c r="AQ32" s="9">
        <f>1/(1+EXP(-($A32-'03_Lap_b'!AI$45)))</f>
        <v/>
      </c>
      <c r="AR32" s="9">
        <f>1/(1+EXP(-($A32-'03_Lap_b'!AJ$45)))</f>
        <v/>
      </c>
      <c r="AS32" s="9">
        <f>1/(1+EXP(-($A32-'03_Lap_b'!AK$45)))</f>
        <v/>
      </c>
      <c r="AT32" s="9">
        <f>1/(1+EXP(-($A32-'03_Lap_b'!AL$45)))</f>
        <v/>
      </c>
      <c r="AU32" s="9">
        <f>1/(1+EXP(-($A32-'03_Lap_b'!AM$45)))</f>
        <v/>
      </c>
      <c r="AV32" s="9">
        <f>1/(1+EXP(-($A32-'03_Lap_b'!AN$45)))</f>
        <v/>
      </c>
      <c r="AW32" s="9">
        <f>1/(1+EXP(-($A32-'03_Lap_b'!AO$45)))</f>
        <v/>
      </c>
      <c r="AX32" s="9">
        <f>1/(1+EXP(-($A32-'03_Lap_b'!AP$45)))</f>
        <v/>
      </c>
      <c r="AY32" s="9">
        <f>1/(1+EXP(-($A32-'03_Lap_b'!AQ$45)))</f>
        <v/>
      </c>
      <c r="AZ32" s="9">
        <f>1/(1+EXP(-($A32-'03_Lap_b'!AR$45)))</f>
        <v/>
      </c>
      <c r="BA32" s="9">
        <f>1/(1+EXP(-($A32-'03_Lap_b'!AS$45)))</f>
        <v/>
      </c>
      <c r="BB32" s="9">
        <f>1/(1+EXP(-($A32-'03_Lap_b'!AT$45)))</f>
        <v/>
      </c>
      <c r="BC32" s="9">
        <f>1/(1+EXP(-($A32-'03_Lap_b'!AU$45)))</f>
        <v/>
      </c>
      <c r="BD32" s="9">
        <f>1/(1+EXP(-($A32-'03_Lap_b'!AV$45)))</f>
        <v/>
      </c>
      <c r="BE32" s="9">
        <f>1/(1+EXP(-($A32-'03_Lap_b'!AW$45)))</f>
        <v/>
      </c>
    </row>
    <row r="33">
      <c r="A33" s="10" t="n">
        <v>2</v>
      </c>
      <c r="B33" s="11">
        <f>SUMPRODUCT(J33:BE33*(1-J33:BE33))</f>
        <v/>
      </c>
      <c r="C33" s="5">
        <f>R33</f>
        <v/>
      </c>
      <c r="D33" s="5">
        <f>J33</f>
        <v/>
      </c>
      <c r="E33" s="5">
        <f>AH33</f>
        <v/>
      </c>
      <c r="F33" s="5">
        <f>AQ33</f>
        <v/>
      </c>
      <c r="G33" s="5">
        <f>AE33</f>
        <v/>
      </c>
      <c r="H33" s="5">
        <f>AG33</f>
        <v/>
      </c>
      <c r="I33" s="10">
        <f>SUM(J33:BE33)</f>
        <v/>
      </c>
      <c r="J33" s="9">
        <f>1/(1+EXP(-($A33-'03_Lap_b'!B$45)))</f>
        <v/>
      </c>
      <c r="K33" s="9">
        <f>1/(1+EXP(-($A33-'03_Lap_b'!C$45)))</f>
        <v/>
      </c>
      <c r="L33" s="9">
        <f>1/(1+EXP(-($A33-'03_Lap_b'!D$45)))</f>
        <v/>
      </c>
      <c r="M33" s="9">
        <f>1/(1+EXP(-($A33-'03_Lap_b'!E$45)))</f>
        <v/>
      </c>
      <c r="N33" s="9">
        <f>1/(1+EXP(-($A33-'03_Lap_b'!F$45)))</f>
        <v/>
      </c>
      <c r="O33" s="9">
        <f>1/(1+EXP(-($A33-'03_Lap_b'!G$45)))</f>
        <v/>
      </c>
      <c r="P33" s="9">
        <f>1/(1+EXP(-($A33-'03_Lap_b'!H$45)))</f>
        <v/>
      </c>
      <c r="Q33" s="9">
        <f>1/(1+EXP(-($A33-'03_Lap_b'!I$45)))</f>
        <v/>
      </c>
      <c r="R33" s="9">
        <f>1/(1+EXP(-($A33-'03_Lap_b'!J$45)))</f>
        <v/>
      </c>
      <c r="S33" s="9">
        <f>1/(1+EXP(-($A33-'03_Lap_b'!K$45)))</f>
        <v/>
      </c>
      <c r="T33" s="9">
        <f>1/(1+EXP(-($A33-'03_Lap_b'!L$45)))</f>
        <v/>
      </c>
      <c r="U33" s="9">
        <f>1/(1+EXP(-($A33-'03_Lap_b'!M$45)))</f>
        <v/>
      </c>
      <c r="V33" s="9">
        <f>1/(1+EXP(-($A33-'03_Lap_b'!N$45)))</f>
        <v/>
      </c>
      <c r="W33" s="9">
        <f>1/(1+EXP(-($A33-'03_Lap_b'!O$45)))</f>
        <v/>
      </c>
      <c r="X33" s="9">
        <f>1/(1+EXP(-($A33-'03_Lap_b'!P$45)))</f>
        <v/>
      </c>
      <c r="Y33" s="9">
        <f>1/(1+EXP(-($A33-'03_Lap_b'!Q$45)))</f>
        <v/>
      </c>
      <c r="Z33" s="9">
        <f>1/(1+EXP(-($A33-'03_Lap_b'!R$45)))</f>
        <v/>
      </c>
      <c r="AA33" s="9">
        <f>1/(1+EXP(-($A33-'03_Lap_b'!S$45)))</f>
        <v/>
      </c>
      <c r="AB33" s="9">
        <f>1/(1+EXP(-($A33-'03_Lap_b'!T$45)))</f>
        <v/>
      </c>
      <c r="AC33" s="9">
        <f>1/(1+EXP(-($A33-'03_Lap_b'!U$45)))</f>
        <v/>
      </c>
      <c r="AD33" s="9">
        <f>1/(1+EXP(-($A33-'03_Lap_b'!V$45)))</f>
        <v/>
      </c>
      <c r="AE33" s="9">
        <f>1/(1+EXP(-($A33-'03_Lap_b'!W$45)))</f>
        <v/>
      </c>
      <c r="AF33" s="9">
        <f>1/(1+EXP(-($A33-'03_Lap_b'!X$45)))</f>
        <v/>
      </c>
      <c r="AG33" s="9">
        <f>1/(1+EXP(-($A33-'03_Lap_b'!Y$45)))</f>
        <v/>
      </c>
      <c r="AH33" s="9">
        <f>1/(1+EXP(-($A33-'03_Lap_b'!Z$45)))</f>
        <v/>
      </c>
      <c r="AI33" s="9">
        <f>1/(1+EXP(-($A33-'03_Lap_b'!AA$45)))</f>
        <v/>
      </c>
      <c r="AJ33" s="9">
        <f>1/(1+EXP(-($A33-'03_Lap_b'!AB$45)))</f>
        <v/>
      </c>
      <c r="AK33" s="9">
        <f>1/(1+EXP(-($A33-'03_Lap_b'!AC$45)))</f>
        <v/>
      </c>
      <c r="AL33" s="9">
        <f>1/(1+EXP(-($A33-'03_Lap_b'!AD$45)))</f>
        <v/>
      </c>
      <c r="AM33" s="9">
        <f>1/(1+EXP(-($A33-'03_Lap_b'!AE$45)))</f>
        <v/>
      </c>
      <c r="AN33" s="9">
        <f>1/(1+EXP(-($A33-'03_Lap_b'!AF$45)))</f>
        <v/>
      </c>
      <c r="AO33" s="9">
        <f>1/(1+EXP(-($A33-'03_Lap_b'!AG$45)))</f>
        <v/>
      </c>
      <c r="AP33" s="9">
        <f>1/(1+EXP(-($A33-'03_Lap_b'!AH$45)))</f>
        <v/>
      </c>
      <c r="AQ33" s="9">
        <f>1/(1+EXP(-($A33-'03_Lap_b'!AI$45)))</f>
        <v/>
      </c>
      <c r="AR33" s="9">
        <f>1/(1+EXP(-($A33-'03_Lap_b'!AJ$45)))</f>
        <v/>
      </c>
      <c r="AS33" s="9">
        <f>1/(1+EXP(-($A33-'03_Lap_b'!AK$45)))</f>
        <v/>
      </c>
      <c r="AT33" s="9">
        <f>1/(1+EXP(-($A33-'03_Lap_b'!AL$45)))</f>
        <v/>
      </c>
      <c r="AU33" s="9">
        <f>1/(1+EXP(-($A33-'03_Lap_b'!AM$45)))</f>
        <v/>
      </c>
      <c r="AV33" s="9">
        <f>1/(1+EXP(-($A33-'03_Lap_b'!AN$45)))</f>
        <v/>
      </c>
      <c r="AW33" s="9">
        <f>1/(1+EXP(-($A33-'03_Lap_b'!AO$45)))</f>
        <v/>
      </c>
      <c r="AX33" s="9">
        <f>1/(1+EXP(-($A33-'03_Lap_b'!AP$45)))</f>
        <v/>
      </c>
      <c r="AY33" s="9">
        <f>1/(1+EXP(-($A33-'03_Lap_b'!AQ$45)))</f>
        <v/>
      </c>
      <c r="AZ33" s="9">
        <f>1/(1+EXP(-($A33-'03_Lap_b'!AR$45)))</f>
        <v/>
      </c>
      <c r="BA33" s="9">
        <f>1/(1+EXP(-($A33-'03_Lap_b'!AS$45)))</f>
        <v/>
      </c>
      <c r="BB33" s="9">
        <f>1/(1+EXP(-($A33-'03_Lap_b'!AT$45)))</f>
        <v/>
      </c>
      <c r="BC33" s="9">
        <f>1/(1+EXP(-($A33-'03_Lap_b'!AU$45)))</f>
        <v/>
      </c>
      <c r="BD33" s="9">
        <f>1/(1+EXP(-($A33-'03_Lap_b'!AV$45)))</f>
        <v/>
      </c>
      <c r="BE33" s="9">
        <f>1/(1+EXP(-($A33-'03_Lap_b'!AW$45)))</f>
        <v/>
      </c>
    </row>
    <row r="34">
      <c r="A34" s="10" t="n">
        <v>2.2</v>
      </c>
      <c r="B34" s="11">
        <f>SUMPRODUCT(J34:BE34*(1-J34:BE34))</f>
        <v/>
      </c>
      <c r="C34" s="5">
        <f>R34</f>
        <v/>
      </c>
      <c r="D34" s="5">
        <f>J34</f>
        <v/>
      </c>
      <c r="E34" s="5">
        <f>AH34</f>
        <v/>
      </c>
      <c r="F34" s="5">
        <f>AQ34</f>
        <v/>
      </c>
      <c r="G34" s="5">
        <f>AE34</f>
        <v/>
      </c>
      <c r="H34" s="5">
        <f>AG34</f>
        <v/>
      </c>
      <c r="I34" s="10">
        <f>SUM(J34:BE34)</f>
        <v/>
      </c>
      <c r="J34" s="9">
        <f>1/(1+EXP(-($A34-'03_Lap_b'!B$45)))</f>
        <v/>
      </c>
      <c r="K34" s="9">
        <f>1/(1+EXP(-($A34-'03_Lap_b'!C$45)))</f>
        <v/>
      </c>
      <c r="L34" s="9">
        <f>1/(1+EXP(-($A34-'03_Lap_b'!D$45)))</f>
        <v/>
      </c>
      <c r="M34" s="9">
        <f>1/(1+EXP(-($A34-'03_Lap_b'!E$45)))</f>
        <v/>
      </c>
      <c r="N34" s="9">
        <f>1/(1+EXP(-($A34-'03_Lap_b'!F$45)))</f>
        <v/>
      </c>
      <c r="O34" s="9">
        <f>1/(1+EXP(-($A34-'03_Lap_b'!G$45)))</f>
        <v/>
      </c>
      <c r="P34" s="9">
        <f>1/(1+EXP(-($A34-'03_Lap_b'!H$45)))</f>
        <v/>
      </c>
      <c r="Q34" s="9">
        <f>1/(1+EXP(-($A34-'03_Lap_b'!I$45)))</f>
        <v/>
      </c>
      <c r="R34" s="9">
        <f>1/(1+EXP(-($A34-'03_Lap_b'!J$45)))</f>
        <v/>
      </c>
      <c r="S34" s="9">
        <f>1/(1+EXP(-($A34-'03_Lap_b'!K$45)))</f>
        <v/>
      </c>
      <c r="T34" s="9">
        <f>1/(1+EXP(-($A34-'03_Lap_b'!L$45)))</f>
        <v/>
      </c>
      <c r="U34" s="9">
        <f>1/(1+EXP(-($A34-'03_Lap_b'!M$45)))</f>
        <v/>
      </c>
      <c r="V34" s="9">
        <f>1/(1+EXP(-($A34-'03_Lap_b'!N$45)))</f>
        <v/>
      </c>
      <c r="W34" s="9">
        <f>1/(1+EXP(-($A34-'03_Lap_b'!O$45)))</f>
        <v/>
      </c>
      <c r="X34" s="9">
        <f>1/(1+EXP(-($A34-'03_Lap_b'!P$45)))</f>
        <v/>
      </c>
      <c r="Y34" s="9">
        <f>1/(1+EXP(-($A34-'03_Lap_b'!Q$45)))</f>
        <v/>
      </c>
      <c r="Z34" s="9">
        <f>1/(1+EXP(-($A34-'03_Lap_b'!R$45)))</f>
        <v/>
      </c>
      <c r="AA34" s="9">
        <f>1/(1+EXP(-($A34-'03_Lap_b'!S$45)))</f>
        <v/>
      </c>
      <c r="AB34" s="9">
        <f>1/(1+EXP(-($A34-'03_Lap_b'!T$45)))</f>
        <v/>
      </c>
      <c r="AC34" s="9">
        <f>1/(1+EXP(-($A34-'03_Lap_b'!U$45)))</f>
        <v/>
      </c>
      <c r="AD34" s="9">
        <f>1/(1+EXP(-($A34-'03_Lap_b'!V$45)))</f>
        <v/>
      </c>
      <c r="AE34" s="9">
        <f>1/(1+EXP(-($A34-'03_Lap_b'!W$45)))</f>
        <v/>
      </c>
      <c r="AF34" s="9">
        <f>1/(1+EXP(-($A34-'03_Lap_b'!X$45)))</f>
        <v/>
      </c>
      <c r="AG34" s="9">
        <f>1/(1+EXP(-($A34-'03_Lap_b'!Y$45)))</f>
        <v/>
      </c>
      <c r="AH34" s="9">
        <f>1/(1+EXP(-($A34-'03_Lap_b'!Z$45)))</f>
        <v/>
      </c>
      <c r="AI34" s="9">
        <f>1/(1+EXP(-($A34-'03_Lap_b'!AA$45)))</f>
        <v/>
      </c>
      <c r="AJ34" s="9">
        <f>1/(1+EXP(-($A34-'03_Lap_b'!AB$45)))</f>
        <v/>
      </c>
      <c r="AK34" s="9">
        <f>1/(1+EXP(-($A34-'03_Lap_b'!AC$45)))</f>
        <v/>
      </c>
      <c r="AL34" s="9">
        <f>1/(1+EXP(-($A34-'03_Lap_b'!AD$45)))</f>
        <v/>
      </c>
      <c r="AM34" s="9">
        <f>1/(1+EXP(-($A34-'03_Lap_b'!AE$45)))</f>
        <v/>
      </c>
      <c r="AN34" s="9">
        <f>1/(1+EXP(-($A34-'03_Lap_b'!AF$45)))</f>
        <v/>
      </c>
      <c r="AO34" s="9">
        <f>1/(1+EXP(-($A34-'03_Lap_b'!AG$45)))</f>
        <v/>
      </c>
      <c r="AP34" s="9">
        <f>1/(1+EXP(-($A34-'03_Lap_b'!AH$45)))</f>
        <v/>
      </c>
      <c r="AQ34" s="9">
        <f>1/(1+EXP(-($A34-'03_Lap_b'!AI$45)))</f>
        <v/>
      </c>
      <c r="AR34" s="9">
        <f>1/(1+EXP(-($A34-'03_Lap_b'!AJ$45)))</f>
        <v/>
      </c>
      <c r="AS34" s="9">
        <f>1/(1+EXP(-($A34-'03_Lap_b'!AK$45)))</f>
        <v/>
      </c>
      <c r="AT34" s="9">
        <f>1/(1+EXP(-($A34-'03_Lap_b'!AL$45)))</f>
        <v/>
      </c>
      <c r="AU34" s="9">
        <f>1/(1+EXP(-($A34-'03_Lap_b'!AM$45)))</f>
        <v/>
      </c>
      <c r="AV34" s="9">
        <f>1/(1+EXP(-($A34-'03_Lap_b'!AN$45)))</f>
        <v/>
      </c>
      <c r="AW34" s="9">
        <f>1/(1+EXP(-($A34-'03_Lap_b'!AO$45)))</f>
        <v/>
      </c>
      <c r="AX34" s="9">
        <f>1/(1+EXP(-($A34-'03_Lap_b'!AP$45)))</f>
        <v/>
      </c>
      <c r="AY34" s="9">
        <f>1/(1+EXP(-($A34-'03_Lap_b'!AQ$45)))</f>
        <v/>
      </c>
      <c r="AZ34" s="9">
        <f>1/(1+EXP(-($A34-'03_Lap_b'!AR$45)))</f>
        <v/>
      </c>
      <c r="BA34" s="9">
        <f>1/(1+EXP(-($A34-'03_Lap_b'!AS$45)))</f>
        <v/>
      </c>
      <c r="BB34" s="9">
        <f>1/(1+EXP(-($A34-'03_Lap_b'!AT$45)))</f>
        <v/>
      </c>
      <c r="BC34" s="9">
        <f>1/(1+EXP(-($A34-'03_Lap_b'!AU$45)))</f>
        <v/>
      </c>
      <c r="BD34" s="9">
        <f>1/(1+EXP(-($A34-'03_Lap_b'!AV$45)))</f>
        <v/>
      </c>
      <c r="BE34" s="9">
        <f>1/(1+EXP(-($A34-'03_Lap_b'!AW$45)))</f>
        <v/>
      </c>
    </row>
    <row r="35">
      <c r="A35" s="10" t="n">
        <v>2.4</v>
      </c>
      <c r="B35" s="11">
        <f>SUMPRODUCT(J35:BE35*(1-J35:BE35))</f>
        <v/>
      </c>
      <c r="C35" s="5">
        <f>R35</f>
        <v/>
      </c>
      <c r="D35" s="5">
        <f>J35</f>
        <v/>
      </c>
      <c r="E35" s="5">
        <f>AH35</f>
        <v/>
      </c>
      <c r="F35" s="5">
        <f>AQ35</f>
        <v/>
      </c>
      <c r="G35" s="5">
        <f>AE35</f>
        <v/>
      </c>
      <c r="H35" s="5">
        <f>AG35</f>
        <v/>
      </c>
      <c r="I35" s="10">
        <f>SUM(J35:BE35)</f>
        <v/>
      </c>
      <c r="J35" s="9">
        <f>1/(1+EXP(-($A35-'03_Lap_b'!B$45)))</f>
        <v/>
      </c>
      <c r="K35" s="9">
        <f>1/(1+EXP(-($A35-'03_Lap_b'!C$45)))</f>
        <v/>
      </c>
      <c r="L35" s="9">
        <f>1/(1+EXP(-($A35-'03_Lap_b'!D$45)))</f>
        <v/>
      </c>
      <c r="M35" s="9">
        <f>1/(1+EXP(-($A35-'03_Lap_b'!E$45)))</f>
        <v/>
      </c>
      <c r="N35" s="9">
        <f>1/(1+EXP(-($A35-'03_Lap_b'!F$45)))</f>
        <v/>
      </c>
      <c r="O35" s="9">
        <f>1/(1+EXP(-($A35-'03_Lap_b'!G$45)))</f>
        <v/>
      </c>
      <c r="P35" s="9">
        <f>1/(1+EXP(-($A35-'03_Lap_b'!H$45)))</f>
        <v/>
      </c>
      <c r="Q35" s="9">
        <f>1/(1+EXP(-($A35-'03_Lap_b'!I$45)))</f>
        <v/>
      </c>
      <c r="R35" s="9">
        <f>1/(1+EXP(-($A35-'03_Lap_b'!J$45)))</f>
        <v/>
      </c>
      <c r="S35" s="9">
        <f>1/(1+EXP(-($A35-'03_Lap_b'!K$45)))</f>
        <v/>
      </c>
      <c r="T35" s="9">
        <f>1/(1+EXP(-($A35-'03_Lap_b'!L$45)))</f>
        <v/>
      </c>
      <c r="U35" s="9">
        <f>1/(1+EXP(-($A35-'03_Lap_b'!M$45)))</f>
        <v/>
      </c>
      <c r="V35" s="9">
        <f>1/(1+EXP(-($A35-'03_Lap_b'!N$45)))</f>
        <v/>
      </c>
      <c r="W35" s="9">
        <f>1/(1+EXP(-($A35-'03_Lap_b'!O$45)))</f>
        <v/>
      </c>
      <c r="X35" s="9">
        <f>1/(1+EXP(-($A35-'03_Lap_b'!P$45)))</f>
        <v/>
      </c>
      <c r="Y35" s="9">
        <f>1/(1+EXP(-($A35-'03_Lap_b'!Q$45)))</f>
        <v/>
      </c>
      <c r="Z35" s="9">
        <f>1/(1+EXP(-($A35-'03_Lap_b'!R$45)))</f>
        <v/>
      </c>
      <c r="AA35" s="9">
        <f>1/(1+EXP(-($A35-'03_Lap_b'!S$45)))</f>
        <v/>
      </c>
      <c r="AB35" s="9">
        <f>1/(1+EXP(-($A35-'03_Lap_b'!T$45)))</f>
        <v/>
      </c>
      <c r="AC35" s="9">
        <f>1/(1+EXP(-($A35-'03_Lap_b'!U$45)))</f>
        <v/>
      </c>
      <c r="AD35" s="9">
        <f>1/(1+EXP(-($A35-'03_Lap_b'!V$45)))</f>
        <v/>
      </c>
      <c r="AE35" s="9">
        <f>1/(1+EXP(-($A35-'03_Lap_b'!W$45)))</f>
        <v/>
      </c>
      <c r="AF35" s="9">
        <f>1/(1+EXP(-($A35-'03_Lap_b'!X$45)))</f>
        <v/>
      </c>
      <c r="AG35" s="9">
        <f>1/(1+EXP(-($A35-'03_Lap_b'!Y$45)))</f>
        <v/>
      </c>
      <c r="AH35" s="9">
        <f>1/(1+EXP(-($A35-'03_Lap_b'!Z$45)))</f>
        <v/>
      </c>
      <c r="AI35" s="9">
        <f>1/(1+EXP(-($A35-'03_Lap_b'!AA$45)))</f>
        <v/>
      </c>
      <c r="AJ35" s="9">
        <f>1/(1+EXP(-($A35-'03_Lap_b'!AB$45)))</f>
        <v/>
      </c>
      <c r="AK35" s="9">
        <f>1/(1+EXP(-($A35-'03_Lap_b'!AC$45)))</f>
        <v/>
      </c>
      <c r="AL35" s="9">
        <f>1/(1+EXP(-($A35-'03_Lap_b'!AD$45)))</f>
        <v/>
      </c>
      <c r="AM35" s="9">
        <f>1/(1+EXP(-($A35-'03_Lap_b'!AE$45)))</f>
        <v/>
      </c>
      <c r="AN35" s="9">
        <f>1/(1+EXP(-($A35-'03_Lap_b'!AF$45)))</f>
        <v/>
      </c>
      <c r="AO35" s="9">
        <f>1/(1+EXP(-($A35-'03_Lap_b'!AG$45)))</f>
        <v/>
      </c>
      <c r="AP35" s="9">
        <f>1/(1+EXP(-($A35-'03_Lap_b'!AH$45)))</f>
        <v/>
      </c>
      <c r="AQ35" s="9">
        <f>1/(1+EXP(-($A35-'03_Lap_b'!AI$45)))</f>
        <v/>
      </c>
      <c r="AR35" s="9">
        <f>1/(1+EXP(-($A35-'03_Lap_b'!AJ$45)))</f>
        <v/>
      </c>
      <c r="AS35" s="9">
        <f>1/(1+EXP(-($A35-'03_Lap_b'!AK$45)))</f>
        <v/>
      </c>
      <c r="AT35" s="9">
        <f>1/(1+EXP(-($A35-'03_Lap_b'!AL$45)))</f>
        <v/>
      </c>
      <c r="AU35" s="9">
        <f>1/(1+EXP(-($A35-'03_Lap_b'!AM$45)))</f>
        <v/>
      </c>
      <c r="AV35" s="9">
        <f>1/(1+EXP(-($A35-'03_Lap_b'!AN$45)))</f>
        <v/>
      </c>
      <c r="AW35" s="9">
        <f>1/(1+EXP(-($A35-'03_Lap_b'!AO$45)))</f>
        <v/>
      </c>
      <c r="AX35" s="9">
        <f>1/(1+EXP(-($A35-'03_Lap_b'!AP$45)))</f>
        <v/>
      </c>
      <c r="AY35" s="9">
        <f>1/(1+EXP(-($A35-'03_Lap_b'!AQ$45)))</f>
        <v/>
      </c>
      <c r="AZ35" s="9">
        <f>1/(1+EXP(-($A35-'03_Lap_b'!AR$45)))</f>
        <v/>
      </c>
      <c r="BA35" s="9">
        <f>1/(1+EXP(-($A35-'03_Lap_b'!AS$45)))</f>
        <v/>
      </c>
      <c r="BB35" s="9">
        <f>1/(1+EXP(-($A35-'03_Lap_b'!AT$45)))</f>
        <v/>
      </c>
      <c r="BC35" s="9">
        <f>1/(1+EXP(-($A35-'03_Lap_b'!AU$45)))</f>
        <v/>
      </c>
      <c r="BD35" s="9">
        <f>1/(1+EXP(-($A35-'03_Lap_b'!AV$45)))</f>
        <v/>
      </c>
      <c r="BE35" s="9">
        <f>1/(1+EXP(-($A35-'03_Lap_b'!AW$45)))</f>
        <v/>
      </c>
    </row>
    <row r="36">
      <c r="A36" s="10" t="n">
        <v>2.6</v>
      </c>
      <c r="B36" s="11">
        <f>SUMPRODUCT(J36:BE36*(1-J36:BE36))</f>
        <v/>
      </c>
      <c r="C36" s="5">
        <f>R36</f>
        <v/>
      </c>
      <c r="D36" s="5">
        <f>J36</f>
        <v/>
      </c>
      <c r="E36" s="5">
        <f>AH36</f>
        <v/>
      </c>
      <c r="F36" s="5">
        <f>AQ36</f>
        <v/>
      </c>
      <c r="G36" s="5">
        <f>AE36</f>
        <v/>
      </c>
      <c r="H36" s="5">
        <f>AG36</f>
        <v/>
      </c>
      <c r="I36" s="10">
        <f>SUM(J36:BE36)</f>
        <v/>
      </c>
      <c r="J36" s="9">
        <f>1/(1+EXP(-($A36-'03_Lap_b'!B$45)))</f>
        <v/>
      </c>
      <c r="K36" s="9">
        <f>1/(1+EXP(-($A36-'03_Lap_b'!C$45)))</f>
        <v/>
      </c>
      <c r="L36" s="9">
        <f>1/(1+EXP(-($A36-'03_Lap_b'!D$45)))</f>
        <v/>
      </c>
      <c r="M36" s="9">
        <f>1/(1+EXP(-($A36-'03_Lap_b'!E$45)))</f>
        <v/>
      </c>
      <c r="N36" s="9">
        <f>1/(1+EXP(-($A36-'03_Lap_b'!F$45)))</f>
        <v/>
      </c>
      <c r="O36" s="9">
        <f>1/(1+EXP(-($A36-'03_Lap_b'!G$45)))</f>
        <v/>
      </c>
      <c r="P36" s="9">
        <f>1/(1+EXP(-($A36-'03_Lap_b'!H$45)))</f>
        <v/>
      </c>
      <c r="Q36" s="9">
        <f>1/(1+EXP(-($A36-'03_Lap_b'!I$45)))</f>
        <v/>
      </c>
      <c r="R36" s="9">
        <f>1/(1+EXP(-($A36-'03_Lap_b'!J$45)))</f>
        <v/>
      </c>
      <c r="S36" s="9">
        <f>1/(1+EXP(-($A36-'03_Lap_b'!K$45)))</f>
        <v/>
      </c>
      <c r="T36" s="9">
        <f>1/(1+EXP(-($A36-'03_Lap_b'!L$45)))</f>
        <v/>
      </c>
      <c r="U36" s="9">
        <f>1/(1+EXP(-($A36-'03_Lap_b'!M$45)))</f>
        <v/>
      </c>
      <c r="V36" s="9">
        <f>1/(1+EXP(-($A36-'03_Lap_b'!N$45)))</f>
        <v/>
      </c>
      <c r="W36" s="9">
        <f>1/(1+EXP(-($A36-'03_Lap_b'!O$45)))</f>
        <v/>
      </c>
      <c r="X36" s="9">
        <f>1/(1+EXP(-($A36-'03_Lap_b'!P$45)))</f>
        <v/>
      </c>
      <c r="Y36" s="9">
        <f>1/(1+EXP(-($A36-'03_Lap_b'!Q$45)))</f>
        <v/>
      </c>
      <c r="Z36" s="9">
        <f>1/(1+EXP(-($A36-'03_Lap_b'!R$45)))</f>
        <v/>
      </c>
      <c r="AA36" s="9">
        <f>1/(1+EXP(-($A36-'03_Lap_b'!S$45)))</f>
        <v/>
      </c>
      <c r="AB36" s="9">
        <f>1/(1+EXP(-($A36-'03_Lap_b'!T$45)))</f>
        <v/>
      </c>
      <c r="AC36" s="9">
        <f>1/(1+EXP(-($A36-'03_Lap_b'!U$45)))</f>
        <v/>
      </c>
      <c r="AD36" s="9">
        <f>1/(1+EXP(-($A36-'03_Lap_b'!V$45)))</f>
        <v/>
      </c>
      <c r="AE36" s="9">
        <f>1/(1+EXP(-($A36-'03_Lap_b'!W$45)))</f>
        <v/>
      </c>
      <c r="AF36" s="9">
        <f>1/(1+EXP(-($A36-'03_Lap_b'!X$45)))</f>
        <v/>
      </c>
      <c r="AG36" s="9">
        <f>1/(1+EXP(-($A36-'03_Lap_b'!Y$45)))</f>
        <v/>
      </c>
      <c r="AH36" s="9">
        <f>1/(1+EXP(-($A36-'03_Lap_b'!Z$45)))</f>
        <v/>
      </c>
      <c r="AI36" s="9">
        <f>1/(1+EXP(-($A36-'03_Lap_b'!AA$45)))</f>
        <v/>
      </c>
      <c r="AJ36" s="9">
        <f>1/(1+EXP(-($A36-'03_Lap_b'!AB$45)))</f>
        <v/>
      </c>
      <c r="AK36" s="9">
        <f>1/(1+EXP(-($A36-'03_Lap_b'!AC$45)))</f>
        <v/>
      </c>
      <c r="AL36" s="9">
        <f>1/(1+EXP(-($A36-'03_Lap_b'!AD$45)))</f>
        <v/>
      </c>
      <c r="AM36" s="9">
        <f>1/(1+EXP(-($A36-'03_Lap_b'!AE$45)))</f>
        <v/>
      </c>
      <c r="AN36" s="9">
        <f>1/(1+EXP(-($A36-'03_Lap_b'!AF$45)))</f>
        <v/>
      </c>
      <c r="AO36" s="9">
        <f>1/(1+EXP(-($A36-'03_Lap_b'!AG$45)))</f>
        <v/>
      </c>
      <c r="AP36" s="9">
        <f>1/(1+EXP(-($A36-'03_Lap_b'!AH$45)))</f>
        <v/>
      </c>
      <c r="AQ36" s="9">
        <f>1/(1+EXP(-($A36-'03_Lap_b'!AI$45)))</f>
        <v/>
      </c>
      <c r="AR36" s="9">
        <f>1/(1+EXP(-($A36-'03_Lap_b'!AJ$45)))</f>
        <v/>
      </c>
      <c r="AS36" s="9">
        <f>1/(1+EXP(-($A36-'03_Lap_b'!AK$45)))</f>
        <v/>
      </c>
      <c r="AT36" s="9">
        <f>1/(1+EXP(-($A36-'03_Lap_b'!AL$45)))</f>
        <v/>
      </c>
      <c r="AU36" s="9">
        <f>1/(1+EXP(-($A36-'03_Lap_b'!AM$45)))</f>
        <v/>
      </c>
      <c r="AV36" s="9">
        <f>1/(1+EXP(-($A36-'03_Lap_b'!AN$45)))</f>
        <v/>
      </c>
      <c r="AW36" s="9">
        <f>1/(1+EXP(-($A36-'03_Lap_b'!AO$45)))</f>
        <v/>
      </c>
      <c r="AX36" s="9">
        <f>1/(1+EXP(-($A36-'03_Lap_b'!AP$45)))</f>
        <v/>
      </c>
      <c r="AY36" s="9">
        <f>1/(1+EXP(-($A36-'03_Lap_b'!AQ$45)))</f>
        <v/>
      </c>
      <c r="AZ36" s="9">
        <f>1/(1+EXP(-($A36-'03_Lap_b'!AR$45)))</f>
        <v/>
      </c>
      <c r="BA36" s="9">
        <f>1/(1+EXP(-($A36-'03_Lap_b'!AS$45)))</f>
        <v/>
      </c>
      <c r="BB36" s="9">
        <f>1/(1+EXP(-($A36-'03_Lap_b'!AT$45)))</f>
        <v/>
      </c>
      <c r="BC36" s="9">
        <f>1/(1+EXP(-($A36-'03_Lap_b'!AU$45)))</f>
        <v/>
      </c>
      <c r="BD36" s="9">
        <f>1/(1+EXP(-($A36-'03_Lap_b'!AV$45)))</f>
        <v/>
      </c>
      <c r="BE36" s="9">
        <f>1/(1+EXP(-($A36-'03_Lap_b'!AW$45)))</f>
        <v/>
      </c>
    </row>
    <row r="37">
      <c r="A37" s="10" t="n">
        <v>2.8</v>
      </c>
      <c r="B37" s="11">
        <f>SUMPRODUCT(J37:BE37*(1-J37:BE37))</f>
        <v/>
      </c>
      <c r="C37" s="5">
        <f>R37</f>
        <v/>
      </c>
      <c r="D37" s="5">
        <f>J37</f>
        <v/>
      </c>
      <c r="E37" s="5">
        <f>AH37</f>
        <v/>
      </c>
      <c r="F37" s="5">
        <f>AQ37</f>
        <v/>
      </c>
      <c r="G37" s="5">
        <f>AE37</f>
        <v/>
      </c>
      <c r="H37" s="5">
        <f>AG37</f>
        <v/>
      </c>
      <c r="I37" s="10">
        <f>SUM(J37:BE37)</f>
        <v/>
      </c>
      <c r="J37" s="9">
        <f>1/(1+EXP(-($A37-'03_Lap_b'!B$45)))</f>
        <v/>
      </c>
      <c r="K37" s="9">
        <f>1/(1+EXP(-($A37-'03_Lap_b'!C$45)))</f>
        <v/>
      </c>
      <c r="L37" s="9">
        <f>1/(1+EXP(-($A37-'03_Lap_b'!D$45)))</f>
        <v/>
      </c>
      <c r="M37" s="9">
        <f>1/(1+EXP(-($A37-'03_Lap_b'!E$45)))</f>
        <v/>
      </c>
      <c r="N37" s="9">
        <f>1/(1+EXP(-($A37-'03_Lap_b'!F$45)))</f>
        <v/>
      </c>
      <c r="O37" s="9">
        <f>1/(1+EXP(-($A37-'03_Lap_b'!G$45)))</f>
        <v/>
      </c>
      <c r="P37" s="9">
        <f>1/(1+EXP(-($A37-'03_Lap_b'!H$45)))</f>
        <v/>
      </c>
      <c r="Q37" s="9">
        <f>1/(1+EXP(-($A37-'03_Lap_b'!I$45)))</f>
        <v/>
      </c>
      <c r="R37" s="9">
        <f>1/(1+EXP(-($A37-'03_Lap_b'!J$45)))</f>
        <v/>
      </c>
      <c r="S37" s="9">
        <f>1/(1+EXP(-($A37-'03_Lap_b'!K$45)))</f>
        <v/>
      </c>
      <c r="T37" s="9">
        <f>1/(1+EXP(-($A37-'03_Lap_b'!L$45)))</f>
        <v/>
      </c>
      <c r="U37" s="9">
        <f>1/(1+EXP(-($A37-'03_Lap_b'!M$45)))</f>
        <v/>
      </c>
      <c r="V37" s="9">
        <f>1/(1+EXP(-($A37-'03_Lap_b'!N$45)))</f>
        <v/>
      </c>
      <c r="W37" s="9">
        <f>1/(1+EXP(-($A37-'03_Lap_b'!O$45)))</f>
        <v/>
      </c>
      <c r="X37" s="9">
        <f>1/(1+EXP(-($A37-'03_Lap_b'!P$45)))</f>
        <v/>
      </c>
      <c r="Y37" s="9">
        <f>1/(1+EXP(-($A37-'03_Lap_b'!Q$45)))</f>
        <v/>
      </c>
      <c r="Z37" s="9">
        <f>1/(1+EXP(-($A37-'03_Lap_b'!R$45)))</f>
        <v/>
      </c>
      <c r="AA37" s="9">
        <f>1/(1+EXP(-($A37-'03_Lap_b'!S$45)))</f>
        <v/>
      </c>
      <c r="AB37" s="9">
        <f>1/(1+EXP(-($A37-'03_Lap_b'!T$45)))</f>
        <v/>
      </c>
      <c r="AC37" s="9">
        <f>1/(1+EXP(-($A37-'03_Lap_b'!U$45)))</f>
        <v/>
      </c>
      <c r="AD37" s="9">
        <f>1/(1+EXP(-($A37-'03_Lap_b'!V$45)))</f>
        <v/>
      </c>
      <c r="AE37" s="9">
        <f>1/(1+EXP(-($A37-'03_Lap_b'!W$45)))</f>
        <v/>
      </c>
      <c r="AF37" s="9">
        <f>1/(1+EXP(-($A37-'03_Lap_b'!X$45)))</f>
        <v/>
      </c>
      <c r="AG37" s="9">
        <f>1/(1+EXP(-($A37-'03_Lap_b'!Y$45)))</f>
        <v/>
      </c>
      <c r="AH37" s="9">
        <f>1/(1+EXP(-($A37-'03_Lap_b'!Z$45)))</f>
        <v/>
      </c>
      <c r="AI37" s="9">
        <f>1/(1+EXP(-($A37-'03_Lap_b'!AA$45)))</f>
        <v/>
      </c>
      <c r="AJ37" s="9">
        <f>1/(1+EXP(-($A37-'03_Lap_b'!AB$45)))</f>
        <v/>
      </c>
      <c r="AK37" s="9">
        <f>1/(1+EXP(-($A37-'03_Lap_b'!AC$45)))</f>
        <v/>
      </c>
      <c r="AL37" s="9">
        <f>1/(1+EXP(-($A37-'03_Lap_b'!AD$45)))</f>
        <v/>
      </c>
      <c r="AM37" s="9">
        <f>1/(1+EXP(-($A37-'03_Lap_b'!AE$45)))</f>
        <v/>
      </c>
      <c r="AN37" s="9">
        <f>1/(1+EXP(-($A37-'03_Lap_b'!AF$45)))</f>
        <v/>
      </c>
      <c r="AO37" s="9">
        <f>1/(1+EXP(-($A37-'03_Lap_b'!AG$45)))</f>
        <v/>
      </c>
      <c r="AP37" s="9">
        <f>1/(1+EXP(-($A37-'03_Lap_b'!AH$45)))</f>
        <v/>
      </c>
      <c r="AQ37" s="9">
        <f>1/(1+EXP(-($A37-'03_Lap_b'!AI$45)))</f>
        <v/>
      </c>
      <c r="AR37" s="9">
        <f>1/(1+EXP(-($A37-'03_Lap_b'!AJ$45)))</f>
        <v/>
      </c>
      <c r="AS37" s="9">
        <f>1/(1+EXP(-($A37-'03_Lap_b'!AK$45)))</f>
        <v/>
      </c>
      <c r="AT37" s="9">
        <f>1/(1+EXP(-($A37-'03_Lap_b'!AL$45)))</f>
        <v/>
      </c>
      <c r="AU37" s="9">
        <f>1/(1+EXP(-($A37-'03_Lap_b'!AM$45)))</f>
        <v/>
      </c>
      <c r="AV37" s="9">
        <f>1/(1+EXP(-($A37-'03_Lap_b'!AN$45)))</f>
        <v/>
      </c>
      <c r="AW37" s="9">
        <f>1/(1+EXP(-($A37-'03_Lap_b'!AO$45)))</f>
        <v/>
      </c>
      <c r="AX37" s="9">
        <f>1/(1+EXP(-($A37-'03_Lap_b'!AP$45)))</f>
        <v/>
      </c>
      <c r="AY37" s="9">
        <f>1/(1+EXP(-($A37-'03_Lap_b'!AQ$45)))</f>
        <v/>
      </c>
      <c r="AZ37" s="9">
        <f>1/(1+EXP(-($A37-'03_Lap_b'!AR$45)))</f>
        <v/>
      </c>
      <c r="BA37" s="9">
        <f>1/(1+EXP(-($A37-'03_Lap_b'!AS$45)))</f>
        <v/>
      </c>
      <c r="BB37" s="9">
        <f>1/(1+EXP(-($A37-'03_Lap_b'!AT$45)))</f>
        <v/>
      </c>
      <c r="BC37" s="9">
        <f>1/(1+EXP(-($A37-'03_Lap_b'!AU$45)))</f>
        <v/>
      </c>
      <c r="BD37" s="9">
        <f>1/(1+EXP(-($A37-'03_Lap_b'!AV$45)))</f>
        <v/>
      </c>
      <c r="BE37" s="9">
        <f>1/(1+EXP(-($A37-'03_Lap_b'!AW$45)))</f>
        <v/>
      </c>
    </row>
    <row r="38">
      <c r="A38" s="10" t="n">
        <v>3</v>
      </c>
      <c r="B38" s="11">
        <f>SUMPRODUCT(J38:BE38*(1-J38:BE38))</f>
        <v/>
      </c>
      <c r="C38" s="5">
        <f>R38</f>
        <v/>
      </c>
      <c r="D38" s="5">
        <f>J38</f>
        <v/>
      </c>
      <c r="E38" s="5">
        <f>AH38</f>
        <v/>
      </c>
      <c r="F38" s="5">
        <f>AQ38</f>
        <v/>
      </c>
      <c r="G38" s="5">
        <f>AE38</f>
        <v/>
      </c>
      <c r="H38" s="5">
        <f>AG38</f>
        <v/>
      </c>
      <c r="I38" s="10">
        <f>SUM(J38:BE38)</f>
        <v/>
      </c>
      <c r="J38" s="9">
        <f>1/(1+EXP(-($A38-'03_Lap_b'!B$45)))</f>
        <v/>
      </c>
      <c r="K38" s="9">
        <f>1/(1+EXP(-($A38-'03_Lap_b'!C$45)))</f>
        <v/>
      </c>
      <c r="L38" s="9">
        <f>1/(1+EXP(-($A38-'03_Lap_b'!D$45)))</f>
        <v/>
      </c>
      <c r="M38" s="9">
        <f>1/(1+EXP(-($A38-'03_Lap_b'!E$45)))</f>
        <v/>
      </c>
      <c r="N38" s="9">
        <f>1/(1+EXP(-($A38-'03_Lap_b'!F$45)))</f>
        <v/>
      </c>
      <c r="O38" s="9">
        <f>1/(1+EXP(-($A38-'03_Lap_b'!G$45)))</f>
        <v/>
      </c>
      <c r="P38" s="9">
        <f>1/(1+EXP(-($A38-'03_Lap_b'!H$45)))</f>
        <v/>
      </c>
      <c r="Q38" s="9">
        <f>1/(1+EXP(-($A38-'03_Lap_b'!I$45)))</f>
        <v/>
      </c>
      <c r="R38" s="9">
        <f>1/(1+EXP(-($A38-'03_Lap_b'!J$45)))</f>
        <v/>
      </c>
      <c r="S38" s="9">
        <f>1/(1+EXP(-($A38-'03_Lap_b'!K$45)))</f>
        <v/>
      </c>
      <c r="T38" s="9">
        <f>1/(1+EXP(-($A38-'03_Lap_b'!L$45)))</f>
        <v/>
      </c>
      <c r="U38" s="9">
        <f>1/(1+EXP(-($A38-'03_Lap_b'!M$45)))</f>
        <v/>
      </c>
      <c r="V38" s="9">
        <f>1/(1+EXP(-($A38-'03_Lap_b'!N$45)))</f>
        <v/>
      </c>
      <c r="W38" s="9">
        <f>1/(1+EXP(-($A38-'03_Lap_b'!O$45)))</f>
        <v/>
      </c>
      <c r="X38" s="9">
        <f>1/(1+EXP(-($A38-'03_Lap_b'!P$45)))</f>
        <v/>
      </c>
      <c r="Y38" s="9">
        <f>1/(1+EXP(-($A38-'03_Lap_b'!Q$45)))</f>
        <v/>
      </c>
      <c r="Z38" s="9">
        <f>1/(1+EXP(-($A38-'03_Lap_b'!R$45)))</f>
        <v/>
      </c>
      <c r="AA38" s="9">
        <f>1/(1+EXP(-($A38-'03_Lap_b'!S$45)))</f>
        <v/>
      </c>
      <c r="AB38" s="9">
        <f>1/(1+EXP(-($A38-'03_Lap_b'!T$45)))</f>
        <v/>
      </c>
      <c r="AC38" s="9">
        <f>1/(1+EXP(-($A38-'03_Lap_b'!U$45)))</f>
        <v/>
      </c>
      <c r="AD38" s="9">
        <f>1/(1+EXP(-($A38-'03_Lap_b'!V$45)))</f>
        <v/>
      </c>
      <c r="AE38" s="9">
        <f>1/(1+EXP(-($A38-'03_Lap_b'!W$45)))</f>
        <v/>
      </c>
      <c r="AF38" s="9">
        <f>1/(1+EXP(-($A38-'03_Lap_b'!X$45)))</f>
        <v/>
      </c>
      <c r="AG38" s="9">
        <f>1/(1+EXP(-($A38-'03_Lap_b'!Y$45)))</f>
        <v/>
      </c>
      <c r="AH38" s="9">
        <f>1/(1+EXP(-($A38-'03_Lap_b'!Z$45)))</f>
        <v/>
      </c>
      <c r="AI38" s="9">
        <f>1/(1+EXP(-($A38-'03_Lap_b'!AA$45)))</f>
        <v/>
      </c>
      <c r="AJ38" s="9">
        <f>1/(1+EXP(-($A38-'03_Lap_b'!AB$45)))</f>
        <v/>
      </c>
      <c r="AK38" s="9">
        <f>1/(1+EXP(-($A38-'03_Lap_b'!AC$45)))</f>
        <v/>
      </c>
      <c r="AL38" s="9">
        <f>1/(1+EXP(-($A38-'03_Lap_b'!AD$45)))</f>
        <v/>
      </c>
      <c r="AM38" s="9">
        <f>1/(1+EXP(-($A38-'03_Lap_b'!AE$45)))</f>
        <v/>
      </c>
      <c r="AN38" s="9">
        <f>1/(1+EXP(-($A38-'03_Lap_b'!AF$45)))</f>
        <v/>
      </c>
      <c r="AO38" s="9">
        <f>1/(1+EXP(-($A38-'03_Lap_b'!AG$45)))</f>
        <v/>
      </c>
      <c r="AP38" s="9">
        <f>1/(1+EXP(-($A38-'03_Lap_b'!AH$45)))</f>
        <v/>
      </c>
      <c r="AQ38" s="9">
        <f>1/(1+EXP(-($A38-'03_Lap_b'!AI$45)))</f>
        <v/>
      </c>
      <c r="AR38" s="9">
        <f>1/(1+EXP(-($A38-'03_Lap_b'!AJ$45)))</f>
        <v/>
      </c>
      <c r="AS38" s="9">
        <f>1/(1+EXP(-($A38-'03_Lap_b'!AK$45)))</f>
        <v/>
      </c>
      <c r="AT38" s="9">
        <f>1/(1+EXP(-($A38-'03_Lap_b'!AL$45)))</f>
        <v/>
      </c>
      <c r="AU38" s="9">
        <f>1/(1+EXP(-($A38-'03_Lap_b'!AM$45)))</f>
        <v/>
      </c>
      <c r="AV38" s="9">
        <f>1/(1+EXP(-($A38-'03_Lap_b'!AN$45)))</f>
        <v/>
      </c>
      <c r="AW38" s="9">
        <f>1/(1+EXP(-($A38-'03_Lap_b'!AO$45)))</f>
        <v/>
      </c>
      <c r="AX38" s="9">
        <f>1/(1+EXP(-($A38-'03_Lap_b'!AP$45)))</f>
        <v/>
      </c>
      <c r="AY38" s="9">
        <f>1/(1+EXP(-($A38-'03_Lap_b'!AQ$45)))</f>
        <v/>
      </c>
      <c r="AZ38" s="9">
        <f>1/(1+EXP(-($A38-'03_Lap_b'!AR$45)))</f>
        <v/>
      </c>
      <c r="BA38" s="9">
        <f>1/(1+EXP(-($A38-'03_Lap_b'!AS$45)))</f>
        <v/>
      </c>
      <c r="BB38" s="9">
        <f>1/(1+EXP(-($A38-'03_Lap_b'!AT$45)))</f>
        <v/>
      </c>
      <c r="BC38" s="9">
        <f>1/(1+EXP(-($A38-'03_Lap_b'!AU$45)))</f>
        <v/>
      </c>
      <c r="BD38" s="9">
        <f>1/(1+EXP(-($A38-'03_Lap_b'!AV$45)))</f>
        <v/>
      </c>
      <c r="BE38" s="9">
        <f>1/(1+EXP(-($A38-'03_Lap_b'!AW$45)))</f>
        <v/>
      </c>
    </row>
    <row r="39">
      <c r="A39" s="10" t="n">
        <v>3.2</v>
      </c>
      <c r="B39" s="11">
        <f>SUMPRODUCT(J39:BE39*(1-J39:BE39))</f>
        <v/>
      </c>
      <c r="C39" s="5">
        <f>R39</f>
        <v/>
      </c>
      <c r="D39" s="5">
        <f>J39</f>
        <v/>
      </c>
      <c r="E39" s="5">
        <f>AH39</f>
        <v/>
      </c>
      <c r="F39" s="5">
        <f>AQ39</f>
        <v/>
      </c>
      <c r="G39" s="5">
        <f>AE39</f>
        <v/>
      </c>
      <c r="H39" s="5">
        <f>AG39</f>
        <v/>
      </c>
      <c r="I39" s="10">
        <f>SUM(J39:BE39)</f>
        <v/>
      </c>
      <c r="J39" s="9">
        <f>1/(1+EXP(-($A39-'03_Lap_b'!B$45)))</f>
        <v/>
      </c>
      <c r="K39" s="9">
        <f>1/(1+EXP(-($A39-'03_Lap_b'!C$45)))</f>
        <v/>
      </c>
      <c r="L39" s="9">
        <f>1/(1+EXP(-($A39-'03_Lap_b'!D$45)))</f>
        <v/>
      </c>
      <c r="M39" s="9">
        <f>1/(1+EXP(-($A39-'03_Lap_b'!E$45)))</f>
        <v/>
      </c>
      <c r="N39" s="9">
        <f>1/(1+EXP(-($A39-'03_Lap_b'!F$45)))</f>
        <v/>
      </c>
      <c r="O39" s="9">
        <f>1/(1+EXP(-($A39-'03_Lap_b'!G$45)))</f>
        <v/>
      </c>
      <c r="P39" s="9">
        <f>1/(1+EXP(-($A39-'03_Lap_b'!H$45)))</f>
        <v/>
      </c>
      <c r="Q39" s="9">
        <f>1/(1+EXP(-($A39-'03_Lap_b'!I$45)))</f>
        <v/>
      </c>
      <c r="R39" s="9">
        <f>1/(1+EXP(-($A39-'03_Lap_b'!J$45)))</f>
        <v/>
      </c>
      <c r="S39" s="9">
        <f>1/(1+EXP(-($A39-'03_Lap_b'!K$45)))</f>
        <v/>
      </c>
      <c r="T39" s="9">
        <f>1/(1+EXP(-($A39-'03_Lap_b'!L$45)))</f>
        <v/>
      </c>
      <c r="U39" s="9">
        <f>1/(1+EXP(-($A39-'03_Lap_b'!M$45)))</f>
        <v/>
      </c>
      <c r="V39" s="9">
        <f>1/(1+EXP(-($A39-'03_Lap_b'!N$45)))</f>
        <v/>
      </c>
      <c r="W39" s="9">
        <f>1/(1+EXP(-($A39-'03_Lap_b'!O$45)))</f>
        <v/>
      </c>
      <c r="X39" s="9">
        <f>1/(1+EXP(-($A39-'03_Lap_b'!P$45)))</f>
        <v/>
      </c>
      <c r="Y39" s="9">
        <f>1/(1+EXP(-($A39-'03_Lap_b'!Q$45)))</f>
        <v/>
      </c>
      <c r="Z39" s="9">
        <f>1/(1+EXP(-($A39-'03_Lap_b'!R$45)))</f>
        <v/>
      </c>
      <c r="AA39" s="9">
        <f>1/(1+EXP(-($A39-'03_Lap_b'!S$45)))</f>
        <v/>
      </c>
      <c r="AB39" s="9">
        <f>1/(1+EXP(-($A39-'03_Lap_b'!T$45)))</f>
        <v/>
      </c>
      <c r="AC39" s="9">
        <f>1/(1+EXP(-($A39-'03_Lap_b'!U$45)))</f>
        <v/>
      </c>
      <c r="AD39" s="9">
        <f>1/(1+EXP(-($A39-'03_Lap_b'!V$45)))</f>
        <v/>
      </c>
      <c r="AE39" s="9">
        <f>1/(1+EXP(-($A39-'03_Lap_b'!W$45)))</f>
        <v/>
      </c>
      <c r="AF39" s="9">
        <f>1/(1+EXP(-($A39-'03_Lap_b'!X$45)))</f>
        <v/>
      </c>
      <c r="AG39" s="9">
        <f>1/(1+EXP(-($A39-'03_Lap_b'!Y$45)))</f>
        <v/>
      </c>
      <c r="AH39" s="9">
        <f>1/(1+EXP(-($A39-'03_Lap_b'!Z$45)))</f>
        <v/>
      </c>
      <c r="AI39" s="9">
        <f>1/(1+EXP(-($A39-'03_Lap_b'!AA$45)))</f>
        <v/>
      </c>
      <c r="AJ39" s="9">
        <f>1/(1+EXP(-($A39-'03_Lap_b'!AB$45)))</f>
        <v/>
      </c>
      <c r="AK39" s="9">
        <f>1/(1+EXP(-($A39-'03_Lap_b'!AC$45)))</f>
        <v/>
      </c>
      <c r="AL39" s="9">
        <f>1/(1+EXP(-($A39-'03_Lap_b'!AD$45)))</f>
        <v/>
      </c>
      <c r="AM39" s="9">
        <f>1/(1+EXP(-($A39-'03_Lap_b'!AE$45)))</f>
        <v/>
      </c>
      <c r="AN39" s="9">
        <f>1/(1+EXP(-($A39-'03_Lap_b'!AF$45)))</f>
        <v/>
      </c>
      <c r="AO39" s="9">
        <f>1/(1+EXP(-($A39-'03_Lap_b'!AG$45)))</f>
        <v/>
      </c>
      <c r="AP39" s="9">
        <f>1/(1+EXP(-($A39-'03_Lap_b'!AH$45)))</f>
        <v/>
      </c>
      <c r="AQ39" s="9">
        <f>1/(1+EXP(-($A39-'03_Lap_b'!AI$45)))</f>
        <v/>
      </c>
      <c r="AR39" s="9">
        <f>1/(1+EXP(-($A39-'03_Lap_b'!AJ$45)))</f>
        <v/>
      </c>
      <c r="AS39" s="9">
        <f>1/(1+EXP(-($A39-'03_Lap_b'!AK$45)))</f>
        <v/>
      </c>
      <c r="AT39" s="9">
        <f>1/(1+EXP(-($A39-'03_Lap_b'!AL$45)))</f>
        <v/>
      </c>
      <c r="AU39" s="9">
        <f>1/(1+EXP(-($A39-'03_Lap_b'!AM$45)))</f>
        <v/>
      </c>
      <c r="AV39" s="9">
        <f>1/(1+EXP(-($A39-'03_Lap_b'!AN$45)))</f>
        <v/>
      </c>
      <c r="AW39" s="9">
        <f>1/(1+EXP(-($A39-'03_Lap_b'!AO$45)))</f>
        <v/>
      </c>
      <c r="AX39" s="9">
        <f>1/(1+EXP(-($A39-'03_Lap_b'!AP$45)))</f>
        <v/>
      </c>
      <c r="AY39" s="9">
        <f>1/(1+EXP(-($A39-'03_Lap_b'!AQ$45)))</f>
        <v/>
      </c>
      <c r="AZ39" s="9">
        <f>1/(1+EXP(-($A39-'03_Lap_b'!AR$45)))</f>
        <v/>
      </c>
      <c r="BA39" s="9">
        <f>1/(1+EXP(-($A39-'03_Lap_b'!AS$45)))</f>
        <v/>
      </c>
      <c r="BB39" s="9">
        <f>1/(1+EXP(-($A39-'03_Lap_b'!AT$45)))</f>
        <v/>
      </c>
      <c r="BC39" s="9">
        <f>1/(1+EXP(-($A39-'03_Lap_b'!AU$45)))</f>
        <v/>
      </c>
      <c r="BD39" s="9">
        <f>1/(1+EXP(-($A39-'03_Lap_b'!AV$45)))</f>
        <v/>
      </c>
      <c r="BE39" s="9">
        <f>1/(1+EXP(-($A39-'03_Lap_b'!AW$45)))</f>
        <v/>
      </c>
    </row>
    <row r="40">
      <c r="A40" s="10" t="n">
        <v>3.4</v>
      </c>
      <c r="B40" s="11">
        <f>SUMPRODUCT(J40:BE40*(1-J40:BE40))</f>
        <v/>
      </c>
      <c r="C40" s="5">
        <f>R40</f>
        <v/>
      </c>
      <c r="D40" s="5">
        <f>J40</f>
        <v/>
      </c>
      <c r="E40" s="5">
        <f>AH40</f>
        <v/>
      </c>
      <c r="F40" s="5">
        <f>AQ40</f>
        <v/>
      </c>
      <c r="G40" s="5">
        <f>AE40</f>
        <v/>
      </c>
      <c r="H40" s="5">
        <f>AG40</f>
        <v/>
      </c>
      <c r="I40" s="10">
        <f>SUM(J40:BE40)</f>
        <v/>
      </c>
      <c r="J40" s="9">
        <f>1/(1+EXP(-($A40-'03_Lap_b'!B$45)))</f>
        <v/>
      </c>
      <c r="K40" s="9">
        <f>1/(1+EXP(-($A40-'03_Lap_b'!C$45)))</f>
        <v/>
      </c>
      <c r="L40" s="9">
        <f>1/(1+EXP(-($A40-'03_Lap_b'!D$45)))</f>
        <v/>
      </c>
      <c r="M40" s="9">
        <f>1/(1+EXP(-($A40-'03_Lap_b'!E$45)))</f>
        <v/>
      </c>
      <c r="N40" s="9">
        <f>1/(1+EXP(-($A40-'03_Lap_b'!F$45)))</f>
        <v/>
      </c>
      <c r="O40" s="9">
        <f>1/(1+EXP(-($A40-'03_Lap_b'!G$45)))</f>
        <v/>
      </c>
      <c r="P40" s="9">
        <f>1/(1+EXP(-($A40-'03_Lap_b'!H$45)))</f>
        <v/>
      </c>
      <c r="Q40" s="9">
        <f>1/(1+EXP(-($A40-'03_Lap_b'!I$45)))</f>
        <v/>
      </c>
      <c r="R40" s="9">
        <f>1/(1+EXP(-($A40-'03_Lap_b'!J$45)))</f>
        <v/>
      </c>
      <c r="S40" s="9">
        <f>1/(1+EXP(-($A40-'03_Lap_b'!K$45)))</f>
        <v/>
      </c>
      <c r="T40" s="9">
        <f>1/(1+EXP(-($A40-'03_Lap_b'!L$45)))</f>
        <v/>
      </c>
      <c r="U40" s="9">
        <f>1/(1+EXP(-($A40-'03_Lap_b'!M$45)))</f>
        <v/>
      </c>
      <c r="V40" s="9">
        <f>1/(1+EXP(-($A40-'03_Lap_b'!N$45)))</f>
        <v/>
      </c>
      <c r="W40" s="9">
        <f>1/(1+EXP(-($A40-'03_Lap_b'!O$45)))</f>
        <v/>
      </c>
      <c r="X40" s="9">
        <f>1/(1+EXP(-($A40-'03_Lap_b'!P$45)))</f>
        <v/>
      </c>
      <c r="Y40" s="9">
        <f>1/(1+EXP(-($A40-'03_Lap_b'!Q$45)))</f>
        <v/>
      </c>
      <c r="Z40" s="9">
        <f>1/(1+EXP(-($A40-'03_Lap_b'!R$45)))</f>
        <v/>
      </c>
      <c r="AA40" s="9">
        <f>1/(1+EXP(-($A40-'03_Lap_b'!S$45)))</f>
        <v/>
      </c>
      <c r="AB40" s="9">
        <f>1/(1+EXP(-($A40-'03_Lap_b'!T$45)))</f>
        <v/>
      </c>
      <c r="AC40" s="9">
        <f>1/(1+EXP(-($A40-'03_Lap_b'!U$45)))</f>
        <v/>
      </c>
      <c r="AD40" s="9">
        <f>1/(1+EXP(-($A40-'03_Lap_b'!V$45)))</f>
        <v/>
      </c>
      <c r="AE40" s="9">
        <f>1/(1+EXP(-($A40-'03_Lap_b'!W$45)))</f>
        <v/>
      </c>
      <c r="AF40" s="9">
        <f>1/(1+EXP(-($A40-'03_Lap_b'!X$45)))</f>
        <v/>
      </c>
      <c r="AG40" s="9">
        <f>1/(1+EXP(-($A40-'03_Lap_b'!Y$45)))</f>
        <v/>
      </c>
      <c r="AH40" s="9">
        <f>1/(1+EXP(-($A40-'03_Lap_b'!Z$45)))</f>
        <v/>
      </c>
      <c r="AI40" s="9">
        <f>1/(1+EXP(-($A40-'03_Lap_b'!AA$45)))</f>
        <v/>
      </c>
      <c r="AJ40" s="9">
        <f>1/(1+EXP(-($A40-'03_Lap_b'!AB$45)))</f>
        <v/>
      </c>
      <c r="AK40" s="9">
        <f>1/(1+EXP(-($A40-'03_Lap_b'!AC$45)))</f>
        <v/>
      </c>
      <c r="AL40" s="9">
        <f>1/(1+EXP(-($A40-'03_Lap_b'!AD$45)))</f>
        <v/>
      </c>
      <c r="AM40" s="9">
        <f>1/(1+EXP(-($A40-'03_Lap_b'!AE$45)))</f>
        <v/>
      </c>
      <c r="AN40" s="9">
        <f>1/(1+EXP(-($A40-'03_Lap_b'!AF$45)))</f>
        <v/>
      </c>
      <c r="AO40" s="9">
        <f>1/(1+EXP(-($A40-'03_Lap_b'!AG$45)))</f>
        <v/>
      </c>
      <c r="AP40" s="9">
        <f>1/(1+EXP(-($A40-'03_Lap_b'!AH$45)))</f>
        <v/>
      </c>
      <c r="AQ40" s="9">
        <f>1/(1+EXP(-($A40-'03_Lap_b'!AI$45)))</f>
        <v/>
      </c>
      <c r="AR40" s="9">
        <f>1/(1+EXP(-($A40-'03_Lap_b'!AJ$45)))</f>
        <v/>
      </c>
      <c r="AS40" s="9">
        <f>1/(1+EXP(-($A40-'03_Lap_b'!AK$45)))</f>
        <v/>
      </c>
      <c r="AT40" s="9">
        <f>1/(1+EXP(-($A40-'03_Lap_b'!AL$45)))</f>
        <v/>
      </c>
      <c r="AU40" s="9">
        <f>1/(1+EXP(-($A40-'03_Lap_b'!AM$45)))</f>
        <v/>
      </c>
      <c r="AV40" s="9">
        <f>1/(1+EXP(-($A40-'03_Lap_b'!AN$45)))</f>
        <v/>
      </c>
      <c r="AW40" s="9">
        <f>1/(1+EXP(-($A40-'03_Lap_b'!AO$45)))</f>
        <v/>
      </c>
      <c r="AX40" s="9">
        <f>1/(1+EXP(-($A40-'03_Lap_b'!AP$45)))</f>
        <v/>
      </c>
      <c r="AY40" s="9">
        <f>1/(1+EXP(-($A40-'03_Lap_b'!AQ$45)))</f>
        <v/>
      </c>
      <c r="AZ40" s="9">
        <f>1/(1+EXP(-($A40-'03_Lap_b'!AR$45)))</f>
        <v/>
      </c>
      <c r="BA40" s="9">
        <f>1/(1+EXP(-($A40-'03_Lap_b'!AS$45)))</f>
        <v/>
      </c>
      <c r="BB40" s="9">
        <f>1/(1+EXP(-($A40-'03_Lap_b'!AT$45)))</f>
        <v/>
      </c>
      <c r="BC40" s="9">
        <f>1/(1+EXP(-($A40-'03_Lap_b'!AU$45)))</f>
        <v/>
      </c>
      <c r="BD40" s="9">
        <f>1/(1+EXP(-($A40-'03_Lap_b'!AV$45)))</f>
        <v/>
      </c>
      <c r="BE40" s="9">
        <f>1/(1+EXP(-($A40-'03_Lap_b'!AW$45)))</f>
        <v/>
      </c>
    </row>
    <row r="41">
      <c r="A41" s="10" t="n">
        <v>3.6</v>
      </c>
      <c r="B41" s="11">
        <f>SUMPRODUCT(J41:BE41*(1-J41:BE41))</f>
        <v/>
      </c>
      <c r="C41" s="5">
        <f>R41</f>
        <v/>
      </c>
      <c r="D41" s="5">
        <f>J41</f>
        <v/>
      </c>
      <c r="E41" s="5">
        <f>AH41</f>
        <v/>
      </c>
      <c r="F41" s="5">
        <f>AQ41</f>
        <v/>
      </c>
      <c r="G41" s="5">
        <f>AE41</f>
        <v/>
      </c>
      <c r="H41" s="5">
        <f>AG41</f>
        <v/>
      </c>
      <c r="I41" s="10">
        <f>SUM(J41:BE41)</f>
        <v/>
      </c>
      <c r="J41" s="9">
        <f>1/(1+EXP(-($A41-'03_Lap_b'!B$45)))</f>
        <v/>
      </c>
      <c r="K41" s="9">
        <f>1/(1+EXP(-($A41-'03_Lap_b'!C$45)))</f>
        <v/>
      </c>
      <c r="L41" s="9">
        <f>1/(1+EXP(-($A41-'03_Lap_b'!D$45)))</f>
        <v/>
      </c>
      <c r="M41" s="9">
        <f>1/(1+EXP(-($A41-'03_Lap_b'!E$45)))</f>
        <v/>
      </c>
      <c r="N41" s="9">
        <f>1/(1+EXP(-($A41-'03_Lap_b'!F$45)))</f>
        <v/>
      </c>
      <c r="O41" s="9">
        <f>1/(1+EXP(-($A41-'03_Lap_b'!G$45)))</f>
        <v/>
      </c>
      <c r="P41" s="9">
        <f>1/(1+EXP(-($A41-'03_Lap_b'!H$45)))</f>
        <v/>
      </c>
      <c r="Q41" s="9">
        <f>1/(1+EXP(-($A41-'03_Lap_b'!I$45)))</f>
        <v/>
      </c>
      <c r="R41" s="9">
        <f>1/(1+EXP(-($A41-'03_Lap_b'!J$45)))</f>
        <v/>
      </c>
      <c r="S41" s="9">
        <f>1/(1+EXP(-($A41-'03_Lap_b'!K$45)))</f>
        <v/>
      </c>
      <c r="T41" s="9">
        <f>1/(1+EXP(-($A41-'03_Lap_b'!L$45)))</f>
        <v/>
      </c>
      <c r="U41" s="9">
        <f>1/(1+EXP(-($A41-'03_Lap_b'!M$45)))</f>
        <v/>
      </c>
      <c r="V41" s="9">
        <f>1/(1+EXP(-($A41-'03_Lap_b'!N$45)))</f>
        <v/>
      </c>
      <c r="W41" s="9">
        <f>1/(1+EXP(-($A41-'03_Lap_b'!O$45)))</f>
        <v/>
      </c>
      <c r="X41" s="9">
        <f>1/(1+EXP(-($A41-'03_Lap_b'!P$45)))</f>
        <v/>
      </c>
      <c r="Y41" s="9">
        <f>1/(1+EXP(-($A41-'03_Lap_b'!Q$45)))</f>
        <v/>
      </c>
      <c r="Z41" s="9">
        <f>1/(1+EXP(-($A41-'03_Lap_b'!R$45)))</f>
        <v/>
      </c>
      <c r="AA41" s="9">
        <f>1/(1+EXP(-($A41-'03_Lap_b'!S$45)))</f>
        <v/>
      </c>
      <c r="AB41" s="9">
        <f>1/(1+EXP(-($A41-'03_Lap_b'!T$45)))</f>
        <v/>
      </c>
      <c r="AC41" s="9">
        <f>1/(1+EXP(-($A41-'03_Lap_b'!U$45)))</f>
        <v/>
      </c>
      <c r="AD41" s="9">
        <f>1/(1+EXP(-($A41-'03_Lap_b'!V$45)))</f>
        <v/>
      </c>
      <c r="AE41" s="9">
        <f>1/(1+EXP(-($A41-'03_Lap_b'!W$45)))</f>
        <v/>
      </c>
      <c r="AF41" s="9">
        <f>1/(1+EXP(-($A41-'03_Lap_b'!X$45)))</f>
        <v/>
      </c>
      <c r="AG41" s="9">
        <f>1/(1+EXP(-($A41-'03_Lap_b'!Y$45)))</f>
        <v/>
      </c>
      <c r="AH41" s="9">
        <f>1/(1+EXP(-($A41-'03_Lap_b'!Z$45)))</f>
        <v/>
      </c>
      <c r="AI41" s="9">
        <f>1/(1+EXP(-($A41-'03_Lap_b'!AA$45)))</f>
        <v/>
      </c>
      <c r="AJ41" s="9">
        <f>1/(1+EXP(-($A41-'03_Lap_b'!AB$45)))</f>
        <v/>
      </c>
      <c r="AK41" s="9">
        <f>1/(1+EXP(-($A41-'03_Lap_b'!AC$45)))</f>
        <v/>
      </c>
      <c r="AL41" s="9">
        <f>1/(1+EXP(-($A41-'03_Lap_b'!AD$45)))</f>
        <v/>
      </c>
      <c r="AM41" s="9">
        <f>1/(1+EXP(-($A41-'03_Lap_b'!AE$45)))</f>
        <v/>
      </c>
      <c r="AN41" s="9">
        <f>1/(1+EXP(-($A41-'03_Lap_b'!AF$45)))</f>
        <v/>
      </c>
      <c r="AO41" s="9">
        <f>1/(1+EXP(-($A41-'03_Lap_b'!AG$45)))</f>
        <v/>
      </c>
      <c r="AP41" s="9">
        <f>1/(1+EXP(-($A41-'03_Lap_b'!AH$45)))</f>
        <v/>
      </c>
      <c r="AQ41" s="9">
        <f>1/(1+EXP(-($A41-'03_Lap_b'!AI$45)))</f>
        <v/>
      </c>
      <c r="AR41" s="9">
        <f>1/(1+EXP(-($A41-'03_Lap_b'!AJ$45)))</f>
        <v/>
      </c>
      <c r="AS41" s="9">
        <f>1/(1+EXP(-($A41-'03_Lap_b'!AK$45)))</f>
        <v/>
      </c>
      <c r="AT41" s="9">
        <f>1/(1+EXP(-($A41-'03_Lap_b'!AL$45)))</f>
        <v/>
      </c>
      <c r="AU41" s="9">
        <f>1/(1+EXP(-($A41-'03_Lap_b'!AM$45)))</f>
        <v/>
      </c>
      <c r="AV41" s="9">
        <f>1/(1+EXP(-($A41-'03_Lap_b'!AN$45)))</f>
        <v/>
      </c>
      <c r="AW41" s="9">
        <f>1/(1+EXP(-($A41-'03_Lap_b'!AO$45)))</f>
        <v/>
      </c>
      <c r="AX41" s="9">
        <f>1/(1+EXP(-($A41-'03_Lap_b'!AP$45)))</f>
        <v/>
      </c>
      <c r="AY41" s="9">
        <f>1/(1+EXP(-($A41-'03_Lap_b'!AQ$45)))</f>
        <v/>
      </c>
      <c r="AZ41" s="9">
        <f>1/(1+EXP(-($A41-'03_Lap_b'!AR$45)))</f>
        <v/>
      </c>
      <c r="BA41" s="9">
        <f>1/(1+EXP(-($A41-'03_Lap_b'!AS$45)))</f>
        <v/>
      </c>
      <c r="BB41" s="9">
        <f>1/(1+EXP(-($A41-'03_Lap_b'!AT$45)))</f>
        <v/>
      </c>
      <c r="BC41" s="9">
        <f>1/(1+EXP(-($A41-'03_Lap_b'!AU$45)))</f>
        <v/>
      </c>
      <c r="BD41" s="9">
        <f>1/(1+EXP(-($A41-'03_Lap_b'!AV$45)))</f>
        <v/>
      </c>
      <c r="BE41" s="9">
        <f>1/(1+EXP(-($A41-'03_Lap_b'!AW$45)))</f>
        <v/>
      </c>
    </row>
    <row r="42">
      <c r="A42" s="10" t="n">
        <v>3.8</v>
      </c>
      <c r="B42" s="11">
        <f>SUMPRODUCT(J42:BE42*(1-J42:BE42))</f>
        <v/>
      </c>
      <c r="C42" s="5">
        <f>R42</f>
        <v/>
      </c>
      <c r="D42" s="5">
        <f>J42</f>
        <v/>
      </c>
      <c r="E42" s="5">
        <f>AH42</f>
        <v/>
      </c>
      <c r="F42" s="5">
        <f>AQ42</f>
        <v/>
      </c>
      <c r="G42" s="5">
        <f>AE42</f>
        <v/>
      </c>
      <c r="H42" s="5">
        <f>AG42</f>
        <v/>
      </c>
      <c r="I42" s="10">
        <f>SUM(J42:BE42)</f>
        <v/>
      </c>
      <c r="J42" s="9">
        <f>1/(1+EXP(-($A42-'03_Lap_b'!B$45)))</f>
        <v/>
      </c>
      <c r="K42" s="9">
        <f>1/(1+EXP(-($A42-'03_Lap_b'!C$45)))</f>
        <v/>
      </c>
      <c r="L42" s="9">
        <f>1/(1+EXP(-($A42-'03_Lap_b'!D$45)))</f>
        <v/>
      </c>
      <c r="M42" s="9">
        <f>1/(1+EXP(-($A42-'03_Lap_b'!E$45)))</f>
        <v/>
      </c>
      <c r="N42" s="9">
        <f>1/(1+EXP(-($A42-'03_Lap_b'!F$45)))</f>
        <v/>
      </c>
      <c r="O42" s="9">
        <f>1/(1+EXP(-($A42-'03_Lap_b'!G$45)))</f>
        <v/>
      </c>
      <c r="P42" s="9">
        <f>1/(1+EXP(-($A42-'03_Lap_b'!H$45)))</f>
        <v/>
      </c>
      <c r="Q42" s="9">
        <f>1/(1+EXP(-($A42-'03_Lap_b'!I$45)))</f>
        <v/>
      </c>
      <c r="R42" s="9">
        <f>1/(1+EXP(-($A42-'03_Lap_b'!J$45)))</f>
        <v/>
      </c>
      <c r="S42" s="9">
        <f>1/(1+EXP(-($A42-'03_Lap_b'!K$45)))</f>
        <v/>
      </c>
      <c r="T42" s="9">
        <f>1/(1+EXP(-($A42-'03_Lap_b'!L$45)))</f>
        <v/>
      </c>
      <c r="U42" s="9">
        <f>1/(1+EXP(-($A42-'03_Lap_b'!M$45)))</f>
        <v/>
      </c>
      <c r="V42" s="9">
        <f>1/(1+EXP(-($A42-'03_Lap_b'!N$45)))</f>
        <v/>
      </c>
      <c r="W42" s="9">
        <f>1/(1+EXP(-($A42-'03_Lap_b'!O$45)))</f>
        <v/>
      </c>
      <c r="X42" s="9">
        <f>1/(1+EXP(-($A42-'03_Lap_b'!P$45)))</f>
        <v/>
      </c>
      <c r="Y42" s="9">
        <f>1/(1+EXP(-($A42-'03_Lap_b'!Q$45)))</f>
        <v/>
      </c>
      <c r="Z42" s="9">
        <f>1/(1+EXP(-($A42-'03_Lap_b'!R$45)))</f>
        <v/>
      </c>
      <c r="AA42" s="9">
        <f>1/(1+EXP(-($A42-'03_Lap_b'!S$45)))</f>
        <v/>
      </c>
      <c r="AB42" s="9">
        <f>1/(1+EXP(-($A42-'03_Lap_b'!T$45)))</f>
        <v/>
      </c>
      <c r="AC42" s="9">
        <f>1/(1+EXP(-($A42-'03_Lap_b'!U$45)))</f>
        <v/>
      </c>
      <c r="AD42" s="9">
        <f>1/(1+EXP(-($A42-'03_Lap_b'!V$45)))</f>
        <v/>
      </c>
      <c r="AE42" s="9">
        <f>1/(1+EXP(-($A42-'03_Lap_b'!W$45)))</f>
        <v/>
      </c>
      <c r="AF42" s="9">
        <f>1/(1+EXP(-($A42-'03_Lap_b'!X$45)))</f>
        <v/>
      </c>
      <c r="AG42" s="9">
        <f>1/(1+EXP(-($A42-'03_Lap_b'!Y$45)))</f>
        <v/>
      </c>
      <c r="AH42" s="9">
        <f>1/(1+EXP(-($A42-'03_Lap_b'!Z$45)))</f>
        <v/>
      </c>
      <c r="AI42" s="9">
        <f>1/(1+EXP(-($A42-'03_Lap_b'!AA$45)))</f>
        <v/>
      </c>
      <c r="AJ42" s="9">
        <f>1/(1+EXP(-($A42-'03_Lap_b'!AB$45)))</f>
        <v/>
      </c>
      <c r="AK42" s="9">
        <f>1/(1+EXP(-($A42-'03_Lap_b'!AC$45)))</f>
        <v/>
      </c>
      <c r="AL42" s="9">
        <f>1/(1+EXP(-($A42-'03_Lap_b'!AD$45)))</f>
        <v/>
      </c>
      <c r="AM42" s="9">
        <f>1/(1+EXP(-($A42-'03_Lap_b'!AE$45)))</f>
        <v/>
      </c>
      <c r="AN42" s="9">
        <f>1/(1+EXP(-($A42-'03_Lap_b'!AF$45)))</f>
        <v/>
      </c>
      <c r="AO42" s="9">
        <f>1/(1+EXP(-($A42-'03_Lap_b'!AG$45)))</f>
        <v/>
      </c>
      <c r="AP42" s="9">
        <f>1/(1+EXP(-($A42-'03_Lap_b'!AH$45)))</f>
        <v/>
      </c>
      <c r="AQ42" s="9">
        <f>1/(1+EXP(-($A42-'03_Lap_b'!AI$45)))</f>
        <v/>
      </c>
      <c r="AR42" s="9">
        <f>1/(1+EXP(-($A42-'03_Lap_b'!AJ$45)))</f>
        <v/>
      </c>
      <c r="AS42" s="9">
        <f>1/(1+EXP(-($A42-'03_Lap_b'!AK$45)))</f>
        <v/>
      </c>
      <c r="AT42" s="9">
        <f>1/(1+EXP(-($A42-'03_Lap_b'!AL$45)))</f>
        <v/>
      </c>
      <c r="AU42" s="9">
        <f>1/(1+EXP(-($A42-'03_Lap_b'!AM$45)))</f>
        <v/>
      </c>
      <c r="AV42" s="9">
        <f>1/(1+EXP(-($A42-'03_Lap_b'!AN$45)))</f>
        <v/>
      </c>
      <c r="AW42" s="9">
        <f>1/(1+EXP(-($A42-'03_Lap_b'!AO$45)))</f>
        <v/>
      </c>
      <c r="AX42" s="9">
        <f>1/(1+EXP(-($A42-'03_Lap_b'!AP$45)))</f>
        <v/>
      </c>
      <c r="AY42" s="9">
        <f>1/(1+EXP(-($A42-'03_Lap_b'!AQ$45)))</f>
        <v/>
      </c>
      <c r="AZ42" s="9">
        <f>1/(1+EXP(-($A42-'03_Lap_b'!AR$45)))</f>
        <v/>
      </c>
      <c r="BA42" s="9">
        <f>1/(1+EXP(-($A42-'03_Lap_b'!AS$45)))</f>
        <v/>
      </c>
      <c r="BB42" s="9">
        <f>1/(1+EXP(-($A42-'03_Lap_b'!AT$45)))</f>
        <v/>
      </c>
      <c r="BC42" s="9">
        <f>1/(1+EXP(-($A42-'03_Lap_b'!AU$45)))</f>
        <v/>
      </c>
      <c r="BD42" s="9">
        <f>1/(1+EXP(-($A42-'03_Lap_b'!AV$45)))</f>
        <v/>
      </c>
      <c r="BE42" s="9">
        <f>1/(1+EXP(-($A42-'03_Lap_b'!AW$45)))</f>
        <v/>
      </c>
    </row>
    <row r="43">
      <c r="A43" s="10" t="n">
        <v>4</v>
      </c>
      <c r="B43" s="11">
        <f>SUMPRODUCT(J43:BE43*(1-J43:BE43))</f>
        <v/>
      </c>
      <c r="C43" s="5">
        <f>R43</f>
        <v/>
      </c>
      <c r="D43" s="5">
        <f>J43</f>
        <v/>
      </c>
      <c r="E43" s="5">
        <f>AH43</f>
        <v/>
      </c>
      <c r="F43" s="5">
        <f>AQ43</f>
        <v/>
      </c>
      <c r="G43" s="5">
        <f>AE43</f>
        <v/>
      </c>
      <c r="H43" s="5">
        <f>AG43</f>
        <v/>
      </c>
      <c r="I43" s="10">
        <f>SUM(J43:BE43)</f>
        <v/>
      </c>
      <c r="J43" s="9">
        <f>1/(1+EXP(-($A43-'03_Lap_b'!B$45)))</f>
        <v/>
      </c>
      <c r="K43" s="9">
        <f>1/(1+EXP(-($A43-'03_Lap_b'!C$45)))</f>
        <v/>
      </c>
      <c r="L43" s="9">
        <f>1/(1+EXP(-($A43-'03_Lap_b'!D$45)))</f>
        <v/>
      </c>
      <c r="M43" s="9">
        <f>1/(1+EXP(-($A43-'03_Lap_b'!E$45)))</f>
        <v/>
      </c>
      <c r="N43" s="9">
        <f>1/(1+EXP(-($A43-'03_Lap_b'!F$45)))</f>
        <v/>
      </c>
      <c r="O43" s="9">
        <f>1/(1+EXP(-($A43-'03_Lap_b'!G$45)))</f>
        <v/>
      </c>
      <c r="P43" s="9">
        <f>1/(1+EXP(-($A43-'03_Lap_b'!H$45)))</f>
        <v/>
      </c>
      <c r="Q43" s="9">
        <f>1/(1+EXP(-($A43-'03_Lap_b'!I$45)))</f>
        <v/>
      </c>
      <c r="R43" s="9">
        <f>1/(1+EXP(-($A43-'03_Lap_b'!J$45)))</f>
        <v/>
      </c>
      <c r="S43" s="9">
        <f>1/(1+EXP(-($A43-'03_Lap_b'!K$45)))</f>
        <v/>
      </c>
      <c r="T43" s="9">
        <f>1/(1+EXP(-($A43-'03_Lap_b'!L$45)))</f>
        <v/>
      </c>
      <c r="U43" s="9">
        <f>1/(1+EXP(-($A43-'03_Lap_b'!M$45)))</f>
        <v/>
      </c>
      <c r="V43" s="9">
        <f>1/(1+EXP(-($A43-'03_Lap_b'!N$45)))</f>
        <v/>
      </c>
      <c r="W43" s="9">
        <f>1/(1+EXP(-($A43-'03_Lap_b'!O$45)))</f>
        <v/>
      </c>
      <c r="X43" s="9">
        <f>1/(1+EXP(-($A43-'03_Lap_b'!P$45)))</f>
        <v/>
      </c>
      <c r="Y43" s="9">
        <f>1/(1+EXP(-($A43-'03_Lap_b'!Q$45)))</f>
        <v/>
      </c>
      <c r="Z43" s="9">
        <f>1/(1+EXP(-($A43-'03_Lap_b'!R$45)))</f>
        <v/>
      </c>
      <c r="AA43" s="9">
        <f>1/(1+EXP(-($A43-'03_Lap_b'!S$45)))</f>
        <v/>
      </c>
      <c r="AB43" s="9">
        <f>1/(1+EXP(-($A43-'03_Lap_b'!T$45)))</f>
        <v/>
      </c>
      <c r="AC43" s="9">
        <f>1/(1+EXP(-($A43-'03_Lap_b'!U$45)))</f>
        <v/>
      </c>
      <c r="AD43" s="9">
        <f>1/(1+EXP(-($A43-'03_Lap_b'!V$45)))</f>
        <v/>
      </c>
      <c r="AE43" s="9">
        <f>1/(1+EXP(-($A43-'03_Lap_b'!W$45)))</f>
        <v/>
      </c>
      <c r="AF43" s="9">
        <f>1/(1+EXP(-($A43-'03_Lap_b'!X$45)))</f>
        <v/>
      </c>
      <c r="AG43" s="9">
        <f>1/(1+EXP(-($A43-'03_Lap_b'!Y$45)))</f>
        <v/>
      </c>
      <c r="AH43" s="9">
        <f>1/(1+EXP(-($A43-'03_Lap_b'!Z$45)))</f>
        <v/>
      </c>
      <c r="AI43" s="9">
        <f>1/(1+EXP(-($A43-'03_Lap_b'!AA$45)))</f>
        <v/>
      </c>
      <c r="AJ43" s="9">
        <f>1/(1+EXP(-($A43-'03_Lap_b'!AB$45)))</f>
        <v/>
      </c>
      <c r="AK43" s="9">
        <f>1/(1+EXP(-($A43-'03_Lap_b'!AC$45)))</f>
        <v/>
      </c>
      <c r="AL43" s="9">
        <f>1/(1+EXP(-($A43-'03_Lap_b'!AD$45)))</f>
        <v/>
      </c>
      <c r="AM43" s="9">
        <f>1/(1+EXP(-($A43-'03_Lap_b'!AE$45)))</f>
        <v/>
      </c>
      <c r="AN43" s="9">
        <f>1/(1+EXP(-($A43-'03_Lap_b'!AF$45)))</f>
        <v/>
      </c>
      <c r="AO43" s="9">
        <f>1/(1+EXP(-($A43-'03_Lap_b'!AG$45)))</f>
        <v/>
      </c>
      <c r="AP43" s="9">
        <f>1/(1+EXP(-($A43-'03_Lap_b'!AH$45)))</f>
        <v/>
      </c>
      <c r="AQ43" s="9">
        <f>1/(1+EXP(-($A43-'03_Lap_b'!AI$45)))</f>
        <v/>
      </c>
      <c r="AR43" s="9">
        <f>1/(1+EXP(-($A43-'03_Lap_b'!AJ$45)))</f>
        <v/>
      </c>
      <c r="AS43" s="9">
        <f>1/(1+EXP(-($A43-'03_Lap_b'!AK$45)))</f>
        <v/>
      </c>
      <c r="AT43" s="9">
        <f>1/(1+EXP(-($A43-'03_Lap_b'!AL$45)))</f>
        <v/>
      </c>
      <c r="AU43" s="9">
        <f>1/(1+EXP(-($A43-'03_Lap_b'!AM$45)))</f>
        <v/>
      </c>
      <c r="AV43" s="9">
        <f>1/(1+EXP(-($A43-'03_Lap_b'!AN$45)))</f>
        <v/>
      </c>
      <c r="AW43" s="9">
        <f>1/(1+EXP(-($A43-'03_Lap_b'!AO$45)))</f>
        <v/>
      </c>
      <c r="AX43" s="9">
        <f>1/(1+EXP(-($A43-'03_Lap_b'!AP$45)))</f>
        <v/>
      </c>
      <c r="AY43" s="9">
        <f>1/(1+EXP(-($A43-'03_Lap_b'!AQ$45)))</f>
        <v/>
      </c>
      <c r="AZ43" s="9">
        <f>1/(1+EXP(-($A43-'03_Lap_b'!AR$45)))</f>
        <v/>
      </c>
      <c r="BA43" s="9">
        <f>1/(1+EXP(-($A43-'03_Lap_b'!AS$45)))</f>
        <v/>
      </c>
      <c r="BB43" s="9">
        <f>1/(1+EXP(-($A43-'03_Lap_b'!AT$45)))</f>
        <v/>
      </c>
      <c r="BC43" s="9">
        <f>1/(1+EXP(-($A43-'03_Lap_b'!AU$45)))</f>
        <v/>
      </c>
      <c r="BD43" s="9">
        <f>1/(1+EXP(-($A43-'03_Lap_b'!AV$45)))</f>
        <v/>
      </c>
      <c r="BE43" s="9">
        <f>1/(1+EXP(-($A43-'03_Lap_b'!AW$45)))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10" max="10"/>
  </cols>
  <sheetData>
    <row r="1">
      <c r="A1" s="1" t="inlineStr">
        <is>
          <t>ĐỐI CHIẾU EXCEL (JMLE) ↔ mirt (MMLE)</t>
        </is>
      </c>
    </row>
    <row r="3">
      <c r="A3" s="3" t="inlineStr">
        <is>
          <t>qid</t>
        </is>
      </c>
      <c r="B3" s="3" t="inlineStr">
        <is>
          <t>Câu</t>
        </is>
      </c>
      <c r="C3" s="3" t="inlineStr">
        <is>
          <t>Dữ liệu</t>
        </is>
      </c>
      <c r="D3" s="3" t="inlineStr">
        <is>
          <t>b (Excel)</t>
        </is>
      </c>
      <c r="E3" s="3" t="inlineStr">
        <is>
          <t>b (mirt)</t>
        </is>
      </c>
      <c r="F3" s="3" t="inlineStr">
        <is>
          <t>|chênh|</t>
        </is>
      </c>
      <c r="J3" s="3" t="inlineStr">
        <is>
          <t>iduser</t>
        </is>
      </c>
      <c r="K3" s="3" t="inlineStr">
        <is>
          <t>θ (Excel)</t>
        </is>
      </c>
      <c r="L3" s="3" t="inlineStr">
        <is>
          <t>θ (mirt)</t>
        </is>
      </c>
    </row>
    <row r="4">
      <c r="A4" t="inlineStr">
        <is>
          <t>208493209536</t>
        </is>
      </c>
      <c r="B4" t="inlineStr">
        <is>
          <t>Câu 1 MC</t>
        </is>
      </c>
      <c r="C4" t="inlineStr">
        <is>
          <t>đầy đủ</t>
        </is>
      </c>
      <c r="D4" s="5">
        <f>'04_Item'!F2</f>
        <v/>
      </c>
      <c r="E4" s="5" t="n">
        <v>-1.6378</v>
      </c>
      <c r="F4" s="5">
        <f>ABS(D4-E4)</f>
        <v/>
      </c>
      <c r="J4" t="inlineStr">
        <is>
          <t>15540277583874</t>
        </is>
      </c>
      <c r="K4" s="5">
        <f>'05_NangLuc'!E2</f>
        <v/>
      </c>
      <c r="L4" s="5" t="n">
        <v>-1.9334</v>
      </c>
    </row>
    <row r="5">
      <c r="A5" t="inlineStr">
        <is>
          <t>208493412207</t>
        </is>
      </c>
      <c r="B5" t="inlineStr">
        <is>
          <t>Câu 2 MC</t>
        </is>
      </c>
      <c r="C5" t="inlineStr">
        <is>
          <t>đầy đủ</t>
        </is>
      </c>
      <c r="D5" s="5">
        <f>'04_Item'!F3</f>
        <v/>
      </c>
      <c r="E5" s="5" t="n">
        <v>0.3271</v>
      </c>
      <c r="F5" s="5">
        <f>ABS(D5-E5)</f>
        <v/>
      </c>
      <c r="J5" t="inlineStr">
        <is>
          <t>15764388581922</t>
        </is>
      </c>
      <c r="K5" s="5">
        <f>'05_NangLuc'!E3</f>
        <v/>
      </c>
      <c r="L5" s="5" t="n">
        <v>1.0382</v>
      </c>
    </row>
    <row r="6">
      <c r="A6" t="inlineStr">
        <is>
          <t>208493634375</t>
        </is>
      </c>
      <c r="B6" t="inlineStr">
        <is>
          <t>Câu 3 MC</t>
        </is>
      </c>
      <c r="C6" t="inlineStr">
        <is>
          <t>đầy đủ</t>
        </is>
      </c>
      <c r="D6" s="5">
        <f>'04_Item'!F4</f>
        <v/>
      </c>
      <c r="E6" s="5" t="n">
        <v>-0.4159</v>
      </c>
      <c r="F6" s="5">
        <f>ABS(D6-E6)</f>
        <v/>
      </c>
      <c r="J6" t="inlineStr">
        <is>
          <t>15764389367618</t>
        </is>
      </c>
      <c r="K6" s="5">
        <f>'05_NangLuc'!E4</f>
        <v/>
      </c>
      <c r="L6" s="5" t="n">
        <v>1.621</v>
      </c>
    </row>
    <row r="7">
      <c r="A7" t="inlineStr">
        <is>
          <t>208493806712</t>
        </is>
      </c>
      <c r="B7" t="inlineStr">
        <is>
          <t>Câu 4 MC</t>
        </is>
      </c>
      <c r="C7" t="inlineStr">
        <is>
          <t>đầy đủ</t>
        </is>
      </c>
      <c r="D7" s="5">
        <f>'04_Item'!F5</f>
        <v/>
      </c>
      <c r="E7" s="5" t="n">
        <v>-0.7806999999999999</v>
      </c>
      <c r="F7" s="5">
        <f>ABS(D7-E7)</f>
        <v/>
      </c>
      <c r="J7" t="inlineStr">
        <is>
          <t>15764389862692</t>
        </is>
      </c>
      <c r="K7" s="5">
        <f>'05_NangLuc'!E5</f>
        <v/>
      </c>
      <c r="L7" s="5" t="n">
        <v>0.8725000000000001</v>
      </c>
    </row>
    <row r="8">
      <c r="A8" t="inlineStr">
        <is>
          <t>208494503646</t>
        </is>
      </c>
      <c r="B8" t="inlineStr">
        <is>
          <t>Câu 5 MC</t>
        </is>
      </c>
      <c r="C8" t="inlineStr">
        <is>
          <t>đầy đủ</t>
        </is>
      </c>
      <c r="D8" s="5">
        <f>'04_Item'!F6</f>
        <v/>
      </c>
      <c r="E8" s="5" t="n">
        <v>-1.0141</v>
      </c>
      <c r="F8" s="5">
        <f>ABS(D8-E8)</f>
        <v/>
      </c>
      <c r="J8" t="inlineStr">
        <is>
          <t>15764390159150</t>
        </is>
      </c>
      <c r="K8" s="5">
        <f>'05_NangLuc'!E6</f>
        <v/>
      </c>
      <c r="L8" s="5" t="n">
        <v>0.5075</v>
      </c>
    </row>
    <row r="9">
      <c r="A9" t="inlineStr">
        <is>
          <t>208495066643</t>
        </is>
      </c>
      <c r="B9" t="inlineStr">
        <is>
          <t>Câu 6 MC</t>
        </is>
      </c>
      <c r="C9" t="inlineStr">
        <is>
          <t>đầy đủ</t>
        </is>
      </c>
      <c r="D9" s="5">
        <f>'04_Item'!F7</f>
        <v/>
      </c>
      <c r="E9" s="5" t="n">
        <v>-0.3135</v>
      </c>
      <c r="F9" s="5">
        <f>ABS(D9-E9)</f>
        <v/>
      </c>
      <c r="J9" t="inlineStr">
        <is>
          <t>15764390311756</t>
        </is>
      </c>
      <c r="K9" s="5">
        <f>'05_NangLuc'!E7</f>
        <v/>
      </c>
      <c r="L9" s="5" t="n">
        <v>0.1223</v>
      </c>
    </row>
    <row r="10">
      <c r="A10" t="inlineStr">
        <is>
          <t>208495459130</t>
        </is>
      </c>
      <c r="B10" t="inlineStr">
        <is>
          <t>Câu 7 MC</t>
        </is>
      </c>
      <c r="C10" t="inlineStr">
        <is>
          <t>đầy đủ</t>
        </is>
      </c>
      <c r="D10" s="5">
        <f>'04_Item'!F8</f>
        <v/>
      </c>
      <c r="E10" s="5" t="n">
        <v>-0.294</v>
      </c>
      <c r="F10" s="5">
        <f>ABS(D10-E10)</f>
        <v/>
      </c>
      <c r="J10" t="inlineStr">
        <is>
          <t>15764390467409</t>
        </is>
      </c>
      <c r="K10" s="5">
        <f>'05_NangLuc'!E8</f>
        <v/>
      </c>
      <c r="L10" s="5" t="n">
        <v>-0.5029</v>
      </c>
    </row>
    <row r="11">
      <c r="A11" t="inlineStr">
        <is>
          <t>208495984573</t>
        </is>
      </c>
      <c r="B11" t="inlineStr">
        <is>
          <t>Câu 8 MC</t>
        </is>
      </c>
      <c r="C11" t="inlineStr">
        <is>
          <t>đầy đủ</t>
        </is>
      </c>
      <c r="D11" s="5">
        <f>'04_Item'!F9</f>
        <v/>
      </c>
      <c r="E11" s="5" t="n">
        <v>-0.7433</v>
      </c>
      <c r="F11" s="5">
        <f>ABS(D11-E11)</f>
        <v/>
      </c>
      <c r="J11" t="inlineStr">
        <is>
          <t>15764391262752</t>
        </is>
      </c>
      <c r="K11" s="5">
        <f>'05_NangLuc'!E9</f>
        <v/>
      </c>
      <c r="L11" s="5" t="n">
        <v>0.0339</v>
      </c>
    </row>
    <row r="12">
      <c r="A12" t="inlineStr">
        <is>
          <t>208496326564</t>
        </is>
      </c>
      <c r="B12" t="inlineStr">
        <is>
          <t>Câu 9 MC</t>
        </is>
      </c>
      <c r="C12" t="inlineStr">
        <is>
          <t>đầy đủ</t>
        </is>
      </c>
      <c r="D12" s="5">
        <f>'04_Item'!F10</f>
        <v/>
      </c>
      <c r="E12" s="5" t="n">
        <v>-2.5923</v>
      </c>
      <c r="F12" s="5">
        <f>ABS(D12-E12)</f>
        <v/>
      </c>
      <c r="J12" t="inlineStr">
        <is>
          <t>15764391798843</t>
        </is>
      </c>
      <c r="K12" s="5">
        <f>'05_NangLuc'!E10</f>
        <v/>
      </c>
      <c r="L12" s="5" t="n">
        <v>0.8725000000000001</v>
      </c>
    </row>
    <row r="13">
      <c r="A13" t="inlineStr">
        <is>
          <t>208497043631</t>
        </is>
      </c>
      <c r="B13" t="inlineStr">
        <is>
          <t>Câu 10 MC</t>
        </is>
      </c>
      <c r="C13" t="inlineStr">
        <is>
          <t>đầy đủ</t>
        </is>
      </c>
      <c r="D13" s="5">
        <f>'04_Item'!F11</f>
        <v/>
      </c>
      <c r="E13" s="5" t="n">
        <v>-1.2675</v>
      </c>
      <c r="F13" s="5">
        <f>ABS(D13-E13)</f>
        <v/>
      </c>
      <c r="J13" t="inlineStr">
        <is>
          <t>15804254532858</t>
        </is>
      </c>
      <c r="K13" s="5">
        <f>'05_NangLuc'!E11</f>
        <v/>
      </c>
      <c r="L13" s="5" t="n">
        <v>-1.0679</v>
      </c>
    </row>
    <row r="14">
      <c r="A14" t="inlineStr">
        <is>
          <t>208497697530</t>
        </is>
      </c>
      <c r="B14" t="inlineStr">
        <is>
          <t>Câu 24 MC</t>
        </is>
      </c>
      <c r="C14" t="inlineStr">
        <is>
          <t>đầy đủ</t>
        </is>
      </c>
      <c r="D14" s="5">
        <f>'04_Item'!F12</f>
        <v/>
      </c>
      <c r="E14" s="5" t="n">
        <v>-2.5796</v>
      </c>
      <c r="F14" s="5">
        <f>ABS(D14-E14)</f>
        <v/>
      </c>
      <c r="J14" t="inlineStr">
        <is>
          <t>15807473377907</t>
        </is>
      </c>
      <c r="K14" s="5">
        <f>'05_NangLuc'!E12</f>
        <v/>
      </c>
      <c r="L14" s="5" t="n">
        <v>-0.2562</v>
      </c>
    </row>
    <row r="15">
      <c r="A15" t="inlineStr">
        <is>
          <t>208497947837</t>
        </is>
      </c>
      <c r="B15" t="inlineStr">
        <is>
          <t>Câu 23 MC</t>
        </is>
      </c>
      <c r="C15" t="inlineStr">
        <is>
          <t>đầy đủ</t>
        </is>
      </c>
      <c r="D15" s="5">
        <f>'04_Item'!F13</f>
        <v/>
      </c>
      <c r="E15" s="5" t="n">
        <v>-0.697</v>
      </c>
      <c r="F15" s="5">
        <f>ABS(D15-E15)</f>
        <v/>
      </c>
      <c r="J15" t="inlineStr">
        <is>
          <t>15811404757372</t>
        </is>
      </c>
      <c r="K15" s="5">
        <f>'05_NangLuc'!E13</f>
        <v/>
      </c>
      <c r="L15" s="5" t="n">
        <v>-1.496</v>
      </c>
    </row>
    <row r="16">
      <c r="A16" t="inlineStr">
        <is>
          <t>208498680706</t>
        </is>
      </c>
      <c r="B16" t="inlineStr">
        <is>
          <t>Câu 11 MC</t>
        </is>
      </c>
      <c r="C16" t="inlineStr">
        <is>
          <t>đầy đủ</t>
        </is>
      </c>
      <c r="D16" s="5">
        <f>'04_Item'!F14</f>
        <v/>
      </c>
      <c r="E16" s="5" t="n">
        <v>-2.0665</v>
      </c>
      <c r="F16" s="5">
        <f>ABS(D16-E16)</f>
        <v/>
      </c>
      <c r="J16" t="inlineStr">
        <is>
          <t>15813817884992</t>
        </is>
      </c>
      <c r="K16" s="5">
        <f>'05_NangLuc'!E14</f>
        <v/>
      </c>
      <c r="L16" s="5" t="n">
        <v>0.6261</v>
      </c>
    </row>
    <row r="17">
      <c r="A17" t="inlineStr">
        <is>
          <t>208498750254</t>
        </is>
      </c>
      <c r="B17" t="inlineStr">
        <is>
          <t>Câu 12 MC</t>
        </is>
      </c>
      <c r="C17" t="inlineStr">
        <is>
          <t>đầy đủ</t>
        </is>
      </c>
      <c r="D17" s="5">
        <f>'04_Item'!F15</f>
        <v/>
      </c>
      <c r="E17" s="5" t="n">
        <v>-1.2994</v>
      </c>
      <c r="F17" s="5">
        <f>ABS(D17-E17)</f>
        <v/>
      </c>
      <c r="J17" t="inlineStr">
        <is>
          <t>15813834176636</t>
        </is>
      </c>
      <c r="K17" s="5">
        <f>'05_NangLuc'!E15</f>
        <v/>
      </c>
      <c r="L17" s="5" t="n">
        <v>0.1223</v>
      </c>
    </row>
    <row r="18">
      <c r="A18" t="inlineStr">
        <is>
          <t>208500103341</t>
        </is>
      </c>
      <c r="B18" t="inlineStr">
        <is>
          <t>Câu 13 MC</t>
        </is>
      </c>
      <c r="C18" t="inlineStr">
        <is>
          <t>đầy đủ</t>
        </is>
      </c>
      <c r="D18" s="5">
        <f>'04_Item'!F16</f>
        <v/>
      </c>
      <c r="E18" s="5" t="n">
        <v>-0.0536</v>
      </c>
      <c r="F18" s="5">
        <f>ABS(D18-E18)</f>
        <v/>
      </c>
      <c r="J18" t="inlineStr">
        <is>
          <t>15813834515232</t>
        </is>
      </c>
      <c r="K18" s="5">
        <f>'05_NangLuc'!E16</f>
        <v/>
      </c>
      <c r="L18" s="5" t="n">
        <v>-0.2915</v>
      </c>
    </row>
    <row r="19">
      <c r="A19" t="inlineStr">
        <is>
          <t>208500538567</t>
        </is>
      </c>
      <c r="B19" t="inlineStr">
        <is>
          <t>Câu 22 MC</t>
        </is>
      </c>
      <c r="C19" t="inlineStr">
        <is>
          <t>đầy đủ</t>
        </is>
      </c>
      <c r="D19" s="5">
        <f>'04_Item'!F17</f>
        <v/>
      </c>
      <c r="E19" s="5" t="n">
        <v>0.1791</v>
      </c>
      <c r="F19" s="5">
        <f>ABS(D19-E19)</f>
        <v/>
      </c>
      <c r="J19" t="inlineStr">
        <is>
          <t>15813835269355</t>
        </is>
      </c>
      <c r="K19" s="5">
        <f>'05_NangLuc'!E17</f>
        <v/>
      </c>
      <c r="L19" s="5" t="n">
        <v>0.3631</v>
      </c>
    </row>
    <row r="20">
      <c r="A20" t="inlineStr">
        <is>
          <t>208501397853</t>
        </is>
      </c>
      <c r="B20" t="inlineStr">
        <is>
          <t>Câu 16 MC</t>
        </is>
      </c>
      <c r="C20" t="inlineStr">
        <is>
          <t>đầy đủ</t>
        </is>
      </c>
      <c r="D20" s="5">
        <f>'04_Item'!F18</f>
        <v/>
      </c>
      <c r="E20" s="5" t="n">
        <v>-2.4696</v>
      </c>
      <c r="F20" s="5">
        <f>ABS(D20-E20)</f>
        <v/>
      </c>
      <c r="J20" t="inlineStr">
        <is>
          <t>15813836152589</t>
        </is>
      </c>
      <c r="K20" s="5">
        <f>'05_NangLuc'!E18</f>
        <v/>
      </c>
      <c r="L20" s="5" t="n">
        <v>-0.2562</v>
      </c>
    </row>
    <row r="21">
      <c r="A21" t="inlineStr">
        <is>
          <t>208501882621</t>
        </is>
      </c>
      <c r="B21" t="inlineStr">
        <is>
          <t>Câu 17 MC</t>
        </is>
      </c>
      <c r="C21" t="inlineStr">
        <is>
          <t>đầy đủ</t>
        </is>
      </c>
      <c r="D21" s="5">
        <f>'04_Item'!F19</f>
        <v/>
      </c>
      <c r="E21" s="5" t="n">
        <v>-1.1946</v>
      </c>
      <c r="F21" s="5">
        <f>ABS(D21-E21)</f>
        <v/>
      </c>
      <c r="J21" t="inlineStr">
        <is>
          <t>15813836418152</t>
        </is>
      </c>
      <c r="K21" s="5">
        <f>'05_NangLuc'!E19</f>
        <v/>
      </c>
      <c r="L21" s="5" t="n">
        <v>0.5928</v>
      </c>
    </row>
    <row r="22">
      <c r="A22" t="inlineStr">
        <is>
          <t>208502464537</t>
        </is>
      </c>
      <c r="B22" t="inlineStr">
        <is>
          <t>Câu 18 MC</t>
        </is>
      </c>
      <c r="C22" t="inlineStr">
        <is>
          <t>đầy đủ</t>
        </is>
      </c>
      <c r="D22" s="5">
        <f>'04_Item'!F20</f>
        <v/>
      </c>
      <c r="E22" s="5" t="n">
        <v>-0.1149</v>
      </c>
      <c r="F22" s="5">
        <f>ABS(D22-E22)</f>
        <v/>
      </c>
      <c r="J22" t="inlineStr">
        <is>
          <t>15813836562925</t>
        </is>
      </c>
      <c r="K22" s="5">
        <f>'05_NangLuc'!E20</f>
        <v/>
      </c>
      <c r="L22" s="5" t="n">
        <v>-0.3011</v>
      </c>
    </row>
    <row r="23">
      <c r="A23" t="inlineStr">
        <is>
          <t>208518915377</t>
        </is>
      </c>
      <c r="B23" t="inlineStr">
        <is>
          <t>Câu 14 MC</t>
        </is>
      </c>
      <c r="C23" t="inlineStr">
        <is>
          <t>đầy đủ</t>
        </is>
      </c>
      <c r="D23" s="5">
        <f>'04_Item'!F21</f>
        <v/>
      </c>
      <c r="E23" s="5" t="n">
        <v>-0.2892</v>
      </c>
      <c r="F23" s="5">
        <f>ABS(D23-E23)</f>
        <v/>
      </c>
      <c r="J23" t="inlineStr">
        <is>
          <t>15813836698625</t>
        </is>
      </c>
      <c r="K23" s="5">
        <f>'05_NangLuc'!E21</f>
        <v/>
      </c>
      <c r="L23" s="5" t="n">
        <v>0.8293</v>
      </c>
    </row>
    <row r="24">
      <c r="A24" t="inlineStr">
        <is>
          <t>208519541200</t>
        </is>
      </c>
      <c r="B24" t="inlineStr">
        <is>
          <t>Câu 15 MC</t>
        </is>
      </c>
      <c r="C24" t="inlineStr">
        <is>
          <t>đầy đủ</t>
        </is>
      </c>
      <c r="D24" s="5">
        <f>'04_Item'!F22</f>
        <v/>
      </c>
      <c r="E24" s="5" t="n">
        <v>-0.9756</v>
      </c>
      <c r="F24" s="5">
        <f>ABS(D24-E24)</f>
        <v/>
      </c>
      <c r="J24" t="inlineStr">
        <is>
          <t>15813836853037</t>
        </is>
      </c>
      <c r="K24" s="5">
        <f>'05_NangLuc'!E22</f>
        <v/>
      </c>
      <c r="L24" s="5" t="n">
        <v>1.0148</v>
      </c>
    </row>
    <row r="25">
      <c r="A25" t="inlineStr">
        <is>
          <t>208519949207</t>
        </is>
      </c>
      <c r="B25" t="inlineStr">
        <is>
          <t>Câu 19 MC</t>
        </is>
      </c>
      <c r="C25" t="inlineStr">
        <is>
          <t>đầy đủ</t>
        </is>
      </c>
      <c r="D25" s="5">
        <f>'04_Item'!F23</f>
        <v/>
      </c>
      <c r="E25" s="5" t="n">
        <v>-0.0529</v>
      </c>
      <c r="F25" s="5">
        <f>ABS(D25-E25)</f>
        <v/>
      </c>
      <c r="J25" t="inlineStr">
        <is>
          <t>15813836942213</t>
        </is>
      </c>
      <c r="K25" s="5">
        <f>'05_NangLuc'!E23</f>
        <v/>
      </c>
      <c r="L25" s="5" t="n">
        <v>-3.729</v>
      </c>
    </row>
    <row r="26">
      <c r="A26" t="inlineStr">
        <is>
          <t>208520832930</t>
        </is>
      </c>
      <c r="B26" t="inlineStr">
        <is>
          <t>Câu 20 MC</t>
        </is>
      </c>
      <c r="C26" t="inlineStr">
        <is>
          <t>đầy đủ</t>
        </is>
      </c>
      <c r="D26" s="5">
        <f>'04_Item'!F24</f>
        <v/>
      </c>
      <c r="E26" s="5" t="n">
        <v>0.0225</v>
      </c>
      <c r="F26" s="5">
        <f>ABS(D26-E26)</f>
        <v/>
      </c>
      <c r="J26" t="inlineStr">
        <is>
          <t>15813837029549</t>
        </is>
      </c>
      <c r="K26" s="5">
        <f>'05_NangLuc'!E24</f>
        <v/>
      </c>
      <c r="L26" s="5" t="n">
        <v>-0.5575</v>
      </c>
    </row>
    <row r="27">
      <c r="A27" t="inlineStr">
        <is>
          <t>208521276474</t>
        </is>
      </c>
      <c r="B27" t="inlineStr">
        <is>
          <t>Câu 21 MC</t>
        </is>
      </c>
      <c r="C27" t="inlineStr">
        <is>
          <t>đầy đủ</t>
        </is>
      </c>
      <c r="D27" s="5">
        <f>'04_Item'!F25</f>
        <v/>
      </c>
      <c r="E27" s="5" t="n">
        <v>0.5732</v>
      </c>
      <c r="F27" s="5">
        <f>ABS(D27-E27)</f>
        <v/>
      </c>
      <c r="J27" t="inlineStr">
        <is>
          <t>15813837425218</t>
        </is>
      </c>
      <c r="K27" s="5">
        <f>'05_NangLuc'!E25</f>
        <v/>
      </c>
      <c r="L27" s="5" t="n">
        <v>-0.8608</v>
      </c>
    </row>
    <row r="28">
      <c r="A28" t="inlineStr">
        <is>
          <t>208529022568_a</t>
        </is>
      </c>
      <c r="B28" t="inlineStr">
        <is>
          <t>Câu 25.a TF</t>
        </is>
      </c>
      <c r="C28" t="inlineStr">
        <is>
          <t>đầy đủ</t>
        </is>
      </c>
      <c r="D28" s="5">
        <f>'04_Item'!F26</f>
        <v/>
      </c>
      <c r="E28" s="5" t="n">
        <v>-0.9023</v>
      </c>
      <c r="F28" s="5">
        <f>ABS(D28-E28)</f>
        <v/>
      </c>
      <c r="J28" t="inlineStr">
        <is>
          <t>15813837549840</t>
        </is>
      </c>
      <c r="K28" s="5">
        <f>'05_NangLuc'!E26</f>
        <v/>
      </c>
      <c r="L28" s="5" t="n">
        <v>0.146</v>
      </c>
    </row>
    <row r="29">
      <c r="A29" t="inlineStr">
        <is>
          <t>208529022568_b</t>
        </is>
      </c>
      <c r="B29" t="inlineStr">
        <is>
          <t>Câu 25.b TF</t>
        </is>
      </c>
      <c r="C29" t="inlineStr">
        <is>
          <t>đầy đủ</t>
        </is>
      </c>
      <c r="D29" s="5">
        <f>'04_Item'!F27</f>
        <v/>
      </c>
      <c r="E29" s="5" t="n">
        <v>-1.7251</v>
      </c>
      <c r="F29" s="5">
        <f>ABS(D29-E29)</f>
        <v/>
      </c>
      <c r="J29" t="inlineStr">
        <is>
          <t>15813837731418</t>
        </is>
      </c>
      <c r="K29" s="5">
        <f>'05_NangLuc'!E27</f>
        <v/>
      </c>
      <c r="L29" s="5" t="n">
        <v>-0.4064</v>
      </c>
    </row>
    <row r="30">
      <c r="A30" t="inlineStr">
        <is>
          <t>208529022568_c</t>
        </is>
      </c>
      <c r="B30" t="inlineStr">
        <is>
          <t>Câu 25.c TF</t>
        </is>
      </c>
      <c r="C30" t="inlineStr">
        <is>
          <t>đầy đủ</t>
        </is>
      </c>
      <c r="D30" s="5">
        <f>'04_Item'!F28</f>
        <v/>
      </c>
      <c r="E30" s="5" t="n">
        <v>-0.5676</v>
      </c>
      <c r="F30" s="5">
        <f>ABS(D30-E30)</f>
        <v/>
      </c>
      <c r="J30" t="inlineStr">
        <is>
          <t>15813837911584</t>
        </is>
      </c>
      <c r="K30" s="5">
        <f>'05_NangLuc'!E28</f>
        <v/>
      </c>
      <c r="L30" s="5" t="n">
        <v>0.1328</v>
      </c>
    </row>
    <row r="31">
      <c r="A31" t="inlineStr">
        <is>
          <t>208529022568_d</t>
        </is>
      </c>
      <c r="B31" t="inlineStr">
        <is>
          <t>Câu 25.d TF</t>
        </is>
      </c>
      <c r="C31" t="inlineStr">
        <is>
          <t>đầy đủ</t>
        </is>
      </c>
      <c r="D31" s="5">
        <f>'04_Item'!F29</f>
        <v/>
      </c>
      <c r="E31" s="5" t="n">
        <v>-1.2444</v>
      </c>
      <c r="F31" s="5">
        <f>ABS(D31-E31)</f>
        <v/>
      </c>
      <c r="J31" t="inlineStr">
        <is>
          <t>15813838066017</t>
        </is>
      </c>
      <c r="K31" s="5">
        <f>'05_NangLuc'!E29</f>
        <v/>
      </c>
      <c r="L31" s="5" t="n">
        <v>-0.3568</v>
      </c>
    </row>
    <row r="32">
      <c r="A32" t="inlineStr">
        <is>
          <t>208572448723_a</t>
        </is>
      </c>
      <c r="B32" t="inlineStr">
        <is>
          <t>Câu 26.a TF</t>
        </is>
      </c>
      <c r="C32" t="inlineStr">
        <is>
          <t>đầy đủ</t>
        </is>
      </c>
      <c r="D32" s="5">
        <f>'04_Item'!F34</f>
        <v/>
      </c>
      <c r="E32" s="5" t="n">
        <v>-1.8544</v>
      </c>
      <c r="F32" s="5">
        <f>ABS(D32-E32)</f>
        <v/>
      </c>
      <c r="J32" t="inlineStr">
        <is>
          <t>15813838164392</t>
        </is>
      </c>
      <c r="K32" s="5">
        <f>'05_NangLuc'!E30</f>
        <v/>
      </c>
      <c r="L32" s="5" t="n">
        <v>-0.658</v>
      </c>
    </row>
    <row r="33">
      <c r="A33" t="inlineStr">
        <is>
          <t>208572448723_b</t>
        </is>
      </c>
      <c r="B33" t="inlineStr">
        <is>
          <t>Câu 26.b TF</t>
        </is>
      </c>
      <c r="C33" t="inlineStr">
        <is>
          <t>đầy đủ</t>
        </is>
      </c>
      <c r="D33" s="5">
        <f>'04_Item'!F35</f>
        <v/>
      </c>
      <c r="E33" s="5" t="n">
        <v>-0.4666</v>
      </c>
      <c r="F33" s="5">
        <f>ABS(D33-E33)</f>
        <v/>
      </c>
      <c r="J33" t="inlineStr">
        <is>
          <t>15813838212711</t>
        </is>
      </c>
      <c r="K33" s="5">
        <f>'05_NangLuc'!E31</f>
        <v/>
      </c>
      <c r="L33" s="5" t="n">
        <v>-1.3691</v>
      </c>
    </row>
    <row r="34">
      <c r="A34" t="inlineStr">
        <is>
          <t>208572448723_c</t>
        </is>
      </c>
      <c r="B34" t="inlineStr">
        <is>
          <t>Câu 26.c TF</t>
        </is>
      </c>
      <c r="C34" t="inlineStr">
        <is>
          <t>đầy đủ</t>
        </is>
      </c>
      <c r="D34" s="5">
        <f>'04_Item'!F36</f>
        <v/>
      </c>
      <c r="E34" s="5" t="n">
        <v>0.1601</v>
      </c>
      <c r="F34" s="5">
        <f>ABS(D34-E34)</f>
        <v/>
      </c>
      <c r="J34" t="inlineStr">
        <is>
          <t>15813838376485</t>
        </is>
      </c>
      <c r="K34" s="5">
        <f>'05_NangLuc'!E32</f>
        <v/>
      </c>
      <c r="L34" s="5" t="n">
        <v>0.8941</v>
      </c>
    </row>
    <row r="35">
      <c r="A35" t="inlineStr">
        <is>
          <t>208572448723_d</t>
        </is>
      </c>
      <c r="B35" t="inlineStr">
        <is>
          <t>Câu 26.d TF</t>
        </is>
      </c>
      <c r="C35" t="inlineStr">
        <is>
          <t>đầy đủ</t>
        </is>
      </c>
      <c r="D35" s="5">
        <f>'04_Item'!F37</f>
        <v/>
      </c>
      <c r="E35" s="5" t="n">
        <v>-0.7874</v>
      </c>
      <c r="F35" s="5">
        <f>ABS(D35-E35)</f>
        <v/>
      </c>
      <c r="J35" t="inlineStr">
        <is>
          <t>15813838581109</t>
        </is>
      </c>
      <c r="K35" s="5">
        <f>'05_NangLuc'!E33</f>
        <v/>
      </c>
      <c r="L35" s="5" t="n">
        <v>-0.8608</v>
      </c>
    </row>
    <row r="36">
      <c r="A36" t="inlineStr">
        <is>
          <t>208560377855_a</t>
        </is>
      </c>
      <c r="B36" t="inlineStr">
        <is>
          <t>Câu 27.a TF</t>
        </is>
      </c>
      <c r="C36" t="inlineStr">
        <is>
          <t>nhánh</t>
        </is>
      </c>
      <c r="D36" s="5">
        <f>'04_Item'!F30</f>
        <v/>
      </c>
      <c r="E36" s="5" t="n">
        <v>1.0448</v>
      </c>
      <c r="F36" s="5">
        <f>ABS(D36-E36)</f>
        <v/>
      </c>
      <c r="J36" t="inlineStr">
        <is>
          <t>15813838636693</t>
        </is>
      </c>
      <c r="K36" s="5">
        <f>'05_NangLuc'!E34</f>
        <v/>
      </c>
      <c r="L36" s="5" t="n">
        <v>-0.1845</v>
      </c>
    </row>
    <row r="37">
      <c r="A37" t="inlineStr">
        <is>
          <t>208560377855_b</t>
        </is>
      </c>
      <c r="B37" t="inlineStr">
        <is>
          <t>Câu 27.b TF</t>
        </is>
      </c>
      <c r="C37" t="inlineStr">
        <is>
          <t>nhánh</t>
        </is>
      </c>
      <c r="D37" s="5">
        <f>'04_Item'!F31</f>
        <v/>
      </c>
      <c r="E37" s="5" t="n">
        <v>1.9724</v>
      </c>
      <c r="F37" s="5">
        <f>ABS(D37-E37)</f>
        <v/>
      </c>
      <c r="J37" t="inlineStr">
        <is>
          <t>15813838912964</t>
        </is>
      </c>
      <c r="K37" s="5">
        <f>'05_NangLuc'!E35</f>
        <v/>
      </c>
      <c r="L37" s="5" t="n">
        <v>-1.1739</v>
      </c>
    </row>
    <row r="38">
      <c r="A38" t="inlineStr">
        <is>
          <t>208560377855_c</t>
        </is>
      </c>
      <c r="B38" t="inlineStr">
        <is>
          <t>Câu 27.c TF</t>
        </is>
      </c>
      <c r="C38" t="inlineStr">
        <is>
          <t>nhánh</t>
        </is>
      </c>
      <c r="D38" s="5">
        <f>'04_Item'!F32</f>
        <v/>
      </c>
      <c r="E38" s="5" t="n">
        <v>1.57</v>
      </c>
      <c r="F38" s="5">
        <f>ABS(D38-E38)</f>
        <v/>
      </c>
      <c r="J38" t="inlineStr">
        <is>
          <t>15813839061384</t>
        </is>
      </c>
      <c r="K38" s="5">
        <f>'05_NangLuc'!E36</f>
        <v/>
      </c>
      <c r="L38" s="5" t="n">
        <v>0.1328</v>
      </c>
    </row>
    <row r="39">
      <c r="A39" t="inlineStr">
        <is>
          <t>208560377855_d</t>
        </is>
      </c>
      <c r="B39" t="inlineStr">
        <is>
          <t>Câu 27.d TF</t>
        </is>
      </c>
      <c r="C39" t="inlineStr">
        <is>
          <t>nhánh</t>
        </is>
      </c>
      <c r="D39" s="5">
        <f>'04_Item'!F33</f>
        <v/>
      </c>
      <c r="E39" s="5" t="n">
        <v>1.1384</v>
      </c>
      <c r="F39" s="5">
        <f>ABS(D39-E39)</f>
        <v/>
      </c>
      <c r="J39" t="inlineStr">
        <is>
          <t>15813839162513</t>
        </is>
      </c>
      <c r="K39" s="5">
        <f>'05_NangLuc'!E37</f>
        <v/>
      </c>
      <c r="L39" s="5" t="n">
        <v>0.5928</v>
      </c>
    </row>
    <row r="40">
      <c r="A40" t="inlineStr">
        <is>
          <t>208572588199_a</t>
        </is>
      </c>
      <c r="B40" t="inlineStr">
        <is>
          <t>Câu 28.a TF</t>
        </is>
      </c>
      <c r="C40" t="inlineStr">
        <is>
          <t>nhánh</t>
        </is>
      </c>
      <c r="D40" s="5">
        <f>'04_Item'!F38</f>
        <v/>
      </c>
      <c r="E40" s="5" t="n">
        <v>2.0784</v>
      </c>
      <c r="F40" s="5">
        <f>ABS(D40-E40)</f>
        <v/>
      </c>
      <c r="J40" t="inlineStr">
        <is>
          <t>15813839243038</t>
        </is>
      </c>
      <c r="K40" s="5">
        <f>'05_NangLuc'!E38</f>
        <v/>
      </c>
      <c r="L40" s="5" t="n">
        <v>-0.759</v>
      </c>
    </row>
    <row r="41">
      <c r="A41" t="inlineStr">
        <is>
          <t>208572588199_b</t>
        </is>
      </c>
      <c r="B41" t="inlineStr">
        <is>
          <t>Câu 28.b TF</t>
        </is>
      </c>
      <c r="C41" t="inlineStr">
        <is>
          <t>nhánh</t>
        </is>
      </c>
      <c r="D41" s="5">
        <f>'04_Item'!F39</f>
        <v/>
      </c>
      <c r="E41" s="5" t="n">
        <v>1.2943</v>
      </c>
      <c r="F41" s="5">
        <f>ABS(D41-E41)</f>
        <v/>
      </c>
      <c r="J41" t="inlineStr">
        <is>
          <t>15813839459486</t>
        </is>
      </c>
      <c r="K41" s="5">
        <f>'05_NangLuc'!E39</f>
        <v/>
      </c>
      <c r="L41" s="5" t="n">
        <v>-0.5111</v>
      </c>
    </row>
    <row r="42">
      <c r="A42" t="inlineStr">
        <is>
          <t>208572588199_c</t>
        </is>
      </c>
      <c r="B42" t="inlineStr">
        <is>
          <t>Câu 28.c TF</t>
        </is>
      </c>
      <c r="C42" t="inlineStr">
        <is>
          <t>nhánh</t>
        </is>
      </c>
      <c r="D42" s="5">
        <f>'04_Item'!F40</f>
        <v/>
      </c>
      <c r="E42" s="5" t="n">
        <v>1.2731</v>
      </c>
      <c r="F42" s="5">
        <f>ABS(D42-E42)</f>
        <v/>
      </c>
      <c r="J42" t="inlineStr">
        <is>
          <t>15813839526639</t>
        </is>
      </c>
      <c r="K42" s="5">
        <f>'05_NangLuc'!E40</f>
        <v/>
      </c>
      <c r="L42" s="5" t="n">
        <v>-0.2562</v>
      </c>
    </row>
    <row r="43">
      <c r="A43" t="inlineStr">
        <is>
          <t>208572588199_d</t>
        </is>
      </c>
      <c r="B43" t="inlineStr">
        <is>
          <t>Câu 28.d TF</t>
        </is>
      </c>
      <c r="C43" t="inlineStr">
        <is>
          <t>nhánh</t>
        </is>
      </c>
      <c r="D43" s="5">
        <f>'04_Item'!F41</f>
        <v/>
      </c>
      <c r="E43" s="5" t="n">
        <v>1.7785</v>
      </c>
      <c r="F43" s="5">
        <f>ABS(D43-E43)</f>
        <v/>
      </c>
      <c r="J43" t="inlineStr">
        <is>
          <t>15813839766171</t>
        </is>
      </c>
      <c r="K43" s="5">
        <f>'05_NangLuc'!E41</f>
        <v/>
      </c>
      <c r="L43" s="5" t="n">
        <v>-0.8608</v>
      </c>
    </row>
    <row r="44">
      <c r="A44" t="inlineStr">
        <is>
          <t>208572673790_a</t>
        </is>
      </c>
      <c r="B44" t="inlineStr">
        <is>
          <t>Câu 29.a TF</t>
        </is>
      </c>
      <c r="C44" t="inlineStr">
        <is>
          <t>nhánh</t>
        </is>
      </c>
      <c r="D44" s="5">
        <f>'04_Item'!F42</f>
        <v/>
      </c>
      <c r="E44" s="5" t="n">
        <v>0.709</v>
      </c>
      <c r="F44" s="5">
        <f>ABS(D44-E44)</f>
        <v/>
      </c>
      <c r="J44" t="inlineStr">
        <is>
          <t>15813839839358</t>
        </is>
      </c>
      <c r="K44" s="5">
        <f>'05_NangLuc'!E42</f>
        <v/>
      </c>
      <c r="L44" s="5" t="n">
        <v>0.1546</v>
      </c>
    </row>
    <row r="45">
      <c r="A45" t="inlineStr">
        <is>
          <t>208572673790_b</t>
        </is>
      </c>
      <c r="B45" t="inlineStr">
        <is>
          <t>Câu 29.b TF</t>
        </is>
      </c>
      <c r="C45" t="inlineStr">
        <is>
          <t>nhánh</t>
        </is>
      </c>
      <c r="D45" s="5">
        <f>'04_Item'!F43</f>
        <v/>
      </c>
      <c r="E45" s="5" t="n">
        <v>-0.8095</v>
      </c>
      <c r="F45" s="5">
        <f>ABS(D45-E45)</f>
        <v/>
      </c>
      <c r="J45" t="inlineStr">
        <is>
          <t>15813839979701</t>
        </is>
      </c>
      <c r="K45" s="5">
        <f>'05_NangLuc'!E43</f>
        <v/>
      </c>
      <c r="L45" s="5" t="n">
        <v>0.0502</v>
      </c>
    </row>
    <row r="46">
      <c r="A46" t="inlineStr">
        <is>
          <t>208572673790_c</t>
        </is>
      </c>
      <c r="B46" t="inlineStr">
        <is>
          <t>Câu 29.c TF</t>
        </is>
      </c>
      <c r="C46" t="inlineStr">
        <is>
          <t>nhánh</t>
        </is>
      </c>
      <c r="D46" s="5">
        <f>'04_Item'!F44</f>
        <v/>
      </c>
      <c r="E46" s="5" t="n">
        <v>1.4092</v>
      </c>
      <c r="F46" s="5">
        <f>ABS(D46-E46)</f>
        <v/>
      </c>
      <c r="J46" t="inlineStr">
        <is>
          <t>15813840094746</t>
        </is>
      </c>
      <c r="K46" s="5">
        <f>'05_NangLuc'!E44</f>
        <v/>
      </c>
      <c r="L46" s="5" t="n">
        <v>-0.155</v>
      </c>
    </row>
    <row r="47">
      <c r="A47" t="inlineStr">
        <is>
          <t>208572673790_d</t>
        </is>
      </c>
      <c r="B47" t="inlineStr">
        <is>
          <t>Câu 29.d TF</t>
        </is>
      </c>
      <c r="C47" t="inlineStr">
        <is>
          <t>nhánh</t>
        </is>
      </c>
      <c r="D47" s="5">
        <f>'04_Item'!F45</f>
        <v/>
      </c>
      <c r="E47" s="5" t="n">
        <v>-0.329</v>
      </c>
      <c r="F47" s="5">
        <f>ABS(D47-E47)</f>
        <v/>
      </c>
      <c r="J47" t="inlineStr">
        <is>
          <t>15813840295884</t>
        </is>
      </c>
      <c r="K47" s="5">
        <f>'05_NangLuc'!E45</f>
        <v/>
      </c>
      <c r="L47" s="5" t="n">
        <v>-0.155</v>
      </c>
    </row>
    <row r="48">
      <c r="A48" t="inlineStr">
        <is>
          <t>208576851532_a</t>
        </is>
      </c>
      <c r="B48" t="inlineStr">
        <is>
          <t>Câu 30.a TF</t>
        </is>
      </c>
      <c r="C48" t="inlineStr">
        <is>
          <t>nhánh</t>
        </is>
      </c>
      <c r="D48" s="5">
        <f>'04_Item'!F46</f>
        <v/>
      </c>
      <c r="E48" s="5" t="n">
        <v>-1.173</v>
      </c>
      <c r="F48" s="5">
        <f>ABS(D48-E48)</f>
        <v/>
      </c>
      <c r="J48" t="inlineStr">
        <is>
          <t>15813840397030</t>
        </is>
      </c>
      <c r="K48" s="5">
        <f>'05_NangLuc'!E46</f>
        <v/>
      </c>
      <c r="L48" s="5" t="n">
        <v>0.2458</v>
      </c>
    </row>
    <row r="49">
      <c r="A49" t="inlineStr">
        <is>
          <t>208576851532_b</t>
        </is>
      </c>
      <c r="B49" t="inlineStr">
        <is>
          <t>Câu 30.b TF</t>
        </is>
      </c>
      <c r="C49" t="inlineStr">
        <is>
          <t>nhánh</t>
        </is>
      </c>
      <c r="D49" s="5">
        <f>'04_Item'!F47</f>
        <v/>
      </c>
      <c r="E49" s="5" t="n">
        <v>-0.236</v>
      </c>
      <c r="F49" s="5">
        <f>ABS(D49-E49)</f>
        <v/>
      </c>
      <c r="J49" t="inlineStr">
        <is>
          <t>15813840519510</t>
        </is>
      </c>
      <c r="K49" s="5">
        <f>'05_NangLuc'!E47</f>
        <v/>
      </c>
      <c r="L49" s="5" t="n">
        <v>-0.3406</v>
      </c>
    </row>
    <row r="50">
      <c r="A50" t="inlineStr">
        <is>
          <t>208576851532_c</t>
        </is>
      </c>
      <c r="B50" t="inlineStr">
        <is>
          <t>Câu 30.c TF</t>
        </is>
      </c>
      <c r="C50" t="inlineStr">
        <is>
          <t>nhánh</t>
        </is>
      </c>
      <c r="D50" s="5">
        <f>'04_Item'!F48</f>
        <v/>
      </c>
      <c r="E50" s="5" t="n">
        <v>-0.7638</v>
      </c>
      <c r="F50" s="5">
        <f>ABS(D50-E50)</f>
        <v/>
      </c>
      <c r="J50" t="inlineStr">
        <is>
          <t>15813840724188</t>
        </is>
      </c>
      <c r="K50" s="5">
        <f>'05_NangLuc'!E48</f>
        <v/>
      </c>
      <c r="L50" s="5" t="n">
        <v>0.7092000000000001</v>
      </c>
    </row>
    <row r="51">
      <c r="A51" t="inlineStr">
        <is>
          <t>208576851532_d</t>
        </is>
      </c>
      <c r="B51" t="inlineStr">
        <is>
          <t>Câu 30.d TF</t>
        </is>
      </c>
      <c r="C51" t="inlineStr">
        <is>
          <t>nhánh</t>
        </is>
      </c>
      <c r="D51" s="5">
        <f>'04_Item'!F49</f>
        <v/>
      </c>
      <c r="E51" s="5" t="n">
        <v>-1.0474</v>
      </c>
      <c r="F51" s="5">
        <f>ABS(D51-E51)</f>
        <v/>
      </c>
      <c r="J51" t="inlineStr">
        <is>
          <t>15813843373126</t>
        </is>
      </c>
      <c r="K51" s="5">
        <f>'05_NangLuc'!E49</f>
        <v/>
      </c>
      <c r="L51" s="5" t="n">
        <v>-0.5575</v>
      </c>
    </row>
    <row r="52">
      <c r="J52" t="inlineStr">
        <is>
          <t>15813845765482</t>
        </is>
      </c>
      <c r="K52" s="5">
        <f>'05_NangLuc'!E50</f>
        <v/>
      </c>
      <c r="L52" s="5" t="n">
        <v>-2.8669</v>
      </c>
    </row>
    <row r="53">
      <c r="B53" s="4" t="inlineStr">
        <is>
          <t>cor(b) TẤT CẢ item</t>
        </is>
      </c>
      <c r="D53" s="5">
        <f>CORREL(D4:D51,E4:E51)</f>
        <v/>
      </c>
      <c r="J53" t="inlineStr">
        <is>
          <t>15813864363687</t>
        </is>
      </c>
      <c r="K53" s="5">
        <f>'05_NangLuc'!E51</f>
        <v/>
      </c>
      <c r="L53" s="5" t="n">
        <v>1.0148</v>
      </c>
    </row>
    <row r="54">
      <c r="B54" s="4" t="inlineStr">
        <is>
          <t>cor(b) chỉ 32 câu ĐẦY ĐỦ</t>
        </is>
      </c>
      <c r="D54" s="5">
        <f>CORREL(D4:D35,E4:E35)</f>
        <v/>
      </c>
      <c r="J54" t="inlineStr">
        <is>
          <t>15813867832894</t>
        </is>
      </c>
      <c r="K54" s="5">
        <f>'05_NangLuc'!E52</f>
        <v/>
      </c>
      <c r="L54" s="5" t="n">
        <v>-0.7288</v>
      </c>
    </row>
    <row r="55">
      <c r="B55" s="4" t="inlineStr">
        <is>
          <t>cor(b) câu NHÁNH</t>
        </is>
      </c>
      <c r="D55" s="5">
        <f>CORREL(D36:D51,E36:E51)</f>
        <v/>
      </c>
      <c r="J55" t="inlineStr">
        <is>
          <t>15813868065255</t>
        </is>
      </c>
      <c r="K55" s="5">
        <f>'05_NangLuc'!E53</f>
        <v/>
      </c>
      <c r="L55" s="5" t="n">
        <v>-0.155</v>
      </c>
    </row>
    <row r="56">
      <c r="J56" t="inlineStr">
        <is>
          <t>158476935386</t>
        </is>
      </c>
      <c r="K56" s="5">
        <f>'05_NangLuc'!E54</f>
        <v/>
      </c>
      <c r="L56" s="5" t="n">
        <v>-3.8415</v>
      </c>
    </row>
    <row r="57">
      <c r="A57" s="8" t="inlineStr">
        <is>
          <t>→ Trên câu đầy đủ dữ liệu Excel≈mirt gần khít; câu nhánh lệch hơn (JMLE vs MMLE, khuyết có cấu trúc).</t>
        </is>
      </c>
      <c r="J57" t="inlineStr">
        <is>
          <t>15952520413370</t>
        </is>
      </c>
      <c r="K57" s="5">
        <f>'05_NangLuc'!E55</f>
        <v/>
      </c>
      <c r="L57" s="5" t="n">
        <v>-0.053</v>
      </c>
    </row>
    <row r="58">
      <c r="J58" t="inlineStr">
        <is>
          <t>16066654516916</t>
        </is>
      </c>
      <c r="K58" s="5">
        <f>'05_NangLuc'!E56</f>
        <v/>
      </c>
      <c r="L58" s="5" t="n">
        <v>-0.4572</v>
      </c>
    </row>
    <row r="59">
      <c r="J59" t="inlineStr">
        <is>
          <t>16066657156876</t>
        </is>
      </c>
      <c r="K59" s="5">
        <f>'05_NangLuc'!E57</f>
        <v/>
      </c>
      <c r="L59" s="5" t="n">
        <v>-0.3005</v>
      </c>
    </row>
    <row r="60">
      <c r="J60" t="inlineStr">
        <is>
          <t>16066657425375</t>
        </is>
      </c>
      <c r="K60" s="5">
        <f>'05_NangLuc'!E58</f>
        <v/>
      </c>
      <c r="L60" s="5" t="n">
        <v>1.6109</v>
      </c>
    </row>
    <row r="61">
      <c r="J61" t="inlineStr">
        <is>
          <t>16066658325441</t>
        </is>
      </c>
      <c r="K61" s="5">
        <f>'05_NangLuc'!E59</f>
        <v/>
      </c>
      <c r="L61" s="5" t="n">
        <v>-0.2562</v>
      </c>
    </row>
    <row r="62">
      <c r="J62" t="inlineStr">
        <is>
          <t>16356720917693</t>
        </is>
      </c>
      <c r="K62" s="5">
        <f>'05_NangLuc'!E60</f>
        <v/>
      </c>
      <c r="L62" s="5" t="n">
        <v>0.6078</v>
      </c>
    </row>
    <row r="63">
      <c r="J63" t="inlineStr">
        <is>
          <t>16364972490792</t>
        </is>
      </c>
      <c r="K63" s="5">
        <f>'05_NangLuc'!E61</f>
        <v/>
      </c>
      <c r="L63" s="5" t="n">
        <v>-0.4064</v>
      </c>
    </row>
    <row r="64">
      <c r="J64" t="inlineStr">
        <is>
          <t>16364972576152</t>
        </is>
      </c>
      <c r="K64" s="5">
        <f>'05_NangLuc'!E62</f>
        <v/>
      </c>
      <c r="L64" s="5" t="n">
        <v>-0.8608</v>
      </c>
    </row>
    <row r="65">
      <c r="J65" t="inlineStr">
        <is>
          <t>16364972673773</t>
        </is>
      </c>
      <c r="K65" s="5">
        <f>'05_NangLuc'!E63</f>
        <v/>
      </c>
      <c r="L65" s="5" t="n">
        <v>-0.7366</v>
      </c>
    </row>
    <row r="66">
      <c r="J66" t="inlineStr">
        <is>
          <t>16364972711539</t>
        </is>
      </c>
      <c r="K66" s="5">
        <f>'05_NangLuc'!E64</f>
        <v/>
      </c>
      <c r="L66" s="5" t="n">
        <v>-0.7131</v>
      </c>
    </row>
    <row r="67">
      <c r="J67" t="inlineStr">
        <is>
          <t>16364972963733</t>
        </is>
      </c>
      <c r="K67" s="5">
        <f>'05_NangLuc'!E65</f>
        <v/>
      </c>
      <c r="L67" s="5" t="n">
        <v>-0.4064</v>
      </c>
    </row>
    <row r="68">
      <c r="J68" t="inlineStr">
        <is>
          <t>16364973056366</t>
        </is>
      </c>
      <c r="K68" s="5">
        <f>'05_NangLuc'!E66</f>
        <v/>
      </c>
      <c r="L68" s="5" t="n">
        <v>-0.3011</v>
      </c>
    </row>
    <row r="69">
      <c r="J69" t="inlineStr">
        <is>
          <t>16364973189494</t>
        </is>
      </c>
      <c r="K69" s="5">
        <f>'05_NangLuc'!E67</f>
        <v/>
      </c>
      <c r="L69" s="5" t="n">
        <v>-0.6708</v>
      </c>
    </row>
    <row r="70">
      <c r="J70" t="inlineStr">
        <is>
          <t>16364973284754</t>
        </is>
      </c>
      <c r="K70" s="5">
        <f>'05_NangLuc'!E68</f>
        <v/>
      </c>
      <c r="L70" s="5" t="n">
        <v>-0.4858</v>
      </c>
    </row>
    <row r="71">
      <c r="J71" t="inlineStr">
        <is>
          <t>16364973367709</t>
        </is>
      </c>
      <c r="K71" s="5">
        <f>'05_NangLuc'!E69</f>
        <v/>
      </c>
      <c r="L71" s="5" t="n">
        <v>-0.1949</v>
      </c>
    </row>
    <row r="72">
      <c r="J72" t="inlineStr">
        <is>
          <t>16364973437002</t>
        </is>
      </c>
      <c r="K72" s="5">
        <f>'05_NangLuc'!E70</f>
        <v/>
      </c>
      <c r="L72" s="5" t="n">
        <v>-0.8252</v>
      </c>
    </row>
    <row r="73">
      <c r="J73" t="inlineStr">
        <is>
          <t>16364973533179</t>
        </is>
      </c>
      <c r="K73" s="5">
        <f>'05_NangLuc'!E71</f>
        <v/>
      </c>
      <c r="L73" s="5" t="n">
        <v>-0.053</v>
      </c>
    </row>
    <row r="74">
      <c r="J74" t="inlineStr">
        <is>
          <t>16364973675944</t>
        </is>
      </c>
      <c r="K74" s="5">
        <f>'05_NangLuc'!E72</f>
        <v/>
      </c>
      <c r="L74" s="5" t="n">
        <v>-0.608</v>
      </c>
    </row>
    <row r="75">
      <c r="J75" t="inlineStr">
        <is>
          <t>16364973736119</t>
        </is>
      </c>
      <c r="K75" s="5">
        <f>'05_NangLuc'!E73</f>
        <v/>
      </c>
      <c r="L75" s="5" t="n">
        <v>-0.9754</v>
      </c>
    </row>
    <row r="76">
      <c r="J76" t="inlineStr">
        <is>
          <t>16364973852990</t>
        </is>
      </c>
      <c r="K76" s="5">
        <f>'05_NangLuc'!E74</f>
        <v/>
      </c>
      <c r="L76" s="5" t="n">
        <v>-0.3646</v>
      </c>
    </row>
    <row r="77">
      <c r="J77" t="inlineStr">
        <is>
          <t>16364973935487</t>
        </is>
      </c>
      <c r="K77" s="5">
        <f>'05_NangLuc'!E75</f>
        <v/>
      </c>
      <c r="L77" s="5" t="n">
        <v>-0.08740000000000001</v>
      </c>
    </row>
    <row r="78">
      <c r="J78" t="inlineStr">
        <is>
          <t>16364974041420</t>
        </is>
      </c>
      <c r="K78" s="5">
        <f>'05_NangLuc'!E76</f>
        <v/>
      </c>
      <c r="L78" s="5" t="n">
        <v>-0.6708</v>
      </c>
    </row>
    <row r="79">
      <c r="J79" t="inlineStr">
        <is>
          <t>16364974175529</t>
        </is>
      </c>
      <c r="K79" s="5">
        <f>'05_NangLuc'!E77</f>
        <v/>
      </c>
      <c r="L79" s="5" t="n">
        <v>-0.155</v>
      </c>
    </row>
    <row r="80">
      <c r="J80" t="inlineStr">
        <is>
          <t>16364974246723</t>
        </is>
      </c>
      <c r="K80" s="5">
        <f>'05_NangLuc'!E78</f>
        <v/>
      </c>
      <c r="L80" s="5" t="n">
        <v>0.0502</v>
      </c>
    </row>
    <row r="81">
      <c r="J81" t="inlineStr">
        <is>
          <t>16364974342902</t>
        </is>
      </c>
      <c r="K81" s="5">
        <f>'05_NangLuc'!E79</f>
        <v/>
      </c>
      <c r="L81" s="5" t="n">
        <v>-0.658</v>
      </c>
    </row>
    <row r="82">
      <c r="J82" t="inlineStr">
        <is>
          <t>16364974473386</t>
        </is>
      </c>
      <c r="K82" s="5">
        <f>'05_NangLuc'!E80</f>
        <v/>
      </c>
      <c r="L82" s="5" t="n">
        <v>0.1546</v>
      </c>
    </row>
    <row r="83">
      <c r="J83" t="inlineStr">
        <is>
          <t>16364974617475</t>
        </is>
      </c>
      <c r="K83" s="5">
        <f>'05_NangLuc'!E81</f>
        <v/>
      </c>
      <c r="L83" s="5" t="n">
        <v>-0.4064</v>
      </c>
    </row>
    <row r="84">
      <c r="J84" t="inlineStr">
        <is>
          <t>16364974750030</t>
        </is>
      </c>
      <c r="K84" s="5">
        <f>'05_NangLuc'!E82</f>
        <v/>
      </c>
      <c r="L84" s="5" t="n">
        <v>-0.4858</v>
      </c>
    </row>
    <row r="85">
      <c r="J85" t="inlineStr">
        <is>
          <t>16364974856428</t>
        </is>
      </c>
      <c r="K85" s="5">
        <f>'05_NangLuc'!E83</f>
        <v/>
      </c>
      <c r="L85" s="5" t="n">
        <v>0.0339</v>
      </c>
    </row>
    <row r="86">
      <c r="J86" t="inlineStr">
        <is>
          <t>16368739497171</t>
        </is>
      </c>
      <c r="K86" s="5">
        <f>'05_NangLuc'!E84</f>
        <v/>
      </c>
      <c r="L86" s="5" t="n">
        <v>-0.155</v>
      </c>
    </row>
    <row r="87">
      <c r="J87" t="inlineStr">
        <is>
          <t>16368739927649</t>
        </is>
      </c>
      <c r="K87" s="5">
        <f>'05_NangLuc'!E85</f>
        <v/>
      </c>
      <c r="L87" s="5" t="n">
        <v>0.5206</v>
      </c>
    </row>
    <row r="88">
      <c r="J88" t="inlineStr">
        <is>
          <t>16368740090020</t>
        </is>
      </c>
      <c r="K88" s="5">
        <f>'05_NangLuc'!E86</f>
        <v/>
      </c>
      <c r="L88" s="5" t="n">
        <v>0.7401</v>
      </c>
    </row>
    <row r="89">
      <c r="J89" t="inlineStr">
        <is>
          <t>16368740322222</t>
        </is>
      </c>
      <c r="K89" s="5">
        <f>'05_NangLuc'!E87</f>
        <v/>
      </c>
      <c r="L89" s="5" t="n">
        <v>1.1908</v>
      </c>
    </row>
    <row r="90">
      <c r="J90" t="inlineStr">
        <is>
          <t>16368741462833</t>
        </is>
      </c>
      <c r="K90" s="5">
        <f>'05_NangLuc'!E88</f>
        <v/>
      </c>
      <c r="L90" s="5" t="n">
        <v>-0.053</v>
      </c>
    </row>
    <row r="91">
      <c r="J91" t="inlineStr">
        <is>
          <t>16368741775584</t>
        </is>
      </c>
      <c r="K91" s="5">
        <f>'05_NangLuc'!E89</f>
        <v/>
      </c>
      <c r="L91" s="5" t="n">
        <v>0.5928</v>
      </c>
    </row>
    <row r="92">
      <c r="J92" t="inlineStr">
        <is>
          <t>16368742369647</t>
        </is>
      </c>
      <c r="K92" s="5">
        <f>'05_NangLuc'!E90</f>
        <v/>
      </c>
      <c r="L92" s="5" t="n">
        <v>0.8941</v>
      </c>
    </row>
    <row r="93">
      <c r="J93" t="inlineStr">
        <is>
          <t>16368751454698</t>
        </is>
      </c>
      <c r="K93" s="5">
        <f>'05_NangLuc'!E91</f>
        <v/>
      </c>
      <c r="L93" s="5" t="n">
        <v>0.0502</v>
      </c>
    </row>
    <row r="94">
      <c r="J94" t="inlineStr">
        <is>
          <t>16368751585188</t>
        </is>
      </c>
      <c r="K94" s="5">
        <f>'05_NangLuc'!E92</f>
        <v/>
      </c>
      <c r="L94" s="5" t="n">
        <v>-0.5575</v>
      </c>
    </row>
    <row r="95">
      <c r="J95" t="inlineStr">
        <is>
          <t>16368752217762</t>
        </is>
      </c>
      <c r="K95" s="5">
        <f>'05_NangLuc'!E93</f>
        <v/>
      </c>
      <c r="L95" s="5" t="n">
        <v>-0.4572</v>
      </c>
    </row>
    <row r="96">
      <c r="J96" t="inlineStr">
        <is>
          <t>16368752389916</t>
        </is>
      </c>
      <c r="K96" s="5">
        <f>'05_NangLuc'!E94</f>
        <v/>
      </c>
      <c r="L96" s="5" t="n">
        <v>1.3536</v>
      </c>
    </row>
    <row r="97">
      <c r="J97" t="inlineStr">
        <is>
          <t>16368752525227</t>
        </is>
      </c>
      <c r="K97" s="5">
        <f>'05_NangLuc'!E95</f>
        <v/>
      </c>
      <c r="L97" s="5" t="n">
        <v>-0.155</v>
      </c>
    </row>
    <row r="98">
      <c r="J98" t="inlineStr">
        <is>
          <t>16368752611681</t>
        </is>
      </c>
      <c r="K98" s="5">
        <f>'05_NangLuc'!E96</f>
        <v/>
      </c>
      <c r="L98" s="5" t="n">
        <v>0.6261</v>
      </c>
    </row>
    <row r="99">
      <c r="J99" t="inlineStr">
        <is>
          <t>16368753171859</t>
        </is>
      </c>
      <c r="K99" s="5">
        <f>'05_NangLuc'!E97</f>
        <v/>
      </c>
      <c r="L99" s="5" t="n">
        <v>0.5928</v>
      </c>
    </row>
    <row r="100">
      <c r="J100" t="inlineStr">
        <is>
          <t>16368753422462</t>
        </is>
      </c>
      <c r="K100" s="5">
        <f>'05_NangLuc'!E98</f>
        <v/>
      </c>
      <c r="L100" s="5" t="n">
        <v>0.0502</v>
      </c>
    </row>
    <row r="101">
      <c r="J101" t="inlineStr">
        <is>
          <t>16368754512001</t>
        </is>
      </c>
      <c r="K101" s="5">
        <f>'05_NangLuc'!E99</f>
        <v/>
      </c>
      <c r="L101" s="5" t="n">
        <v>0.369</v>
      </c>
    </row>
    <row r="102">
      <c r="J102" t="inlineStr">
        <is>
          <t>16368755363874</t>
        </is>
      </c>
      <c r="K102" s="5">
        <f>'05_NangLuc'!E100</f>
        <v/>
      </c>
      <c r="L102" s="5" t="n">
        <v>-0.3646</v>
      </c>
    </row>
    <row r="103">
      <c r="J103" t="inlineStr">
        <is>
          <t>16368755777572</t>
        </is>
      </c>
      <c r="K103" s="5">
        <f>'05_NangLuc'!E101</f>
        <v/>
      </c>
      <c r="L103" s="5" t="n">
        <v>0.7571</v>
      </c>
    </row>
    <row r="104">
      <c r="J104" t="inlineStr">
        <is>
          <t>16368755936685</t>
        </is>
      </c>
      <c r="K104" s="5">
        <f>'05_NangLuc'!E102</f>
        <v/>
      </c>
      <c r="L104" s="5" t="n">
        <v>1.218</v>
      </c>
    </row>
    <row r="105">
      <c r="J105" t="inlineStr">
        <is>
          <t>16368756127467</t>
        </is>
      </c>
      <c r="K105" s="5">
        <f>'05_NangLuc'!E103</f>
        <v/>
      </c>
      <c r="L105" s="5" t="n">
        <v>1.5288</v>
      </c>
    </row>
    <row r="106">
      <c r="J106" t="inlineStr">
        <is>
          <t>16368756362410</t>
        </is>
      </c>
      <c r="K106" s="5">
        <f>'05_NangLuc'!E104</f>
        <v/>
      </c>
      <c r="L106" s="5" t="n">
        <v>-0.9637</v>
      </c>
    </row>
    <row r="107">
      <c r="J107" t="inlineStr">
        <is>
          <t>16368756499889</t>
        </is>
      </c>
      <c r="K107" s="5">
        <f>'05_NangLuc'!E105</f>
        <v/>
      </c>
      <c r="L107" s="5" t="n">
        <v>-0.6156</v>
      </c>
    </row>
    <row r="108">
      <c r="J108" t="inlineStr">
        <is>
          <t>16368756682893</t>
        </is>
      </c>
      <c r="K108" s="5">
        <f>'05_NangLuc'!E106</f>
        <v/>
      </c>
      <c r="L108" s="5" t="n">
        <v>0.1546</v>
      </c>
    </row>
    <row r="109">
      <c r="J109" t="inlineStr">
        <is>
          <t>16368756781805</t>
        </is>
      </c>
      <c r="K109" s="5">
        <f>'05_NangLuc'!E107</f>
        <v/>
      </c>
      <c r="L109" s="5" t="n">
        <v>0.369</v>
      </c>
    </row>
    <row r="110">
      <c r="J110" t="inlineStr">
        <is>
          <t>16368757681161</t>
        </is>
      </c>
      <c r="K110" s="5">
        <f>'05_NangLuc'!E108</f>
        <v/>
      </c>
      <c r="L110" s="5" t="n">
        <v>0.3631</v>
      </c>
    </row>
    <row r="111">
      <c r="J111" t="inlineStr">
        <is>
          <t>16368758334965</t>
        </is>
      </c>
      <c r="K111" s="5">
        <f>'05_NangLuc'!E109</f>
        <v/>
      </c>
      <c r="L111" s="5" t="n">
        <v>-0.2562</v>
      </c>
    </row>
    <row r="112">
      <c r="J112" t="inlineStr">
        <is>
          <t>16368759967146</t>
        </is>
      </c>
      <c r="K112" s="5">
        <f>'05_NangLuc'!E110</f>
        <v/>
      </c>
      <c r="L112" s="5" t="n">
        <v>1.2656</v>
      </c>
    </row>
    <row r="113">
      <c r="J113" t="inlineStr">
        <is>
          <t>16379469434104</t>
        </is>
      </c>
      <c r="K113" s="5">
        <f>'05_NangLuc'!E111</f>
        <v/>
      </c>
      <c r="L113" s="5" t="n">
        <v>-1.7812</v>
      </c>
    </row>
    <row r="114">
      <c r="J114" t="inlineStr">
        <is>
          <t>16416054731076</t>
        </is>
      </c>
      <c r="K114" s="5">
        <f>'05_NangLuc'!E112</f>
        <v/>
      </c>
      <c r="L114" s="5" t="n">
        <v>2.8548</v>
      </c>
    </row>
    <row r="115">
      <c r="J115" t="inlineStr">
        <is>
          <t>16462709326199</t>
        </is>
      </c>
      <c r="K115" s="5">
        <f>'05_NangLuc'!E113</f>
        <v/>
      </c>
      <c r="L115" s="5" t="n">
        <v>-0.155</v>
      </c>
    </row>
    <row r="116">
      <c r="J116" t="inlineStr">
        <is>
          <t>16463363922937</t>
        </is>
      </c>
      <c r="K116" s="5">
        <f>'05_NangLuc'!E114</f>
        <v/>
      </c>
      <c r="L116" s="5" t="n">
        <v>1.621</v>
      </c>
    </row>
    <row r="117">
      <c r="J117" t="inlineStr">
        <is>
          <t>16463371871427</t>
        </is>
      </c>
      <c r="K117" s="5">
        <f>'05_NangLuc'!E115</f>
        <v/>
      </c>
      <c r="L117" s="5" t="n">
        <v>0.1474</v>
      </c>
    </row>
    <row r="118">
      <c r="J118" t="inlineStr">
        <is>
          <t>16468001373848</t>
        </is>
      </c>
      <c r="K118" s="5">
        <f>'05_NangLuc'!E116</f>
        <v/>
      </c>
      <c r="L118" s="5" t="n">
        <v>-1.2295</v>
      </c>
    </row>
    <row r="119">
      <c r="J119" t="inlineStr">
        <is>
          <t>16560569853337</t>
        </is>
      </c>
      <c r="K119" s="5">
        <f>'05_NangLuc'!E117</f>
        <v/>
      </c>
      <c r="L119" s="5" t="n">
        <v>0.5928</v>
      </c>
    </row>
    <row r="120">
      <c r="J120" t="inlineStr">
        <is>
          <t>16560570192528</t>
        </is>
      </c>
      <c r="K120" s="5">
        <f>'05_NangLuc'!E118</f>
        <v/>
      </c>
      <c r="L120" s="5" t="n">
        <v>0.0339</v>
      </c>
    </row>
    <row r="121">
      <c r="J121" t="inlineStr">
        <is>
          <t>16560574826128</t>
        </is>
      </c>
      <c r="K121" s="5">
        <f>'05_NangLuc'!E119</f>
        <v/>
      </c>
      <c r="L121" s="5" t="n">
        <v>0.2608</v>
      </c>
    </row>
    <row r="122">
      <c r="J122" t="inlineStr">
        <is>
          <t>16560583295708</t>
        </is>
      </c>
      <c r="K122" s="5">
        <f>'05_NangLuc'!E120</f>
        <v/>
      </c>
      <c r="L122" s="5" t="n">
        <v>-3.729</v>
      </c>
    </row>
    <row r="123">
      <c r="J123" t="inlineStr">
        <is>
          <t>16560588128250</t>
        </is>
      </c>
      <c r="K123" s="5">
        <f>'05_NangLuc'!E121</f>
        <v/>
      </c>
      <c r="L123" s="5" t="n">
        <v>-3.729</v>
      </c>
    </row>
    <row r="124">
      <c r="J124" t="inlineStr">
        <is>
          <t>16620384214115</t>
        </is>
      </c>
      <c r="K124" s="5">
        <f>'05_NangLuc'!E122</f>
        <v/>
      </c>
      <c r="L124" s="5" t="n">
        <v>-0.2429</v>
      </c>
    </row>
    <row r="125">
      <c r="J125" t="inlineStr">
        <is>
          <t>16620411757957</t>
        </is>
      </c>
      <c r="K125" s="5">
        <f>'05_NangLuc'!E123</f>
        <v/>
      </c>
      <c r="L125" s="5" t="n">
        <v>-0.4572</v>
      </c>
    </row>
    <row r="126">
      <c r="J126" t="inlineStr">
        <is>
          <t>16620417978769</t>
        </is>
      </c>
      <c r="K126" s="5">
        <f>'05_NangLuc'!E124</f>
        <v/>
      </c>
      <c r="L126" s="5" t="n">
        <v>-0.6071</v>
      </c>
    </row>
    <row r="127">
      <c r="J127" t="inlineStr">
        <is>
          <t>16620418565854</t>
        </is>
      </c>
      <c r="K127" s="5">
        <f>'05_NangLuc'!E125</f>
        <v/>
      </c>
      <c r="L127" s="5" t="n">
        <v>-0.1845</v>
      </c>
    </row>
    <row r="128">
      <c r="J128" t="inlineStr">
        <is>
          <t>16620418891410</t>
        </is>
      </c>
      <c r="K128" s="5">
        <f>'05_NangLuc'!E126</f>
        <v/>
      </c>
      <c r="L128" s="5" t="n">
        <v>0.2458</v>
      </c>
    </row>
    <row r="129">
      <c r="J129" t="inlineStr">
        <is>
          <t>16620419840455</t>
        </is>
      </c>
      <c r="K129" s="5">
        <f>'05_NangLuc'!E127</f>
        <v/>
      </c>
      <c r="L129" s="5" t="n">
        <v>-0.2562</v>
      </c>
    </row>
    <row r="130">
      <c r="J130" t="inlineStr">
        <is>
          <t>16698390078034</t>
        </is>
      </c>
      <c r="K130" s="5">
        <f>'05_NangLuc'!E128</f>
        <v/>
      </c>
      <c r="L130" s="5" t="n">
        <v>-0.7131</v>
      </c>
    </row>
    <row r="131">
      <c r="J131" t="inlineStr">
        <is>
          <t>16698390194397</t>
        </is>
      </c>
      <c r="K131" s="5">
        <f>'05_NangLuc'!E129</f>
        <v/>
      </c>
      <c r="L131" s="5" t="n">
        <v>-0.5575</v>
      </c>
    </row>
    <row r="132">
      <c r="J132" t="inlineStr">
        <is>
          <t>16698390378684</t>
        </is>
      </c>
      <c r="K132" s="5">
        <f>'05_NangLuc'!E130</f>
        <v/>
      </c>
      <c r="L132" s="5" t="n">
        <v>1.8393</v>
      </c>
    </row>
    <row r="133">
      <c r="J133" t="inlineStr">
        <is>
          <t>16698390533352</t>
        </is>
      </c>
      <c r="K133" s="5">
        <f>'05_NangLuc'!E131</f>
        <v/>
      </c>
      <c r="L133" s="5" t="n">
        <v>-0.2562</v>
      </c>
    </row>
    <row r="134">
      <c r="J134" t="inlineStr">
        <is>
          <t>16698391021044</t>
        </is>
      </c>
      <c r="K134" s="5">
        <f>'05_NangLuc'!E132</f>
        <v/>
      </c>
      <c r="L134" s="5" t="n">
        <v>0.0502</v>
      </c>
    </row>
    <row r="135">
      <c r="J135" t="inlineStr">
        <is>
          <t>16698391435363</t>
        </is>
      </c>
      <c r="K135" s="5">
        <f>'05_NangLuc'!E133</f>
        <v/>
      </c>
      <c r="L135" s="5" t="n">
        <v>2.0241</v>
      </c>
    </row>
    <row r="136">
      <c r="J136" t="inlineStr">
        <is>
          <t>16698391523401</t>
        </is>
      </c>
      <c r="K136" s="5">
        <f>'05_NangLuc'!E134</f>
        <v/>
      </c>
      <c r="L136" s="5" t="n">
        <v>1.218</v>
      </c>
    </row>
    <row r="137">
      <c r="J137" t="inlineStr">
        <is>
          <t>16698391693592</t>
        </is>
      </c>
      <c r="K137" s="5">
        <f>'05_NangLuc'!E135</f>
        <v/>
      </c>
      <c r="L137" s="5" t="n">
        <v>0.8941</v>
      </c>
    </row>
    <row r="138">
      <c r="J138" t="inlineStr">
        <is>
          <t>16698391881198</t>
        </is>
      </c>
      <c r="K138" s="5">
        <f>'05_NangLuc'!E136</f>
        <v/>
      </c>
      <c r="L138" s="5" t="n">
        <v>1.3262</v>
      </c>
    </row>
    <row r="139">
      <c r="J139" t="inlineStr">
        <is>
          <t>16698392345355</t>
        </is>
      </c>
      <c r="K139" s="5">
        <f>'05_NangLuc'!E137</f>
        <v/>
      </c>
      <c r="L139" s="5" t="n">
        <v>0.2608</v>
      </c>
    </row>
    <row r="140">
      <c r="J140" t="inlineStr">
        <is>
          <t>16698392425123</t>
        </is>
      </c>
      <c r="K140" s="5">
        <f>'05_NangLuc'!E138</f>
        <v/>
      </c>
      <c r="L140" s="5" t="n">
        <v>0.7092000000000001</v>
      </c>
    </row>
    <row r="141">
      <c r="J141" t="inlineStr">
        <is>
          <t>16698392553391</t>
        </is>
      </c>
      <c r="K141" s="5">
        <f>'05_NangLuc'!E139</f>
        <v/>
      </c>
      <c r="L141" s="5" t="n">
        <v>0.7092000000000001</v>
      </c>
    </row>
    <row r="142">
      <c r="J142" t="inlineStr">
        <is>
          <t>16698392779859</t>
        </is>
      </c>
      <c r="K142" s="5">
        <f>'05_NangLuc'!E140</f>
        <v/>
      </c>
      <c r="L142" s="5" t="n">
        <v>0.7372</v>
      </c>
    </row>
    <row r="143">
      <c r="J143" t="inlineStr">
        <is>
          <t>16698392831078</t>
        </is>
      </c>
      <c r="K143" s="5">
        <f>'05_NangLuc'!E141</f>
        <v/>
      </c>
      <c r="L143" s="5" t="n">
        <v>0.2608</v>
      </c>
    </row>
    <row r="144">
      <c r="J144" t="inlineStr">
        <is>
          <t>16698393296147</t>
        </is>
      </c>
      <c r="K144" s="5">
        <f>'05_NangLuc'!E142</f>
        <v/>
      </c>
      <c r="L144" s="5" t="n">
        <v>-0.4572</v>
      </c>
    </row>
    <row r="145">
      <c r="J145" t="inlineStr">
        <is>
          <t>16698393440879</t>
        </is>
      </c>
      <c r="K145" s="5">
        <f>'05_NangLuc'!E143</f>
        <v/>
      </c>
      <c r="L145" s="5" t="n">
        <v>1.083</v>
      </c>
    </row>
    <row r="146">
      <c r="J146" t="inlineStr">
        <is>
          <t>16698393596411</t>
        </is>
      </c>
      <c r="K146" s="5">
        <f>'05_NangLuc'!E144</f>
        <v/>
      </c>
      <c r="L146" s="5" t="n">
        <v>0.7092000000000001</v>
      </c>
    </row>
    <row r="147">
      <c r="J147" t="inlineStr">
        <is>
          <t>16698393678738</t>
        </is>
      </c>
      <c r="K147" s="5">
        <f>'05_NangLuc'!E145</f>
        <v/>
      </c>
      <c r="L147" s="5" t="n">
        <v>0.4795</v>
      </c>
    </row>
    <row r="148">
      <c r="J148" t="inlineStr">
        <is>
          <t>16698393911563</t>
        </is>
      </c>
      <c r="K148" s="5">
        <f>'05_NangLuc'!E146</f>
        <v/>
      </c>
      <c r="L148" s="5" t="n">
        <v>-1.4847</v>
      </c>
    </row>
    <row r="149">
      <c r="J149" t="inlineStr">
        <is>
          <t>16698394032150</t>
        </is>
      </c>
      <c r="K149" s="5">
        <f>'05_NangLuc'!E147</f>
        <v/>
      </c>
      <c r="L149" s="5" t="n">
        <v>0.8725000000000001</v>
      </c>
    </row>
    <row r="150">
      <c r="J150" t="inlineStr">
        <is>
          <t>16698394182139</t>
        </is>
      </c>
      <c r="K150" s="5">
        <f>'05_NangLuc'!E148</f>
        <v/>
      </c>
      <c r="L150" s="5" t="n">
        <v>2.0241</v>
      </c>
    </row>
    <row r="151">
      <c r="J151" t="inlineStr">
        <is>
          <t>16698394285775</t>
        </is>
      </c>
      <c r="K151" s="5">
        <f>'05_NangLuc'!E149</f>
        <v/>
      </c>
      <c r="L151" s="5" t="n">
        <v>1.0148</v>
      </c>
    </row>
    <row r="152">
      <c r="J152" t="inlineStr">
        <is>
          <t>16698394578851</t>
        </is>
      </c>
      <c r="K152" s="5">
        <f>'05_NangLuc'!E150</f>
        <v/>
      </c>
      <c r="L152" s="5" t="n">
        <v>0.6261</v>
      </c>
    </row>
    <row r="153">
      <c r="J153" t="inlineStr">
        <is>
          <t>16698409279146</t>
        </is>
      </c>
      <c r="K153" s="5">
        <f>'05_NangLuc'!E151</f>
        <v/>
      </c>
      <c r="L153" s="5" t="n">
        <v>2.0346</v>
      </c>
    </row>
    <row r="154">
      <c r="J154" t="inlineStr">
        <is>
          <t>16698409910566</t>
        </is>
      </c>
      <c r="K154" s="5">
        <f>'05_NangLuc'!E152</f>
        <v/>
      </c>
      <c r="L154" s="5" t="n">
        <v>-1.6358</v>
      </c>
    </row>
    <row r="155">
      <c r="J155" t="inlineStr">
        <is>
          <t>16698410159412</t>
        </is>
      </c>
      <c r="K155" s="5">
        <f>'05_NangLuc'!E153</f>
        <v/>
      </c>
      <c r="L155" s="5" t="n">
        <v>0.6583</v>
      </c>
    </row>
    <row r="156">
      <c r="J156" t="inlineStr">
        <is>
          <t>16698411086968</t>
        </is>
      </c>
      <c r="K156" s="5">
        <f>'05_NangLuc'!E154</f>
        <v/>
      </c>
      <c r="L156" s="5" t="n">
        <v>0.8941</v>
      </c>
    </row>
    <row r="157">
      <c r="J157" t="inlineStr">
        <is>
          <t>16698411665063</t>
        </is>
      </c>
      <c r="K157" s="5">
        <f>'05_NangLuc'!E155</f>
        <v/>
      </c>
      <c r="L157" s="5" t="n">
        <v>-0.3646</v>
      </c>
    </row>
    <row r="158">
      <c r="J158" t="inlineStr">
        <is>
          <t>16698411915128</t>
        </is>
      </c>
      <c r="K158" s="5">
        <f>'05_NangLuc'!E156</f>
        <v/>
      </c>
      <c r="L158" s="5" t="n">
        <v>0.1546</v>
      </c>
    </row>
    <row r="159">
      <c r="J159" t="inlineStr">
        <is>
          <t>16698412314932</t>
        </is>
      </c>
      <c r="K159" s="5">
        <f>'05_NangLuc'!E157</f>
        <v/>
      </c>
      <c r="L159" s="5" t="n">
        <v>-0.8608</v>
      </c>
    </row>
    <row r="160">
      <c r="J160" t="inlineStr">
        <is>
          <t>16698412856774</t>
        </is>
      </c>
      <c r="K160" s="5">
        <f>'05_NangLuc'!E158</f>
        <v/>
      </c>
      <c r="L160" s="5" t="n">
        <v>-0.053</v>
      </c>
    </row>
    <row r="161">
      <c r="J161" t="inlineStr">
        <is>
          <t>16698413038003</t>
        </is>
      </c>
      <c r="K161" s="5">
        <f>'05_NangLuc'!E159</f>
        <v/>
      </c>
      <c r="L161" s="5" t="n">
        <v>-0.4572</v>
      </c>
    </row>
    <row r="162">
      <c r="J162" t="inlineStr">
        <is>
          <t>16698413313139</t>
        </is>
      </c>
      <c r="K162" s="5">
        <f>'05_NangLuc'!E160</f>
        <v/>
      </c>
      <c r="L162" s="5" t="n">
        <v>1.3598</v>
      </c>
    </row>
    <row r="163">
      <c r="J163" t="inlineStr">
        <is>
          <t>16698416343887</t>
        </is>
      </c>
      <c r="K163" s="5">
        <f>'05_NangLuc'!E161</f>
        <v/>
      </c>
      <c r="L163" s="5" t="n">
        <v>-0.7288</v>
      </c>
    </row>
    <row r="164">
      <c r="J164" t="inlineStr">
        <is>
          <t>16698416762175</t>
        </is>
      </c>
      <c r="K164" s="5">
        <f>'05_NangLuc'!E162</f>
        <v/>
      </c>
      <c r="L164" s="5" t="n">
        <v>-0.155</v>
      </c>
    </row>
    <row r="165">
      <c r="J165" t="inlineStr">
        <is>
          <t>16704098334319</t>
        </is>
      </c>
      <c r="K165" s="5">
        <f>'05_NangLuc'!E163</f>
        <v/>
      </c>
      <c r="L165" s="5" t="n">
        <v>1.3598</v>
      </c>
    </row>
    <row r="166">
      <c r="J166" t="inlineStr">
        <is>
          <t>16704098665684</t>
        </is>
      </c>
      <c r="K166" s="5">
        <f>'05_NangLuc'!E164</f>
        <v/>
      </c>
      <c r="L166" s="5" t="n">
        <v>0.8006</v>
      </c>
    </row>
    <row r="167">
      <c r="J167" t="inlineStr">
        <is>
          <t>16704099592430</t>
        </is>
      </c>
      <c r="K167" s="5">
        <f>'05_NangLuc'!E165</f>
        <v/>
      </c>
      <c r="L167" s="5" t="n">
        <v>0.2539</v>
      </c>
    </row>
    <row r="168">
      <c r="J168" t="inlineStr">
        <is>
          <t>16704099968820</t>
        </is>
      </c>
      <c r="K168" s="5">
        <f>'05_NangLuc'!E166</f>
        <v/>
      </c>
      <c r="L168" s="5" t="n">
        <v>0.5928</v>
      </c>
    </row>
    <row r="169">
      <c r="J169" t="inlineStr">
        <is>
          <t>16704100314022</t>
        </is>
      </c>
      <c r="K169" s="5">
        <f>'05_NangLuc'!E167</f>
        <v/>
      </c>
      <c r="L169" s="5" t="n">
        <v>0.7571</v>
      </c>
    </row>
    <row r="170">
      <c r="J170" t="inlineStr">
        <is>
          <t>16704100433459</t>
        </is>
      </c>
      <c r="K170" s="5">
        <f>'05_NangLuc'!E168</f>
        <v/>
      </c>
      <c r="L170" s="5" t="n">
        <v>0.5002</v>
      </c>
    </row>
    <row r="171">
      <c r="J171" t="inlineStr">
        <is>
          <t>16704101022344</t>
        </is>
      </c>
      <c r="K171" s="5">
        <f>'05_NangLuc'!E169</f>
        <v/>
      </c>
      <c r="L171" s="5" t="n">
        <v>-0.2429</v>
      </c>
    </row>
    <row r="172">
      <c r="J172" t="inlineStr">
        <is>
          <t>16704101222037</t>
        </is>
      </c>
      <c r="K172" s="5">
        <f>'05_NangLuc'!E170</f>
        <v/>
      </c>
      <c r="L172" s="5" t="n">
        <v>1.5288</v>
      </c>
    </row>
    <row r="173">
      <c r="J173" t="inlineStr">
        <is>
          <t>16714101794552</t>
        </is>
      </c>
      <c r="K173" s="5">
        <f>'05_NangLuc'!E171</f>
        <v/>
      </c>
      <c r="L173" s="5" t="n">
        <v>-3.729</v>
      </c>
    </row>
    <row r="174">
      <c r="J174" t="inlineStr">
        <is>
          <t>16714104868452</t>
        </is>
      </c>
      <c r="K174" s="5">
        <f>'05_NangLuc'!E172</f>
        <v/>
      </c>
      <c r="L174" s="5" t="n">
        <v>0.7372</v>
      </c>
    </row>
    <row r="175">
      <c r="J175" t="inlineStr">
        <is>
          <t>16714105544808</t>
        </is>
      </c>
      <c r="K175" s="5">
        <f>'05_NangLuc'!E173</f>
        <v/>
      </c>
      <c r="L175" s="5" t="n">
        <v>-0.4064</v>
      </c>
    </row>
    <row r="176">
      <c r="J176" t="inlineStr">
        <is>
          <t>16754645492996</t>
        </is>
      </c>
      <c r="K176" s="5">
        <f>'05_NangLuc'!E174</f>
        <v/>
      </c>
      <c r="L176" s="5" t="n">
        <v>0.6583</v>
      </c>
    </row>
    <row r="177">
      <c r="J177" t="inlineStr">
        <is>
          <t>16754646245146</t>
        </is>
      </c>
      <c r="K177" s="5">
        <f>'05_NangLuc'!E175</f>
        <v/>
      </c>
      <c r="L177" s="5" t="n">
        <v>-0.1141</v>
      </c>
    </row>
    <row r="178">
      <c r="J178" t="inlineStr">
        <is>
          <t>16754646522581</t>
        </is>
      </c>
      <c r="K178" s="5">
        <f>'05_NangLuc'!E176</f>
        <v/>
      </c>
      <c r="L178" s="5" t="n">
        <v>0.5075</v>
      </c>
    </row>
    <row r="179">
      <c r="J179" t="inlineStr">
        <is>
          <t>16754646764950</t>
        </is>
      </c>
      <c r="K179" s="5">
        <f>'05_NangLuc'!E177</f>
        <v/>
      </c>
      <c r="L179" s="5" t="n">
        <v>0.7092000000000001</v>
      </c>
    </row>
    <row r="180">
      <c r="J180" t="inlineStr">
        <is>
          <t>16754646911602</t>
        </is>
      </c>
      <c r="K180" s="5">
        <f>'05_NangLuc'!E178</f>
        <v/>
      </c>
      <c r="L180" s="5" t="n">
        <v>-1.0001</v>
      </c>
    </row>
    <row r="181">
      <c r="J181" t="inlineStr">
        <is>
          <t>16754647129726</t>
        </is>
      </c>
      <c r="K181" s="5">
        <f>'05_NangLuc'!E179</f>
        <v/>
      </c>
      <c r="L181" s="5" t="n">
        <v>0.648</v>
      </c>
    </row>
    <row r="182">
      <c r="J182" t="inlineStr">
        <is>
          <t>16754647354085</t>
        </is>
      </c>
      <c r="K182" s="5">
        <f>'05_NangLuc'!E180</f>
        <v/>
      </c>
      <c r="L182" s="5" t="n">
        <v>-0.155</v>
      </c>
    </row>
    <row r="183">
      <c r="J183" t="inlineStr">
        <is>
          <t>16754647528538</t>
        </is>
      </c>
      <c r="K183" s="5">
        <f>'05_NangLuc'!E181</f>
        <v/>
      </c>
      <c r="L183" s="5" t="n">
        <v>0.4833</v>
      </c>
    </row>
    <row r="184">
      <c r="J184" t="inlineStr">
        <is>
          <t>16754647951507</t>
        </is>
      </c>
      <c r="K184" s="5">
        <f>'05_NangLuc'!E182</f>
        <v/>
      </c>
      <c r="L184" s="5" t="n">
        <v>0.5075</v>
      </c>
    </row>
    <row r="185">
      <c r="J185" t="inlineStr">
        <is>
          <t>16754648052306</t>
        </is>
      </c>
      <c r="K185" s="5">
        <f>'05_NangLuc'!E183</f>
        <v/>
      </c>
      <c r="L185" s="5" t="n">
        <v>0.3787</v>
      </c>
    </row>
    <row r="186">
      <c r="J186" t="inlineStr">
        <is>
          <t>16754648115396</t>
        </is>
      </c>
      <c r="K186" s="5">
        <f>'05_NangLuc'!E184</f>
        <v/>
      </c>
      <c r="L186" s="5" t="n">
        <v>-0.1141</v>
      </c>
    </row>
    <row r="187">
      <c r="J187" t="inlineStr">
        <is>
          <t>16754648263554</t>
        </is>
      </c>
      <c r="K187" s="5">
        <f>'05_NangLuc'!E185</f>
        <v/>
      </c>
      <c r="L187" s="5" t="n">
        <v>0.1223</v>
      </c>
    </row>
    <row r="188">
      <c r="J188" t="inlineStr">
        <is>
          <t>16755353530053</t>
        </is>
      </c>
      <c r="K188" s="5">
        <f>'05_NangLuc'!E186</f>
        <v/>
      </c>
      <c r="L188" s="5" t="n">
        <v>0.1546</v>
      </c>
    </row>
    <row r="189">
      <c r="J189" t="inlineStr">
        <is>
          <t>16755365341821</t>
        </is>
      </c>
      <c r="K189" s="5">
        <f>'05_NangLuc'!E187</f>
        <v/>
      </c>
      <c r="L189" s="5" t="n">
        <v>0.0217</v>
      </c>
    </row>
    <row r="190">
      <c r="J190" t="inlineStr">
        <is>
          <t>16755367487027</t>
        </is>
      </c>
      <c r="K190" s="5">
        <f>'05_NangLuc'!E188</f>
        <v/>
      </c>
      <c r="L190" s="5" t="n">
        <v>0.5928</v>
      </c>
    </row>
    <row r="191">
      <c r="J191" t="inlineStr">
        <is>
          <t>16765096418273</t>
        </is>
      </c>
      <c r="K191" s="5">
        <f>'05_NangLuc'!E189</f>
        <v/>
      </c>
      <c r="L191" s="5" t="n">
        <v>0.0502</v>
      </c>
    </row>
    <row r="192">
      <c r="J192" t="inlineStr">
        <is>
          <t>16765098684236</t>
        </is>
      </c>
      <c r="K192" s="5">
        <f>'05_NangLuc'!E190</f>
        <v/>
      </c>
      <c r="L192" s="5" t="n">
        <v>0.0339</v>
      </c>
    </row>
    <row r="193">
      <c r="J193" t="inlineStr">
        <is>
          <t>16765187747274</t>
        </is>
      </c>
      <c r="K193" s="5">
        <f>'05_NangLuc'!E191</f>
        <v/>
      </c>
      <c r="L193" s="5" t="n">
        <v>-0.5575</v>
      </c>
    </row>
    <row r="194">
      <c r="J194" t="inlineStr">
        <is>
          <t>16765188342369</t>
        </is>
      </c>
      <c r="K194" s="5">
        <f>'05_NangLuc'!E192</f>
        <v/>
      </c>
      <c r="L194" s="5" t="n">
        <v>-0.2429</v>
      </c>
    </row>
    <row r="195">
      <c r="J195" t="inlineStr">
        <is>
          <t>16765190365584</t>
        </is>
      </c>
      <c r="K195" s="5">
        <f>'05_NangLuc'!E193</f>
        <v/>
      </c>
      <c r="L195" s="5" t="n">
        <v>-0.7288</v>
      </c>
    </row>
    <row r="196">
      <c r="J196" t="inlineStr">
        <is>
          <t>16765197429216</t>
        </is>
      </c>
      <c r="K196" s="5">
        <f>'05_NangLuc'!E194</f>
        <v/>
      </c>
      <c r="L196" s="5" t="n">
        <v>0.1546</v>
      </c>
    </row>
    <row r="197">
      <c r="J197" t="inlineStr">
        <is>
          <t>16786636695624</t>
        </is>
      </c>
      <c r="K197" s="5">
        <f>'05_NangLuc'!E195</f>
        <v/>
      </c>
      <c r="L197" s="5" t="n">
        <v>1.621</v>
      </c>
    </row>
    <row r="198">
      <c r="J198" t="inlineStr">
        <is>
          <t>16786637245320</t>
        </is>
      </c>
      <c r="K198" s="5">
        <f>'05_NangLuc'!E196</f>
        <v/>
      </c>
      <c r="L198" s="5" t="n">
        <v>0.2565</v>
      </c>
    </row>
    <row r="199">
      <c r="J199" t="inlineStr">
        <is>
          <t>16807293581153</t>
        </is>
      </c>
      <c r="K199" s="5">
        <f>'05_NangLuc'!E197</f>
        <v/>
      </c>
      <c r="L199" s="5" t="n">
        <v>0.7092000000000001</v>
      </c>
    </row>
    <row r="200">
      <c r="J200" t="inlineStr">
        <is>
          <t>16807589267721</t>
        </is>
      </c>
      <c r="K200" s="5">
        <f>'05_NangLuc'!E198</f>
        <v/>
      </c>
      <c r="L200" s="5" t="n">
        <v>0.2608</v>
      </c>
    </row>
    <row r="201">
      <c r="J201" t="inlineStr">
        <is>
          <t>16807616632207</t>
        </is>
      </c>
      <c r="K201" s="5">
        <f>'05_NangLuc'!E199</f>
        <v/>
      </c>
      <c r="L201" s="5" t="n">
        <v>0.8725000000000001</v>
      </c>
    </row>
    <row r="202">
      <c r="J202" t="inlineStr">
        <is>
          <t>16807616780415</t>
        </is>
      </c>
      <c r="K202" s="5">
        <f>'05_NangLuc'!E200</f>
        <v/>
      </c>
      <c r="L202" s="5" t="n">
        <v>0.4795</v>
      </c>
    </row>
    <row r="203">
      <c r="J203" t="inlineStr">
        <is>
          <t>16807617624220</t>
        </is>
      </c>
      <c r="K203" s="5">
        <f>'05_NangLuc'!E201</f>
        <v/>
      </c>
      <c r="L203" s="5" t="n">
        <v>-0.155</v>
      </c>
    </row>
    <row r="204">
      <c r="J204" t="inlineStr">
        <is>
          <t>16807617867315</t>
        </is>
      </c>
      <c r="K204" s="5">
        <f>'05_NangLuc'!E202</f>
        <v/>
      </c>
      <c r="L204" s="5" t="n">
        <v>1.0382</v>
      </c>
    </row>
    <row r="205">
      <c r="J205" t="inlineStr">
        <is>
          <t>16807617999755</t>
        </is>
      </c>
      <c r="K205" s="5">
        <f>'05_NangLuc'!E203</f>
        <v/>
      </c>
      <c r="L205" s="5" t="n">
        <v>-0.759</v>
      </c>
    </row>
    <row r="206">
      <c r="J206" t="inlineStr">
        <is>
          <t>16807619927905</t>
        </is>
      </c>
      <c r="K206" s="5">
        <f>'05_NangLuc'!E204</f>
        <v/>
      </c>
      <c r="L206" s="5" t="n">
        <v>1.8188</v>
      </c>
    </row>
    <row r="207">
      <c r="J207" t="inlineStr">
        <is>
          <t>16807620139419</t>
        </is>
      </c>
      <c r="K207" s="5">
        <f>'05_NangLuc'!E205</f>
        <v/>
      </c>
      <c r="L207" s="5" t="n">
        <v>0.1288</v>
      </c>
    </row>
    <row r="208">
      <c r="J208" t="inlineStr">
        <is>
          <t>16809203870930</t>
        </is>
      </c>
      <c r="K208" s="5">
        <f>'05_NangLuc'!E206</f>
        <v/>
      </c>
      <c r="L208" s="5" t="n">
        <v>-0.8514</v>
      </c>
    </row>
    <row r="209">
      <c r="J209" t="inlineStr">
        <is>
          <t>16809205419217</t>
        </is>
      </c>
      <c r="K209" s="5">
        <f>'05_NangLuc'!E207</f>
        <v/>
      </c>
      <c r="L209" s="5" t="n">
        <v>0.369</v>
      </c>
    </row>
    <row r="210">
      <c r="J210" t="inlineStr">
        <is>
          <t>16809206990551</t>
        </is>
      </c>
      <c r="K210" s="5">
        <f>'05_NangLuc'!E208</f>
        <v/>
      </c>
      <c r="L210" s="5" t="n">
        <v>0.6078</v>
      </c>
    </row>
    <row r="211">
      <c r="J211" t="inlineStr">
        <is>
          <t>16809207315268</t>
        </is>
      </c>
      <c r="K211" s="5">
        <f>'05_NangLuc'!E209</f>
        <v/>
      </c>
      <c r="L211" s="5" t="n">
        <v>0.0339</v>
      </c>
    </row>
    <row r="212">
      <c r="J212" t="inlineStr">
        <is>
          <t>16809225075544</t>
        </is>
      </c>
      <c r="K212" s="5">
        <f>'05_NangLuc'!E210</f>
        <v/>
      </c>
      <c r="L212" s="5" t="n">
        <v>0.369</v>
      </c>
    </row>
    <row r="213">
      <c r="J213" t="inlineStr">
        <is>
          <t>16818164847478</t>
        </is>
      </c>
      <c r="K213" s="5">
        <f>'05_NangLuc'!E211</f>
        <v/>
      </c>
      <c r="L213" s="5" t="n">
        <v>0.369</v>
      </c>
    </row>
    <row r="214">
      <c r="J214" t="inlineStr">
        <is>
          <t>16869237921693</t>
        </is>
      </c>
      <c r="K214" s="5">
        <f>'05_NangLuc'!E212</f>
        <v/>
      </c>
      <c r="L214" s="5" t="n">
        <v>-3.729</v>
      </c>
    </row>
    <row r="215">
      <c r="J215" t="inlineStr">
        <is>
          <t>16891475011695</t>
        </is>
      </c>
      <c r="K215" s="5">
        <f>'05_NangLuc'!E213</f>
        <v/>
      </c>
      <c r="L215" s="5" t="n">
        <v>0.9537</v>
      </c>
    </row>
    <row r="216">
      <c r="J216" t="inlineStr">
        <is>
          <t>16914143118737</t>
        </is>
      </c>
      <c r="K216" s="5">
        <f>'05_NangLuc'!E214</f>
        <v/>
      </c>
      <c r="L216" s="5" t="n">
        <v>-0.759</v>
      </c>
    </row>
    <row r="217">
      <c r="J217" t="inlineStr">
        <is>
          <t>16914143289007</t>
        </is>
      </c>
      <c r="K217" s="5">
        <f>'05_NangLuc'!E215</f>
        <v/>
      </c>
      <c r="L217" s="5" t="n">
        <v>0.8941</v>
      </c>
    </row>
    <row r="218">
      <c r="J218" t="inlineStr">
        <is>
          <t>16914143585890</t>
        </is>
      </c>
      <c r="K218" s="5">
        <f>'05_NangLuc'!E216</f>
        <v/>
      </c>
      <c r="L218" s="5" t="n">
        <v>-0.053</v>
      </c>
    </row>
    <row r="219">
      <c r="J219" t="inlineStr">
        <is>
          <t>16914144174620</t>
        </is>
      </c>
      <c r="K219" s="5">
        <f>'05_NangLuc'!E217</f>
        <v/>
      </c>
      <c r="L219" s="5" t="n">
        <v>-0.6156</v>
      </c>
    </row>
    <row r="220">
      <c r="J220" t="inlineStr">
        <is>
          <t>16914144693876</t>
        </is>
      </c>
      <c r="K220" s="5">
        <f>'05_NangLuc'!E218</f>
        <v/>
      </c>
      <c r="L220" s="5" t="n">
        <v>-0.8608</v>
      </c>
    </row>
    <row r="221">
      <c r="J221" t="inlineStr">
        <is>
          <t>16914144988012</t>
        </is>
      </c>
      <c r="K221" s="5">
        <f>'05_NangLuc'!E219</f>
        <v/>
      </c>
      <c r="L221" s="5" t="n">
        <v>-0.053</v>
      </c>
    </row>
    <row r="222">
      <c r="J222" t="inlineStr">
        <is>
          <t>16914145255180</t>
        </is>
      </c>
      <c r="K222" s="5">
        <f>'05_NangLuc'!E220</f>
        <v/>
      </c>
      <c r="L222" s="5" t="n">
        <v>0.1546</v>
      </c>
    </row>
    <row r="223">
      <c r="J223" t="inlineStr">
        <is>
          <t>16914145971677</t>
        </is>
      </c>
      <c r="K223" s="5">
        <f>'05_NangLuc'!E221</f>
        <v/>
      </c>
      <c r="L223" s="5" t="n">
        <v>-3.729</v>
      </c>
    </row>
    <row r="224">
      <c r="J224" t="inlineStr">
        <is>
          <t>16914147031449</t>
        </is>
      </c>
      <c r="K224" s="5">
        <f>'05_NangLuc'!E222</f>
        <v/>
      </c>
      <c r="L224" s="5" t="n">
        <v>1.0382</v>
      </c>
    </row>
    <row r="225">
      <c r="J225" t="inlineStr">
        <is>
          <t>16914147589856</t>
        </is>
      </c>
      <c r="K225" s="5">
        <f>'05_NangLuc'!E223</f>
        <v/>
      </c>
      <c r="L225" s="5" t="n">
        <v>1.621</v>
      </c>
    </row>
    <row r="226">
      <c r="J226" t="inlineStr">
        <is>
          <t>16914477474376</t>
        </is>
      </c>
      <c r="K226" s="5">
        <f>'05_NangLuc'!E224</f>
        <v/>
      </c>
      <c r="L226" s="5" t="n">
        <v>-0.1993</v>
      </c>
    </row>
    <row r="227">
      <c r="J227" t="inlineStr">
        <is>
          <t>16914504951069</t>
        </is>
      </c>
      <c r="K227" s="5">
        <f>'05_NangLuc'!E225</f>
        <v/>
      </c>
      <c r="L227" s="5" t="n">
        <v>-1.6358</v>
      </c>
    </row>
    <row r="228">
      <c r="J228" t="inlineStr">
        <is>
          <t>16914508952654</t>
        </is>
      </c>
      <c r="K228" s="5">
        <f>'05_NangLuc'!E226</f>
        <v/>
      </c>
      <c r="L228" s="5" t="n">
        <v>0.7092000000000001</v>
      </c>
    </row>
    <row r="229">
      <c r="J229" t="inlineStr">
        <is>
          <t>16914509434304</t>
        </is>
      </c>
      <c r="K229" s="5">
        <f>'05_NangLuc'!E227</f>
        <v/>
      </c>
      <c r="L229" s="5" t="n">
        <v>-1.6237</v>
      </c>
    </row>
    <row r="230">
      <c r="J230" t="inlineStr">
        <is>
          <t>16914509760889</t>
        </is>
      </c>
      <c r="K230" s="5">
        <f>'05_NangLuc'!E228</f>
        <v/>
      </c>
      <c r="L230" s="5" t="n">
        <v>-3.729</v>
      </c>
    </row>
    <row r="231">
      <c r="J231" t="inlineStr">
        <is>
          <t>16914513979191</t>
        </is>
      </c>
      <c r="K231" s="5">
        <f>'05_NangLuc'!E229</f>
        <v/>
      </c>
      <c r="L231" s="5" t="n">
        <v>2.2735</v>
      </c>
    </row>
    <row r="232">
      <c r="J232" t="inlineStr">
        <is>
          <t>16925915196226</t>
        </is>
      </c>
      <c r="K232" s="5">
        <f>'05_NangLuc'!E230</f>
        <v/>
      </c>
      <c r="L232" s="5" t="n">
        <v>-2.4511</v>
      </c>
    </row>
    <row r="233">
      <c r="J233" t="inlineStr">
        <is>
          <t>16927615241433</t>
        </is>
      </c>
      <c r="K233" s="5">
        <f>'05_NangLuc'!E231</f>
        <v/>
      </c>
      <c r="L233" s="5" t="n">
        <v>-3.729</v>
      </c>
    </row>
    <row r="234">
      <c r="J234" t="inlineStr">
        <is>
          <t>16933202324831</t>
        </is>
      </c>
      <c r="K234" s="5">
        <f>'05_NangLuc'!E232</f>
        <v/>
      </c>
      <c r="L234" s="5" t="n">
        <v>0.5002</v>
      </c>
    </row>
    <row r="235">
      <c r="J235" t="inlineStr">
        <is>
          <t>16933922927416</t>
        </is>
      </c>
      <c r="K235" s="5">
        <f>'05_NangLuc'!E233</f>
        <v/>
      </c>
      <c r="L235" s="5" t="n">
        <v>1.2656</v>
      </c>
    </row>
    <row r="236">
      <c r="J236" t="inlineStr">
        <is>
          <t>16933923572593</t>
        </is>
      </c>
      <c r="K236" s="5">
        <f>'05_NangLuc'!E234</f>
        <v/>
      </c>
      <c r="L236" s="5" t="n">
        <v>1.621</v>
      </c>
    </row>
    <row r="237">
      <c r="J237" t="inlineStr">
        <is>
          <t>16933924867787</t>
        </is>
      </c>
      <c r="K237" s="5">
        <f>'05_NangLuc'!E235</f>
        <v/>
      </c>
      <c r="L237" s="5" t="n">
        <v>1.1273</v>
      </c>
    </row>
    <row r="238">
      <c r="J238" t="inlineStr">
        <is>
          <t>16933924954538</t>
        </is>
      </c>
      <c r="K238" s="5">
        <f>'05_NangLuc'!E236</f>
        <v/>
      </c>
      <c r="L238" s="5" t="n">
        <v>0.369</v>
      </c>
    </row>
    <row r="239">
      <c r="J239" t="inlineStr">
        <is>
          <t>16933925076521</t>
        </is>
      </c>
      <c r="K239" s="5">
        <f>'05_NangLuc'!E237</f>
        <v/>
      </c>
      <c r="L239" s="5" t="n">
        <v>1.621</v>
      </c>
    </row>
    <row r="240">
      <c r="J240" t="inlineStr">
        <is>
          <t>16933925447380</t>
        </is>
      </c>
      <c r="K240" s="5">
        <f>'05_NangLuc'!E238</f>
        <v/>
      </c>
      <c r="L240" s="5" t="n">
        <v>0.1223</v>
      </c>
    </row>
    <row r="241">
      <c r="J241" t="inlineStr">
        <is>
          <t>16933925581666</t>
        </is>
      </c>
      <c r="K241" s="5">
        <f>'05_NangLuc'!E239</f>
        <v/>
      </c>
      <c r="L241" s="5" t="n">
        <v>0.9486</v>
      </c>
    </row>
    <row r="242">
      <c r="J242" t="inlineStr">
        <is>
          <t>16933925862185</t>
        </is>
      </c>
      <c r="K242" s="5">
        <f>'05_NangLuc'!E240</f>
        <v/>
      </c>
      <c r="L242" s="5" t="n">
        <v>0.2608</v>
      </c>
    </row>
    <row r="243">
      <c r="J243" t="inlineStr">
        <is>
          <t>16933925914553</t>
        </is>
      </c>
      <c r="K243" s="5">
        <f>'05_NangLuc'!E241</f>
        <v/>
      </c>
      <c r="L243" s="5" t="n">
        <v>0.8293</v>
      </c>
    </row>
    <row r="244">
      <c r="J244" t="inlineStr">
        <is>
          <t>16933926086232</t>
        </is>
      </c>
      <c r="K244" s="5">
        <f>'05_NangLuc'!E242</f>
        <v/>
      </c>
      <c r="L244" s="5" t="n">
        <v>1.083</v>
      </c>
    </row>
    <row r="245">
      <c r="J245" t="inlineStr">
        <is>
          <t>16933926148654</t>
        </is>
      </c>
      <c r="K245" s="5">
        <f>'05_NangLuc'!E243</f>
        <v/>
      </c>
      <c r="L245" s="5" t="n">
        <v>0.2465</v>
      </c>
    </row>
    <row r="246">
      <c r="J246" t="inlineStr">
        <is>
          <t>16933926249409</t>
        </is>
      </c>
      <c r="K246" s="5">
        <f>'05_NangLuc'!E244</f>
        <v/>
      </c>
      <c r="L246" s="5" t="n">
        <v>0.6261</v>
      </c>
    </row>
    <row r="247">
      <c r="J247" t="inlineStr">
        <is>
          <t>16933926585080</t>
        </is>
      </c>
      <c r="K247" s="5">
        <f>'05_NangLuc'!E245</f>
        <v/>
      </c>
      <c r="L247" s="5" t="n">
        <v>1.8188</v>
      </c>
    </row>
    <row r="248">
      <c r="J248" t="inlineStr">
        <is>
          <t>16933926619118</t>
        </is>
      </c>
      <c r="K248" s="5">
        <f>'05_NangLuc'!E246</f>
        <v/>
      </c>
      <c r="L248" s="5" t="n">
        <v>1.2656</v>
      </c>
    </row>
    <row r="249">
      <c r="J249" t="inlineStr">
        <is>
          <t>16933926720716</t>
        </is>
      </c>
      <c r="K249" s="5">
        <f>'05_NangLuc'!E247</f>
        <v/>
      </c>
      <c r="L249" s="5" t="n">
        <v>0.9486</v>
      </c>
    </row>
    <row r="250">
      <c r="J250" t="inlineStr">
        <is>
          <t>16933926891164</t>
        </is>
      </c>
      <c r="K250" s="5">
        <f>'05_NangLuc'!E248</f>
        <v/>
      </c>
      <c r="L250" s="5" t="n">
        <v>-0.2562</v>
      </c>
    </row>
    <row r="251">
      <c r="J251" t="inlineStr">
        <is>
          <t>16933926953841</t>
        </is>
      </c>
      <c r="K251" s="5">
        <f>'05_NangLuc'!E249</f>
        <v/>
      </c>
      <c r="L251" s="5" t="n">
        <v>0.8702</v>
      </c>
    </row>
    <row r="252">
      <c r="J252" t="inlineStr">
        <is>
          <t>16933927019058</t>
        </is>
      </c>
      <c r="K252" s="5">
        <f>'05_NangLuc'!E250</f>
        <v/>
      </c>
      <c r="L252" s="5" t="n">
        <v>0.0502</v>
      </c>
    </row>
    <row r="253">
      <c r="J253" t="inlineStr">
        <is>
          <t>16933927199722</t>
        </is>
      </c>
      <c r="K253" s="5">
        <f>'05_NangLuc'!E251</f>
        <v/>
      </c>
      <c r="L253" s="5" t="n">
        <v>1.218</v>
      </c>
    </row>
    <row r="254">
      <c r="J254" t="inlineStr">
        <is>
          <t>16933927282859</t>
        </is>
      </c>
      <c r="K254" s="5">
        <f>'05_NangLuc'!E252</f>
        <v/>
      </c>
      <c r="L254" s="5" t="n">
        <v>0.9486</v>
      </c>
    </row>
    <row r="255">
      <c r="J255" t="inlineStr">
        <is>
          <t>16933927569374</t>
        </is>
      </c>
      <c r="K255" s="5">
        <f>'05_NangLuc'!E253</f>
        <v/>
      </c>
      <c r="L255" s="5" t="n">
        <v>0.4833</v>
      </c>
    </row>
    <row r="256">
      <c r="J256" t="inlineStr">
        <is>
          <t>16933927671413</t>
        </is>
      </c>
      <c r="K256" s="5">
        <f>'05_NangLuc'!E254</f>
        <v/>
      </c>
      <c r="L256" s="5" t="n">
        <v>0.7092000000000001</v>
      </c>
    </row>
    <row r="257">
      <c r="J257" t="inlineStr">
        <is>
          <t>16933927730313</t>
        </is>
      </c>
      <c r="K257" s="5">
        <f>'05_NangLuc'!E255</f>
        <v/>
      </c>
      <c r="L257" s="5" t="n">
        <v>1.2656</v>
      </c>
    </row>
    <row r="258">
      <c r="J258" t="inlineStr">
        <is>
          <t>16933927883913</t>
        </is>
      </c>
      <c r="K258" s="5">
        <f>'05_NangLuc'!E256</f>
        <v/>
      </c>
      <c r="L258" s="5" t="n">
        <v>0.1385</v>
      </c>
    </row>
    <row r="259">
      <c r="J259" t="inlineStr">
        <is>
          <t>16933928173904</t>
        </is>
      </c>
      <c r="K259" s="5">
        <f>'05_NangLuc'!E257</f>
        <v/>
      </c>
      <c r="L259" s="5" t="n">
        <v>0.369</v>
      </c>
    </row>
    <row r="260">
      <c r="J260" t="inlineStr">
        <is>
          <t>16938087723373</t>
        </is>
      </c>
      <c r="K260" s="5">
        <f>'05_NangLuc'!E258</f>
        <v/>
      </c>
      <c r="L260" s="5" t="n">
        <v>0.0026</v>
      </c>
    </row>
    <row r="261">
      <c r="J261" t="inlineStr">
        <is>
          <t>16950918343529</t>
        </is>
      </c>
      <c r="K261" s="5">
        <f>'05_NangLuc'!E259</f>
        <v/>
      </c>
      <c r="L261" s="5" t="n">
        <v>0.369</v>
      </c>
    </row>
    <row r="262">
      <c r="J262" t="inlineStr">
        <is>
          <t>16951033863073</t>
        </is>
      </c>
      <c r="K262" s="5">
        <f>'05_NangLuc'!E260</f>
        <v/>
      </c>
      <c r="L262" s="5" t="n">
        <v>0.9537</v>
      </c>
    </row>
    <row r="263">
      <c r="J263" t="inlineStr">
        <is>
          <t>16955079679894</t>
        </is>
      </c>
      <c r="K263" s="5">
        <f>'05_NangLuc'!E261</f>
        <v/>
      </c>
      <c r="L263" s="5" t="n">
        <v>0.7571</v>
      </c>
    </row>
    <row r="264">
      <c r="J264" t="inlineStr">
        <is>
          <t>16955080116828</t>
        </is>
      </c>
      <c r="K264" s="5">
        <f>'05_NangLuc'!E262</f>
        <v/>
      </c>
      <c r="L264" s="5" t="n">
        <v>1.0378</v>
      </c>
    </row>
    <row r="265">
      <c r="J265" t="inlineStr">
        <is>
          <t>16961286047129</t>
        </is>
      </c>
      <c r="K265" s="5">
        <f>'05_NangLuc'!E263</f>
        <v/>
      </c>
      <c r="L265" s="5" t="n">
        <v>0.6261</v>
      </c>
    </row>
    <row r="266">
      <c r="J266" t="inlineStr">
        <is>
          <t>16961286298326</t>
        </is>
      </c>
      <c r="K266" s="5">
        <f>'05_NangLuc'!E264</f>
        <v/>
      </c>
      <c r="L266" s="5" t="n">
        <v>0.4795</v>
      </c>
    </row>
    <row r="267">
      <c r="J267" t="inlineStr">
        <is>
          <t>16961286798453</t>
        </is>
      </c>
      <c r="K267" s="5">
        <f>'05_NangLuc'!E265</f>
        <v/>
      </c>
      <c r="L267" s="5" t="n">
        <v>0.2465</v>
      </c>
    </row>
    <row r="268">
      <c r="J268" t="inlineStr">
        <is>
          <t>16961287380303</t>
        </is>
      </c>
      <c r="K268" s="5">
        <f>'05_NangLuc'!E266</f>
        <v/>
      </c>
      <c r="L268" s="5" t="n">
        <v>0.0502</v>
      </c>
    </row>
    <row r="269">
      <c r="J269" t="inlineStr">
        <is>
          <t>16961288223581</t>
        </is>
      </c>
      <c r="K269" s="5">
        <f>'05_NangLuc'!E267</f>
        <v/>
      </c>
      <c r="L269" s="5" t="n">
        <v>-0.4572</v>
      </c>
    </row>
    <row r="270">
      <c r="J270" t="inlineStr">
        <is>
          <t>16974551328879</t>
        </is>
      </c>
      <c r="K270" s="5">
        <f>'05_NangLuc'!E268</f>
        <v/>
      </c>
      <c r="L270" s="5" t="n">
        <v>0.7092000000000001</v>
      </c>
    </row>
    <row r="271">
      <c r="J271" t="inlineStr">
        <is>
          <t>16974583934558</t>
        </is>
      </c>
      <c r="K271" s="5">
        <f>'05_NangLuc'!E269</f>
        <v/>
      </c>
      <c r="L271" s="5" t="n">
        <v>1.8188</v>
      </c>
    </row>
    <row r="272">
      <c r="J272" t="inlineStr">
        <is>
          <t>16978473117305</t>
        </is>
      </c>
      <c r="K272" s="5">
        <f>'05_NangLuc'!E270</f>
        <v/>
      </c>
      <c r="L272" s="5" t="n">
        <v>-0.4572</v>
      </c>
    </row>
    <row r="273">
      <c r="J273" t="inlineStr">
        <is>
          <t>16978474575500</t>
        </is>
      </c>
      <c r="K273" s="5">
        <f>'05_NangLuc'!E271</f>
        <v/>
      </c>
      <c r="L273" s="5" t="n">
        <v>1.218</v>
      </c>
    </row>
    <row r="274">
      <c r="J274" t="inlineStr">
        <is>
          <t>16978475163884</t>
        </is>
      </c>
      <c r="K274" s="5">
        <f>'05_NangLuc'!E272</f>
        <v/>
      </c>
      <c r="L274" s="5" t="n">
        <v>0.5002</v>
      </c>
    </row>
    <row r="275">
      <c r="J275" t="inlineStr">
        <is>
          <t>16978476255680</t>
        </is>
      </c>
      <c r="K275" s="5">
        <f>'05_NangLuc'!E273</f>
        <v/>
      </c>
      <c r="L275" s="5" t="n">
        <v>2.8548</v>
      </c>
    </row>
    <row r="276">
      <c r="J276" t="inlineStr">
        <is>
          <t>16978482786430</t>
        </is>
      </c>
      <c r="K276" s="5">
        <f>'05_NangLuc'!E274</f>
        <v/>
      </c>
      <c r="L276" s="5" t="n">
        <v>-0.5614</v>
      </c>
    </row>
    <row r="277">
      <c r="J277" t="inlineStr">
        <is>
          <t>16998300791157</t>
        </is>
      </c>
      <c r="K277" s="5">
        <f>'05_NangLuc'!E275</f>
        <v/>
      </c>
      <c r="L277" s="5" t="n">
        <v>0.6078</v>
      </c>
    </row>
    <row r="278">
      <c r="J278" t="inlineStr">
        <is>
          <t>17003404597578</t>
        </is>
      </c>
      <c r="K278" s="5">
        <f>'05_NangLuc'!E276</f>
        <v/>
      </c>
      <c r="L278" s="5" t="n">
        <v>0.146</v>
      </c>
    </row>
    <row r="279">
      <c r="J279" t="inlineStr">
        <is>
          <t>17003406149546</t>
        </is>
      </c>
      <c r="K279" s="5">
        <f>'05_NangLuc'!E277</f>
        <v/>
      </c>
      <c r="L279" s="5" t="n">
        <v>0.3631</v>
      </c>
    </row>
    <row r="280">
      <c r="J280" t="inlineStr">
        <is>
          <t>17024853928497</t>
        </is>
      </c>
      <c r="K280" s="5">
        <f>'05_NangLuc'!E278</f>
        <v/>
      </c>
      <c r="L280" s="5" t="n">
        <v>-0.6071</v>
      </c>
    </row>
    <row r="281">
      <c r="J281" t="inlineStr">
        <is>
          <t>17028471265572</t>
        </is>
      </c>
      <c r="K281" s="5">
        <f>'05_NangLuc'!E279</f>
        <v/>
      </c>
      <c r="L281" s="5" t="n">
        <v>-1.6237</v>
      </c>
    </row>
    <row r="282">
      <c r="J282" t="inlineStr">
        <is>
          <t>17047936313796</t>
        </is>
      </c>
      <c r="K282" s="5">
        <f>'05_NangLuc'!E280</f>
        <v/>
      </c>
      <c r="L282" s="5" t="n">
        <v>-2.2645</v>
      </c>
    </row>
    <row r="283">
      <c r="J283" t="inlineStr">
        <is>
          <t>17047936780842</t>
        </is>
      </c>
      <c r="K283" s="5">
        <f>'05_NangLuc'!E281</f>
        <v/>
      </c>
      <c r="L283" s="5" t="n">
        <v>-2.4479</v>
      </c>
    </row>
    <row r="284">
      <c r="J284" t="inlineStr">
        <is>
          <t>17047939735208</t>
        </is>
      </c>
      <c r="K284" s="5">
        <f>'05_NangLuc'!E282</f>
        <v/>
      </c>
      <c r="L284" s="5" t="n">
        <v>-0.9754</v>
      </c>
    </row>
    <row r="285">
      <c r="J285" t="inlineStr">
        <is>
          <t>17047955464088</t>
        </is>
      </c>
      <c r="K285" s="5">
        <f>'05_NangLuc'!E283</f>
        <v/>
      </c>
      <c r="L285" s="5" t="n">
        <v>-3.729</v>
      </c>
    </row>
    <row r="286">
      <c r="J286" t="inlineStr">
        <is>
          <t>17061699678380</t>
        </is>
      </c>
      <c r="K286" s="5">
        <f>'05_NangLuc'!E284</f>
        <v/>
      </c>
      <c r="L286" s="5" t="n">
        <v>0.9537</v>
      </c>
    </row>
    <row r="287">
      <c r="J287" t="inlineStr">
        <is>
          <t>17061699855842</t>
        </is>
      </c>
      <c r="K287" s="5">
        <f>'05_NangLuc'!E285</f>
        <v/>
      </c>
      <c r="L287" s="5" t="n">
        <v>-0.053</v>
      </c>
    </row>
    <row r="288">
      <c r="J288" t="inlineStr">
        <is>
          <t>17061699964096</t>
        </is>
      </c>
      <c r="K288" s="5">
        <f>'05_NangLuc'!E286</f>
        <v/>
      </c>
      <c r="L288" s="5" t="n">
        <v>-0.7288</v>
      </c>
    </row>
    <row r="289">
      <c r="J289" t="inlineStr">
        <is>
          <t>17061700532958</t>
        </is>
      </c>
      <c r="K289" s="5">
        <f>'05_NangLuc'!E287</f>
        <v/>
      </c>
      <c r="L289" s="5" t="n">
        <v>-0.4572</v>
      </c>
    </row>
    <row r="290">
      <c r="J290" t="inlineStr">
        <is>
          <t>17061700737174</t>
        </is>
      </c>
      <c r="K290" s="5">
        <f>'05_NangLuc'!E288</f>
        <v/>
      </c>
      <c r="L290" s="5" t="n">
        <v>-1.1739</v>
      </c>
    </row>
    <row r="291">
      <c r="J291" t="inlineStr">
        <is>
          <t>17061701137815</t>
        </is>
      </c>
      <c r="K291" s="5">
        <f>'05_NangLuc'!E289</f>
        <v/>
      </c>
      <c r="L291" s="5" t="n">
        <v>-0.2562</v>
      </c>
    </row>
    <row r="292">
      <c r="J292" t="inlineStr">
        <is>
          <t>17061701339618</t>
        </is>
      </c>
      <c r="K292" s="5">
        <f>'05_NangLuc'!E290</f>
        <v/>
      </c>
      <c r="L292" s="5" t="n">
        <v>-1.3927</v>
      </c>
    </row>
    <row r="293">
      <c r="J293" t="inlineStr">
        <is>
          <t>17061701436756</t>
        </is>
      </c>
      <c r="K293" s="5">
        <f>'05_NangLuc'!E291</f>
        <v/>
      </c>
      <c r="L293" s="5" t="n">
        <v>0.6261</v>
      </c>
    </row>
    <row r="294">
      <c r="J294" t="inlineStr">
        <is>
          <t>17061701511974</t>
        </is>
      </c>
      <c r="K294" s="5">
        <f>'05_NangLuc'!E292</f>
        <v/>
      </c>
      <c r="L294" s="5" t="n">
        <v>-0.7131</v>
      </c>
    </row>
    <row r="295">
      <c r="J295" t="inlineStr">
        <is>
          <t>17061701834605</t>
        </is>
      </c>
      <c r="K295" s="5">
        <f>'05_NangLuc'!E293</f>
        <v/>
      </c>
      <c r="L295" s="5" t="n">
        <v>-0.5575</v>
      </c>
    </row>
    <row r="296">
      <c r="J296" t="inlineStr">
        <is>
          <t>17061701980597</t>
        </is>
      </c>
      <c r="K296" s="5">
        <f>'05_NangLuc'!E294</f>
        <v/>
      </c>
      <c r="L296" s="5" t="n">
        <v>-0.957</v>
      </c>
    </row>
    <row r="297">
      <c r="J297" t="inlineStr">
        <is>
          <t>17061702069195</t>
        </is>
      </c>
      <c r="K297" s="5">
        <f>'05_NangLuc'!E295</f>
        <v/>
      </c>
      <c r="L297" s="5" t="n">
        <v>0.5928</v>
      </c>
    </row>
    <row r="298">
      <c r="J298" t="inlineStr">
        <is>
          <t>17061702280379</t>
        </is>
      </c>
      <c r="K298" s="5">
        <f>'05_NangLuc'!E296</f>
        <v/>
      </c>
      <c r="L298" s="5" t="n">
        <v>-1.282</v>
      </c>
    </row>
    <row r="299">
      <c r="J299" t="inlineStr">
        <is>
          <t>17061702389846</t>
        </is>
      </c>
      <c r="K299" s="5">
        <f>'05_NangLuc'!E297</f>
        <v/>
      </c>
      <c r="L299" s="5" t="n">
        <v>-0.2562</v>
      </c>
    </row>
    <row r="300">
      <c r="J300" t="inlineStr">
        <is>
          <t>17061702447495</t>
        </is>
      </c>
      <c r="K300" s="5">
        <f>'05_NangLuc'!E298</f>
        <v/>
      </c>
      <c r="L300" s="5" t="n">
        <v>0.5928</v>
      </c>
    </row>
    <row r="301">
      <c r="J301" t="inlineStr">
        <is>
          <t>17061702970261</t>
        </is>
      </c>
      <c r="K301" s="5">
        <f>'05_NangLuc'!E299</f>
        <v/>
      </c>
      <c r="L301" s="5" t="n">
        <v>0.9537</v>
      </c>
    </row>
    <row r="302">
      <c r="J302" t="inlineStr">
        <is>
          <t>17061703016829</t>
        </is>
      </c>
      <c r="K302" s="5">
        <f>'05_NangLuc'!E300</f>
        <v/>
      </c>
      <c r="L302" s="5" t="n">
        <v>-0.8463000000000001</v>
      </c>
    </row>
    <row r="303">
      <c r="J303" t="inlineStr">
        <is>
          <t>17061703284124</t>
        </is>
      </c>
      <c r="K303" s="5">
        <f>'05_NangLuc'!E301</f>
        <v/>
      </c>
      <c r="L303" s="5" t="n">
        <v>1.1031</v>
      </c>
    </row>
    <row r="304">
      <c r="J304" t="inlineStr">
        <is>
          <t>17061703686717</t>
        </is>
      </c>
      <c r="K304" s="5">
        <f>'05_NangLuc'!E302</f>
        <v/>
      </c>
      <c r="L304" s="5" t="n">
        <v>0.2608</v>
      </c>
    </row>
    <row r="305">
      <c r="J305" t="inlineStr">
        <is>
          <t>17061715876200</t>
        </is>
      </c>
      <c r="K305" s="5">
        <f>'05_NangLuc'!E303</f>
        <v/>
      </c>
      <c r="L305" s="5" t="n">
        <v>0.2608</v>
      </c>
    </row>
    <row r="306">
      <c r="J306" t="inlineStr">
        <is>
          <t>17061716154076</t>
        </is>
      </c>
      <c r="K306" s="5">
        <f>'05_NangLuc'!E304</f>
        <v/>
      </c>
      <c r="L306" s="5" t="n">
        <v>0.5928</v>
      </c>
    </row>
    <row r="307">
      <c r="J307" t="inlineStr">
        <is>
          <t>17061716288445</t>
        </is>
      </c>
      <c r="K307" s="5">
        <f>'05_NangLuc'!E305</f>
        <v/>
      </c>
      <c r="L307" s="5" t="n">
        <v>-0.1949</v>
      </c>
    </row>
    <row r="308">
      <c r="J308" t="inlineStr">
        <is>
          <t>17061716394174</t>
        </is>
      </c>
      <c r="K308" s="5">
        <f>'05_NangLuc'!E306</f>
        <v/>
      </c>
      <c r="L308" s="5" t="n">
        <v>0.369</v>
      </c>
    </row>
    <row r="309">
      <c r="J309" t="inlineStr">
        <is>
          <t>17061716430399</t>
        </is>
      </c>
      <c r="K309" s="5">
        <f>'05_NangLuc'!E307</f>
        <v/>
      </c>
      <c r="L309" s="5" t="n">
        <v>0.0217</v>
      </c>
    </row>
    <row r="310">
      <c r="J310" t="inlineStr">
        <is>
          <t>17061716561928</t>
        </is>
      </c>
      <c r="K310" s="5">
        <f>'05_NangLuc'!E308</f>
        <v/>
      </c>
      <c r="L310" s="5" t="n">
        <v>0.3869</v>
      </c>
    </row>
    <row r="311">
      <c r="J311" t="inlineStr">
        <is>
          <t>17061716715281</t>
        </is>
      </c>
      <c r="K311" s="5">
        <f>'05_NangLuc'!E309</f>
        <v/>
      </c>
      <c r="L311" s="5" t="n">
        <v>0.0339</v>
      </c>
    </row>
    <row r="312">
      <c r="J312" t="inlineStr">
        <is>
          <t>17061716875357</t>
        </is>
      </c>
      <c r="K312" s="5">
        <f>'05_NangLuc'!E310</f>
        <v/>
      </c>
      <c r="L312" s="5" t="n">
        <v>-0.5575</v>
      </c>
    </row>
    <row r="313">
      <c r="J313" t="inlineStr">
        <is>
          <t>17061716986739</t>
        </is>
      </c>
      <c r="K313" s="5">
        <f>'05_NangLuc'!E311</f>
        <v/>
      </c>
      <c r="L313" s="5" t="n">
        <v>-0.2283</v>
      </c>
    </row>
    <row r="314">
      <c r="J314" t="inlineStr">
        <is>
          <t>17061717270549</t>
        </is>
      </c>
      <c r="K314" s="5">
        <f>'05_NangLuc'!E312</f>
        <v/>
      </c>
      <c r="L314" s="5" t="n">
        <v>1.0382</v>
      </c>
    </row>
    <row r="315">
      <c r="J315" t="inlineStr">
        <is>
          <t>17061717441134</t>
        </is>
      </c>
      <c r="K315" s="5">
        <f>'05_NangLuc'!E313</f>
        <v/>
      </c>
      <c r="L315" s="5" t="n">
        <v>1.3598</v>
      </c>
    </row>
    <row r="316">
      <c r="J316" t="inlineStr">
        <is>
          <t>17061717546518</t>
        </is>
      </c>
      <c r="K316" s="5">
        <f>'05_NangLuc'!E314</f>
        <v/>
      </c>
      <c r="L316" s="5" t="n">
        <v>-0.9754</v>
      </c>
    </row>
    <row r="317">
      <c r="J317" t="inlineStr">
        <is>
          <t>17061717681880</t>
        </is>
      </c>
      <c r="K317" s="5">
        <f>'05_NangLuc'!E315</f>
        <v/>
      </c>
      <c r="L317" s="5" t="n">
        <v>1.2656</v>
      </c>
    </row>
    <row r="318">
      <c r="J318" t="inlineStr">
        <is>
          <t>17061717742132</t>
        </is>
      </c>
      <c r="K318" s="5">
        <f>'05_NangLuc'!E316</f>
        <v/>
      </c>
      <c r="L318" s="5" t="n">
        <v>0.4795</v>
      </c>
    </row>
    <row r="319">
      <c r="J319" t="inlineStr">
        <is>
          <t>17061717839792</t>
        </is>
      </c>
      <c r="K319" s="5">
        <f>'05_NangLuc'!E317</f>
        <v/>
      </c>
      <c r="L319" s="5" t="n">
        <v>0.5075</v>
      </c>
    </row>
    <row r="320">
      <c r="J320" t="inlineStr">
        <is>
          <t>17061717978941</t>
        </is>
      </c>
      <c r="K320" s="5">
        <f>'05_NangLuc'!E318</f>
        <v/>
      </c>
      <c r="L320" s="5" t="n">
        <v>-3.3964</v>
      </c>
    </row>
    <row r="321">
      <c r="J321" t="inlineStr">
        <is>
          <t>17061718015067</t>
        </is>
      </c>
      <c r="K321" s="5">
        <f>'05_NangLuc'!E319</f>
        <v/>
      </c>
      <c r="L321" s="5" t="n">
        <v>0.2608</v>
      </c>
    </row>
    <row r="322">
      <c r="J322" t="inlineStr">
        <is>
          <t>17061718139878</t>
        </is>
      </c>
      <c r="K322" s="5">
        <f>'05_NangLuc'!E320</f>
        <v/>
      </c>
      <c r="L322" s="5" t="n">
        <v>0.2608</v>
      </c>
    </row>
    <row r="323">
      <c r="J323" t="inlineStr">
        <is>
          <t>17061718260511</t>
        </is>
      </c>
      <c r="K323" s="5">
        <f>'05_NangLuc'!E321</f>
        <v/>
      </c>
      <c r="L323" s="5" t="n">
        <v>-0.2429</v>
      </c>
    </row>
    <row r="324">
      <c r="J324" t="inlineStr">
        <is>
          <t>17061718351648</t>
        </is>
      </c>
      <c r="K324" s="5">
        <f>'05_NangLuc'!E322</f>
        <v/>
      </c>
      <c r="L324" s="5" t="n">
        <v>0.2608</v>
      </c>
    </row>
    <row r="325">
      <c r="J325" t="inlineStr">
        <is>
          <t>17061718535013</t>
        </is>
      </c>
      <c r="K325" s="5">
        <f>'05_NangLuc'!E323</f>
        <v/>
      </c>
      <c r="L325" s="5" t="n">
        <v>-0.8608</v>
      </c>
    </row>
    <row r="326">
      <c r="J326" t="inlineStr">
        <is>
          <t>17061718658742</t>
        </is>
      </c>
      <c r="K326" s="5">
        <f>'05_NangLuc'!E324</f>
        <v/>
      </c>
      <c r="L326" s="5" t="n">
        <v>1.1273</v>
      </c>
    </row>
    <row r="327">
      <c r="J327" t="inlineStr">
        <is>
          <t>17061718873925</t>
        </is>
      </c>
      <c r="K327" s="5">
        <f>'05_NangLuc'!E325</f>
        <v/>
      </c>
      <c r="L327" s="5" t="n">
        <v>-0.8608</v>
      </c>
    </row>
    <row r="328">
      <c r="J328" t="inlineStr">
        <is>
          <t>17061718939381</t>
        </is>
      </c>
      <c r="K328" s="5">
        <f>'05_NangLuc'!E326</f>
        <v/>
      </c>
      <c r="L328" s="5" t="n">
        <v>0.369</v>
      </c>
    </row>
    <row r="329">
      <c r="J329" t="inlineStr">
        <is>
          <t>17061719074597</t>
        </is>
      </c>
      <c r="K329" s="5">
        <f>'05_NangLuc'!E327</f>
        <v/>
      </c>
      <c r="L329" s="5" t="n">
        <v>-0.608</v>
      </c>
    </row>
    <row r="330">
      <c r="J330" t="inlineStr">
        <is>
          <t>17061719146193</t>
        </is>
      </c>
      <c r="K330" s="5">
        <f>'05_NangLuc'!E328</f>
        <v/>
      </c>
      <c r="L330" s="5" t="n">
        <v>1.4375</v>
      </c>
    </row>
    <row r="331">
      <c r="J331" t="inlineStr">
        <is>
          <t>17061719664708</t>
        </is>
      </c>
      <c r="K331" s="5">
        <f>'05_NangLuc'!E329</f>
        <v/>
      </c>
      <c r="L331" s="5" t="n">
        <v>0.0502</v>
      </c>
    </row>
    <row r="332">
      <c r="J332" t="inlineStr">
        <is>
          <t>17061719761699</t>
        </is>
      </c>
      <c r="K332" s="5">
        <f>'05_NangLuc'!E330</f>
        <v/>
      </c>
      <c r="L332" s="5" t="n">
        <v>-0.759</v>
      </c>
    </row>
    <row r="333">
      <c r="J333" t="inlineStr">
        <is>
          <t>17061719986132</t>
        </is>
      </c>
      <c r="K333" s="5">
        <f>'05_NangLuc'!E331</f>
        <v/>
      </c>
      <c r="L333" s="5" t="n">
        <v>-0.3568</v>
      </c>
    </row>
    <row r="334">
      <c r="J334" t="inlineStr">
        <is>
          <t>17061720078665</t>
        </is>
      </c>
      <c r="K334" s="5">
        <f>'05_NangLuc'!E332</f>
        <v/>
      </c>
      <c r="L334" s="5" t="n">
        <v>0.2565</v>
      </c>
    </row>
    <row r="335">
      <c r="J335" t="inlineStr">
        <is>
          <t>17061720355207</t>
        </is>
      </c>
      <c r="K335" s="5">
        <f>'05_NangLuc'!E333</f>
        <v/>
      </c>
      <c r="L335" s="5" t="n">
        <v>0.0502</v>
      </c>
    </row>
    <row r="336">
      <c r="J336" t="inlineStr">
        <is>
          <t>17061720538262</t>
        </is>
      </c>
      <c r="K336" s="5">
        <f>'05_NangLuc'!E334</f>
        <v/>
      </c>
      <c r="L336" s="5" t="n">
        <v>-0.4515</v>
      </c>
    </row>
    <row r="337">
      <c r="J337" t="inlineStr">
        <is>
          <t>17061720686736</t>
        </is>
      </c>
      <c r="K337" s="5">
        <f>'05_NangLuc'!E335</f>
        <v/>
      </c>
      <c r="L337" s="5" t="n">
        <v>0.5206</v>
      </c>
    </row>
    <row r="338">
      <c r="J338" t="inlineStr">
        <is>
          <t>17061720824635</t>
        </is>
      </c>
      <c r="K338" s="5">
        <f>'05_NangLuc'!E336</f>
        <v/>
      </c>
      <c r="L338" s="5" t="n">
        <v>1.1031</v>
      </c>
    </row>
    <row r="339">
      <c r="J339" t="inlineStr">
        <is>
          <t>17061721174827</t>
        </is>
      </c>
      <c r="K339" s="5">
        <f>'05_NangLuc'!E337</f>
        <v/>
      </c>
      <c r="L339" s="5" t="n">
        <v>1.218</v>
      </c>
    </row>
    <row r="340">
      <c r="J340" t="inlineStr">
        <is>
          <t>17061721253178</t>
        </is>
      </c>
      <c r="K340" s="5">
        <f>'05_NangLuc'!E338</f>
        <v/>
      </c>
      <c r="L340" s="5" t="n">
        <v>-0.7366</v>
      </c>
    </row>
    <row r="341">
      <c r="J341" t="inlineStr">
        <is>
          <t>17061721393370</t>
        </is>
      </c>
      <c r="K341" s="5">
        <f>'05_NangLuc'!E339</f>
        <v/>
      </c>
      <c r="L341" s="5" t="n">
        <v>0.5928</v>
      </c>
    </row>
    <row r="342">
      <c r="J342" t="inlineStr">
        <is>
          <t>17061721454362</t>
        </is>
      </c>
      <c r="K342" s="5">
        <f>'05_NangLuc'!E340</f>
        <v/>
      </c>
      <c r="L342" s="5" t="n">
        <v>0.5053</v>
      </c>
    </row>
    <row r="343">
      <c r="J343" t="inlineStr">
        <is>
          <t>17061721696297</t>
        </is>
      </c>
      <c r="K343" s="5">
        <f>'05_NangLuc'!E341</f>
        <v/>
      </c>
      <c r="L343" s="5" t="n">
        <v>0.7092000000000001</v>
      </c>
    </row>
    <row r="344">
      <c r="J344" t="inlineStr">
        <is>
          <t>17061721838802</t>
        </is>
      </c>
      <c r="K344" s="5">
        <f>'05_NangLuc'!E342</f>
        <v/>
      </c>
      <c r="L344" s="5" t="n">
        <v>0.0502</v>
      </c>
    </row>
    <row r="345">
      <c r="J345" t="inlineStr">
        <is>
          <t>17061722183850</t>
        </is>
      </c>
      <c r="K345" s="5">
        <f>'05_NangLuc'!E343</f>
        <v/>
      </c>
      <c r="L345" s="5" t="n">
        <v>-0.8608</v>
      </c>
    </row>
    <row r="346">
      <c r="J346" t="inlineStr">
        <is>
          <t>17061722359546</t>
        </is>
      </c>
      <c r="K346" s="5">
        <f>'05_NangLuc'!E344</f>
        <v/>
      </c>
      <c r="L346" s="5" t="n">
        <v>-1.282</v>
      </c>
    </row>
    <row r="347">
      <c r="J347" t="inlineStr">
        <is>
          <t>17061722481768</t>
        </is>
      </c>
      <c r="K347" s="5">
        <f>'05_NangLuc'!E345</f>
        <v/>
      </c>
      <c r="L347" s="5" t="n">
        <v>-1.3927</v>
      </c>
    </row>
    <row r="348">
      <c r="J348" t="inlineStr">
        <is>
          <t>17061722639030</t>
        </is>
      </c>
      <c r="K348" s="5">
        <f>'05_NangLuc'!E346</f>
        <v/>
      </c>
      <c r="L348" s="5" t="n">
        <v>0.0502</v>
      </c>
    </row>
    <row r="349">
      <c r="J349" t="inlineStr">
        <is>
          <t>17061722936952</t>
        </is>
      </c>
      <c r="K349" s="5">
        <f>'05_NangLuc'!E347</f>
        <v/>
      </c>
      <c r="L349" s="5" t="n">
        <v>-0.2562</v>
      </c>
    </row>
    <row r="350">
      <c r="J350" t="inlineStr">
        <is>
          <t>17061723177992</t>
        </is>
      </c>
      <c r="K350" s="5">
        <f>'05_NangLuc'!E348</f>
        <v/>
      </c>
      <c r="L350" s="5" t="n">
        <v>-3.3964</v>
      </c>
    </row>
    <row r="351">
      <c r="J351" t="inlineStr">
        <is>
          <t>17061723276531</t>
        </is>
      </c>
      <c r="K351" s="5">
        <f>'05_NangLuc'!E349</f>
        <v/>
      </c>
      <c r="L351" s="5" t="n">
        <v>-3.3964</v>
      </c>
    </row>
    <row r="352">
      <c r="J352" t="inlineStr">
        <is>
          <t>17061723367326</t>
        </is>
      </c>
      <c r="K352" s="5">
        <f>'05_NangLuc'!E350</f>
        <v/>
      </c>
      <c r="L352" s="5" t="n">
        <v>-1.1012</v>
      </c>
    </row>
    <row r="353">
      <c r="J353" t="inlineStr">
        <is>
          <t>17061723741572</t>
        </is>
      </c>
      <c r="K353" s="5">
        <f>'05_NangLuc'!E351</f>
        <v/>
      </c>
      <c r="L353" s="5" t="n">
        <v>-0.3975</v>
      </c>
    </row>
    <row r="354">
      <c r="J354" t="inlineStr">
        <is>
          <t>17061723860493</t>
        </is>
      </c>
      <c r="K354" s="5">
        <f>'05_NangLuc'!E352</f>
        <v/>
      </c>
      <c r="L354" s="5" t="n">
        <v>-1.0001</v>
      </c>
    </row>
    <row r="355">
      <c r="J355" t="inlineStr">
        <is>
          <t>17061723947343</t>
        </is>
      </c>
      <c r="K355" s="5">
        <f>'05_NangLuc'!E353</f>
        <v/>
      </c>
      <c r="L355" s="5" t="n">
        <v>-0.6274999999999999</v>
      </c>
    </row>
    <row r="356">
      <c r="J356" t="inlineStr">
        <is>
          <t>17061724145452</t>
        </is>
      </c>
      <c r="K356" s="5">
        <f>'05_NangLuc'!E354</f>
        <v/>
      </c>
      <c r="L356" s="5" t="n">
        <v>0.2465</v>
      </c>
    </row>
    <row r="357">
      <c r="J357" t="inlineStr">
        <is>
          <t>17061736864109</t>
        </is>
      </c>
      <c r="K357" s="5">
        <f>'05_NangLuc'!E355</f>
        <v/>
      </c>
      <c r="L357" s="5" t="n">
        <v>0.8725000000000001</v>
      </c>
    </row>
    <row r="358">
      <c r="J358" t="inlineStr">
        <is>
          <t>17061737060148</t>
        </is>
      </c>
      <c r="K358" s="5">
        <f>'05_NangLuc'!E356</f>
        <v/>
      </c>
      <c r="L358" s="5" t="n">
        <v>1.621</v>
      </c>
    </row>
    <row r="359">
      <c r="J359" t="inlineStr">
        <is>
          <t>17061737262496</t>
        </is>
      </c>
      <c r="K359" s="5">
        <f>'05_NangLuc'!E357</f>
        <v/>
      </c>
      <c r="L359" s="5" t="n">
        <v>1.2656</v>
      </c>
    </row>
    <row r="360">
      <c r="J360" t="inlineStr">
        <is>
          <t>17061737368659</t>
        </is>
      </c>
      <c r="K360" s="5">
        <f>'05_NangLuc'!E358</f>
        <v/>
      </c>
      <c r="L360" s="5" t="n">
        <v>2.2735</v>
      </c>
    </row>
    <row r="361">
      <c r="J361" t="inlineStr">
        <is>
          <t>17061737457182</t>
        </is>
      </c>
      <c r="K361" s="5">
        <f>'05_NangLuc'!E359</f>
        <v/>
      </c>
      <c r="L361" s="5" t="n">
        <v>1.083</v>
      </c>
    </row>
    <row r="362">
      <c r="J362" t="inlineStr">
        <is>
          <t>17061737831259</t>
        </is>
      </c>
      <c r="K362" s="5">
        <f>'05_NangLuc'!E360</f>
        <v/>
      </c>
      <c r="L362" s="5" t="n">
        <v>2.03</v>
      </c>
    </row>
    <row r="363">
      <c r="J363" t="inlineStr">
        <is>
          <t>17061737955680</t>
        </is>
      </c>
      <c r="K363" s="5">
        <f>'05_NangLuc'!E361</f>
        <v/>
      </c>
      <c r="L363" s="5" t="n">
        <v>1.218</v>
      </c>
    </row>
    <row r="364">
      <c r="J364" t="inlineStr">
        <is>
          <t>17061738035809</t>
        </is>
      </c>
      <c r="K364" s="5">
        <f>'05_NangLuc'!E362</f>
        <v/>
      </c>
      <c r="L364" s="5" t="n">
        <v>-0.155</v>
      </c>
    </row>
    <row r="365">
      <c r="J365" t="inlineStr">
        <is>
          <t>17061738142494</t>
        </is>
      </c>
      <c r="K365" s="5">
        <f>'05_NangLuc'!E363</f>
        <v/>
      </c>
      <c r="L365" s="5" t="n">
        <v>-0.053</v>
      </c>
    </row>
    <row r="366">
      <c r="J366" t="inlineStr">
        <is>
          <t>17061738229114</t>
        </is>
      </c>
      <c r="K366" s="5">
        <f>'05_NangLuc'!E364</f>
        <v/>
      </c>
      <c r="L366" s="5" t="n">
        <v>0.0502</v>
      </c>
    </row>
    <row r="367">
      <c r="J367" t="inlineStr">
        <is>
          <t>17061738878610</t>
        </is>
      </c>
      <c r="K367" s="5">
        <f>'05_NangLuc'!E365</f>
        <v/>
      </c>
      <c r="L367" s="5" t="n">
        <v>-1.3927</v>
      </c>
    </row>
    <row r="368">
      <c r="J368" t="inlineStr">
        <is>
          <t>17061738996051</t>
        </is>
      </c>
      <c r="K368" s="5">
        <f>'05_NangLuc'!E366</f>
        <v/>
      </c>
      <c r="L368" s="5" t="n">
        <v>0.2608</v>
      </c>
    </row>
    <row r="369">
      <c r="J369" t="inlineStr">
        <is>
          <t>17061739116041</t>
        </is>
      </c>
      <c r="K369" s="5">
        <f>'05_NangLuc'!E367</f>
        <v/>
      </c>
      <c r="L369" s="5" t="n">
        <v>-0.053</v>
      </c>
    </row>
    <row r="370">
      <c r="J370" t="inlineStr">
        <is>
          <t>17061739545826</t>
        </is>
      </c>
      <c r="K370" s="5">
        <f>'05_NangLuc'!E368</f>
        <v/>
      </c>
      <c r="L370" s="5" t="n">
        <v>0.5053</v>
      </c>
    </row>
    <row r="371">
      <c r="J371" t="inlineStr">
        <is>
          <t>17061739699176</t>
        </is>
      </c>
      <c r="K371" s="5">
        <f>'05_NangLuc'!E369</f>
        <v/>
      </c>
      <c r="L371" s="5" t="n">
        <v>0.5928</v>
      </c>
    </row>
    <row r="372">
      <c r="J372" t="inlineStr">
        <is>
          <t>17061739725228</t>
        </is>
      </c>
      <c r="K372" s="5">
        <f>'05_NangLuc'!E370</f>
        <v/>
      </c>
      <c r="L372" s="5" t="n">
        <v>0.3787</v>
      </c>
    </row>
    <row r="373">
      <c r="J373" t="inlineStr">
        <is>
          <t>17061739892590</t>
        </is>
      </c>
      <c r="K373" s="5">
        <f>'05_NangLuc'!E371</f>
        <v/>
      </c>
      <c r="L373" s="5" t="n">
        <v>0.1546</v>
      </c>
    </row>
    <row r="374">
      <c r="J374" t="inlineStr">
        <is>
          <t>17061739986168</t>
        </is>
      </c>
      <c r="K374" s="5">
        <f>'05_NangLuc'!E372</f>
        <v/>
      </c>
      <c r="L374" s="5" t="n">
        <v>0.3787</v>
      </c>
    </row>
    <row r="375">
      <c r="J375" t="inlineStr">
        <is>
          <t>17061740058235</t>
        </is>
      </c>
      <c r="K375" s="5">
        <f>'05_NangLuc'!E373</f>
        <v/>
      </c>
      <c r="L375" s="5" t="n">
        <v>0.7092000000000001</v>
      </c>
    </row>
    <row r="376">
      <c r="J376" t="inlineStr">
        <is>
          <t>17061741791759</t>
        </is>
      </c>
      <c r="K376" s="5">
        <f>'05_NangLuc'!E374</f>
        <v/>
      </c>
      <c r="L376" s="5" t="n">
        <v>-3.3964</v>
      </c>
    </row>
    <row r="377">
      <c r="J377" t="inlineStr">
        <is>
          <t>17062783875339</t>
        </is>
      </c>
      <c r="K377" s="5">
        <f>'05_NangLuc'!E375</f>
        <v/>
      </c>
      <c r="L377" s="5" t="n">
        <v>-3.729</v>
      </c>
    </row>
    <row r="378">
      <c r="J378" t="inlineStr">
        <is>
          <t>17068442435486</t>
        </is>
      </c>
      <c r="K378" s="5">
        <f>'05_NangLuc'!E376</f>
        <v/>
      </c>
      <c r="L378" s="5" t="n">
        <v>0.0217</v>
      </c>
    </row>
    <row r="379">
      <c r="J379" t="inlineStr">
        <is>
          <t>17068446564097</t>
        </is>
      </c>
      <c r="K379" s="5">
        <f>'05_NangLuc'!E377</f>
        <v/>
      </c>
      <c r="L379" s="5" t="n">
        <v>1.218</v>
      </c>
    </row>
    <row r="380">
      <c r="J380" t="inlineStr">
        <is>
          <t>17068449569479</t>
        </is>
      </c>
      <c r="K380" s="5">
        <f>'05_NangLuc'!E378</f>
        <v/>
      </c>
      <c r="L380" s="5" t="n">
        <v>0.5928</v>
      </c>
    </row>
    <row r="381">
      <c r="J381" t="inlineStr">
        <is>
          <t>17068451416029</t>
        </is>
      </c>
      <c r="K381" s="5">
        <f>'05_NangLuc'!E379</f>
        <v/>
      </c>
      <c r="L381" s="5" t="n">
        <v>1.0382</v>
      </c>
    </row>
    <row r="382">
      <c r="J382" t="inlineStr">
        <is>
          <t>17068453288236</t>
        </is>
      </c>
      <c r="K382" s="5">
        <f>'05_NangLuc'!E380</f>
        <v/>
      </c>
      <c r="L382" s="5" t="n">
        <v>2.0346</v>
      </c>
    </row>
    <row r="383">
      <c r="J383" t="inlineStr">
        <is>
          <t>17068453398468</t>
        </is>
      </c>
      <c r="K383" s="5">
        <f>'05_NangLuc'!E381</f>
        <v/>
      </c>
      <c r="L383" s="5" t="n">
        <v>0.2608</v>
      </c>
    </row>
    <row r="384">
      <c r="J384" t="inlineStr">
        <is>
          <t>17068462799682</t>
        </is>
      </c>
      <c r="K384" s="5">
        <f>'05_NangLuc'!E382</f>
        <v/>
      </c>
      <c r="L384" s="5" t="n">
        <v>0.8725000000000001</v>
      </c>
    </row>
    <row r="385">
      <c r="J385" t="inlineStr">
        <is>
          <t>17071966158686</t>
        </is>
      </c>
      <c r="K385" s="5">
        <f>'05_NangLuc'!E383</f>
        <v/>
      </c>
      <c r="L385" s="5" t="n">
        <v>-0.1141</v>
      </c>
    </row>
    <row r="386">
      <c r="J386" t="inlineStr">
        <is>
          <t>17086337252472</t>
        </is>
      </c>
      <c r="K386" s="5">
        <f>'05_NangLuc'!E384</f>
        <v/>
      </c>
      <c r="L386" s="5" t="n">
        <v>0.8941</v>
      </c>
    </row>
    <row r="387">
      <c r="J387" t="inlineStr">
        <is>
          <t>17088718141072</t>
        </is>
      </c>
      <c r="K387" s="5">
        <f>'05_NangLuc'!E385</f>
        <v/>
      </c>
      <c r="L387" s="5" t="n">
        <v>0.2465</v>
      </c>
    </row>
    <row r="388">
      <c r="J388" t="inlineStr">
        <is>
          <t>17088718432350</t>
        </is>
      </c>
      <c r="K388" s="5">
        <f>'05_NangLuc'!E386</f>
        <v/>
      </c>
      <c r="L388" s="5" t="n">
        <v>1.0382</v>
      </c>
    </row>
    <row r="389">
      <c r="J389" t="inlineStr">
        <is>
          <t>17088719210594</t>
        </is>
      </c>
      <c r="K389" s="5">
        <f>'05_NangLuc'!E387</f>
        <v/>
      </c>
      <c r="L389" s="5" t="n">
        <v>0.8293</v>
      </c>
    </row>
    <row r="390">
      <c r="J390" t="inlineStr">
        <is>
          <t>17088721673292</t>
        </is>
      </c>
      <c r="K390" s="5">
        <f>'05_NangLuc'!E388</f>
        <v/>
      </c>
      <c r="L390" s="5" t="n">
        <v>0.5002</v>
      </c>
    </row>
    <row r="391">
      <c r="J391" t="inlineStr">
        <is>
          <t>17088721763977</t>
        </is>
      </c>
      <c r="K391" s="5">
        <f>'05_NangLuc'!E389</f>
        <v/>
      </c>
      <c r="L391" s="5" t="n">
        <v>-0.4858</v>
      </c>
    </row>
    <row r="392">
      <c r="J392" t="inlineStr">
        <is>
          <t>17088723052818</t>
        </is>
      </c>
      <c r="K392" s="5">
        <f>'05_NangLuc'!E390</f>
        <v/>
      </c>
      <c r="L392" s="5" t="n">
        <v>0.0339</v>
      </c>
    </row>
    <row r="393">
      <c r="J393" t="inlineStr">
        <is>
          <t>17088723138144</t>
        </is>
      </c>
      <c r="K393" s="5">
        <f>'05_NangLuc'!E391</f>
        <v/>
      </c>
      <c r="L393" s="5" t="n">
        <v>-0.2429</v>
      </c>
    </row>
    <row r="394">
      <c r="J394" t="inlineStr">
        <is>
          <t>17088724649930</t>
        </is>
      </c>
      <c r="K394" s="5">
        <f>'05_NangLuc'!E392</f>
        <v/>
      </c>
      <c r="L394" s="5" t="n">
        <v>0.0502</v>
      </c>
    </row>
    <row r="395">
      <c r="J395" t="inlineStr">
        <is>
          <t>17088724842738</t>
        </is>
      </c>
      <c r="K395" s="5">
        <f>'05_NangLuc'!E393</f>
        <v/>
      </c>
      <c r="L395" s="5" t="n">
        <v>-0.1949</v>
      </c>
    </row>
    <row r="396">
      <c r="J396" t="inlineStr">
        <is>
          <t>17088725459896</t>
        </is>
      </c>
      <c r="K396" s="5">
        <f>'05_NangLuc'!E394</f>
        <v/>
      </c>
      <c r="L396" s="5" t="n">
        <v>0.6583</v>
      </c>
    </row>
    <row r="397">
      <c r="J397" t="inlineStr">
        <is>
          <t>17088725694669</t>
        </is>
      </c>
      <c r="K397" s="5">
        <f>'05_NangLuc'!E395</f>
        <v/>
      </c>
      <c r="L397" s="5" t="n">
        <v>-2.6471</v>
      </c>
    </row>
    <row r="398">
      <c r="J398" t="inlineStr">
        <is>
          <t>17088729521123</t>
        </is>
      </c>
      <c r="K398" s="5">
        <f>'05_NangLuc'!E396</f>
        <v/>
      </c>
      <c r="L398" s="5" t="n">
        <v>-1.0679</v>
      </c>
    </row>
    <row r="399">
      <c r="J399" t="inlineStr">
        <is>
          <t>17088730074136</t>
        </is>
      </c>
      <c r="K399" s="5">
        <f>'05_NangLuc'!E397</f>
        <v/>
      </c>
      <c r="L399" s="5" t="n">
        <v>-3.1135</v>
      </c>
    </row>
    <row r="400">
      <c r="J400" t="inlineStr">
        <is>
          <t>17088730346155</t>
        </is>
      </c>
      <c r="K400" s="5">
        <f>'05_NangLuc'!E398</f>
        <v/>
      </c>
      <c r="L400" s="5" t="n">
        <v>0.369</v>
      </c>
    </row>
    <row r="401">
      <c r="J401" t="inlineStr">
        <is>
          <t>17088730660430</t>
        </is>
      </c>
      <c r="K401" s="5">
        <f>'05_NangLuc'!E399</f>
        <v/>
      </c>
      <c r="L401" s="5" t="n">
        <v>0.4795</v>
      </c>
    </row>
    <row r="402">
      <c r="J402" t="inlineStr">
        <is>
          <t>17088730928512</t>
        </is>
      </c>
      <c r="K402" s="5">
        <f>'05_NangLuc'!E400</f>
        <v/>
      </c>
      <c r="L402" s="5" t="n">
        <v>-0.6071</v>
      </c>
    </row>
    <row r="403">
      <c r="J403" t="inlineStr">
        <is>
          <t>17088731271487</t>
        </is>
      </c>
      <c r="K403" s="5">
        <f>'05_NangLuc'!E401</f>
        <v/>
      </c>
      <c r="L403" s="5" t="n">
        <v>0.0217</v>
      </c>
    </row>
    <row r="404">
      <c r="J404" t="inlineStr">
        <is>
          <t>17088731497168</t>
        </is>
      </c>
      <c r="K404" s="5">
        <f>'05_NangLuc'!E402</f>
        <v/>
      </c>
      <c r="L404" s="5" t="n">
        <v>1.5288</v>
      </c>
    </row>
    <row r="405">
      <c r="J405" t="inlineStr">
        <is>
          <t>17088731649381</t>
        </is>
      </c>
      <c r="K405" s="5">
        <f>'05_NangLuc'!E403</f>
        <v/>
      </c>
      <c r="L405" s="5" t="n">
        <v>-0.053</v>
      </c>
    </row>
    <row r="406">
      <c r="J406" t="inlineStr">
        <is>
          <t>17088732275534</t>
        </is>
      </c>
      <c r="K406" s="5">
        <f>'05_NangLuc'!E404</f>
        <v/>
      </c>
      <c r="L406" s="5" t="n">
        <v>0.2465</v>
      </c>
    </row>
    <row r="407">
      <c r="J407" t="inlineStr">
        <is>
          <t>17088732466676</t>
        </is>
      </c>
      <c r="K407" s="5">
        <f>'05_NangLuc'!E405</f>
        <v/>
      </c>
      <c r="L407" s="5" t="n">
        <v>-0.4572</v>
      </c>
    </row>
    <row r="408">
      <c r="J408" t="inlineStr">
        <is>
          <t>17088732810874</t>
        </is>
      </c>
      <c r="K408" s="5">
        <f>'05_NangLuc'!E406</f>
        <v/>
      </c>
      <c r="L408" s="5" t="n">
        <v>-3.729</v>
      </c>
    </row>
    <row r="409">
      <c r="J409" t="inlineStr">
        <is>
          <t>17088798974282</t>
        </is>
      </c>
      <c r="K409" s="5">
        <f>'05_NangLuc'!E407</f>
        <v/>
      </c>
      <c r="L409" s="5" t="n">
        <v>0.2608</v>
      </c>
    </row>
    <row r="410">
      <c r="J410" t="inlineStr">
        <is>
          <t>17096337480117</t>
        </is>
      </c>
      <c r="K410" s="5">
        <f>'05_NangLuc'!E408</f>
        <v/>
      </c>
      <c r="L410" s="5" t="n">
        <v>0.7571</v>
      </c>
    </row>
    <row r="411">
      <c r="J411" t="inlineStr">
        <is>
          <t>17096549659245</t>
        </is>
      </c>
      <c r="K411" s="5">
        <f>'05_NangLuc'!E409</f>
        <v/>
      </c>
      <c r="L411" s="5" t="n">
        <v>-0.4858</v>
      </c>
    </row>
    <row r="412">
      <c r="J412" t="inlineStr">
        <is>
          <t>17098483646515</t>
        </is>
      </c>
      <c r="K412" s="5">
        <f>'05_NangLuc'!E410</f>
        <v/>
      </c>
      <c r="L412" s="5" t="n">
        <v>-2.2645</v>
      </c>
    </row>
    <row r="413">
      <c r="J413" t="inlineStr">
        <is>
          <t>17102095388272</t>
        </is>
      </c>
      <c r="K413" s="5">
        <f>'05_NangLuc'!E411</f>
        <v/>
      </c>
      <c r="L413" s="5" t="n">
        <v>0.369</v>
      </c>
    </row>
    <row r="414">
      <c r="J414" t="inlineStr">
        <is>
          <t>17102104996705</t>
        </is>
      </c>
      <c r="K414" s="5">
        <f>'05_NangLuc'!E412</f>
        <v/>
      </c>
      <c r="L414" s="5" t="n">
        <v>-0.2562</v>
      </c>
    </row>
    <row r="415">
      <c r="J415" t="inlineStr">
        <is>
          <t>17102108521882</t>
        </is>
      </c>
      <c r="K415" s="5">
        <f>'05_NangLuc'!E413</f>
        <v/>
      </c>
      <c r="L415" s="5" t="n">
        <v>-0.053</v>
      </c>
    </row>
    <row r="416">
      <c r="J416" t="inlineStr">
        <is>
          <t>17102108715126</t>
        </is>
      </c>
      <c r="K416" s="5">
        <f>'05_NangLuc'!E414</f>
        <v/>
      </c>
      <c r="L416" s="5" t="n">
        <v>-0.2915</v>
      </c>
    </row>
    <row r="417">
      <c r="J417" t="inlineStr">
        <is>
          <t>17102117056127</t>
        </is>
      </c>
      <c r="K417" s="5">
        <f>'05_NangLuc'!E415</f>
        <v/>
      </c>
      <c r="L417" s="5" t="n">
        <v>-1.0679</v>
      </c>
    </row>
    <row r="418">
      <c r="J418" t="inlineStr">
        <is>
          <t>17104790793068</t>
        </is>
      </c>
      <c r="K418" s="5">
        <f>'05_NangLuc'!E416</f>
        <v/>
      </c>
      <c r="L418" s="5" t="n">
        <v>1.4375</v>
      </c>
    </row>
    <row r="419">
      <c r="J419" t="inlineStr">
        <is>
          <t>17145685838192</t>
        </is>
      </c>
      <c r="K419" s="5">
        <f>'05_NangLuc'!E417</f>
        <v/>
      </c>
      <c r="L419" s="5" t="n">
        <v>0.1546</v>
      </c>
    </row>
    <row r="420">
      <c r="J420" t="inlineStr">
        <is>
          <t>17148957581027</t>
        </is>
      </c>
      <c r="K420" s="5">
        <f>'05_NangLuc'!E418</f>
        <v/>
      </c>
      <c r="L420" s="5" t="n">
        <v>1.5095</v>
      </c>
    </row>
    <row r="421">
      <c r="J421" t="inlineStr">
        <is>
          <t>17159457137480</t>
        </is>
      </c>
      <c r="K421" s="5">
        <f>'05_NangLuc'!E419</f>
        <v/>
      </c>
      <c r="L421" s="5" t="n">
        <v>1.1031</v>
      </c>
    </row>
    <row r="422">
      <c r="J422" t="inlineStr">
        <is>
          <t>17163188548441</t>
        </is>
      </c>
      <c r="K422" s="5">
        <f>'05_NangLuc'!E420</f>
        <v/>
      </c>
      <c r="L422" s="5" t="n">
        <v>-0.9754</v>
      </c>
    </row>
    <row r="423">
      <c r="J423" t="inlineStr">
        <is>
          <t>17164217711217</t>
        </is>
      </c>
      <c r="K423" s="5">
        <f>'05_NangLuc'!E421</f>
        <v/>
      </c>
      <c r="L423" s="5" t="n">
        <v>-3.3964</v>
      </c>
    </row>
    <row r="424">
      <c r="J424" t="inlineStr">
        <is>
          <t>17165214837111</t>
        </is>
      </c>
      <c r="K424" s="5">
        <f>'05_NangLuc'!E422</f>
        <v/>
      </c>
      <c r="L424" s="5" t="n">
        <v>0.4795</v>
      </c>
    </row>
    <row r="425">
      <c r="J425" t="inlineStr">
        <is>
          <t>17170615938799</t>
        </is>
      </c>
      <c r="K425" s="5">
        <f>'05_NangLuc'!E423</f>
        <v/>
      </c>
      <c r="L425" s="5" t="n">
        <v>1.2656</v>
      </c>
    </row>
    <row r="426">
      <c r="J426" t="inlineStr">
        <is>
          <t>17170627258085</t>
        </is>
      </c>
      <c r="K426" s="5">
        <f>'05_NangLuc'!E424</f>
        <v/>
      </c>
      <c r="L426" s="5" t="n">
        <v>0.5928</v>
      </c>
    </row>
    <row r="427">
      <c r="J427" t="inlineStr">
        <is>
          <t>17170636236765</t>
        </is>
      </c>
      <c r="K427" s="5">
        <f>'05_NangLuc'!E425</f>
        <v/>
      </c>
      <c r="L427" s="5" t="n">
        <v>-3.3964</v>
      </c>
    </row>
    <row r="428">
      <c r="J428" t="inlineStr">
        <is>
          <t>17170637749889</t>
        </is>
      </c>
      <c r="K428" s="5">
        <f>'05_NangLuc'!E426</f>
        <v/>
      </c>
      <c r="L428" s="5" t="n">
        <v>-2.4479</v>
      </c>
    </row>
    <row r="429">
      <c r="J429" t="inlineStr">
        <is>
          <t>17170639771502</t>
        </is>
      </c>
      <c r="K429" s="5">
        <f>'05_NangLuc'!E427</f>
        <v/>
      </c>
      <c r="L429" s="5" t="n">
        <v>0.8941</v>
      </c>
    </row>
    <row r="430">
      <c r="J430" t="inlineStr">
        <is>
          <t>17170799181474</t>
        </is>
      </c>
      <c r="K430" s="5">
        <f>'05_NangLuc'!E428</f>
        <v/>
      </c>
      <c r="L430" s="5" t="n">
        <v>0.3787</v>
      </c>
    </row>
    <row r="431">
      <c r="J431" t="inlineStr">
        <is>
          <t>17172131359059</t>
        </is>
      </c>
      <c r="K431" s="5">
        <f>'05_NangLuc'!E429</f>
        <v/>
      </c>
      <c r="L431" s="5" t="n">
        <v>1.8188</v>
      </c>
    </row>
    <row r="432">
      <c r="J432" t="inlineStr">
        <is>
          <t>17173065618409</t>
        </is>
      </c>
      <c r="K432" s="5">
        <f>'05_NangLuc'!E430</f>
        <v/>
      </c>
      <c r="L432" s="5" t="n">
        <v>0.2465</v>
      </c>
    </row>
    <row r="433">
      <c r="J433" t="inlineStr">
        <is>
          <t>17173705487141</t>
        </is>
      </c>
      <c r="K433" s="5">
        <f>'05_NangLuc'!E431</f>
        <v/>
      </c>
      <c r="L433" s="5" t="n">
        <v>0.5928</v>
      </c>
    </row>
    <row r="434">
      <c r="J434" t="inlineStr">
        <is>
          <t>17173800499851</t>
        </is>
      </c>
      <c r="K434" s="5">
        <f>'05_NangLuc'!E432</f>
        <v/>
      </c>
      <c r="L434" s="5" t="n">
        <v>-0.9814000000000001</v>
      </c>
    </row>
    <row r="435">
      <c r="J435" t="inlineStr">
        <is>
          <t>17173816470758</t>
        </is>
      </c>
      <c r="K435" s="5">
        <f>'05_NangLuc'!E433</f>
        <v/>
      </c>
      <c r="L435" s="5" t="n">
        <v>0.8293</v>
      </c>
    </row>
    <row r="436">
      <c r="J436" t="inlineStr">
        <is>
          <t>17174795621565</t>
        </is>
      </c>
      <c r="K436" s="5">
        <f>'05_NangLuc'!E434</f>
        <v/>
      </c>
      <c r="L436" s="5" t="n">
        <v>0.4795</v>
      </c>
    </row>
    <row r="437">
      <c r="J437" t="inlineStr">
        <is>
          <t>17174797032389</t>
        </is>
      </c>
      <c r="K437" s="5">
        <f>'05_NangLuc'!E435</f>
        <v/>
      </c>
      <c r="L437" s="5" t="n">
        <v>0.5928</v>
      </c>
    </row>
    <row r="438">
      <c r="J438" t="inlineStr">
        <is>
          <t>17175613053954</t>
        </is>
      </c>
      <c r="K438" s="5">
        <f>'05_NangLuc'!E436</f>
        <v/>
      </c>
      <c r="L438" s="5" t="n">
        <v>-0.0762</v>
      </c>
    </row>
    <row r="439">
      <c r="J439" t="inlineStr">
        <is>
          <t>17176567110231</t>
        </is>
      </c>
      <c r="K439" s="5">
        <f>'05_NangLuc'!E437</f>
        <v/>
      </c>
      <c r="L439" s="5" t="n">
        <v>-0.8608</v>
      </c>
    </row>
    <row r="440">
      <c r="J440" t="inlineStr">
        <is>
          <t>17177353093275</t>
        </is>
      </c>
      <c r="K440" s="5">
        <f>'05_NangLuc'!E438</f>
        <v/>
      </c>
      <c r="L440" s="5" t="n">
        <v>0.0502</v>
      </c>
    </row>
    <row r="441">
      <c r="J441" t="inlineStr">
        <is>
          <t>17177353130488</t>
        </is>
      </c>
      <c r="K441" s="5">
        <f>'05_NangLuc'!E439</f>
        <v/>
      </c>
      <c r="L441" s="5" t="n">
        <v>0.8293</v>
      </c>
    </row>
    <row r="442">
      <c r="J442" t="inlineStr">
        <is>
          <t>17177353284920</t>
        </is>
      </c>
      <c r="K442" s="5">
        <f>'05_NangLuc'!E440</f>
        <v/>
      </c>
      <c r="L442" s="5" t="n">
        <v>0.2465</v>
      </c>
    </row>
    <row r="443">
      <c r="J443" t="inlineStr">
        <is>
          <t>17177353368504</t>
        </is>
      </c>
      <c r="K443" s="5">
        <f>'05_NangLuc'!E441</f>
        <v/>
      </c>
      <c r="L443" s="5" t="n">
        <v>0.7372</v>
      </c>
    </row>
    <row r="444">
      <c r="J444" t="inlineStr">
        <is>
          <t>17177353457484</t>
        </is>
      </c>
      <c r="K444" s="5">
        <f>'05_NangLuc'!E442</f>
        <v/>
      </c>
      <c r="L444" s="5" t="n">
        <v>0.369</v>
      </c>
    </row>
    <row r="445">
      <c r="J445" t="inlineStr">
        <is>
          <t>17177353558217</t>
        </is>
      </c>
      <c r="K445" s="5">
        <f>'05_NangLuc'!E443</f>
        <v/>
      </c>
      <c r="L445" s="5" t="n">
        <v>-0.658</v>
      </c>
    </row>
    <row r="446">
      <c r="J446" t="inlineStr">
        <is>
          <t>17177353674301</t>
        </is>
      </c>
      <c r="K446" s="5">
        <f>'05_NangLuc'!E444</f>
        <v/>
      </c>
      <c r="L446" s="5" t="n">
        <v>0.3787</v>
      </c>
    </row>
    <row r="447">
      <c r="J447" t="inlineStr">
        <is>
          <t>17177353788488</t>
        </is>
      </c>
      <c r="K447" s="5">
        <f>'05_NangLuc'!E445</f>
        <v/>
      </c>
      <c r="L447" s="5" t="n">
        <v>0.6261</v>
      </c>
    </row>
    <row r="448">
      <c r="J448" t="inlineStr">
        <is>
          <t>17177353878503</t>
        </is>
      </c>
      <c r="K448" s="5">
        <f>'05_NangLuc'!E446</f>
        <v/>
      </c>
      <c r="L448" s="5" t="n">
        <v>0.4795</v>
      </c>
    </row>
    <row r="449">
      <c r="J449" t="inlineStr">
        <is>
          <t>17177353940644</t>
        </is>
      </c>
      <c r="K449" s="5">
        <f>'05_NangLuc'!E447</f>
        <v/>
      </c>
      <c r="L449" s="5" t="n">
        <v>0.369</v>
      </c>
    </row>
    <row r="450">
      <c r="J450" t="inlineStr">
        <is>
          <t>17177354083727</t>
        </is>
      </c>
      <c r="K450" s="5">
        <f>'05_NangLuc'!E448</f>
        <v/>
      </c>
      <c r="L450" s="5" t="n">
        <v>0.369</v>
      </c>
    </row>
    <row r="451">
      <c r="J451" t="inlineStr">
        <is>
          <t>17177354155170</t>
        </is>
      </c>
      <c r="K451" s="5">
        <f>'05_NangLuc'!E449</f>
        <v/>
      </c>
      <c r="L451" s="5" t="n">
        <v>0.3787</v>
      </c>
    </row>
    <row r="452">
      <c r="J452" t="inlineStr">
        <is>
          <t>17177354237367</t>
        </is>
      </c>
      <c r="K452" s="5">
        <f>'05_NangLuc'!E450</f>
        <v/>
      </c>
      <c r="L452" s="5" t="n">
        <v>-0.1845</v>
      </c>
    </row>
    <row r="453">
      <c r="J453" t="inlineStr">
        <is>
          <t>17178102224255</t>
        </is>
      </c>
      <c r="K453" s="5">
        <f>'05_NangLuc'!E451</f>
        <v/>
      </c>
      <c r="L453" s="5" t="n">
        <v>0.7401</v>
      </c>
    </row>
    <row r="454">
      <c r="J454" t="inlineStr">
        <is>
          <t>17178102756271</t>
        </is>
      </c>
      <c r="K454" s="5">
        <f>'05_NangLuc'!E452</f>
        <v/>
      </c>
      <c r="L454" s="5" t="n">
        <v>0.5928</v>
      </c>
    </row>
    <row r="455">
      <c r="J455" t="inlineStr">
        <is>
          <t>17178104449503</t>
        </is>
      </c>
      <c r="K455" s="5">
        <f>'05_NangLuc'!E453</f>
        <v/>
      </c>
      <c r="L455" s="5" t="n">
        <v>-0.2562</v>
      </c>
    </row>
    <row r="456">
      <c r="J456" t="inlineStr">
        <is>
          <t>17178104614137</t>
        </is>
      </c>
      <c r="K456" s="5">
        <f>'05_NangLuc'!E454</f>
        <v/>
      </c>
      <c r="L456" s="5" t="n">
        <v>0.6261</v>
      </c>
    </row>
    <row r="457">
      <c r="J457" t="inlineStr">
        <is>
          <t>17178105189539</t>
        </is>
      </c>
      <c r="K457" s="5">
        <f>'05_NangLuc'!E455</f>
        <v/>
      </c>
      <c r="L457" s="5" t="n">
        <v>0.3631</v>
      </c>
    </row>
    <row r="458">
      <c r="J458" t="inlineStr">
        <is>
          <t>17178105392741</t>
        </is>
      </c>
      <c r="K458" s="5">
        <f>'05_NangLuc'!E456</f>
        <v/>
      </c>
      <c r="L458" s="5" t="n">
        <v>0.8293</v>
      </c>
    </row>
    <row r="459">
      <c r="J459" t="inlineStr">
        <is>
          <t>17178105522733</t>
        </is>
      </c>
      <c r="K459" s="5">
        <f>'05_NangLuc'!E457</f>
        <v/>
      </c>
      <c r="L459" s="5" t="n">
        <v>-0.2429</v>
      </c>
    </row>
    <row r="460">
      <c r="J460" t="inlineStr">
        <is>
          <t>17178111059270</t>
        </is>
      </c>
      <c r="K460" s="5">
        <f>'05_NangLuc'!E458</f>
        <v/>
      </c>
      <c r="L460" s="5" t="n">
        <v>-0.5029</v>
      </c>
    </row>
    <row r="461">
      <c r="J461" t="inlineStr">
        <is>
          <t>17178112075695</t>
        </is>
      </c>
      <c r="K461" s="5">
        <f>'05_NangLuc'!E459</f>
        <v/>
      </c>
      <c r="L461" s="5" t="n">
        <v>0.5928</v>
      </c>
    </row>
    <row r="462">
      <c r="J462" t="inlineStr">
        <is>
          <t>17178112258057</t>
        </is>
      </c>
      <c r="K462" s="5">
        <f>'05_NangLuc'!E460</f>
        <v/>
      </c>
      <c r="L462" s="5" t="n">
        <v>-1.1739</v>
      </c>
    </row>
    <row r="463">
      <c r="J463" t="inlineStr">
        <is>
          <t>17178114163253</t>
        </is>
      </c>
      <c r="K463" s="5">
        <f>'05_NangLuc'!E461</f>
        <v/>
      </c>
      <c r="L463" s="5" t="n">
        <v>0.6139</v>
      </c>
    </row>
    <row r="464">
      <c r="J464" t="inlineStr">
        <is>
          <t>17178114486609</t>
        </is>
      </c>
      <c r="K464" s="5">
        <f>'05_NangLuc'!E462</f>
        <v/>
      </c>
      <c r="L464" s="5" t="n">
        <v>0.1546</v>
      </c>
    </row>
    <row r="465">
      <c r="J465" t="inlineStr">
        <is>
          <t>17178114627422</t>
        </is>
      </c>
      <c r="K465" s="5">
        <f>'05_NangLuc'!E463</f>
        <v/>
      </c>
      <c r="L465" s="5" t="n">
        <v>-0.3646</v>
      </c>
    </row>
    <row r="466">
      <c r="J466" t="inlineStr">
        <is>
          <t>17178115170357</t>
        </is>
      </c>
      <c r="K466" s="5">
        <f>'05_NangLuc'!E464</f>
        <v/>
      </c>
      <c r="L466" s="5" t="n">
        <v>1.3536</v>
      </c>
    </row>
    <row r="467">
      <c r="J467" t="inlineStr">
        <is>
          <t>17178115216863</t>
        </is>
      </c>
      <c r="K467" s="5">
        <f>'05_NangLuc'!E465</f>
        <v/>
      </c>
      <c r="L467" s="5" t="n">
        <v>2.0346</v>
      </c>
    </row>
    <row r="468">
      <c r="J468" t="inlineStr">
        <is>
          <t>17178115330027</t>
        </is>
      </c>
      <c r="K468" s="5">
        <f>'05_NangLuc'!E466</f>
        <v/>
      </c>
      <c r="L468" s="5" t="n">
        <v>2.8548</v>
      </c>
    </row>
    <row r="469">
      <c r="J469" t="inlineStr">
        <is>
          <t>17178115411573</t>
        </is>
      </c>
      <c r="K469" s="5">
        <f>'05_NangLuc'!E467</f>
        <v/>
      </c>
      <c r="L469" s="5" t="n">
        <v>0.8293</v>
      </c>
    </row>
    <row r="470">
      <c r="J470" t="inlineStr">
        <is>
          <t>17178115511873</t>
        </is>
      </c>
      <c r="K470" s="5">
        <f>'05_NangLuc'!E468</f>
        <v/>
      </c>
      <c r="L470" s="5" t="n">
        <v>2.2267</v>
      </c>
    </row>
    <row r="471">
      <c r="J471" t="inlineStr">
        <is>
          <t>17178115611145</t>
        </is>
      </c>
      <c r="K471" s="5">
        <f>'05_NangLuc'!E469</f>
        <v/>
      </c>
      <c r="L471" s="5" t="n">
        <v>0.5928</v>
      </c>
    </row>
    <row r="472">
      <c r="J472" t="inlineStr">
        <is>
          <t>17178115823260</t>
        </is>
      </c>
      <c r="K472" s="5">
        <f>'05_NangLuc'!E470</f>
        <v/>
      </c>
      <c r="L472" s="5" t="n">
        <v>-0.2562</v>
      </c>
    </row>
    <row r="473">
      <c r="J473" t="inlineStr">
        <is>
          <t>17178115939770</t>
        </is>
      </c>
      <c r="K473" s="5">
        <f>'05_NangLuc'!E471</f>
        <v/>
      </c>
      <c r="L473" s="5" t="n">
        <v>1.8188</v>
      </c>
    </row>
    <row r="474">
      <c r="J474" t="inlineStr">
        <is>
          <t>17178116091950</t>
        </is>
      </c>
      <c r="K474" s="5">
        <f>'05_NangLuc'!E472</f>
        <v/>
      </c>
      <c r="L474" s="5" t="n">
        <v>0.7092000000000001</v>
      </c>
    </row>
    <row r="475">
      <c r="J475" t="inlineStr">
        <is>
          <t>17178116182547</t>
        </is>
      </c>
      <c r="K475" s="5">
        <f>'05_NangLuc'!E473</f>
        <v/>
      </c>
      <c r="L475" s="5" t="n">
        <v>2.2735</v>
      </c>
    </row>
    <row r="476">
      <c r="J476" t="inlineStr">
        <is>
          <t>17178116274490</t>
        </is>
      </c>
      <c r="K476" s="5">
        <f>'05_NangLuc'!E474</f>
        <v/>
      </c>
      <c r="L476" s="5" t="n">
        <v>1.3262</v>
      </c>
    </row>
    <row r="477">
      <c r="J477" t="inlineStr">
        <is>
          <t>17178116345058</t>
        </is>
      </c>
      <c r="K477" s="5">
        <f>'05_NangLuc'!E475</f>
        <v/>
      </c>
      <c r="L477" s="5" t="n">
        <v>0.1546</v>
      </c>
    </row>
    <row r="478">
      <c r="J478" t="inlineStr">
        <is>
          <t>17178116666939</t>
        </is>
      </c>
      <c r="K478" s="5">
        <f>'05_NangLuc'!E476</f>
        <v/>
      </c>
      <c r="L478" s="5" t="n">
        <v>0.8293</v>
      </c>
    </row>
    <row r="479">
      <c r="J479" t="inlineStr">
        <is>
          <t>17178116746410</t>
        </is>
      </c>
      <c r="K479" s="5">
        <f>'05_NangLuc'!E477</f>
        <v/>
      </c>
      <c r="L479" s="5" t="n">
        <v>1.1857</v>
      </c>
    </row>
    <row r="480">
      <c r="J480" t="inlineStr">
        <is>
          <t>17178116839449</t>
        </is>
      </c>
      <c r="K480" s="5">
        <f>'05_NangLuc'!E478</f>
        <v/>
      </c>
      <c r="L480" s="5" t="n">
        <v>2.5431</v>
      </c>
    </row>
    <row r="481">
      <c r="J481" t="inlineStr">
        <is>
          <t>17178117022397</t>
        </is>
      </c>
      <c r="K481" s="5">
        <f>'05_NangLuc'!E479</f>
        <v/>
      </c>
      <c r="L481" s="5" t="n">
        <v>1.4375</v>
      </c>
    </row>
    <row r="482">
      <c r="J482" t="inlineStr">
        <is>
          <t>17178117127599</t>
        </is>
      </c>
      <c r="K482" s="5">
        <f>'05_NangLuc'!E480</f>
        <v/>
      </c>
      <c r="L482" s="5" t="n">
        <v>1.8188</v>
      </c>
    </row>
    <row r="483">
      <c r="J483" t="inlineStr">
        <is>
          <t>17178117290727</t>
        </is>
      </c>
      <c r="K483" s="5">
        <f>'05_NangLuc'!E481</f>
        <v/>
      </c>
      <c r="L483" s="5" t="n">
        <v>0.2608</v>
      </c>
    </row>
    <row r="484">
      <c r="J484" t="inlineStr">
        <is>
          <t>17178117398101</t>
        </is>
      </c>
      <c r="K484" s="5">
        <f>'05_NangLuc'!E482</f>
        <v/>
      </c>
      <c r="L484" s="5" t="n">
        <v>2.2735</v>
      </c>
    </row>
    <row r="485">
      <c r="J485" t="inlineStr">
        <is>
          <t>17178117567257</t>
        </is>
      </c>
      <c r="K485" s="5">
        <f>'05_NangLuc'!E483</f>
        <v/>
      </c>
      <c r="L485" s="5" t="n">
        <v>1.2656</v>
      </c>
    </row>
    <row r="486">
      <c r="J486" t="inlineStr">
        <is>
          <t>17178117625878</t>
        </is>
      </c>
      <c r="K486" s="5">
        <f>'05_NangLuc'!E484</f>
        <v/>
      </c>
      <c r="L486" s="5" t="n">
        <v>2.0346</v>
      </c>
    </row>
    <row r="487">
      <c r="J487" t="inlineStr">
        <is>
          <t>17178117751587</t>
        </is>
      </c>
      <c r="K487" s="5">
        <f>'05_NangLuc'!E485</f>
        <v/>
      </c>
      <c r="L487" s="5" t="n">
        <v>1.3536</v>
      </c>
    </row>
    <row r="488">
      <c r="J488" t="inlineStr">
        <is>
          <t>17178117942604</t>
        </is>
      </c>
      <c r="K488" s="5">
        <f>'05_NangLuc'!E486</f>
        <v/>
      </c>
      <c r="L488" s="5" t="n">
        <v>2.2267</v>
      </c>
    </row>
    <row r="489">
      <c r="J489" t="inlineStr">
        <is>
          <t>17178118023252</t>
        </is>
      </c>
      <c r="K489" s="5">
        <f>'05_NangLuc'!E487</f>
        <v/>
      </c>
      <c r="L489" s="5" t="n">
        <v>1.4375</v>
      </c>
    </row>
    <row r="490">
      <c r="J490" t="inlineStr">
        <is>
          <t>17178118166364</t>
        </is>
      </c>
      <c r="K490" s="5">
        <f>'05_NangLuc'!E488</f>
        <v/>
      </c>
      <c r="L490" s="5" t="n">
        <v>0.7372</v>
      </c>
    </row>
    <row r="491">
      <c r="J491" t="inlineStr">
        <is>
          <t>17178118217451</t>
        </is>
      </c>
      <c r="K491" s="5">
        <f>'05_NangLuc'!E489</f>
        <v/>
      </c>
      <c r="L491" s="5" t="n">
        <v>1.621</v>
      </c>
    </row>
    <row r="492">
      <c r="J492" t="inlineStr">
        <is>
          <t>17178118310837</t>
        </is>
      </c>
      <c r="K492" s="5">
        <f>'05_NangLuc'!E490</f>
        <v/>
      </c>
      <c r="L492" s="5" t="n">
        <v>1.8188</v>
      </c>
    </row>
    <row r="493">
      <c r="J493" t="inlineStr">
        <is>
          <t>17178118438064</t>
        </is>
      </c>
      <c r="K493" s="5">
        <f>'05_NangLuc'!E491</f>
        <v/>
      </c>
      <c r="L493" s="5" t="n">
        <v>-1.1012</v>
      </c>
    </row>
    <row r="494">
      <c r="J494" t="inlineStr">
        <is>
          <t>17178118582461</t>
        </is>
      </c>
      <c r="K494" s="5">
        <f>'05_NangLuc'!E492</f>
        <v/>
      </c>
      <c r="L494" s="5" t="n">
        <v>1.447</v>
      </c>
    </row>
    <row r="495">
      <c r="J495" t="inlineStr">
        <is>
          <t>17178118652913</t>
        </is>
      </c>
      <c r="K495" s="5">
        <f>'05_NangLuc'!E493</f>
        <v/>
      </c>
      <c r="L495" s="5" t="n">
        <v>0.5928</v>
      </c>
    </row>
    <row r="496">
      <c r="J496" t="inlineStr">
        <is>
          <t>17178118716668</t>
        </is>
      </c>
      <c r="K496" s="5">
        <f>'05_NangLuc'!E494</f>
        <v/>
      </c>
      <c r="L496" s="5" t="n">
        <v>1.6686</v>
      </c>
    </row>
    <row r="497">
      <c r="J497" t="inlineStr">
        <is>
          <t>17178118857678</t>
        </is>
      </c>
      <c r="K497" s="5">
        <f>'05_NangLuc'!E495</f>
        <v/>
      </c>
      <c r="L497" s="5" t="n">
        <v>0.0217</v>
      </c>
    </row>
    <row r="498">
      <c r="J498" t="inlineStr">
        <is>
          <t>17178118921840</t>
        </is>
      </c>
      <c r="K498" s="5">
        <f>'05_NangLuc'!E496</f>
        <v/>
      </c>
      <c r="L498" s="5" t="n">
        <v>2.5431</v>
      </c>
    </row>
    <row r="499">
      <c r="J499" t="inlineStr">
        <is>
          <t>17178119028800</t>
        </is>
      </c>
      <c r="K499" s="5">
        <f>'05_NangLuc'!E497</f>
        <v/>
      </c>
      <c r="L499" s="5" t="n">
        <v>1.5288</v>
      </c>
    </row>
    <row r="500">
      <c r="J500" t="inlineStr">
        <is>
          <t>17178119151899</t>
        </is>
      </c>
      <c r="K500" s="5">
        <f>'05_NangLuc'!E498</f>
        <v/>
      </c>
      <c r="L500" s="5" t="n">
        <v>1.8188</v>
      </c>
    </row>
    <row r="501">
      <c r="J501" t="inlineStr">
        <is>
          <t>17178119296877</t>
        </is>
      </c>
      <c r="K501" s="5">
        <f>'05_NangLuc'!E499</f>
        <v/>
      </c>
      <c r="L501" s="5" t="n">
        <v>1.6686</v>
      </c>
    </row>
    <row r="502">
      <c r="J502" t="inlineStr">
        <is>
          <t>17178119386356</t>
        </is>
      </c>
      <c r="K502" s="5">
        <f>'05_NangLuc'!E500</f>
        <v/>
      </c>
      <c r="L502" s="5" t="n">
        <v>0.4912</v>
      </c>
    </row>
    <row r="503">
      <c r="J503" t="inlineStr">
        <is>
          <t>17178119457354</t>
        </is>
      </c>
      <c r="K503" s="5">
        <f>'05_NangLuc'!E501</f>
        <v/>
      </c>
      <c r="L503" s="5" t="n">
        <v>0.5002</v>
      </c>
    </row>
    <row r="504">
      <c r="J504" t="inlineStr">
        <is>
          <t>17178121498154</t>
        </is>
      </c>
      <c r="K504" s="5">
        <f>'05_NangLuc'!E502</f>
        <v/>
      </c>
      <c r="L504" s="5" t="n">
        <v>-3.729</v>
      </c>
    </row>
    <row r="505">
      <c r="J505" t="inlineStr">
        <is>
          <t>17179638830534</t>
        </is>
      </c>
      <c r="K505" s="5">
        <f>'05_NangLuc'!E503</f>
        <v/>
      </c>
      <c r="L505" s="5" t="n">
        <v>-0.5111</v>
      </c>
    </row>
    <row r="506">
      <c r="J506" t="inlineStr">
        <is>
          <t>17179639116210</t>
        </is>
      </c>
      <c r="K506" s="5">
        <f>'05_NangLuc'!E504</f>
        <v/>
      </c>
      <c r="L506" s="5" t="n">
        <v>0.3739</v>
      </c>
    </row>
    <row r="507">
      <c r="J507" t="inlineStr">
        <is>
          <t>17179639544406</t>
        </is>
      </c>
      <c r="K507" s="5">
        <f>'05_NangLuc'!E505</f>
        <v/>
      </c>
      <c r="L507" s="5" t="n">
        <v>0.4833</v>
      </c>
    </row>
    <row r="508">
      <c r="J508" t="inlineStr">
        <is>
          <t>17179639836912</t>
        </is>
      </c>
      <c r="K508" s="5">
        <f>'05_NangLuc'!E506</f>
        <v/>
      </c>
      <c r="L508" s="5" t="n">
        <v>0.0217</v>
      </c>
    </row>
    <row r="509">
      <c r="J509" t="inlineStr">
        <is>
          <t>17179640443770</t>
        </is>
      </c>
      <c r="K509" s="5">
        <f>'05_NangLuc'!E507</f>
        <v/>
      </c>
      <c r="L509" s="5" t="n">
        <v>-0.155</v>
      </c>
    </row>
    <row r="510">
      <c r="J510" t="inlineStr">
        <is>
          <t>17179647713588</t>
        </is>
      </c>
      <c r="K510" s="5">
        <f>'05_NangLuc'!E508</f>
        <v/>
      </c>
      <c r="L510" s="5" t="n">
        <v>-0.8608</v>
      </c>
    </row>
    <row r="511">
      <c r="J511" t="inlineStr">
        <is>
          <t>17179647852705</t>
        </is>
      </c>
      <c r="K511" s="5">
        <f>'05_NangLuc'!E509</f>
        <v/>
      </c>
      <c r="L511" s="5" t="n">
        <v>0.2608</v>
      </c>
    </row>
    <row r="512">
      <c r="J512" t="inlineStr">
        <is>
          <t>17179648218060</t>
        </is>
      </c>
      <c r="K512" s="5">
        <f>'05_NangLuc'!E510</f>
        <v/>
      </c>
      <c r="L512" s="5" t="n">
        <v>-0.08740000000000001</v>
      </c>
    </row>
    <row r="513">
      <c r="J513" t="inlineStr">
        <is>
          <t>17179648780624</t>
        </is>
      </c>
      <c r="K513" s="5">
        <f>'05_NangLuc'!E511</f>
        <v/>
      </c>
      <c r="L513" s="5" t="n">
        <v>-0.1141</v>
      </c>
    </row>
    <row r="514">
      <c r="J514" t="inlineStr">
        <is>
          <t>17179657630196</t>
        </is>
      </c>
      <c r="K514" s="5">
        <f>'05_NangLuc'!E512</f>
        <v/>
      </c>
      <c r="L514" s="5" t="n">
        <v>0.2465</v>
      </c>
    </row>
    <row r="515">
      <c r="J515" t="inlineStr">
        <is>
          <t>17179658012056</t>
        </is>
      </c>
      <c r="K515" s="5">
        <f>'05_NangLuc'!E513</f>
        <v/>
      </c>
      <c r="L515" s="5" t="n">
        <v>-0.1141</v>
      </c>
    </row>
    <row r="516">
      <c r="J516" t="inlineStr">
        <is>
          <t>17179659651776</t>
        </is>
      </c>
      <c r="K516" s="5">
        <f>'05_NangLuc'!E514</f>
        <v/>
      </c>
      <c r="L516" s="5" t="n">
        <v>-0.7202</v>
      </c>
    </row>
    <row r="517">
      <c r="J517" t="inlineStr">
        <is>
          <t>17179659756551</t>
        </is>
      </c>
      <c r="K517" s="5">
        <f>'05_NangLuc'!E515</f>
        <v/>
      </c>
      <c r="L517" s="5" t="n">
        <v>-0.5575</v>
      </c>
    </row>
    <row r="518">
      <c r="J518" t="inlineStr">
        <is>
          <t>17179660288760</t>
        </is>
      </c>
      <c r="K518" s="5">
        <f>'05_NangLuc'!E516</f>
        <v/>
      </c>
      <c r="L518" s="5" t="n">
        <v>-0.08740000000000001</v>
      </c>
    </row>
    <row r="519">
      <c r="J519" t="inlineStr">
        <is>
          <t>17179663462883</t>
        </is>
      </c>
      <c r="K519" s="5">
        <f>'05_NangLuc'!E517</f>
        <v/>
      </c>
      <c r="L519" s="5" t="n">
        <v>-3.3964</v>
      </c>
    </row>
    <row r="520">
      <c r="J520" t="inlineStr">
        <is>
          <t>17179686620427</t>
        </is>
      </c>
      <c r="K520" s="5">
        <f>'05_NangLuc'!E518</f>
        <v/>
      </c>
      <c r="L520" s="5" t="n">
        <v>-0.1949</v>
      </c>
    </row>
    <row r="521">
      <c r="J521" t="inlineStr">
        <is>
          <t>17179689748805</t>
        </is>
      </c>
      <c r="K521" s="5">
        <f>'05_NangLuc'!E519</f>
        <v/>
      </c>
      <c r="L521" s="5" t="n">
        <v>-1.1739</v>
      </c>
    </row>
    <row r="522">
      <c r="J522" t="inlineStr">
        <is>
          <t>17180591417926</t>
        </is>
      </c>
      <c r="K522" s="5">
        <f>'05_NangLuc'!E520</f>
        <v/>
      </c>
      <c r="L522" s="5" t="n">
        <v>-1.0322</v>
      </c>
    </row>
    <row r="523">
      <c r="J523" t="inlineStr">
        <is>
          <t>17181021235001</t>
        </is>
      </c>
      <c r="K523" s="5">
        <f>'05_NangLuc'!E521</f>
        <v/>
      </c>
      <c r="L523" s="5" t="n">
        <v>0.4795</v>
      </c>
    </row>
    <row r="524">
      <c r="J524" t="inlineStr">
        <is>
          <t>17181037579798</t>
        </is>
      </c>
      <c r="K524" s="5">
        <f>'05_NangLuc'!E522</f>
        <v/>
      </c>
      <c r="L524" s="5" t="n">
        <v>0.1546</v>
      </c>
    </row>
    <row r="525">
      <c r="J525" t="inlineStr">
        <is>
          <t>17181056217161</t>
        </is>
      </c>
      <c r="K525" s="5">
        <f>'05_NangLuc'!E523</f>
        <v/>
      </c>
      <c r="L525" s="5" t="n">
        <v>-0.155</v>
      </c>
    </row>
    <row r="526">
      <c r="J526" t="inlineStr">
        <is>
          <t>17181059140785</t>
        </is>
      </c>
      <c r="K526" s="5">
        <f>'05_NangLuc'!E524</f>
        <v/>
      </c>
      <c r="L526" s="5" t="n">
        <v>0.8702</v>
      </c>
    </row>
    <row r="527">
      <c r="J527" t="inlineStr">
        <is>
          <t>17181059591875</t>
        </is>
      </c>
      <c r="K527" s="5">
        <f>'05_NangLuc'!E525</f>
        <v/>
      </c>
      <c r="L527" s="5" t="n">
        <v>1.0382</v>
      </c>
    </row>
    <row r="528">
      <c r="J528" t="inlineStr">
        <is>
          <t>17181061218753</t>
        </is>
      </c>
      <c r="K528" s="5">
        <f>'05_NangLuc'!E526</f>
        <v/>
      </c>
      <c r="L528" s="5" t="n">
        <v>1.0382</v>
      </c>
    </row>
    <row r="529">
      <c r="J529" t="inlineStr">
        <is>
          <t>17181066730974</t>
        </is>
      </c>
      <c r="K529" s="5">
        <f>'05_NangLuc'!E527</f>
        <v/>
      </c>
      <c r="L529" s="5" t="n">
        <v>0.9537</v>
      </c>
    </row>
    <row r="530">
      <c r="J530" t="inlineStr">
        <is>
          <t>17181067183160</t>
        </is>
      </c>
      <c r="K530" s="5">
        <f>'05_NangLuc'!E528</f>
        <v/>
      </c>
      <c r="L530" s="5" t="n">
        <v>1.4375</v>
      </c>
    </row>
    <row r="531">
      <c r="J531" t="inlineStr">
        <is>
          <t>17181068064785</t>
        </is>
      </c>
      <c r="K531" s="5">
        <f>'05_NangLuc'!E529</f>
        <v/>
      </c>
      <c r="L531" s="5" t="n">
        <v>2.2735</v>
      </c>
    </row>
    <row r="532">
      <c r="J532" t="inlineStr">
        <is>
          <t>17181072431428</t>
        </is>
      </c>
      <c r="K532" s="5">
        <f>'05_NangLuc'!E530</f>
        <v/>
      </c>
      <c r="L532" s="5" t="n">
        <v>0.8006</v>
      </c>
    </row>
    <row r="533">
      <c r="J533" t="inlineStr">
        <is>
          <t>17184408580045</t>
        </is>
      </c>
      <c r="K533" s="5">
        <f>'05_NangLuc'!E531</f>
        <v/>
      </c>
      <c r="L533" s="5" t="n">
        <v>-2.4479</v>
      </c>
    </row>
    <row r="534">
      <c r="J534" t="inlineStr">
        <is>
          <t>17184408940846</t>
        </is>
      </c>
      <c r="K534" s="5">
        <f>'05_NangLuc'!E532</f>
        <v/>
      </c>
      <c r="L534" s="5" t="n">
        <v>-3.729</v>
      </c>
    </row>
    <row r="535">
      <c r="J535" t="inlineStr">
        <is>
          <t>17185525197918</t>
        </is>
      </c>
      <c r="K535" s="5">
        <f>'05_NangLuc'!E533</f>
        <v/>
      </c>
      <c r="L535" s="5" t="n">
        <v>-0.155</v>
      </c>
    </row>
    <row r="536">
      <c r="J536" t="inlineStr">
        <is>
          <t>17186662360791</t>
        </is>
      </c>
      <c r="K536" s="5">
        <f>'05_NangLuc'!E534</f>
        <v/>
      </c>
      <c r="L536" s="5" t="n">
        <v>0.146</v>
      </c>
    </row>
    <row r="537">
      <c r="J537" t="inlineStr">
        <is>
          <t>17186672972138</t>
        </is>
      </c>
      <c r="K537" s="5">
        <f>'05_NangLuc'!E535</f>
        <v/>
      </c>
      <c r="L537" s="5" t="n">
        <v>2.2267</v>
      </c>
    </row>
    <row r="538">
      <c r="J538" t="inlineStr">
        <is>
          <t>17186673611993</t>
        </is>
      </c>
      <c r="K538" s="5">
        <f>'05_NangLuc'!E536</f>
        <v/>
      </c>
      <c r="L538" s="5" t="n">
        <v>0.9537</v>
      </c>
    </row>
    <row r="539">
      <c r="J539" t="inlineStr">
        <is>
          <t>17186674997602</t>
        </is>
      </c>
      <c r="K539" s="5">
        <f>'05_NangLuc'!E537</f>
        <v/>
      </c>
      <c r="L539" s="5" t="n">
        <v>-0.3011</v>
      </c>
    </row>
    <row r="540">
      <c r="J540" t="inlineStr">
        <is>
          <t>17186676086942</t>
        </is>
      </c>
      <c r="K540" s="5">
        <f>'05_NangLuc'!E538</f>
        <v/>
      </c>
      <c r="L540" s="5" t="n">
        <v>0.0502</v>
      </c>
    </row>
    <row r="541">
      <c r="J541" t="inlineStr">
        <is>
          <t>17186676765799</t>
        </is>
      </c>
      <c r="K541" s="5">
        <f>'05_NangLuc'!E539</f>
        <v/>
      </c>
      <c r="L541" s="5" t="n">
        <v>0.9537</v>
      </c>
    </row>
    <row r="542">
      <c r="J542" t="inlineStr">
        <is>
          <t>17186678978524</t>
        </is>
      </c>
      <c r="K542" s="5">
        <f>'05_NangLuc'!E540</f>
        <v/>
      </c>
      <c r="L542" s="5" t="n">
        <v>0.5928</v>
      </c>
    </row>
    <row r="543">
      <c r="J543" t="inlineStr">
        <is>
          <t>17186693162010</t>
        </is>
      </c>
      <c r="K543" s="5">
        <f>'05_NangLuc'!E541</f>
        <v/>
      </c>
      <c r="L543" s="5" t="n">
        <v>1.6875</v>
      </c>
    </row>
    <row r="544">
      <c r="J544" t="inlineStr">
        <is>
          <t>17187251322333</t>
        </is>
      </c>
      <c r="K544" s="5">
        <f>'05_NangLuc'!E542</f>
        <v/>
      </c>
      <c r="L544" s="5" t="n">
        <v>-0.5575</v>
      </c>
    </row>
    <row r="545">
      <c r="J545" t="inlineStr">
        <is>
          <t>17187251532202</t>
        </is>
      </c>
      <c r="K545" s="5">
        <f>'05_NangLuc'!E543</f>
        <v/>
      </c>
      <c r="L545" s="5" t="n">
        <v>0.3713</v>
      </c>
    </row>
    <row r="546">
      <c r="J546" t="inlineStr">
        <is>
          <t>17187251620129</t>
        </is>
      </c>
      <c r="K546" s="5">
        <f>'05_NangLuc'!E544</f>
        <v/>
      </c>
      <c r="L546" s="5" t="n">
        <v>1.1031</v>
      </c>
    </row>
    <row r="547">
      <c r="J547" t="inlineStr">
        <is>
          <t>17187251882037</t>
        </is>
      </c>
      <c r="K547" s="5">
        <f>'05_NangLuc'!E545</f>
        <v/>
      </c>
      <c r="L547" s="5" t="n">
        <v>-2.2645</v>
      </c>
    </row>
    <row r="548">
      <c r="J548" t="inlineStr">
        <is>
          <t>17187251912076</t>
        </is>
      </c>
      <c r="K548" s="5">
        <f>'05_NangLuc'!E546</f>
        <v/>
      </c>
      <c r="L548" s="5" t="n">
        <v>0.2608</v>
      </c>
    </row>
    <row r="549">
      <c r="J549" t="inlineStr">
        <is>
          <t>17187253085695</t>
        </is>
      </c>
      <c r="K549" s="5">
        <f>'05_NangLuc'!E547</f>
        <v/>
      </c>
      <c r="L549" s="5" t="n">
        <v>0.1546</v>
      </c>
    </row>
    <row r="550">
      <c r="J550" t="inlineStr">
        <is>
          <t>17187253217392</t>
        </is>
      </c>
      <c r="K550" s="5">
        <f>'05_NangLuc'!E548</f>
        <v/>
      </c>
      <c r="L550" s="5" t="n">
        <v>-0.2562</v>
      </c>
    </row>
    <row r="551">
      <c r="J551" t="inlineStr">
        <is>
          <t>17187253311167</t>
        </is>
      </c>
      <c r="K551" s="5">
        <f>'05_NangLuc'!E549</f>
        <v/>
      </c>
      <c r="L551" s="5" t="n">
        <v>-0.4572</v>
      </c>
    </row>
    <row r="552">
      <c r="J552" t="inlineStr">
        <is>
          <t>17187253492033</t>
        </is>
      </c>
      <c r="K552" s="5">
        <f>'05_NangLuc'!E550</f>
        <v/>
      </c>
      <c r="L552" s="5" t="n">
        <v>0.6261</v>
      </c>
    </row>
    <row r="553">
      <c r="J553" t="inlineStr">
        <is>
          <t>17187254531486</t>
        </is>
      </c>
      <c r="K553" s="5">
        <f>'05_NangLuc'!E551</f>
        <v/>
      </c>
      <c r="L553" s="5" t="n">
        <v>0.6078</v>
      </c>
    </row>
    <row r="554">
      <c r="J554" t="inlineStr">
        <is>
          <t>17187254639474</t>
        </is>
      </c>
      <c r="K554" s="5">
        <f>'05_NangLuc'!E552</f>
        <v/>
      </c>
      <c r="L554" s="5" t="n">
        <v>0.8006</v>
      </c>
    </row>
    <row r="555">
      <c r="J555" t="inlineStr">
        <is>
          <t>17187254755469</t>
        </is>
      </c>
      <c r="K555" s="5">
        <f>'05_NangLuc'!E553</f>
        <v/>
      </c>
      <c r="L555" s="5" t="n">
        <v>-0.658</v>
      </c>
    </row>
    <row r="556">
      <c r="J556" t="inlineStr">
        <is>
          <t>17187254835110</t>
        </is>
      </c>
      <c r="K556" s="5">
        <f>'05_NangLuc'!E554</f>
        <v/>
      </c>
      <c r="L556" s="5" t="n">
        <v>0.1546</v>
      </c>
    </row>
    <row r="557">
      <c r="J557" t="inlineStr">
        <is>
          <t>17187254955275</t>
        </is>
      </c>
      <c r="K557" s="5">
        <f>'05_NangLuc'!E555</f>
        <v/>
      </c>
      <c r="L557" s="5" t="n">
        <v>0.5928</v>
      </c>
    </row>
    <row r="558">
      <c r="J558" t="inlineStr">
        <is>
          <t>17187255066811</t>
        </is>
      </c>
      <c r="K558" s="5">
        <f>'05_NangLuc'!E556</f>
        <v/>
      </c>
      <c r="L558" s="5" t="n">
        <v>1.218</v>
      </c>
    </row>
    <row r="559">
      <c r="J559" t="inlineStr">
        <is>
          <t>17187255162959</t>
        </is>
      </c>
      <c r="K559" s="5">
        <f>'05_NangLuc'!E557</f>
        <v/>
      </c>
      <c r="L559" s="5" t="n">
        <v>0.5928</v>
      </c>
    </row>
    <row r="560">
      <c r="J560" t="inlineStr">
        <is>
          <t>17187255230772</t>
        </is>
      </c>
      <c r="K560" s="5">
        <f>'05_NangLuc'!E558</f>
        <v/>
      </c>
      <c r="L560" s="5" t="n">
        <v>-0.2562</v>
      </c>
    </row>
    <row r="561">
      <c r="J561" t="inlineStr">
        <is>
          <t>17187255355208</t>
        </is>
      </c>
      <c r="K561" s="5">
        <f>'05_NangLuc'!E559</f>
        <v/>
      </c>
      <c r="L561" s="5" t="n">
        <v>1.3598</v>
      </c>
    </row>
    <row r="562">
      <c r="J562" t="inlineStr">
        <is>
          <t>17187255474518</t>
        </is>
      </c>
      <c r="K562" s="5">
        <f>'05_NangLuc'!E560</f>
        <v/>
      </c>
      <c r="L562" s="5" t="n">
        <v>-0.608</v>
      </c>
    </row>
    <row r="563">
      <c r="J563" t="inlineStr">
        <is>
          <t>17187255522587</t>
        </is>
      </c>
      <c r="K563" s="5">
        <f>'05_NangLuc'!E561</f>
        <v/>
      </c>
      <c r="L563" s="5" t="n">
        <v>0.4912</v>
      </c>
    </row>
    <row r="564">
      <c r="J564" t="inlineStr">
        <is>
          <t>17187255679941</t>
        </is>
      </c>
      <c r="K564" s="5">
        <f>'05_NangLuc'!E562</f>
        <v/>
      </c>
      <c r="L564" s="5" t="n">
        <v>-0.2562</v>
      </c>
    </row>
    <row r="565">
      <c r="J565" t="inlineStr">
        <is>
          <t>17187255735742</t>
        </is>
      </c>
      <c r="K565" s="5">
        <f>'05_NangLuc'!E563</f>
        <v/>
      </c>
      <c r="L565" s="5" t="n">
        <v>0.1546</v>
      </c>
    </row>
    <row r="566">
      <c r="J566" t="inlineStr">
        <is>
          <t>17187255884853</t>
        </is>
      </c>
      <c r="K566" s="5">
        <f>'05_NangLuc'!E564</f>
        <v/>
      </c>
      <c r="L566" s="5" t="n">
        <v>0.2608</v>
      </c>
    </row>
    <row r="567">
      <c r="J567" t="inlineStr">
        <is>
          <t>17187255934212</t>
        </is>
      </c>
      <c r="K567" s="5">
        <f>'05_NangLuc'!E565</f>
        <v/>
      </c>
      <c r="L567" s="5" t="n">
        <v>1.8188</v>
      </c>
    </row>
    <row r="568">
      <c r="J568" t="inlineStr">
        <is>
          <t>17187256034223</t>
        </is>
      </c>
      <c r="K568" s="5">
        <f>'05_NangLuc'!E566</f>
        <v/>
      </c>
      <c r="L568" s="5" t="n">
        <v>-0.8186</v>
      </c>
    </row>
    <row r="569">
      <c r="J569" t="inlineStr">
        <is>
          <t>17187256152970</t>
        </is>
      </c>
      <c r="K569" s="5">
        <f>'05_NangLuc'!E567</f>
        <v/>
      </c>
      <c r="L569" s="5" t="n">
        <v>-0.608</v>
      </c>
    </row>
    <row r="570">
      <c r="J570" t="inlineStr">
        <is>
          <t>17187256259316</t>
        </is>
      </c>
      <c r="K570" s="5">
        <f>'05_NangLuc'!E568</f>
        <v/>
      </c>
      <c r="L570" s="5" t="n">
        <v>0.9537</v>
      </c>
    </row>
    <row r="571">
      <c r="J571" t="inlineStr">
        <is>
          <t>17187256484908</t>
        </is>
      </c>
      <c r="K571" s="5">
        <f>'05_NangLuc'!E569</f>
        <v/>
      </c>
      <c r="L571" s="5" t="n">
        <v>-0.1845</v>
      </c>
    </row>
    <row r="572">
      <c r="J572" t="inlineStr">
        <is>
          <t>17187256569755</t>
        </is>
      </c>
      <c r="K572" s="5">
        <f>'05_NangLuc'!E570</f>
        <v/>
      </c>
      <c r="L572" s="5" t="n">
        <v>0.369</v>
      </c>
    </row>
    <row r="573">
      <c r="J573" t="inlineStr">
        <is>
          <t>17187256654434</t>
        </is>
      </c>
      <c r="K573" s="5">
        <f>'05_NangLuc'!E571</f>
        <v/>
      </c>
      <c r="L573" s="5" t="n">
        <v>0.0502</v>
      </c>
    </row>
    <row r="574">
      <c r="J574" t="inlineStr">
        <is>
          <t>17187256779738</t>
        </is>
      </c>
      <c r="K574" s="5">
        <f>'05_NangLuc'!E572</f>
        <v/>
      </c>
      <c r="L574" s="5" t="n">
        <v>-3.3964</v>
      </c>
    </row>
    <row r="575">
      <c r="J575" t="inlineStr">
        <is>
          <t>17187256859001</t>
        </is>
      </c>
      <c r="K575" s="5">
        <f>'05_NangLuc'!E573</f>
        <v/>
      </c>
      <c r="L575" s="5" t="n">
        <v>0.4912</v>
      </c>
    </row>
    <row r="576">
      <c r="J576" t="inlineStr">
        <is>
          <t>17187256936310</t>
        </is>
      </c>
      <c r="K576" s="5">
        <f>'05_NangLuc'!E574</f>
        <v/>
      </c>
      <c r="L576" s="5" t="n">
        <v>0.2608</v>
      </c>
    </row>
    <row r="577">
      <c r="J577" t="inlineStr">
        <is>
          <t>17187257036843</t>
        </is>
      </c>
      <c r="K577" s="5">
        <f>'05_NangLuc'!E575</f>
        <v/>
      </c>
      <c r="L577" s="5" t="n">
        <v>0.8941</v>
      </c>
    </row>
    <row r="578">
      <c r="J578" t="inlineStr">
        <is>
          <t>17187257137136</t>
        </is>
      </c>
      <c r="K578" s="5">
        <f>'05_NangLuc'!E576</f>
        <v/>
      </c>
      <c r="L578" s="5" t="n">
        <v>0.2608</v>
      </c>
    </row>
    <row r="579">
      <c r="J579" t="inlineStr">
        <is>
          <t>17187257285800</t>
        </is>
      </c>
      <c r="K579" s="5">
        <f>'05_NangLuc'!E577</f>
        <v/>
      </c>
      <c r="L579" s="5" t="n">
        <v>0.2458</v>
      </c>
    </row>
    <row r="580">
      <c r="J580" t="inlineStr">
        <is>
          <t>17187257417199</t>
        </is>
      </c>
      <c r="K580" s="5">
        <f>'05_NangLuc'!E578</f>
        <v/>
      </c>
      <c r="L580" s="5" t="n">
        <v>-3.729</v>
      </c>
    </row>
    <row r="581">
      <c r="J581" t="inlineStr">
        <is>
          <t>17188298822932</t>
        </is>
      </c>
      <c r="K581" s="5">
        <f>'05_NangLuc'!E579</f>
        <v/>
      </c>
      <c r="L581" s="5" t="n">
        <v>-0.7288</v>
      </c>
    </row>
    <row r="582">
      <c r="J582" t="inlineStr">
        <is>
          <t>17199059759683</t>
        </is>
      </c>
      <c r="K582" s="5">
        <f>'05_NangLuc'!E580</f>
        <v/>
      </c>
      <c r="L582" s="5" t="n">
        <v>0.3787</v>
      </c>
    </row>
    <row r="583">
      <c r="J583" t="inlineStr">
        <is>
          <t>17199060420741</t>
        </is>
      </c>
      <c r="K583" s="5">
        <f>'05_NangLuc'!E581</f>
        <v/>
      </c>
      <c r="L583" s="5" t="n">
        <v>-0.5575</v>
      </c>
    </row>
    <row r="584">
      <c r="J584" t="inlineStr">
        <is>
          <t>17199060978284</t>
        </is>
      </c>
      <c r="K584" s="5">
        <f>'05_NangLuc'!E582</f>
        <v/>
      </c>
      <c r="L584" s="5" t="n">
        <v>0.8725000000000001</v>
      </c>
    </row>
    <row r="585">
      <c r="J585" t="inlineStr">
        <is>
          <t>17199061326615</t>
        </is>
      </c>
      <c r="K585" s="5">
        <f>'05_NangLuc'!E583</f>
        <v/>
      </c>
      <c r="L585" s="5" t="n">
        <v>0.8006</v>
      </c>
    </row>
    <row r="586">
      <c r="J586" t="inlineStr">
        <is>
          <t>17199062781952</t>
        </is>
      </c>
      <c r="K586" s="5">
        <f>'05_NangLuc'!E584</f>
        <v/>
      </c>
      <c r="L586" s="5" t="n">
        <v>1.083</v>
      </c>
    </row>
    <row r="587">
      <c r="J587" t="inlineStr">
        <is>
          <t>17199065148851</t>
        </is>
      </c>
      <c r="K587" s="5">
        <f>'05_NangLuc'!E585</f>
        <v/>
      </c>
      <c r="L587" s="5" t="n">
        <v>0.4795</v>
      </c>
    </row>
    <row r="588">
      <c r="J588" t="inlineStr">
        <is>
          <t>17199209882381</t>
        </is>
      </c>
      <c r="K588" s="5">
        <f>'05_NangLuc'!E586</f>
        <v/>
      </c>
      <c r="L588" s="5" t="n">
        <v>0.0339</v>
      </c>
    </row>
    <row r="589">
      <c r="J589" t="inlineStr">
        <is>
          <t>17199212459407</t>
        </is>
      </c>
      <c r="K589" s="5">
        <f>'05_NangLuc'!E587</f>
        <v/>
      </c>
      <c r="L589" s="5" t="n">
        <v>2.5431</v>
      </c>
    </row>
    <row r="590">
      <c r="J590" t="inlineStr">
        <is>
          <t>17199213972918</t>
        </is>
      </c>
      <c r="K590" s="5">
        <f>'05_NangLuc'!E588</f>
        <v/>
      </c>
      <c r="L590" s="5" t="n">
        <v>-0.6274999999999999</v>
      </c>
    </row>
    <row r="591">
      <c r="J591" t="inlineStr">
        <is>
          <t>17199232266127</t>
        </is>
      </c>
      <c r="K591" s="5">
        <f>'05_NangLuc'!E589</f>
        <v/>
      </c>
      <c r="L591" s="5" t="n">
        <v>-1.3691</v>
      </c>
    </row>
    <row r="592">
      <c r="J592" t="inlineStr">
        <is>
          <t>17199236098064</t>
        </is>
      </c>
      <c r="K592" s="5">
        <f>'05_NangLuc'!E590</f>
        <v/>
      </c>
      <c r="L592" s="5" t="n">
        <v>1.8188</v>
      </c>
    </row>
    <row r="593">
      <c r="J593" t="inlineStr">
        <is>
          <t>17199237860430</t>
        </is>
      </c>
      <c r="K593" s="5">
        <f>'05_NangLuc'!E591</f>
        <v/>
      </c>
      <c r="L593" s="5" t="n">
        <v>-0.7288</v>
      </c>
    </row>
    <row r="594">
      <c r="J594" t="inlineStr">
        <is>
          <t>17199238091276</t>
        </is>
      </c>
      <c r="K594" s="5">
        <f>'05_NangLuc'!E592</f>
        <v/>
      </c>
      <c r="L594" s="5" t="n">
        <v>0.0502</v>
      </c>
    </row>
    <row r="595">
      <c r="J595" t="inlineStr">
        <is>
          <t>17199241229824</t>
        </is>
      </c>
      <c r="K595" s="5">
        <f>'05_NangLuc'!E593</f>
        <v/>
      </c>
      <c r="L595" s="5" t="n">
        <v>1.218</v>
      </c>
    </row>
    <row r="596">
      <c r="J596" t="inlineStr">
        <is>
          <t>17199244092333</t>
        </is>
      </c>
      <c r="K596" s="5">
        <f>'05_NangLuc'!E594</f>
        <v/>
      </c>
      <c r="L596" s="5" t="n">
        <v>1.1031</v>
      </c>
    </row>
    <row r="597">
      <c r="J597" t="inlineStr">
        <is>
          <t>17202768655459</t>
        </is>
      </c>
      <c r="K597" s="5">
        <f>'05_NangLuc'!E595</f>
        <v/>
      </c>
      <c r="L597" s="5" t="n">
        <v>-1.3609</v>
      </c>
    </row>
    <row r="598">
      <c r="J598" t="inlineStr">
        <is>
          <t>17213266144794</t>
        </is>
      </c>
      <c r="K598" s="5">
        <f>'05_NangLuc'!E596</f>
        <v/>
      </c>
      <c r="L598" s="5" t="n">
        <v>1.5095</v>
      </c>
    </row>
    <row r="599">
      <c r="J599" t="inlineStr">
        <is>
          <t>17215611874630</t>
        </is>
      </c>
      <c r="K599" s="5">
        <f>'05_NangLuc'!E597</f>
        <v/>
      </c>
      <c r="L599" s="5" t="n">
        <v>0.5928</v>
      </c>
    </row>
    <row r="600">
      <c r="J600" t="inlineStr">
        <is>
          <t>17217859538062</t>
        </is>
      </c>
      <c r="K600" s="5">
        <f>'05_NangLuc'!E598</f>
        <v/>
      </c>
      <c r="L600" s="5" t="n">
        <v>-0.155</v>
      </c>
    </row>
    <row r="601">
      <c r="J601" t="inlineStr">
        <is>
          <t>17217859652734</t>
        </is>
      </c>
      <c r="K601" s="5">
        <f>'05_NangLuc'!E599</f>
        <v/>
      </c>
      <c r="L601" s="5" t="n">
        <v>-3.729</v>
      </c>
    </row>
    <row r="602">
      <c r="J602" t="inlineStr">
        <is>
          <t>17217860233417</t>
        </is>
      </c>
      <c r="K602" s="5">
        <f>'05_NangLuc'!E600</f>
        <v/>
      </c>
      <c r="L602" s="5" t="n">
        <v>1.1031</v>
      </c>
    </row>
    <row r="603">
      <c r="J603" t="inlineStr">
        <is>
          <t>17217861975468</t>
        </is>
      </c>
      <c r="K603" s="5">
        <f>'05_NangLuc'!E601</f>
        <v/>
      </c>
      <c r="L603" s="5" t="n">
        <v>-0.053</v>
      </c>
    </row>
    <row r="604">
      <c r="J604" t="inlineStr">
        <is>
          <t>17217862165568</t>
        </is>
      </c>
      <c r="K604" s="5">
        <f>'05_NangLuc'!E602</f>
        <v/>
      </c>
      <c r="L604" s="5" t="n">
        <v>0.6583</v>
      </c>
    </row>
    <row r="605">
      <c r="J605" t="inlineStr">
        <is>
          <t>17217863450307</t>
        </is>
      </c>
      <c r="K605" s="5">
        <f>'05_NangLuc'!E603</f>
        <v/>
      </c>
      <c r="L605" s="5" t="n">
        <v>-1.3609</v>
      </c>
    </row>
    <row r="606">
      <c r="J606" t="inlineStr">
        <is>
          <t>17217863558421</t>
        </is>
      </c>
      <c r="K606" s="5">
        <f>'05_NangLuc'!E604</f>
        <v/>
      </c>
      <c r="L606" s="5" t="n">
        <v>-0.2429</v>
      </c>
    </row>
    <row r="607">
      <c r="J607" t="inlineStr">
        <is>
          <t>17217864049820</t>
        </is>
      </c>
      <c r="K607" s="5">
        <f>'05_NangLuc'!E605</f>
        <v/>
      </c>
      <c r="L607" s="5" t="n">
        <v>-0.2562</v>
      </c>
    </row>
    <row r="608">
      <c r="J608" t="inlineStr">
        <is>
          <t>17217864970351</t>
        </is>
      </c>
      <c r="K608" s="5">
        <f>'05_NangLuc'!E606</f>
        <v/>
      </c>
      <c r="L608" s="5" t="n">
        <v>-1.9695</v>
      </c>
    </row>
    <row r="609">
      <c r="J609" t="inlineStr">
        <is>
          <t>17217866160678</t>
        </is>
      </c>
      <c r="K609" s="5">
        <f>'05_NangLuc'!E607</f>
        <v/>
      </c>
      <c r="L609" s="5" t="n">
        <v>-1.2295</v>
      </c>
    </row>
    <row r="610">
      <c r="J610" t="inlineStr">
        <is>
          <t>17217866655987</t>
        </is>
      </c>
      <c r="K610" s="5">
        <f>'05_NangLuc'!E608</f>
        <v/>
      </c>
      <c r="L610" s="5" t="n">
        <v>-0.2429</v>
      </c>
    </row>
    <row r="611">
      <c r="J611" t="inlineStr">
        <is>
          <t>17217867358809</t>
        </is>
      </c>
      <c r="K611" s="5">
        <f>'05_NangLuc'!E609</f>
        <v/>
      </c>
      <c r="L611" s="5" t="n">
        <v>1.8188</v>
      </c>
    </row>
    <row r="612">
      <c r="J612" t="inlineStr">
        <is>
          <t>17217868876944</t>
        </is>
      </c>
      <c r="K612" s="5">
        <f>'05_NangLuc'!E610</f>
        <v/>
      </c>
      <c r="L612" s="5" t="n">
        <v>-3.729</v>
      </c>
    </row>
    <row r="613">
      <c r="J613" t="inlineStr">
        <is>
          <t>17217869168822</t>
        </is>
      </c>
      <c r="K613" s="5">
        <f>'05_NangLuc'!E611</f>
        <v/>
      </c>
      <c r="L613" s="5" t="n">
        <v>-3.729</v>
      </c>
    </row>
    <row r="614">
      <c r="J614" t="inlineStr">
        <is>
          <t>17217869289533</t>
        </is>
      </c>
      <c r="K614" s="5">
        <f>'05_NangLuc'!E612</f>
        <v/>
      </c>
      <c r="L614" s="5" t="n">
        <v>-0.9754</v>
      </c>
    </row>
    <row r="615">
      <c r="J615" t="inlineStr">
        <is>
          <t>17217869393864</t>
        </is>
      </c>
      <c r="K615" s="5">
        <f>'05_NangLuc'!E613</f>
        <v/>
      </c>
      <c r="L615" s="5" t="n">
        <v>-3.729</v>
      </c>
    </row>
    <row r="616">
      <c r="J616" t="inlineStr">
        <is>
          <t>17217869749453</t>
        </is>
      </c>
      <c r="K616" s="5">
        <f>'05_NangLuc'!E614</f>
        <v/>
      </c>
      <c r="L616" s="5" t="n">
        <v>-1.3609</v>
      </c>
    </row>
    <row r="617">
      <c r="J617" t="inlineStr">
        <is>
          <t>17217869881510</t>
        </is>
      </c>
      <c r="K617" s="5">
        <f>'05_NangLuc'!E615</f>
        <v/>
      </c>
      <c r="L617" s="5" t="n">
        <v>-1.6237</v>
      </c>
    </row>
    <row r="618">
      <c r="J618" t="inlineStr">
        <is>
          <t>17217870266988</t>
        </is>
      </c>
      <c r="K618" s="5">
        <f>'05_NangLuc'!E616</f>
        <v/>
      </c>
      <c r="L618" s="5" t="n">
        <v>-0.1204</v>
      </c>
    </row>
    <row r="619">
      <c r="J619" t="inlineStr">
        <is>
          <t>17217870466111</t>
        </is>
      </c>
      <c r="K619" s="5">
        <f>'05_NangLuc'!E617</f>
        <v/>
      </c>
      <c r="L619" s="5" t="n">
        <v>-0.9637</v>
      </c>
    </row>
    <row r="620">
      <c r="J620" t="inlineStr">
        <is>
          <t>17217870516539</t>
        </is>
      </c>
      <c r="K620" s="5">
        <f>'05_NangLuc'!E618</f>
        <v/>
      </c>
      <c r="L620" s="5" t="n">
        <v>-0.5575</v>
      </c>
    </row>
    <row r="621">
      <c r="J621" t="inlineStr">
        <is>
          <t>17217870766892</t>
        </is>
      </c>
      <c r="K621" s="5">
        <f>'05_NangLuc'!E619</f>
        <v/>
      </c>
      <c r="L621" s="5" t="n">
        <v>-3.729</v>
      </c>
    </row>
    <row r="622">
      <c r="J622" t="inlineStr">
        <is>
          <t>17217871054098</t>
        </is>
      </c>
      <c r="K622" s="5">
        <f>'05_NangLuc'!E620</f>
        <v/>
      </c>
      <c r="L622" s="5" t="n">
        <v>-3.729</v>
      </c>
    </row>
    <row r="623">
      <c r="J623" t="inlineStr">
        <is>
          <t>17217871337109</t>
        </is>
      </c>
      <c r="K623" s="5">
        <f>'05_NangLuc'!E621</f>
        <v/>
      </c>
      <c r="L623" s="5" t="n">
        <v>-1.1012</v>
      </c>
    </row>
    <row r="624">
      <c r="J624" t="inlineStr">
        <is>
          <t>17217871485598</t>
        </is>
      </c>
      <c r="K624" s="5">
        <f>'05_NangLuc'!E622</f>
        <v/>
      </c>
      <c r="L624" s="5" t="n">
        <v>-1.2991</v>
      </c>
    </row>
    <row r="625">
      <c r="J625" t="inlineStr">
        <is>
          <t>17217871687272</t>
        </is>
      </c>
      <c r="K625" s="5">
        <f>'05_NangLuc'!E623</f>
        <v/>
      </c>
      <c r="L625" s="5" t="n">
        <v>-1.1739</v>
      </c>
    </row>
    <row r="626">
      <c r="J626" t="inlineStr">
        <is>
          <t>17217871853622</t>
        </is>
      </c>
      <c r="K626" s="5">
        <f>'05_NangLuc'!E624</f>
        <v/>
      </c>
      <c r="L626" s="5" t="n">
        <v>-2.2645</v>
      </c>
    </row>
    <row r="627">
      <c r="J627" t="inlineStr">
        <is>
          <t>17217871949479</t>
        </is>
      </c>
      <c r="K627" s="5">
        <f>'05_NangLuc'!E625</f>
        <v/>
      </c>
      <c r="L627" s="5" t="n">
        <v>-3.729</v>
      </c>
    </row>
    <row r="628">
      <c r="J628" t="inlineStr">
        <is>
          <t>17217872262851</t>
        </is>
      </c>
      <c r="K628" s="5">
        <f>'05_NangLuc'!E626</f>
        <v/>
      </c>
      <c r="L628" s="5" t="n">
        <v>-0.5575</v>
      </c>
    </row>
    <row r="629">
      <c r="J629" t="inlineStr">
        <is>
          <t>17226859939846</t>
        </is>
      </c>
      <c r="K629" s="5">
        <f>'05_NangLuc'!E627</f>
        <v/>
      </c>
      <c r="L629" s="5" t="n">
        <v>2.2735</v>
      </c>
    </row>
    <row r="630">
      <c r="J630" t="inlineStr">
        <is>
          <t>17226860040301</t>
        </is>
      </c>
      <c r="K630" s="5">
        <f>'05_NangLuc'!E628</f>
        <v/>
      </c>
      <c r="L630" s="5" t="n">
        <v>0.7092000000000001</v>
      </c>
    </row>
    <row r="631">
      <c r="J631" t="inlineStr">
        <is>
          <t>17226860875436</t>
        </is>
      </c>
      <c r="K631" s="5">
        <f>'05_NangLuc'!E629</f>
        <v/>
      </c>
      <c r="L631" s="5" t="n">
        <v>0.1474</v>
      </c>
    </row>
    <row r="632">
      <c r="J632" t="inlineStr">
        <is>
          <t>17226860994364</t>
        </is>
      </c>
      <c r="K632" s="5">
        <f>'05_NangLuc'!E630</f>
        <v/>
      </c>
      <c r="L632" s="5" t="n">
        <v>0.1546</v>
      </c>
    </row>
    <row r="633">
      <c r="J633" t="inlineStr">
        <is>
          <t>17226861052426</t>
        </is>
      </c>
      <c r="K633" s="5">
        <f>'05_NangLuc'!E631</f>
        <v/>
      </c>
      <c r="L633" s="5" t="n">
        <v>0.5002</v>
      </c>
    </row>
    <row r="634">
      <c r="J634" t="inlineStr">
        <is>
          <t>17226861148988</t>
        </is>
      </c>
      <c r="K634" s="5">
        <f>'05_NangLuc'!E632</f>
        <v/>
      </c>
      <c r="L634" s="5" t="n">
        <v>0.0026</v>
      </c>
    </row>
    <row r="635">
      <c r="J635" t="inlineStr">
        <is>
          <t>17226861239282</t>
        </is>
      </c>
      <c r="K635" s="5">
        <f>'05_NangLuc'!E633</f>
        <v/>
      </c>
      <c r="L635" s="5" t="n">
        <v>0.3631</v>
      </c>
    </row>
    <row r="636">
      <c r="J636" t="inlineStr">
        <is>
          <t>17226861371900</t>
        </is>
      </c>
      <c r="K636" s="5">
        <f>'05_NangLuc'!E634</f>
        <v/>
      </c>
      <c r="L636" s="5" t="n">
        <v>-2.0938</v>
      </c>
    </row>
    <row r="637">
      <c r="J637" t="inlineStr">
        <is>
          <t>17226861471052</t>
        </is>
      </c>
      <c r="K637" s="5">
        <f>'05_NangLuc'!E635</f>
        <v/>
      </c>
      <c r="L637" s="5" t="n">
        <v>2.2735</v>
      </c>
    </row>
    <row r="638">
      <c r="J638" t="inlineStr">
        <is>
          <t>17226861538188</t>
        </is>
      </c>
      <c r="K638" s="5">
        <f>'05_NangLuc'!E636</f>
        <v/>
      </c>
      <c r="L638" s="5" t="n">
        <v>0.3739</v>
      </c>
    </row>
    <row r="639">
      <c r="J639" t="inlineStr">
        <is>
          <t>17226861618724</t>
        </is>
      </c>
      <c r="K639" s="5">
        <f>'05_NangLuc'!E637</f>
        <v/>
      </c>
      <c r="L639" s="5" t="n">
        <v>0.2565</v>
      </c>
    </row>
    <row r="640">
      <c r="J640" t="inlineStr">
        <is>
          <t>17226861729616</t>
        </is>
      </c>
      <c r="K640" s="5">
        <f>'05_NangLuc'!E638</f>
        <v/>
      </c>
      <c r="L640" s="5" t="n">
        <v>-0.4064</v>
      </c>
    </row>
    <row r="641">
      <c r="J641" t="inlineStr">
        <is>
          <t>17226861834952</t>
        </is>
      </c>
      <c r="K641" s="5">
        <f>'05_NangLuc'!E639</f>
        <v/>
      </c>
      <c r="L641" s="5" t="n">
        <v>0.0033</v>
      </c>
    </row>
    <row r="642">
      <c r="J642" t="inlineStr">
        <is>
          <t>17226861997305</t>
        </is>
      </c>
      <c r="K642" s="5">
        <f>'05_NangLuc'!E640</f>
        <v/>
      </c>
      <c r="L642" s="5" t="n">
        <v>1.1031</v>
      </c>
    </row>
    <row r="643">
      <c r="J643" t="inlineStr">
        <is>
          <t>17226862016049</t>
        </is>
      </c>
      <c r="K643" s="5">
        <f>'05_NangLuc'!E641</f>
        <v/>
      </c>
      <c r="L643" s="5" t="n">
        <v>0.2565</v>
      </c>
    </row>
    <row r="644">
      <c r="J644" t="inlineStr">
        <is>
          <t>17226901250563</t>
        </is>
      </c>
      <c r="K644" s="5">
        <f>'05_NangLuc'!E642</f>
        <v/>
      </c>
      <c r="L644" s="5" t="n">
        <v>-1.1462</v>
      </c>
    </row>
    <row r="645">
      <c r="J645" t="inlineStr">
        <is>
          <t>17227932950606</t>
        </is>
      </c>
      <c r="K645" s="5">
        <f>'05_NangLuc'!E643</f>
        <v/>
      </c>
      <c r="L645" s="5" t="n">
        <v>0.9537</v>
      </c>
    </row>
    <row r="646">
      <c r="J646" t="inlineStr">
        <is>
          <t>17227934284262</t>
        </is>
      </c>
      <c r="K646" s="5">
        <f>'05_NangLuc'!E644</f>
        <v/>
      </c>
      <c r="L646" s="5" t="n">
        <v>1.1654</v>
      </c>
    </row>
    <row r="647">
      <c r="J647" t="inlineStr">
        <is>
          <t>17227935621874</t>
        </is>
      </c>
      <c r="K647" s="5">
        <f>'05_NangLuc'!E645</f>
        <v/>
      </c>
      <c r="L647" s="5" t="n">
        <v>1.5231</v>
      </c>
    </row>
    <row r="648">
      <c r="J648" t="inlineStr">
        <is>
          <t>17227956853670</t>
        </is>
      </c>
      <c r="K648" s="5">
        <f>'05_NangLuc'!E646</f>
        <v/>
      </c>
      <c r="L648" s="5" t="n">
        <v>-0.4572</v>
      </c>
    </row>
    <row r="649">
      <c r="J649" t="inlineStr">
        <is>
          <t>17227958537844</t>
        </is>
      </c>
      <c r="K649" s="5">
        <f>'05_NangLuc'!E647</f>
        <v/>
      </c>
      <c r="L649" s="5" t="n">
        <v>0.7372</v>
      </c>
    </row>
    <row r="650">
      <c r="J650" t="inlineStr">
        <is>
          <t>17227958697801</t>
        </is>
      </c>
      <c r="K650" s="5">
        <f>'05_NangLuc'!E648</f>
        <v/>
      </c>
      <c r="L650" s="5" t="n">
        <v>-0.9754</v>
      </c>
    </row>
    <row r="651">
      <c r="J651" t="inlineStr">
        <is>
          <t>17227959842348</t>
        </is>
      </c>
      <c r="K651" s="5">
        <f>'05_NangLuc'!E649</f>
        <v/>
      </c>
      <c r="L651" s="5" t="n">
        <v>-0.053</v>
      </c>
    </row>
    <row r="652">
      <c r="J652" t="inlineStr">
        <is>
          <t>17228841433905</t>
        </is>
      </c>
      <c r="K652" s="5">
        <f>'05_NangLuc'!E650</f>
        <v/>
      </c>
      <c r="L652" s="5" t="n">
        <v>-0.3011</v>
      </c>
    </row>
    <row r="653">
      <c r="J653" t="inlineStr">
        <is>
          <t>17228841552337</t>
        </is>
      </c>
      <c r="K653" s="5">
        <f>'05_NangLuc'!E651</f>
        <v/>
      </c>
      <c r="L653" s="5" t="n">
        <v>0.8941</v>
      </c>
    </row>
    <row r="654">
      <c r="J654" t="inlineStr">
        <is>
          <t>17231189994586</t>
        </is>
      </c>
      <c r="K654" s="5">
        <f>'05_NangLuc'!E652</f>
        <v/>
      </c>
      <c r="L654" s="5" t="n">
        <v>-0.3646</v>
      </c>
    </row>
    <row r="655">
      <c r="J655" t="inlineStr">
        <is>
          <t>17231202585399</t>
        </is>
      </c>
      <c r="K655" s="5">
        <f>'05_NangLuc'!E653</f>
        <v/>
      </c>
      <c r="L655" s="5" t="n">
        <v>-1.6358</v>
      </c>
    </row>
    <row r="656">
      <c r="J656" t="inlineStr">
        <is>
          <t>17231203076861</t>
        </is>
      </c>
      <c r="K656" s="5">
        <f>'05_NangLuc'!E654</f>
        <v/>
      </c>
      <c r="L656" s="5" t="n">
        <v>-2.0045</v>
      </c>
    </row>
    <row r="657">
      <c r="J657" t="inlineStr">
        <is>
          <t>17231206157452</t>
        </is>
      </c>
      <c r="K657" s="5">
        <f>'05_NangLuc'!E655</f>
        <v/>
      </c>
      <c r="L657" s="5" t="n">
        <v>-1.6237</v>
      </c>
    </row>
    <row r="658">
      <c r="J658" t="inlineStr">
        <is>
          <t>17235245148766</t>
        </is>
      </c>
      <c r="K658" s="5">
        <f>'05_NangLuc'!E656</f>
        <v/>
      </c>
      <c r="L658" s="5" t="n">
        <v>1.0148</v>
      </c>
    </row>
    <row r="659">
      <c r="J659" t="inlineStr">
        <is>
          <t>17240300769322</t>
        </is>
      </c>
      <c r="K659" s="5">
        <f>'05_NangLuc'!E657</f>
        <v/>
      </c>
      <c r="L659" s="5" t="n">
        <v>-1.3927</v>
      </c>
    </row>
    <row r="660">
      <c r="J660" t="inlineStr">
        <is>
          <t>17240300911634</t>
        </is>
      </c>
      <c r="K660" s="5">
        <f>'05_NangLuc'!E658</f>
        <v/>
      </c>
      <c r="L660" s="5" t="n">
        <v>-1.6358</v>
      </c>
    </row>
    <row r="661">
      <c r="J661" t="inlineStr">
        <is>
          <t>17240882670012</t>
        </is>
      </c>
      <c r="K661" s="5">
        <f>'05_NangLuc'!E659</f>
        <v/>
      </c>
      <c r="L661" s="5" t="n">
        <v>-0.4858</v>
      </c>
    </row>
    <row r="662">
      <c r="J662" t="inlineStr">
        <is>
          <t>17241867911037</t>
        </is>
      </c>
      <c r="K662" s="5">
        <f>'05_NangLuc'!E660</f>
        <v/>
      </c>
      <c r="L662" s="5" t="n">
        <v>-0.4064</v>
      </c>
    </row>
    <row r="663">
      <c r="J663" t="inlineStr">
        <is>
          <t>17242883844124</t>
        </is>
      </c>
      <c r="K663" s="5">
        <f>'05_NangLuc'!E661</f>
        <v/>
      </c>
      <c r="L663" s="5" t="n">
        <v>-0.8514</v>
      </c>
    </row>
    <row r="664">
      <c r="J664" t="inlineStr">
        <is>
          <t>17242887488156</t>
        </is>
      </c>
      <c r="K664" s="5">
        <f>'05_NangLuc'!E662</f>
        <v/>
      </c>
      <c r="L664" s="5" t="n">
        <v>-1.2295</v>
      </c>
    </row>
    <row r="665">
      <c r="J665" t="inlineStr">
        <is>
          <t>17242900450185</t>
        </is>
      </c>
      <c r="K665" s="5">
        <f>'05_NangLuc'!E663</f>
        <v/>
      </c>
      <c r="L665" s="5" t="n">
        <v>-3.729</v>
      </c>
    </row>
    <row r="666">
      <c r="J666" t="inlineStr">
        <is>
          <t>17242900592653</t>
        </is>
      </c>
      <c r="K666" s="5">
        <f>'05_NangLuc'!E664</f>
        <v/>
      </c>
      <c r="L666" s="5" t="n">
        <v>-0.1204</v>
      </c>
    </row>
    <row r="667">
      <c r="J667" t="inlineStr">
        <is>
          <t>17242900746613</t>
        </is>
      </c>
      <c r="K667" s="5">
        <f>'05_NangLuc'!E665</f>
        <v/>
      </c>
      <c r="L667" s="5" t="n">
        <v>-0.9754</v>
      </c>
    </row>
    <row r="668">
      <c r="J668" t="inlineStr">
        <is>
          <t>17242900823769</t>
        </is>
      </c>
      <c r="K668" s="5">
        <f>'05_NangLuc'!E666</f>
        <v/>
      </c>
      <c r="L668" s="5" t="n">
        <v>-0.6156</v>
      </c>
    </row>
    <row r="669">
      <c r="J669" t="inlineStr">
        <is>
          <t>17242900939445</t>
        </is>
      </c>
      <c r="K669" s="5">
        <f>'05_NangLuc'!E667</f>
        <v/>
      </c>
      <c r="L669" s="5" t="n">
        <v>-1.1739</v>
      </c>
    </row>
    <row r="670">
      <c r="J670" t="inlineStr">
        <is>
          <t>17242901048600</t>
        </is>
      </c>
      <c r="K670" s="5">
        <f>'05_NangLuc'!E668</f>
        <v/>
      </c>
      <c r="L670" s="5" t="n">
        <v>-0.3102</v>
      </c>
    </row>
    <row r="671">
      <c r="J671" t="inlineStr">
        <is>
          <t>17242901251662</t>
        </is>
      </c>
      <c r="K671" s="5">
        <f>'05_NangLuc'!E669</f>
        <v/>
      </c>
      <c r="L671" s="5" t="n">
        <v>-0.4858</v>
      </c>
    </row>
    <row r="672">
      <c r="J672" t="inlineStr">
        <is>
          <t>17242901612406</t>
        </is>
      </c>
      <c r="K672" s="5">
        <f>'05_NangLuc'!E670</f>
        <v/>
      </c>
      <c r="L672" s="5" t="n">
        <v>-0.1204</v>
      </c>
    </row>
    <row r="673">
      <c r="J673" t="inlineStr">
        <is>
          <t>17242901788151</t>
        </is>
      </c>
      <c r="K673" s="5">
        <f>'05_NangLuc'!E671</f>
        <v/>
      </c>
      <c r="L673" s="5" t="n">
        <v>0.3869</v>
      </c>
    </row>
    <row r="674">
      <c r="J674" t="inlineStr">
        <is>
          <t>17242901836133</t>
        </is>
      </c>
      <c r="K674" s="5">
        <f>'05_NangLuc'!E672</f>
        <v/>
      </c>
      <c r="L674" s="5" t="n">
        <v>-1.462</v>
      </c>
    </row>
    <row r="675">
      <c r="J675" t="inlineStr">
        <is>
          <t>17242901989704</t>
        </is>
      </c>
      <c r="K675" s="5">
        <f>'05_NangLuc'!E673</f>
        <v/>
      </c>
      <c r="L675" s="5" t="n">
        <v>-0.6071</v>
      </c>
    </row>
    <row r="676">
      <c r="J676" t="inlineStr">
        <is>
          <t>17242902086668</t>
        </is>
      </c>
      <c r="K676" s="5">
        <f>'05_NangLuc'!E674</f>
        <v/>
      </c>
      <c r="L676" s="5" t="n">
        <v>0.3869</v>
      </c>
    </row>
    <row r="677">
      <c r="J677" t="inlineStr">
        <is>
          <t>17242902188760</t>
        </is>
      </c>
      <c r="K677" s="5">
        <f>'05_NangLuc'!E675</f>
        <v/>
      </c>
      <c r="L677" s="5" t="n">
        <v>-0.6071</v>
      </c>
    </row>
    <row r="678">
      <c r="J678" t="inlineStr">
        <is>
          <t>17242902238316</t>
        </is>
      </c>
      <c r="K678" s="5">
        <f>'05_NangLuc'!E676</f>
        <v/>
      </c>
      <c r="L678" s="5" t="n">
        <v>-0.4858</v>
      </c>
    </row>
    <row r="679">
      <c r="J679" t="inlineStr">
        <is>
          <t>17242902378474</t>
        </is>
      </c>
      <c r="K679" s="5">
        <f>'05_NangLuc'!E677</f>
        <v/>
      </c>
      <c r="L679" s="5" t="n">
        <v>-0.155</v>
      </c>
    </row>
    <row r="680">
      <c r="J680" t="inlineStr">
        <is>
          <t>17242902519252</t>
        </is>
      </c>
      <c r="K680" s="5">
        <f>'05_NangLuc'!E678</f>
        <v/>
      </c>
      <c r="L680" s="5" t="n">
        <v>-1.3691</v>
      </c>
    </row>
    <row r="681">
      <c r="J681" t="inlineStr">
        <is>
          <t>17242902639195</t>
        </is>
      </c>
      <c r="K681" s="5">
        <f>'05_NangLuc'!E679</f>
        <v/>
      </c>
      <c r="L681" s="5" t="n">
        <v>-0.4572</v>
      </c>
    </row>
    <row r="682">
      <c r="J682" t="inlineStr">
        <is>
          <t>17242902721786</t>
        </is>
      </c>
      <c r="K682" s="5">
        <f>'05_NangLuc'!E680</f>
        <v/>
      </c>
      <c r="L682" s="5" t="n">
        <v>-0.4572</v>
      </c>
    </row>
    <row r="683">
      <c r="J683" t="inlineStr">
        <is>
          <t>17243006241144</t>
        </is>
      </c>
      <c r="K683" s="5">
        <f>'05_NangLuc'!E681</f>
        <v/>
      </c>
      <c r="L683" s="5" t="n">
        <v>0.4795</v>
      </c>
    </row>
    <row r="684">
      <c r="J684" t="inlineStr">
        <is>
          <t>17243491548292</t>
        </is>
      </c>
      <c r="K684" s="5">
        <f>'05_NangLuc'!E682</f>
        <v/>
      </c>
      <c r="L684" s="5" t="n">
        <v>1.8188</v>
      </c>
    </row>
    <row r="685">
      <c r="J685" t="inlineStr">
        <is>
          <t>17243493765453</t>
        </is>
      </c>
      <c r="K685" s="5">
        <f>'05_NangLuc'!E683</f>
        <v/>
      </c>
      <c r="L685" s="5" t="n">
        <v>0.6583</v>
      </c>
    </row>
    <row r="686">
      <c r="J686" t="inlineStr">
        <is>
          <t>17243518661460</t>
        </is>
      </c>
      <c r="K686" s="5">
        <f>'05_NangLuc'!E684</f>
        <v/>
      </c>
      <c r="L686" s="5" t="n">
        <v>-0.1204</v>
      </c>
    </row>
    <row r="687">
      <c r="J687" t="inlineStr">
        <is>
          <t>17243656887475</t>
        </is>
      </c>
      <c r="K687" s="5">
        <f>'05_NangLuc'!E685</f>
        <v/>
      </c>
      <c r="L687" s="5" t="n">
        <v>1.1455</v>
      </c>
    </row>
    <row r="688">
      <c r="J688" t="inlineStr">
        <is>
          <t>17243658229062</t>
        </is>
      </c>
      <c r="K688" s="5">
        <f>'05_NangLuc'!E686</f>
        <v/>
      </c>
      <c r="L688" s="5" t="n">
        <v>2.2735</v>
      </c>
    </row>
    <row r="689">
      <c r="J689" t="inlineStr">
        <is>
          <t>17243659477129</t>
        </is>
      </c>
      <c r="K689" s="5">
        <f>'05_NangLuc'!E687</f>
        <v/>
      </c>
      <c r="L689" s="5" t="n">
        <v>1.2924</v>
      </c>
    </row>
    <row r="690">
      <c r="J690" t="inlineStr">
        <is>
          <t>17244050586234</t>
        </is>
      </c>
      <c r="K690" s="5">
        <f>'05_NangLuc'!E688</f>
        <v/>
      </c>
      <c r="L690" s="5" t="n">
        <v>0.369</v>
      </c>
    </row>
    <row r="691">
      <c r="J691" t="inlineStr">
        <is>
          <t>17244052351234</t>
        </is>
      </c>
      <c r="K691" s="5">
        <f>'05_NangLuc'!E689</f>
        <v/>
      </c>
      <c r="L691" s="5" t="n">
        <v>0.4912</v>
      </c>
    </row>
    <row r="692">
      <c r="J692" t="inlineStr">
        <is>
          <t>17244053566395</t>
        </is>
      </c>
      <c r="K692" s="5">
        <f>'05_NangLuc'!E690</f>
        <v/>
      </c>
      <c r="L692" s="5" t="n">
        <v>-0.608</v>
      </c>
    </row>
    <row r="693">
      <c r="J693" t="inlineStr">
        <is>
          <t>17244054177330</t>
        </is>
      </c>
      <c r="K693" s="5">
        <f>'05_NangLuc'!E691</f>
        <v/>
      </c>
      <c r="L693" s="5" t="n">
        <v>-0.5111</v>
      </c>
    </row>
    <row r="694">
      <c r="J694" t="inlineStr">
        <is>
          <t>17244057196588</t>
        </is>
      </c>
      <c r="K694" s="5">
        <f>'05_NangLuc'!E692</f>
        <v/>
      </c>
      <c r="L694" s="5" t="n">
        <v>-0.759</v>
      </c>
    </row>
    <row r="695">
      <c r="J695" t="inlineStr">
        <is>
          <t>17244057258468</t>
        </is>
      </c>
      <c r="K695" s="5">
        <f>'05_NangLuc'!E693</f>
        <v/>
      </c>
      <c r="L695" s="5" t="n">
        <v>-0.1949</v>
      </c>
    </row>
    <row r="696">
      <c r="J696" t="inlineStr">
        <is>
          <t>17244057533774</t>
        </is>
      </c>
      <c r="K696" s="5">
        <f>'05_NangLuc'!E694</f>
        <v/>
      </c>
      <c r="L696" s="5" t="n">
        <v>-2.0045</v>
      </c>
    </row>
    <row r="697">
      <c r="J697" t="inlineStr">
        <is>
          <t>17244057926737</t>
        </is>
      </c>
      <c r="K697" s="5">
        <f>'05_NangLuc'!E695</f>
        <v/>
      </c>
      <c r="L697" s="5" t="n">
        <v>-0.5575</v>
      </c>
    </row>
    <row r="698">
      <c r="J698" t="inlineStr">
        <is>
          <t>17244058089472</t>
        </is>
      </c>
      <c r="K698" s="5">
        <f>'05_NangLuc'!E696</f>
        <v/>
      </c>
      <c r="L698" s="5" t="n">
        <v>-0.7543</v>
      </c>
    </row>
    <row r="699">
      <c r="J699" t="inlineStr">
        <is>
          <t>17244058426497</t>
        </is>
      </c>
      <c r="K699" s="5">
        <f>'05_NangLuc'!E697</f>
        <v/>
      </c>
      <c r="L699" s="5" t="n">
        <v>0.5928</v>
      </c>
    </row>
    <row r="700">
      <c r="J700" t="inlineStr">
        <is>
          <t>17244058572613</t>
        </is>
      </c>
      <c r="K700" s="5">
        <f>'05_NangLuc'!E698</f>
        <v/>
      </c>
      <c r="L700" s="5" t="n">
        <v>-0.4572</v>
      </c>
    </row>
    <row r="701">
      <c r="J701" t="inlineStr">
        <is>
          <t>17244058640124</t>
        </is>
      </c>
      <c r="K701" s="5">
        <f>'05_NangLuc'!E699</f>
        <v/>
      </c>
      <c r="L701" s="5" t="n">
        <v>-1.0679</v>
      </c>
    </row>
    <row r="702">
      <c r="J702" t="inlineStr">
        <is>
          <t>17244058829374</t>
        </is>
      </c>
      <c r="K702" s="5">
        <f>'05_NangLuc'!E700</f>
        <v/>
      </c>
      <c r="L702" s="5" t="n">
        <v>-0.6071</v>
      </c>
    </row>
    <row r="703">
      <c r="J703" t="inlineStr">
        <is>
          <t>17244075879291</t>
        </is>
      </c>
      <c r="K703" s="5">
        <f>'05_NangLuc'!E701</f>
        <v/>
      </c>
      <c r="L703" s="5" t="n">
        <v>0.0502</v>
      </c>
    </row>
    <row r="704">
      <c r="J704" t="inlineStr">
        <is>
          <t>17244146674368</t>
        </is>
      </c>
      <c r="K704" s="5">
        <f>'05_NangLuc'!E702</f>
        <v/>
      </c>
      <c r="L704" s="5" t="n">
        <v>-3.1135</v>
      </c>
    </row>
    <row r="705">
      <c r="J705" t="inlineStr">
        <is>
          <t>17244148467265</t>
        </is>
      </c>
      <c r="K705" s="5">
        <f>'05_NangLuc'!E703</f>
        <v/>
      </c>
      <c r="L705" s="5" t="n">
        <v>-0.0878</v>
      </c>
    </row>
    <row r="706">
      <c r="J706" t="inlineStr">
        <is>
          <t>17244166896707</t>
        </is>
      </c>
      <c r="K706" s="5">
        <f>'05_NangLuc'!E704</f>
        <v/>
      </c>
      <c r="L706" s="5" t="n">
        <v>-0.9637</v>
      </c>
    </row>
    <row r="707">
      <c r="J707" t="inlineStr">
        <is>
          <t>17244455531076</t>
        </is>
      </c>
      <c r="K707" s="5">
        <f>'05_NangLuc'!E705</f>
        <v/>
      </c>
      <c r="L707" s="5" t="n">
        <v>0.7092000000000001</v>
      </c>
    </row>
    <row r="708">
      <c r="J708" t="inlineStr">
        <is>
          <t>17244455753427</t>
        </is>
      </c>
      <c r="K708" s="5">
        <f>'05_NangLuc'!E706</f>
        <v/>
      </c>
      <c r="L708" s="5" t="n">
        <v>0.5928</v>
      </c>
    </row>
    <row r="709">
      <c r="J709" t="inlineStr">
        <is>
          <t>17244603750641</t>
        </is>
      </c>
      <c r="K709" s="5">
        <f>'05_NangLuc'!E707</f>
        <v/>
      </c>
      <c r="L709" s="5" t="n">
        <v>3.2258</v>
      </c>
    </row>
    <row r="710">
      <c r="J710" t="inlineStr">
        <is>
          <t>17244650320373</t>
        </is>
      </c>
      <c r="K710" s="5">
        <f>'05_NangLuc'!E708</f>
        <v/>
      </c>
      <c r="L710" s="5" t="n">
        <v>1.1654</v>
      </c>
    </row>
    <row r="711">
      <c r="J711" t="inlineStr">
        <is>
          <t>17244691265091</t>
        </is>
      </c>
      <c r="K711" s="5">
        <f>'05_NangLuc'!E709</f>
        <v/>
      </c>
      <c r="L711" s="5" t="n">
        <v>1.1031</v>
      </c>
    </row>
    <row r="712">
      <c r="J712" t="inlineStr">
        <is>
          <t>17244724011472</t>
        </is>
      </c>
      <c r="K712" s="5">
        <f>'05_NangLuc'!E710</f>
        <v/>
      </c>
      <c r="L712" s="5" t="n">
        <v>0.0502</v>
      </c>
    </row>
    <row r="713">
      <c r="J713" t="inlineStr">
        <is>
          <t>17244746352495</t>
        </is>
      </c>
      <c r="K713" s="5">
        <f>'05_NangLuc'!E711</f>
        <v/>
      </c>
      <c r="L713" s="5" t="n">
        <v>1.447</v>
      </c>
    </row>
    <row r="714">
      <c r="J714" t="inlineStr">
        <is>
          <t>17244747125970</t>
        </is>
      </c>
      <c r="K714" s="5">
        <f>'05_NangLuc'!E712</f>
        <v/>
      </c>
      <c r="L714" s="5" t="n">
        <v>-0.1993</v>
      </c>
    </row>
    <row r="715">
      <c r="J715" t="inlineStr">
        <is>
          <t>17244747527167</t>
        </is>
      </c>
      <c r="K715" s="5">
        <f>'05_NangLuc'!E713</f>
        <v/>
      </c>
      <c r="L715" s="5" t="n">
        <v>-0.6274999999999999</v>
      </c>
    </row>
    <row r="716">
      <c r="J716" t="inlineStr">
        <is>
          <t>17244748394804</t>
        </is>
      </c>
      <c r="K716" s="5">
        <f>'05_NangLuc'!E714</f>
        <v/>
      </c>
      <c r="L716" s="5" t="n">
        <v>-0.3011</v>
      </c>
    </row>
    <row r="717">
      <c r="J717" t="inlineStr">
        <is>
          <t>17244785588645</t>
        </is>
      </c>
      <c r="K717" s="5">
        <f>'05_NangLuc'!E715</f>
        <v/>
      </c>
      <c r="L717" s="5" t="n">
        <v>-0.5575</v>
      </c>
    </row>
    <row r="718">
      <c r="J718" t="inlineStr">
        <is>
          <t>17245036291269</t>
        </is>
      </c>
      <c r="K718" s="5">
        <f>'05_NangLuc'!E716</f>
        <v/>
      </c>
      <c r="L718" s="5" t="n">
        <v>0.2608</v>
      </c>
    </row>
    <row r="719">
      <c r="J719" t="inlineStr">
        <is>
          <t>17245064354881</t>
        </is>
      </c>
      <c r="K719" s="5">
        <f>'05_NangLuc'!E717</f>
        <v/>
      </c>
      <c r="L719" s="5" t="n">
        <v>0.6261</v>
      </c>
    </row>
    <row r="720">
      <c r="J720" t="inlineStr">
        <is>
          <t>17245065472508</t>
        </is>
      </c>
      <c r="K720" s="5">
        <f>'05_NangLuc'!E718</f>
        <v/>
      </c>
      <c r="L720" s="5" t="n">
        <v>-0.4572</v>
      </c>
    </row>
    <row r="721">
      <c r="J721" t="inlineStr">
        <is>
          <t>17245067734166</t>
        </is>
      </c>
      <c r="K721" s="5">
        <f>'05_NangLuc'!E719</f>
        <v/>
      </c>
      <c r="L721" s="5" t="n">
        <v>0.1546</v>
      </c>
    </row>
    <row r="722">
      <c r="J722" t="inlineStr">
        <is>
          <t>17245074118082</t>
        </is>
      </c>
      <c r="K722" s="5">
        <f>'05_NangLuc'!E720</f>
        <v/>
      </c>
      <c r="L722" s="5" t="n">
        <v>-0.2915</v>
      </c>
    </row>
    <row r="723">
      <c r="J723" t="inlineStr">
        <is>
          <t>17245077246836</t>
        </is>
      </c>
      <c r="K723" s="5">
        <f>'05_NangLuc'!E721</f>
        <v/>
      </c>
      <c r="L723" s="5" t="n">
        <v>-1.8719</v>
      </c>
    </row>
    <row r="724">
      <c r="J724" t="inlineStr">
        <is>
          <t>17245077461578</t>
        </is>
      </c>
      <c r="K724" s="5">
        <f>'05_NangLuc'!E722</f>
        <v/>
      </c>
      <c r="L724" s="5" t="n">
        <v>-0.3011</v>
      </c>
    </row>
    <row r="725">
      <c r="J725" t="inlineStr">
        <is>
          <t>17245077529724</t>
        </is>
      </c>
      <c r="K725" s="5">
        <f>'05_NangLuc'!E723</f>
        <v/>
      </c>
      <c r="L725" s="5" t="n">
        <v>0.0502</v>
      </c>
    </row>
    <row r="726">
      <c r="J726" t="inlineStr">
        <is>
          <t>17245077957221</t>
        </is>
      </c>
      <c r="K726" s="5">
        <f>'05_NangLuc'!E724</f>
        <v/>
      </c>
      <c r="L726" s="5" t="n">
        <v>0.8293</v>
      </c>
    </row>
    <row r="727">
      <c r="J727" t="inlineStr">
        <is>
          <t>17245078454573</t>
        </is>
      </c>
      <c r="K727" s="5">
        <f>'05_NangLuc'!E725</f>
        <v/>
      </c>
      <c r="L727" s="5" t="n">
        <v>-1.496</v>
      </c>
    </row>
    <row r="728">
      <c r="J728" t="inlineStr">
        <is>
          <t>17245079251198</t>
        </is>
      </c>
      <c r="K728" s="5">
        <f>'05_NangLuc'!E726</f>
        <v/>
      </c>
      <c r="L728" s="5" t="n">
        <v>-0.2429</v>
      </c>
    </row>
    <row r="729">
      <c r="J729" t="inlineStr">
        <is>
          <t>17245079399684</t>
        </is>
      </c>
      <c r="K729" s="5">
        <f>'05_NangLuc'!E727</f>
        <v/>
      </c>
      <c r="L729" s="5" t="n">
        <v>1.1031</v>
      </c>
    </row>
    <row r="730">
      <c r="J730" t="inlineStr">
        <is>
          <t>17245080030500</t>
        </is>
      </c>
      <c r="K730" s="5">
        <f>'05_NangLuc'!E728</f>
        <v/>
      </c>
      <c r="L730" s="5" t="n">
        <v>-0.2915</v>
      </c>
    </row>
    <row r="731">
      <c r="J731" t="inlineStr">
        <is>
          <t>17245080438690</t>
        </is>
      </c>
      <c r="K731" s="5">
        <f>'05_NangLuc'!E729</f>
        <v/>
      </c>
      <c r="L731" s="5" t="n">
        <v>-0.658</v>
      </c>
    </row>
    <row r="732">
      <c r="J732" t="inlineStr">
        <is>
          <t>17245080696502</t>
        </is>
      </c>
      <c r="K732" s="5">
        <f>'05_NangLuc'!E730</f>
        <v/>
      </c>
      <c r="L732" s="5" t="n">
        <v>0.4795</v>
      </c>
    </row>
    <row r="733">
      <c r="J733" t="inlineStr">
        <is>
          <t>17245080719306</t>
        </is>
      </c>
      <c r="K733" s="5">
        <f>'05_NangLuc'!E731</f>
        <v/>
      </c>
      <c r="L733" s="5" t="n">
        <v>0.6583</v>
      </c>
    </row>
    <row r="734">
      <c r="J734" t="inlineStr">
        <is>
          <t>17245080899097</t>
        </is>
      </c>
      <c r="K734" s="5">
        <f>'05_NangLuc'!E732</f>
        <v/>
      </c>
      <c r="L734" s="5" t="n">
        <v>-0.8608</v>
      </c>
    </row>
    <row r="735">
      <c r="J735" t="inlineStr">
        <is>
          <t>17245125566711</t>
        </is>
      </c>
      <c r="K735" s="5">
        <f>'05_NangLuc'!E733</f>
        <v/>
      </c>
      <c r="L735" s="5" t="n">
        <v>0.146</v>
      </c>
    </row>
    <row r="736">
      <c r="J736" t="inlineStr">
        <is>
          <t>17245225314787</t>
        </is>
      </c>
      <c r="K736" s="5">
        <f>'05_NangLuc'!E734</f>
        <v/>
      </c>
      <c r="L736" s="5" t="n">
        <v>0.1288</v>
      </c>
    </row>
    <row r="737">
      <c r="J737" t="inlineStr">
        <is>
          <t>17245229236022</t>
        </is>
      </c>
      <c r="K737" s="5">
        <f>'05_NangLuc'!E735</f>
        <v/>
      </c>
      <c r="L737" s="5" t="n">
        <v>-1.1739</v>
      </c>
    </row>
    <row r="738">
      <c r="J738" t="inlineStr">
        <is>
          <t>17245230622956</t>
        </is>
      </c>
      <c r="K738" s="5">
        <f>'05_NangLuc'!E736</f>
        <v/>
      </c>
      <c r="L738" s="5" t="n">
        <v>-0.1204</v>
      </c>
    </row>
    <row r="739">
      <c r="J739" t="inlineStr">
        <is>
          <t>17245230916417</t>
        </is>
      </c>
      <c r="K739" s="5">
        <f>'05_NangLuc'!E737</f>
        <v/>
      </c>
      <c r="L739" s="5" t="n">
        <v>-0.1204</v>
      </c>
    </row>
    <row r="740">
      <c r="J740" t="inlineStr">
        <is>
          <t>17245238729138</t>
        </is>
      </c>
      <c r="K740" s="5">
        <f>'05_NangLuc'!E738</f>
        <v/>
      </c>
      <c r="L740" s="5" t="n">
        <v>-0.4572</v>
      </c>
    </row>
    <row r="741">
      <c r="J741" t="inlineStr">
        <is>
          <t>17245243450014</t>
        </is>
      </c>
      <c r="K741" s="5">
        <f>'05_NangLuc'!E739</f>
        <v/>
      </c>
      <c r="L741" s="5" t="n">
        <v>-0.5575</v>
      </c>
    </row>
    <row r="742">
      <c r="J742" t="inlineStr">
        <is>
          <t>17245243970913</t>
        </is>
      </c>
      <c r="K742" s="5">
        <f>'05_NangLuc'!E740</f>
        <v/>
      </c>
      <c r="L742" s="5" t="n">
        <v>-0.658</v>
      </c>
    </row>
    <row r="743">
      <c r="J743" t="inlineStr">
        <is>
          <t>17245244036268</t>
        </is>
      </c>
      <c r="K743" s="5">
        <f>'05_NangLuc'!E741</f>
        <v/>
      </c>
      <c r="L743" s="5" t="n">
        <v>-1.0679</v>
      </c>
    </row>
    <row r="744">
      <c r="J744" t="inlineStr">
        <is>
          <t>17245391832649</t>
        </is>
      </c>
      <c r="K744" s="5">
        <f>'05_NangLuc'!E742</f>
        <v/>
      </c>
      <c r="L744" s="5" t="n">
        <v>1.2656</v>
      </c>
    </row>
    <row r="745">
      <c r="J745" t="inlineStr">
        <is>
          <t>17245396433807</t>
        </is>
      </c>
      <c r="K745" s="5">
        <f>'05_NangLuc'!E743</f>
        <v/>
      </c>
      <c r="L745" s="5" t="n">
        <v>-0.3568</v>
      </c>
    </row>
    <row r="746">
      <c r="J746" t="inlineStr">
        <is>
          <t>17245397092055</t>
        </is>
      </c>
      <c r="K746" s="5">
        <f>'05_NangLuc'!E744</f>
        <v/>
      </c>
      <c r="L746" s="5" t="n">
        <v>0.2465</v>
      </c>
    </row>
    <row r="747">
      <c r="J747" t="inlineStr">
        <is>
          <t>17245401319055</t>
        </is>
      </c>
      <c r="K747" s="5">
        <f>'05_NangLuc'!E745</f>
        <v/>
      </c>
      <c r="L747" s="5" t="n">
        <v>1.1031</v>
      </c>
    </row>
    <row r="748">
      <c r="J748" t="inlineStr">
        <is>
          <t>17245544885541</t>
        </is>
      </c>
      <c r="K748" s="5">
        <f>'05_NangLuc'!E746</f>
        <v/>
      </c>
      <c r="L748" s="5" t="n">
        <v>0.2465</v>
      </c>
    </row>
    <row r="749">
      <c r="J749" t="inlineStr">
        <is>
          <t>17245545131310</t>
        </is>
      </c>
      <c r="K749" s="5">
        <f>'05_NangLuc'!E747</f>
        <v/>
      </c>
      <c r="L749" s="5" t="n">
        <v>-0.8514</v>
      </c>
    </row>
    <row r="750">
      <c r="J750" t="inlineStr">
        <is>
          <t>17245545228885</t>
        </is>
      </c>
      <c r="K750" s="5">
        <f>'05_NangLuc'!E748</f>
        <v/>
      </c>
      <c r="L750" s="5" t="n">
        <v>-1.9334</v>
      </c>
    </row>
    <row r="751">
      <c r="J751" t="inlineStr">
        <is>
          <t>17245546536529</t>
        </is>
      </c>
      <c r="K751" s="5">
        <f>'05_NangLuc'!E749</f>
        <v/>
      </c>
      <c r="L751" s="5" t="n">
        <v>0.0217</v>
      </c>
    </row>
    <row r="752">
      <c r="J752" t="inlineStr">
        <is>
          <t>17245547480910</t>
        </is>
      </c>
      <c r="K752" s="5">
        <f>'05_NangLuc'!E750</f>
        <v/>
      </c>
      <c r="L752" s="5" t="n">
        <v>0.4795</v>
      </c>
    </row>
    <row r="753">
      <c r="J753" t="inlineStr">
        <is>
          <t>17245549184028</t>
        </is>
      </c>
      <c r="K753" s="5">
        <f>'05_NangLuc'!E751</f>
        <v/>
      </c>
      <c r="L753" s="5" t="n">
        <v>0.0502</v>
      </c>
    </row>
    <row r="754">
      <c r="J754" t="inlineStr">
        <is>
          <t>17245549997711</t>
        </is>
      </c>
      <c r="K754" s="5">
        <f>'05_NangLuc'!E752</f>
        <v/>
      </c>
      <c r="L754" s="5" t="n">
        <v>-0.5029</v>
      </c>
    </row>
    <row r="755">
      <c r="J755" t="inlineStr">
        <is>
          <t>17245550126796</t>
        </is>
      </c>
      <c r="K755" s="5">
        <f>'05_NangLuc'!E753</f>
        <v/>
      </c>
      <c r="L755" s="5" t="n">
        <v>-0.053</v>
      </c>
    </row>
    <row r="756">
      <c r="J756" t="inlineStr">
        <is>
          <t>17245551369474</t>
        </is>
      </c>
      <c r="K756" s="5">
        <f>'05_NangLuc'!E754</f>
        <v/>
      </c>
      <c r="L756" s="5" t="n">
        <v>-0.4572</v>
      </c>
    </row>
    <row r="757">
      <c r="J757" t="inlineStr">
        <is>
          <t>17245552513703</t>
        </is>
      </c>
      <c r="K757" s="5">
        <f>'05_NangLuc'!E755</f>
        <v/>
      </c>
      <c r="L757" s="5" t="n">
        <v>0.0339</v>
      </c>
    </row>
    <row r="758">
      <c r="J758" t="inlineStr">
        <is>
          <t>17245558313730</t>
        </is>
      </c>
      <c r="K758" s="5">
        <f>'05_NangLuc'!E756</f>
        <v/>
      </c>
      <c r="L758" s="5" t="n">
        <v>0.2465</v>
      </c>
    </row>
    <row r="759">
      <c r="J759" t="inlineStr">
        <is>
          <t>17245737482710</t>
        </is>
      </c>
      <c r="K759" s="5">
        <f>'05_NangLuc'!E757</f>
        <v/>
      </c>
      <c r="L759" s="5" t="n">
        <v>-0.2562</v>
      </c>
    </row>
    <row r="760">
      <c r="J760" t="inlineStr">
        <is>
          <t>17245739054050</t>
        </is>
      </c>
      <c r="K760" s="5">
        <f>'05_NangLuc'!E758</f>
        <v/>
      </c>
      <c r="L760" s="5" t="n">
        <v>-0.5111</v>
      </c>
    </row>
    <row r="761">
      <c r="J761" t="inlineStr">
        <is>
          <t>17245739714080</t>
        </is>
      </c>
      <c r="K761" s="5">
        <f>'05_NangLuc'!E759</f>
        <v/>
      </c>
      <c r="L761" s="5" t="n">
        <v>-2.4479</v>
      </c>
    </row>
    <row r="762">
      <c r="J762" t="inlineStr">
        <is>
          <t>17245757970627</t>
        </is>
      </c>
      <c r="K762" s="5">
        <f>'05_NangLuc'!E760</f>
        <v/>
      </c>
      <c r="L762" s="5" t="n">
        <v>-0.2562</v>
      </c>
    </row>
    <row r="763">
      <c r="J763" t="inlineStr">
        <is>
          <t>17245758841088</t>
        </is>
      </c>
      <c r="K763" s="5">
        <f>'05_NangLuc'!E761</f>
        <v/>
      </c>
      <c r="L763" s="5" t="n">
        <v>-2.0938</v>
      </c>
    </row>
    <row r="764">
      <c r="J764" t="inlineStr">
        <is>
          <t>17245804280579</t>
        </is>
      </c>
      <c r="K764" s="5">
        <f>'05_NangLuc'!E762</f>
        <v/>
      </c>
      <c r="L764" s="5" t="n">
        <v>0.5002</v>
      </c>
    </row>
    <row r="765">
      <c r="J765" t="inlineStr">
        <is>
          <t>17245804850995</t>
        </is>
      </c>
      <c r="K765" s="5">
        <f>'05_NangLuc'!E763</f>
        <v/>
      </c>
      <c r="L765" s="5" t="n">
        <v>0.0502</v>
      </c>
    </row>
    <row r="766">
      <c r="J766" t="inlineStr">
        <is>
          <t>17245810023984</t>
        </is>
      </c>
      <c r="K766" s="5">
        <f>'05_NangLuc'!E764</f>
        <v/>
      </c>
      <c r="L766" s="5" t="n">
        <v>-0.053</v>
      </c>
    </row>
    <row r="767">
      <c r="J767" t="inlineStr">
        <is>
          <t>17245811355253</t>
        </is>
      </c>
      <c r="K767" s="5">
        <f>'05_NangLuc'!E765</f>
        <v/>
      </c>
      <c r="L767" s="5" t="n">
        <v>0.1546</v>
      </c>
    </row>
    <row r="768">
      <c r="J768" t="inlineStr">
        <is>
          <t>17245811565546</t>
        </is>
      </c>
      <c r="K768" s="5">
        <f>'05_NangLuc'!E766</f>
        <v/>
      </c>
      <c r="L768" s="5" t="n">
        <v>-0.2562</v>
      </c>
    </row>
    <row r="769">
      <c r="J769" t="inlineStr">
        <is>
          <t>17245813153664</t>
        </is>
      </c>
      <c r="K769" s="5">
        <f>'05_NangLuc'!E767</f>
        <v/>
      </c>
      <c r="L769" s="5" t="n">
        <v>0.9537</v>
      </c>
    </row>
    <row r="770">
      <c r="J770" t="inlineStr">
        <is>
          <t>17245813338705</t>
        </is>
      </c>
      <c r="K770" s="5">
        <f>'05_NangLuc'!E768</f>
        <v/>
      </c>
      <c r="L770" s="5" t="n">
        <v>0.5002</v>
      </c>
    </row>
    <row r="771">
      <c r="J771" t="inlineStr">
        <is>
          <t>17245815228123</t>
        </is>
      </c>
      <c r="K771" s="5">
        <f>'05_NangLuc'!E769</f>
        <v/>
      </c>
      <c r="L771" s="5" t="n">
        <v>0.3787</v>
      </c>
    </row>
    <row r="772">
      <c r="J772" t="inlineStr">
        <is>
          <t>17245815344926</t>
        </is>
      </c>
      <c r="K772" s="5">
        <f>'05_NangLuc'!E770</f>
        <v/>
      </c>
      <c r="L772" s="5" t="n">
        <v>-0.08740000000000001</v>
      </c>
    </row>
    <row r="773">
      <c r="J773" t="inlineStr">
        <is>
          <t>17245815498575</t>
        </is>
      </c>
      <c r="K773" s="5">
        <f>'05_NangLuc'!E771</f>
        <v/>
      </c>
      <c r="L773" s="5" t="n">
        <v>1.6686</v>
      </c>
    </row>
    <row r="774">
      <c r="J774" t="inlineStr">
        <is>
          <t>17245816586310</t>
        </is>
      </c>
      <c r="K774" s="5">
        <f>'05_NangLuc'!E772</f>
        <v/>
      </c>
      <c r="L774" s="5" t="n">
        <v>0.2608</v>
      </c>
    </row>
    <row r="775">
      <c r="J775" t="inlineStr">
        <is>
          <t>17245851764276</t>
        </is>
      </c>
      <c r="K775" s="5">
        <f>'05_NangLuc'!E773</f>
        <v/>
      </c>
      <c r="L775" s="5" t="n">
        <v>-2.8669</v>
      </c>
    </row>
    <row r="776">
      <c r="J776" t="inlineStr">
        <is>
          <t>17245851842247</t>
        </is>
      </c>
      <c r="K776" s="5">
        <f>'05_NangLuc'!E774</f>
        <v/>
      </c>
      <c r="L776" s="5" t="n">
        <v>-1.282</v>
      </c>
    </row>
    <row r="777">
      <c r="J777" t="inlineStr">
        <is>
          <t>17245877511619</t>
        </is>
      </c>
      <c r="K777" s="5">
        <f>'05_NangLuc'!E775</f>
        <v/>
      </c>
      <c r="L777" s="5" t="n">
        <v>1.3262</v>
      </c>
    </row>
    <row r="778">
      <c r="J778" t="inlineStr">
        <is>
          <t>17245884937665</t>
        </is>
      </c>
      <c r="K778" s="5">
        <f>'05_NangLuc'!E776</f>
        <v/>
      </c>
      <c r="L778" s="5" t="n">
        <v>-0.4858</v>
      </c>
    </row>
    <row r="779">
      <c r="J779" t="inlineStr">
        <is>
          <t>17245885098310</t>
        </is>
      </c>
      <c r="K779" s="5">
        <f>'05_NangLuc'!E777</f>
        <v/>
      </c>
      <c r="L779" s="5" t="n">
        <v>0.6583</v>
      </c>
    </row>
    <row r="780">
      <c r="J780" t="inlineStr">
        <is>
          <t>17245885247017</t>
        </is>
      </c>
      <c r="K780" s="5">
        <f>'05_NangLuc'!E778</f>
        <v/>
      </c>
      <c r="L780" s="5" t="n">
        <v>0.1328</v>
      </c>
    </row>
    <row r="781">
      <c r="J781" t="inlineStr">
        <is>
          <t>17245885412646</t>
        </is>
      </c>
      <c r="K781" s="5">
        <f>'05_NangLuc'!E779</f>
        <v/>
      </c>
      <c r="L781" s="5" t="n">
        <v>-0.9637</v>
      </c>
    </row>
    <row r="782">
      <c r="J782" t="inlineStr">
        <is>
          <t>17245886098754</t>
        </is>
      </c>
      <c r="K782" s="5">
        <f>'05_NangLuc'!E780</f>
        <v/>
      </c>
      <c r="L782" s="5" t="n">
        <v>0.9537</v>
      </c>
    </row>
    <row r="783">
      <c r="J783" t="inlineStr">
        <is>
          <t>17245886218989</t>
        </is>
      </c>
      <c r="K783" s="5">
        <f>'05_NangLuc'!E781</f>
        <v/>
      </c>
      <c r="L783" s="5" t="n">
        <v>-0.3011</v>
      </c>
    </row>
    <row r="784">
      <c r="J784" t="inlineStr">
        <is>
          <t>17245886389061</t>
        </is>
      </c>
      <c r="K784" s="5">
        <f>'05_NangLuc'!E782</f>
        <v/>
      </c>
      <c r="L784" s="5" t="n">
        <v>0.2465</v>
      </c>
    </row>
    <row r="785">
      <c r="J785" t="inlineStr">
        <is>
          <t>17245886574904</t>
        </is>
      </c>
      <c r="K785" s="5">
        <f>'05_NangLuc'!E783</f>
        <v/>
      </c>
      <c r="L785" s="5" t="n">
        <v>-0.5575</v>
      </c>
    </row>
    <row r="786">
      <c r="J786" t="inlineStr">
        <is>
          <t>17245886739206</t>
        </is>
      </c>
      <c r="K786" s="5">
        <f>'05_NangLuc'!E784</f>
        <v/>
      </c>
      <c r="L786" s="5" t="n">
        <v>-0.1204</v>
      </c>
    </row>
    <row r="787">
      <c r="J787" t="inlineStr">
        <is>
          <t>17245886914247</t>
        </is>
      </c>
      <c r="K787" s="5">
        <f>'05_NangLuc'!E785</f>
        <v/>
      </c>
      <c r="L787" s="5" t="n">
        <v>-0.053</v>
      </c>
    </row>
    <row r="788">
      <c r="J788" t="inlineStr">
        <is>
          <t>17245887935345</t>
        </is>
      </c>
      <c r="K788" s="5">
        <f>'05_NangLuc'!E786</f>
        <v/>
      </c>
      <c r="L788" s="5" t="n">
        <v>-0.3975</v>
      </c>
    </row>
    <row r="789">
      <c r="J789" t="inlineStr">
        <is>
          <t>17245888166904</t>
        </is>
      </c>
      <c r="K789" s="5">
        <f>'05_NangLuc'!E787</f>
        <v/>
      </c>
      <c r="L789" s="5" t="n">
        <v>-0.053</v>
      </c>
    </row>
    <row r="790">
      <c r="J790" t="inlineStr">
        <is>
          <t>17245908079812</t>
        </is>
      </c>
      <c r="K790" s="5">
        <f>'05_NangLuc'!E788</f>
        <v/>
      </c>
      <c r="L790" s="5" t="n">
        <v>0.9537</v>
      </c>
    </row>
    <row r="791">
      <c r="J791" t="inlineStr">
        <is>
          <t>17245908425991</t>
        </is>
      </c>
      <c r="K791" s="5">
        <f>'05_NangLuc'!E789</f>
        <v/>
      </c>
      <c r="L791" s="5" t="n">
        <v>-0.7131</v>
      </c>
    </row>
    <row r="792">
      <c r="J792" t="inlineStr">
        <is>
          <t>17245909342864</t>
        </is>
      </c>
      <c r="K792" s="5">
        <f>'05_NangLuc'!E790</f>
        <v/>
      </c>
      <c r="L792" s="5" t="n">
        <v>-0.9249000000000001</v>
      </c>
    </row>
    <row r="793">
      <c r="J793" t="inlineStr">
        <is>
          <t>17245909411316</t>
        </is>
      </c>
      <c r="K793" s="5">
        <f>'05_NangLuc'!E791</f>
        <v/>
      </c>
      <c r="L793" s="5" t="n">
        <v>-0.8608</v>
      </c>
    </row>
    <row r="794">
      <c r="J794" t="inlineStr">
        <is>
          <t>17245910046821</t>
        </is>
      </c>
      <c r="K794" s="5">
        <f>'05_NangLuc'!E792</f>
        <v/>
      </c>
      <c r="L794" s="5" t="n">
        <v>0.7571</v>
      </c>
    </row>
    <row r="795">
      <c r="J795" t="inlineStr">
        <is>
          <t>17245910294405</t>
        </is>
      </c>
      <c r="K795" s="5">
        <f>'05_NangLuc'!E793</f>
        <v/>
      </c>
      <c r="L795" s="5" t="n">
        <v>0.0339</v>
      </c>
    </row>
    <row r="796">
      <c r="J796" t="inlineStr">
        <is>
          <t>17245910631554</t>
        </is>
      </c>
      <c r="K796" s="5">
        <f>'05_NangLuc'!E794</f>
        <v/>
      </c>
      <c r="L796" s="5" t="n">
        <v>-0.2562</v>
      </c>
    </row>
    <row r="797">
      <c r="J797" t="inlineStr">
        <is>
          <t>17245911179785</t>
        </is>
      </c>
      <c r="K797" s="5">
        <f>'05_NangLuc'!E795</f>
        <v/>
      </c>
      <c r="L797" s="5" t="n">
        <v>0.7092000000000001</v>
      </c>
    </row>
    <row r="798">
      <c r="J798" t="inlineStr">
        <is>
          <t>17245911326029</t>
        </is>
      </c>
      <c r="K798" s="5">
        <f>'05_NangLuc'!E796</f>
        <v/>
      </c>
      <c r="L798" s="5" t="n">
        <v>1.2924</v>
      </c>
    </row>
    <row r="799">
      <c r="J799" t="inlineStr">
        <is>
          <t>17245911690480</t>
        </is>
      </c>
      <c r="K799" s="5">
        <f>'05_NangLuc'!E797</f>
        <v/>
      </c>
      <c r="L799" s="5" t="n">
        <v>0.9537</v>
      </c>
    </row>
    <row r="800">
      <c r="J800" t="inlineStr">
        <is>
          <t>17245912446263</t>
        </is>
      </c>
      <c r="K800" s="5">
        <f>'05_NangLuc'!E798</f>
        <v/>
      </c>
      <c r="L800" s="5" t="n">
        <v>0.0033</v>
      </c>
    </row>
    <row r="801">
      <c r="J801" t="inlineStr">
        <is>
          <t>17245912871835</t>
        </is>
      </c>
      <c r="K801" s="5">
        <f>'05_NangLuc'!E799</f>
        <v/>
      </c>
      <c r="L801" s="5" t="n">
        <v>-0.2562</v>
      </c>
    </row>
    <row r="802">
      <c r="J802" t="inlineStr">
        <is>
          <t>17245913030156</t>
        </is>
      </c>
      <c r="K802" s="5">
        <f>'05_NangLuc'!E800</f>
        <v/>
      </c>
      <c r="L802" s="5" t="n">
        <v>-0.4572</v>
      </c>
    </row>
    <row r="803">
      <c r="J803" t="inlineStr">
        <is>
          <t>17245913136032</t>
        </is>
      </c>
      <c r="K803" s="5">
        <f>'05_NangLuc'!E801</f>
        <v/>
      </c>
      <c r="L803" s="5" t="n">
        <v>0.2608</v>
      </c>
    </row>
    <row r="804">
      <c r="J804" t="inlineStr">
        <is>
          <t>17245913232564</t>
        </is>
      </c>
      <c r="K804" s="5">
        <f>'05_NangLuc'!E802</f>
        <v/>
      </c>
      <c r="L804" s="5" t="n">
        <v>-0.1204</v>
      </c>
    </row>
    <row r="805">
      <c r="J805" t="inlineStr">
        <is>
          <t>17245913349997</t>
        </is>
      </c>
      <c r="K805" s="5">
        <f>'05_NangLuc'!E803</f>
        <v/>
      </c>
      <c r="L805" s="5" t="n">
        <v>-0.2562</v>
      </c>
    </row>
    <row r="806">
      <c r="J806" t="inlineStr">
        <is>
          <t>17245913443356</t>
        </is>
      </c>
      <c r="K806" s="5">
        <f>'05_NangLuc'!E804</f>
        <v/>
      </c>
      <c r="L806" s="5" t="n">
        <v>-0.155</v>
      </c>
    </row>
    <row r="807">
      <c r="J807" t="inlineStr">
        <is>
          <t>17245913512371</t>
        </is>
      </c>
      <c r="K807" s="5">
        <f>'05_NangLuc'!E805</f>
        <v/>
      </c>
      <c r="L807" s="5" t="n">
        <v>-0.3568</v>
      </c>
    </row>
    <row r="808">
      <c r="J808" t="inlineStr">
        <is>
          <t>17245913691769</t>
        </is>
      </c>
      <c r="K808" s="5">
        <f>'05_NangLuc'!E806</f>
        <v/>
      </c>
      <c r="L808" s="5" t="n">
        <v>-0.1204</v>
      </c>
    </row>
    <row r="809">
      <c r="J809" t="inlineStr">
        <is>
          <t>17245913819539</t>
        </is>
      </c>
      <c r="K809" s="5">
        <f>'05_NangLuc'!E807</f>
        <v/>
      </c>
      <c r="L809" s="5" t="n">
        <v>0.0502</v>
      </c>
    </row>
    <row r="810">
      <c r="J810" t="inlineStr">
        <is>
          <t>17245914010597</t>
        </is>
      </c>
      <c r="K810" s="5">
        <f>'05_NangLuc'!E808</f>
        <v/>
      </c>
      <c r="L810" s="5" t="n">
        <v>-0.2429</v>
      </c>
    </row>
    <row r="811">
      <c r="J811" t="inlineStr">
        <is>
          <t>17245914427624</t>
        </is>
      </c>
      <c r="K811" s="5">
        <f>'05_NangLuc'!E809</f>
        <v/>
      </c>
      <c r="L811" s="5" t="n">
        <v>0.0502</v>
      </c>
    </row>
    <row r="812">
      <c r="J812" t="inlineStr">
        <is>
          <t>17245914662392</t>
        </is>
      </c>
      <c r="K812" s="5">
        <f>'05_NangLuc'!E810</f>
        <v/>
      </c>
      <c r="L812" s="5" t="n">
        <v>-0.5575</v>
      </c>
    </row>
    <row r="813">
      <c r="J813" t="inlineStr">
        <is>
          <t>17245914781303</t>
        </is>
      </c>
      <c r="K813" s="5">
        <f>'05_NangLuc'!E811</f>
        <v/>
      </c>
      <c r="L813" s="5" t="n">
        <v>-0.759</v>
      </c>
    </row>
    <row r="814">
      <c r="J814" t="inlineStr">
        <is>
          <t>17245914844884</t>
        </is>
      </c>
      <c r="K814" s="5">
        <f>'05_NangLuc'!E812</f>
        <v/>
      </c>
      <c r="L814" s="5" t="n">
        <v>0.146</v>
      </c>
    </row>
    <row r="815">
      <c r="J815" t="inlineStr">
        <is>
          <t>17245915119158</t>
        </is>
      </c>
      <c r="K815" s="5">
        <f>'05_NangLuc'!E813</f>
        <v/>
      </c>
      <c r="L815" s="5" t="n">
        <v>-0.759</v>
      </c>
    </row>
    <row r="816">
      <c r="J816" t="inlineStr">
        <is>
          <t>17245915436705</t>
        </is>
      </c>
      <c r="K816" s="5">
        <f>'05_NangLuc'!E814</f>
        <v/>
      </c>
      <c r="L816" s="5" t="n">
        <v>-0.155</v>
      </c>
    </row>
    <row r="817">
      <c r="J817" t="inlineStr">
        <is>
          <t>17245915573287</t>
        </is>
      </c>
      <c r="K817" s="5">
        <f>'05_NangLuc'!E815</f>
        <v/>
      </c>
      <c r="L817" s="5" t="n">
        <v>-0.4064</v>
      </c>
    </row>
    <row r="818">
      <c r="J818" t="inlineStr">
        <is>
          <t>17245915647487</t>
        </is>
      </c>
      <c r="K818" s="5">
        <f>'05_NangLuc'!E816</f>
        <v/>
      </c>
      <c r="L818" s="5" t="n">
        <v>-0.759</v>
      </c>
    </row>
    <row r="819">
      <c r="J819" t="inlineStr">
        <is>
          <t>17245915715043</t>
        </is>
      </c>
      <c r="K819" s="5">
        <f>'05_NangLuc'!E817</f>
        <v/>
      </c>
      <c r="L819" s="5" t="n">
        <v>-0.6156</v>
      </c>
    </row>
    <row r="820">
      <c r="J820" t="inlineStr">
        <is>
          <t>17245915846953</t>
        </is>
      </c>
      <c r="K820" s="5">
        <f>'05_NangLuc'!E818</f>
        <v/>
      </c>
      <c r="L820" s="5" t="n">
        <v>-0.8463000000000001</v>
      </c>
    </row>
    <row r="821">
      <c r="J821" t="inlineStr">
        <is>
          <t>17245915963217</t>
        </is>
      </c>
      <c r="K821" s="5">
        <f>'05_NangLuc'!E819</f>
        <v/>
      </c>
      <c r="L821" s="5" t="n">
        <v>-0.6156</v>
      </c>
    </row>
    <row r="822">
      <c r="J822" t="inlineStr">
        <is>
          <t>17245916083976</t>
        </is>
      </c>
      <c r="K822" s="5">
        <f>'05_NangLuc'!E820</f>
        <v/>
      </c>
      <c r="L822" s="5" t="n">
        <v>-0.2562</v>
      </c>
    </row>
    <row r="823">
      <c r="J823" t="inlineStr">
        <is>
          <t>17245916125044</t>
        </is>
      </c>
      <c r="K823" s="5">
        <f>'05_NangLuc'!E821</f>
        <v/>
      </c>
      <c r="L823" s="5" t="n">
        <v>-0.155</v>
      </c>
    </row>
    <row r="824">
      <c r="J824" t="inlineStr">
        <is>
          <t>17245916568729</t>
        </is>
      </c>
      <c r="K824" s="5">
        <f>'05_NangLuc'!E822</f>
        <v/>
      </c>
      <c r="L824" s="5" t="n">
        <v>0.2458</v>
      </c>
    </row>
    <row r="825">
      <c r="J825" t="inlineStr">
        <is>
          <t>17245916691477</t>
        </is>
      </c>
      <c r="K825" s="5">
        <f>'05_NangLuc'!E823</f>
        <v/>
      </c>
      <c r="L825" s="5" t="n">
        <v>-0.155</v>
      </c>
    </row>
    <row r="826">
      <c r="J826" t="inlineStr">
        <is>
          <t>17245916780734</t>
        </is>
      </c>
      <c r="K826" s="5">
        <f>'05_NangLuc'!E824</f>
        <v/>
      </c>
      <c r="L826" s="5" t="n">
        <v>-0.7202</v>
      </c>
    </row>
    <row r="827">
      <c r="J827" t="inlineStr">
        <is>
          <t>17245916877190</t>
        </is>
      </c>
      <c r="K827" s="5">
        <f>'05_NangLuc'!E825</f>
        <v/>
      </c>
      <c r="L827" s="5" t="n">
        <v>-0.053</v>
      </c>
    </row>
    <row r="828">
      <c r="J828" t="inlineStr">
        <is>
          <t>17245916954985</t>
        </is>
      </c>
      <c r="K828" s="5">
        <f>'05_NangLuc'!E826</f>
        <v/>
      </c>
      <c r="L828" s="5" t="n">
        <v>-0.8608</v>
      </c>
    </row>
    <row r="829">
      <c r="J829" t="inlineStr">
        <is>
          <t>17245922326616</t>
        </is>
      </c>
      <c r="K829" s="5">
        <f>'05_NangLuc'!E827</f>
        <v/>
      </c>
      <c r="L829" s="5" t="n">
        <v>0.7092000000000001</v>
      </c>
    </row>
    <row r="830">
      <c r="J830" t="inlineStr">
        <is>
          <t>17246002238120</t>
        </is>
      </c>
      <c r="K830" s="5">
        <f>'05_NangLuc'!E828</f>
        <v/>
      </c>
      <c r="L830" s="5" t="n">
        <v>1.8188</v>
      </c>
    </row>
    <row r="831">
      <c r="J831" t="inlineStr">
        <is>
          <t>17246004974342</t>
        </is>
      </c>
      <c r="K831" s="5">
        <f>'05_NangLuc'!E829</f>
        <v/>
      </c>
      <c r="L831" s="5" t="n">
        <v>-0.4572</v>
      </c>
    </row>
    <row r="832">
      <c r="J832" t="inlineStr">
        <is>
          <t>17246044565699</t>
        </is>
      </c>
      <c r="K832" s="5">
        <f>'05_NangLuc'!E830</f>
        <v/>
      </c>
      <c r="L832" s="5" t="n">
        <v>-0.5575</v>
      </c>
    </row>
    <row r="833">
      <c r="J833" t="inlineStr">
        <is>
          <t>17246137627291</t>
        </is>
      </c>
      <c r="K833" s="5">
        <f>'05_NangLuc'!E831</f>
        <v/>
      </c>
      <c r="L833" s="5" t="n">
        <v>1.0148</v>
      </c>
    </row>
    <row r="834">
      <c r="J834" t="inlineStr">
        <is>
          <t>17246140910159</t>
        </is>
      </c>
      <c r="K834" s="5">
        <f>'05_NangLuc'!E832</f>
        <v/>
      </c>
      <c r="L834" s="5" t="n">
        <v>-1.2247</v>
      </c>
    </row>
    <row r="835">
      <c r="J835" t="inlineStr">
        <is>
          <t>17246147477667</t>
        </is>
      </c>
      <c r="K835" s="5">
        <f>'05_NangLuc'!E833</f>
        <v/>
      </c>
      <c r="L835" s="5" t="n">
        <v>0.369</v>
      </c>
    </row>
    <row r="836">
      <c r="J836" t="inlineStr">
        <is>
          <t>17246150455073</t>
        </is>
      </c>
      <c r="K836" s="5">
        <f>'05_NangLuc'!E834</f>
        <v/>
      </c>
      <c r="L836" s="5" t="n">
        <v>0.0502</v>
      </c>
    </row>
    <row r="837">
      <c r="J837" t="inlineStr">
        <is>
          <t>17246936797797</t>
        </is>
      </c>
      <c r="K837" s="5">
        <f>'05_NangLuc'!E835</f>
        <v/>
      </c>
      <c r="L837" s="5" t="n">
        <v>-1.2565</v>
      </c>
    </row>
    <row r="838">
      <c r="J838" t="inlineStr">
        <is>
          <t>17247605022280</t>
        </is>
      </c>
      <c r="K838" s="5">
        <f>'05_NangLuc'!E836</f>
        <v/>
      </c>
      <c r="L838" s="5" t="n">
        <v>0.7092000000000001</v>
      </c>
    </row>
    <row r="839">
      <c r="J839" t="inlineStr">
        <is>
          <t>17247605315950</t>
        </is>
      </c>
      <c r="K839" s="5">
        <f>'05_NangLuc'!E837</f>
        <v/>
      </c>
      <c r="L839" s="5" t="n">
        <v>-0.1845</v>
      </c>
    </row>
    <row r="840">
      <c r="J840" t="inlineStr">
        <is>
          <t>17247613019124</t>
        </is>
      </c>
      <c r="K840" s="5">
        <f>'05_NangLuc'!E838</f>
        <v/>
      </c>
      <c r="L840" s="5" t="n">
        <v>-0.0762</v>
      </c>
    </row>
    <row r="841">
      <c r="J841" t="inlineStr">
        <is>
          <t>17247615848029</t>
        </is>
      </c>
      <c r="K841" s="5">
        <f>'05_NangLuc'!E839</f>
        <v/>
      </c>
      <c r="L841" s="5" t="n">
        <v>-0.155</v>
      </c>
    </row>
    <row r="842">
      <c r="J842" t="inlineStr">
        <is>
          <t>17247620675491</t>
        </is>
      </c>
      <c r="K842" s="5">
        <f>'05_NangLuc'!E840</f>
        <v/>
      </c>
      <c r="L842" s="5" t="n">
        <v>0.7372</v>
      </c>
    </row>
    <row r="843">
      <c r="J843" t="inlineStr">
        <is>
          <t>17247625235640</t>
        </is>
      </c>
      <c r="K843" s="5">
        <f>'05_NangLuc'!E841</f>
        <v/>
      </c>
      <c r="L843" s="5" t="n">
        <v>0.1546</v>
      </c>
    </row>
    <row r="844">
      <c r="J844" t="inlineStr">
        <is>
          <t>17247626963064</t>
        </is>
      </c>
      <c r="K844" s="5">
        <f>'05_NangLuc'!E842</f>
        <v/>
      </c>
      <c r="L844" s="5" t="n">
        <v>1.1273</v>
      </c>
    </row>
    <row r="845">
      <c r="J845" t="inlineStr">
        <is>
          <t>17247636470972</t>
        </is>
      </c>
      <c r="K845" s="5">
        <f>'05_NangLuc'!E843</f>
        <v/>
      </c>
      <c r="L845" s="5" t="n">
        <v>0.4833</v>
      </c>
    </row>
    <row r="846">
      <c r="J846" t="inlineStr">
        <is>
          <t>17247638193635</t>
        </is>
      </c>
      <c r="K846" s="5">
        <f>'05_NangLuc'!E844</f>
        <v/>
      </c>
      <c r="L846" s="5" t="n">
        <v>0.3869</v>
      </c>
    </row>
    <row r="847">
      <c r="J847" t="inlineStr">
        <is>
          <t>17247638691965</t>
        </is>
      </c>
      <c r="K847" s="5">
        <f>'05_NangLuc'!E845</f>
        <v/>
      </c>
      <c r="L847" s="5" t="n">
        <v>-0.155</v>
      </c>
    </row>
    <row r="848">
      <c r="J848" t="inlineStr">
        <is>
          <t>17248334540153</t>
        </is>
      </c>
      <c r="K848" s="5">
        <f>'05_NangLuc'!E846</f>
        <v/>
      </c>
      <c r="L848" s="5" t="n">
        <v>-3.729</v>
      </c>
    </row>
    <row r="849">
      <c r="J849" t="inlineStr">
        <is>
          <t>17248518333869</t>
        </is>
      </c>
      <c r="K849" s="5">
        <f>'05_NangLuc'!E847</f>
        <v/>
      </c>
      <c r="L849" s="5" t="n">
        <v>0.1546</v>
      </c>
    </row>
    <row r="850">
      <c r="J850" t="inlineStr">
        <is>
          <t>17248520831324</t>
        </is>
      </c>
      <c r="K850" s="5">
        <f>'05_NangLuc'!E848</f>
        <v/>
      </c>
      <c r="L850" s="5" t="n">
        <v>0.6261</v>
      </c>
    </row>
    <row r="851">
      <c r="J851" t="inlineStr">
        <is>
          <t>17248534316615</t>
        </is>
      </c>
      <c r="K851" s="5">
        <f>'05_NangLuc'!E849</f>
        <v/>
      </c>
      <c r="L851" s="5" t="n">
        <v>0.0217</v>
      </c>
    </row>
    <row r="852">
      <c r="J852" t="inlineStr">
        <is>
          <t>17248646512356</t>
        </is>
      </c>
      <c r="K852" s="5">
        <f>'05_NangLuc'!E850</f>
        <v/>
      </c>
      <c r="L852" s="5" t="n">
        <v>-0.053</v>
      </c>
    </row>
    <row r="853">
      <c r="J853" t="inlineStr">
        <is>
          <t>17248659133558</t>
        </is>
      </c>
      <c r="K853" s="5">
        <f>'05_NangLuc'!E851</f>
        <v/>
      </c>
      <c r="L853" s="5" t="n">
        <v>-0.4572</v>
      </c>
    </row>
    <row r="854">
      <c r="J854" t="inlineStr">
        <is>
          <t>17248671131819</t>
        </is>
      </c>
      <c r="K854" s="5">
        <f>'05_NangLuc'!E852</f>
        <v/>
      </c>
      <c r="L854" s="5" t="n">
        <v>1.0382</v>
      </c>
    </row>
    <row r="855">
      <c r="J855" t="inlineStr">
        <is>
          <t>17248671240834</t>
        </is>
      </c>
      <c r="K855" s="5">
        <f>'05_NangLuc'!E853</f>
        <v/>
      </c>
      <c r="L855" s="5" t="n">
        <v>0.8293</v>
      </c>
    </row>
    <row r="856">
      <c r="J856" t="inlineStr">
        <is>
          <t>17248673995061</t>
        </is>
      </c>
      <c r="K856" s="5">
        <f>'05_NangLuc'!E854</f>
        <v/>
      </c>
      <c r="L856" s="5" t="n">
        <v>0.1223</v>
      </c>
    </row>
    <row r="857">
      <c r="J857" t="inlineStr">
        <is>
          <t>17248676580699</t>
        </is>
      </c>
      <c r="K857" s="5">
        <f>'05_NangLuc'!E855</f>
        <v/>
      </c>
      <c r="L857" s="5" t="n">
        <v>-0.155</v>
      </c>
    </row>
    <row r="858">
      <c r="J858" t="inlineStr">
        <is>
          <t>17249183929044</t>
        </is>
      </c>
      <c r="K858" s="5">
        <f>'05_NangLuc'!E856</f>
        <v/>
      </c>
      <c r="L858" s="5" t="n">
        <v>1.1031</v>
      </c>
    </row>
    <row r="859">
      <c r="J859" t="inlineStr">
        <is>
          <t>17249184346473</t>
        </is>
      </c>
      <c r="K859" s="5">
        <f>'05_NangLuc'!E857</f>
        <v/>
      </c>
      <c r="L859" s="5" t="n">
        <v>0.0033</v>
      </c>
    </row>
    <row r="860">
      <c r="J860" t="inlineStr">
        <is>
          <t>17249185146520</t>
        </is>
      </c>
      <c r="K860" s="5">
        <f>'05_NangLuc'!E858</f>
        <v/>
      </c>
      <c r="L860" s="5" t="n">
        <v>-0.1204</v>
      </c>
    </row>
    <row r="861">
      <c r="J861" t="inlineStr">
        <is>
          <t>17249185584142</t>
        </is>
      </c>
      <c r="K861" s="5">
        <f>'05_NangLuc'!E859</f>
        <v/>
      </c>
      <c r="L861" s="5" t="n">
        <v>0.2608</v>
      </c>
    </row>
    <row r="862">
      <c r="J862" t="inlineStr">
        <is>
          <t>17249422119076</t>
        </is>
      </c>
      <c r="K862" s="5">
        <f>'05_NangLuc'!E860</f>
        <v/>
      </c>
      <c r="L862" s="5" t="n">
        <v>0.369</v>
      </c>
    </row>
    <row r="863">
      <c r="J863" t="inlineStr">
        <is>
          <t>17249480634754</t>
        </is>
      </c>
      <c r="K863" s="5">
        <f>'05_NangLuc'!E861</f>
        <v/>
      </c>
      <c r="L863" s="5" t="n">
        <v>1.3262</v>
      </c>
    </row>
    <row r="864">
      <c r="J864" t="inlineStr">
        <is>
          <t>17249481057060</t>
        </is>
      </c>
      <c r="K864" s="5">
        <f>'05_NangLuc'!E862</f>
        <v/>
      </c>
      <c r="L864" s="5" t="n">
        <v>0.7092000000000001</v>
      </c>
    </row>
    <row r="865">
      <c r="J865" t="inlineStr">
        <is>
          <t>17249481246703</t>
        </is>
      </c>
      <c r="K865" s="5">
        <f>'05_NangLuc'!E863</f>
        <v/>
      </c>
      <c r="L865" s="5" t="n">
        <v>-1.3609</v>
      </c>
    </row>
    <row r="866">
      <c r="J866" t="inlineStr">
        <is>
          <t>17249484361260</t>
        </is>
      </c>
      <c r="K866" s="5">
        <f>'05_NangLuc'!E864</f>
        <v/>
      </c>
      <c r="L866" s="5" t="n">
        <v>-0.155</v>
      </c>
    </row>
    <row r="867">
      <c r="J867" t="inlineStr">
        <is>
          <t>17249497921035</t>
        </is>
      </c>
      <c r="K867" s="5">
        <f>'05_NangLuc'!E865</f>
        <v/>
      </c>
      <c r="L867" s="5" t="n">
        <v>-0.658</v>
      </c>
    </row>
    <row r="868">
      <c r="J868" t="inlineStr">
        <is>
          <t>17249527368987</t>
        </is>
      </c>
      <c r="K868" s="5">
        <f>'05_NangLuc'!E866</f>
        <v/>
      </c>
      <c r="L868" s="5" t="n">
        <v>-0.2562</v>
      </c>
    </row>
    <row r="869">
      <c r="J869" t="inlineStr">
        <is>
          <t>17249536765502</t>
        </is>
      </c>
      <c r="K869" s="5">
        <f>'05_NangLuc'!E867</f>
        <v/>
      </c>
      <c r="L869" s="5" t="n">
        <v>0.0339</v>
      </c>
    </row>
    <row r="870">
      <c r="J870" t="inlineStr">
        <is>
          <t>17249543549182</t>
        </is>
      </c>
      <c r="K870" s="5">
        <f>'05_NangLuc'!E868</f>
        <v/>
      </c>
      <c r="L870" s="5" t="n">
        <v>-0.759</v>
      </c>
    </row>
    <row r="871">
      <c r="J871" t="inlineStr">
        <is>
          <t>17249820385616</t>
        </is>
      </c>
      <c r="K871" s="5">
        <f>'05_NangLuc'!E869</f>
        <v/>
      </c>
      <c r="L871" s="5" t="n">
        <v>0.4795</v>
      </c>
    </row>
    <row r="872">
      <c r="J872" t="inlineStr">
        <is>
          <t>17249838528552</t>
        </is>
      </c>
      <c r="K872" s="5">
        <f>'05_NangLuc'!E870</f>
        <v/>
      </c>
      <c r="L872" s="5" t="n">
        <v>-0.759</v>
      </c>
    </row>
    <row r="873">
      <c r="J873" t="inlineStr">
        <is>
          <t>17249838697222</t>
        </is>
      </c>
      <c r="K873" s="5">
        <f>'05_NangLuc'!E871</f>
        <v/>
      </c>
      <c r="L873" s="5" t="n">
        <v>2.0346</v>
      </c>
    </row>
    <row r="874">
      <c r="J874" t="inlineStr">
        <is>
          <t>17249838746801</t>
        </is>
      </c>
      <c r="K874" s="5">
        <f>'05_NangLuc'!E872</f>
        <v/>
      </c>
      <c r="L874" s="5" t="n">
        <v>0.0033</v>
      </c>
    </row>
    <row r="875">
      <c r="J875" t="inlineStr">
        <is>
          <t>17249839054050</t>
        </is>
      </c>
      <c r="K875" s="5">
        <f>'05_NangLuc'!E873</f>
        <v/>
      </c>
      <c r="L875" s="5" t="n">
        <v>0.5928</v>
      </c>
    </row>
    <row r="876">
      <c r="J876" t="inlineStr">
        <is>
          <t>17249839267661</t>
        </is>
      </c>
      <c r="K876" s="5">
        <f>'05_NangLuc'!E874</f>
        <v/>
      </c>
      <c r="L876" s="5" t="n">
        <v>-0.8608</v>
      </c>
    </row>
    <row r="877">
      <c r="J877" t="inlineStr">
        <is>
          <t>17249839359788</t>
        </is>
      </c>
      <c r="K877" s="5">
        <f>'05_NangLuc'!E875</f>
        <v/>
      </c>
      <c r="L877" s="5" t="n">
        <v>1.218</v>
      </c>
    </row>
    <row r="878">
      <c r="J878" t="inlineStr">
        <is>
          <t>17249839499807</t>
        </is>
      </c>
      <c r="K878" s="5">
        <f>'05_NangLuc'!E876</f>
        <v/>
      </c>
      <c r="L878" s="5" t="n">
        <v>-0.2562</v>
      </c>
    </row>
    <row r="879">
      <c r="J879" t="inlineStr">
        <is>
          <t>17249839546612</t>
        </is>
      </c>
      <c r="K879" s="5">
        <f>'05_NangLuc'!E877</f>
        <v/>
      </c>
      <c r="L879" s="5" t="n">
        <v>0.5206</v>
      </c>
    </row>
    <row r="880">
      <c r="J880" t="inlineStr">
        <is>
          <t>17249840224097</t>
        </is>
      </c>
      <c r="K880" s="5">
        <f>'05_NangLuc'!E878</f>
        <v/>
      </c>
      <c r="L880" s="5" t="n">
        <v>0.5928</v>
      </c>
    </row>
    <row r="881">
      <c r="J881" t="inlineStr">
        <is>
          <t>17249840374367</t>
        </is>
      </c>
      <c r="K881" s="5">
        <f>'05_NangLuc'!E879</f>
        <v/>
      </c>
      <c r="L881" s="5" t="n">
        <v>1.2656</v>
      </c>
    </row>
    <row r="882">
      <c r="J882" t="inlineStr">
        <is>
          <t>17249840412421</t>
        </is>
      </c>
      <c r="K882" s="5">
        <f>'05_NangLuc'!E880</f>
        <v/>
      </c>
      <c r="L882" s="5" t="n">
        <v>0.1546</v>
      </c>
    </row>
    <row r="883">
      <c r="J883" t="inlineStr">
        <is>
          <t>17249840753924</t>
        </is>
      </c>
      <c r="K883" s="5">
        <f>'05_NangLuc'!E881</f>
        <v/>
      </c>
      <c r="L883" s="5" t="n">
        <v>0.0033</v>
      </c>
    </row>
    <row r="884">
      <c r="J884" t="inlineStr">
        <is>
          <t>17249840978252</t>
        </is>
      </c>
      <c r="K884" s="5">
        <f>'05_NangLuc'!E882</f>
        <v/>
      </c>
      <c r="L884" s="5" t="n">
        <v>-0.3005</v>
      </c>
    </row>
    <row r="885">
      <c r="J885" t="inlineStr">
        <is>
          <t>17249841029491</t>
        </is>
      </c>
      <c r="K885" s="5">
        <f>'05_NangLuc'!E883</f>
        <v/>
      </c>
      <c r="L885" s="5" t="n">
        <v>0.0502</v>
      </c>
    </row>
    <row r="886">
      <c r="J886" t="inlineStr">
        <is>
          <t>17249841166035</t>
        </is>
      </c>
      <c r="K886" s="5">
        <f>'05_NangLuc'!E884</f>
        <v/>
      </c>
      <c r="L886" s="5" t="n">
        <v>-0.9637</v>
      </c>
    </row>
    <row r="887">
      <c r="J887" t="inlineStr">
        <is>
          <t>17249841269661</t>
        </is>
      </c>
      <c r="K887" s="5">
        <f>'05_NangLuc'!E885</f>
        <v/>
      </c>
      <c r="L887" s="5" t="n">
        <v>1.8188</v>
      </c>
    </row>
    <row r="888">
      <c r="J888" t="inlineStr">
        <is>
          <t>17249841329946</t>
        </is>
      </c>
      <c r="K888" s="5">
        <f>'05_NangLuc'!E886</f>
        <v/>
      </c>
      <c r="L888" s="5" t="n">
        <v>0.6583</v>
      </c>
    </row>
    <row r="889">
      <c r="J889" t="inlineStr">
        <is>
          <t>17249841469984</t>
        </is>
      </c>
      <c r="K889" s="5">
        <f>'05_NangLuc'!E887</f>
        <v/>
      </c>
      <c r="L889" s="5" t="n">
        <v>-0.3568</v>
      </c>
    </row>
    <row r="890">
      <c r="J890" t="inlineStr">
        <is>
          <t>17249841875528</t>
        </is>
      </c>
      <c r="K890" s="5">
        <f>'05_NangLuc'!E888</f>
        <v/>
      </c>
      <c r="L890" s="5" t="n">
        <v>1.1031</v>
      </c>
    </row>
    <row r="891">
      <c r="J891" t="inlineStr">
        <is>
          <t>17249850274798</t>
        </is>
      </c>
      <c r="K891" s="5">
        <f>'05_NangLuc'!E889</f>
        <v/>
      </c>
      <c r="L891" s="5" t="n">
        <v>0.1546</v>
      </c>
    </row>
    <row r="892">
      <c r="J892" t="inlineStr">
        <is>
          <t>17249852518385</t>
        </is>
      </c>
      <c r="K892" s="5">
        <f>'05_NangLuc'!E890</f>
        <v/>
      </c>
      <c r="L892" s="5" t="n">
        <v>-0.4572</v>
      </c>
    </row>
    <row r="893">
      <c r="J893" t="inlineStr">
        <is>
          <t>17249882388087</t>
        </is>
      </c>
      <c r="K893" s="5">
        <f>'05_NangLuc'!E891</f>
        <v/>
      </c>
      <c r="L893" s="5" t="n">
        <v>2.2735</v>
      </c>
    </row>
    <row r="894">
      <c r="J894" t="inlineStr">
        <is>
          <t>17249882637283</t>
        </is>
      </c>
      <c r="K894" s="5">
        <f>'05_NangLuc'!E892</f>
        <v/>
      </c>
      <c r="L894" s="5" t="n">
        <v>1.8393</v>
      </c>
    </row>
    <row r="895">
      <c r="J895" t="inlineStr">
        <is>
          <t>17249884298704</t>
        </is>
      </c>
      <c r="K895" s="5">
        <f>'05_NangLuc'!E893</f>
        <v/>
      </c>
      <c r="L895" s="5" t="n">
        <v>1.8188</v>
      </c>
    </row>
    <row r="896">
      <c r="J896" t="inlineStr">
        <is>
          <t>17249892230824</t>
        </is>
      </c>
      <c r="K896" s="5">
        <f>'05_NangLuc'!E894</f>
        <v/>
      </c>
      <c r="L896" s="5" t="n">
        <v>-0.4064</v>
      </c>
    </row>
    <row r="897">
      <c r="J897" t="inlineStr">
        <is>
          <t>17250090332973</t>
        </is>
      </c>
      <c r="K897" s="5">
        <f>'05_NangLuc'!E895</f>
        <v/>
      </c>
      <c r="L897" s="5" t="n">
        <v>-1.1012</v>
      </c>
    </row>
    <row r="898">
      <c r="J898" t="inlineStr">
        <is>
          <t>17250090885906</t>
        </is>
      </c>
      <c r="K898" s="5">
        <f>'05_NangLuc'!E896</f>
        <v/>
      </c>
      <c r="L898" s="5" t="n">
        <v>-3.729</v>
      </c>
    </row>
    <row r="899">
      <c r="J899" t="inlineStr">
        <is>
          <t>17250091478067</t>
        </is>
      </c>
      <c r="K899" s="5">
        <f>'05_NangLuc'!E897</f>
        <v/>
      </c>
      <c r="L899" s="5" t="n">
        <v>-2.4479</v>
      </c>
    </row>
    <row r="900">
      <c r="J900" t="inlineStr">
        <is>
          <t>17250091512045</t>
        </is>
      </c>
      <c r="K900" s="5">
        <f>'05_NangLuc'!E898</f>
        <v/>
      </c>
      <c r="L900" s="5" t="n">
        <v>-3.729</v>
      </c>
    </row>
    <row r="901">
      <c r="J901" t="inlineStr">
        <is>
          <t>17250092714909</t>
        </is>
      </c>
      <c r="K901" s="5">
        <f>'05_NangLuc'!E899</f>
        <v/>
      </c>
      <c r="L901" s="5" t="n">
        <v>1.218</v>
      </c>
    </row>
    <row r="902">
      <c r="J902" t="inlineStr">
        <is>
          <t>17250093142180</t>
        </is>
      </c>
      <c r="K902" s="5">
        <f>'05_NangLuc'!E900</f>
        <v/>
      </c>
      <c r="L902" s="5" t="n">
        <v>-0.7288</v>
      </c>
    </row>
    <row r="903">
      <c r="J903" t="inlineStr">
        <is>
          <t>17250093217775</t>
        </is>
      </c>
      <c r="K903" s="5">
        <f>'05_NangLuc'!E901</f>
        <v/>
      </c>
      <c r="L903" s="5" t="n">
        <v>-0.7288</v>
      </c>
    </row>
    <row r="904">
      <c r="J904" t="inlineStr">
        <is>
          <t>17250093468769</t>
        </is>
      </c>
      <c r="K904" s="5">
        <f>'05_NangLuc'!E902</f>
        <v/>
      </c>
      <c r="L904" s="5" t="n">
        <v>-1.8719</v>
      </c>
    </row>
    <row r="905">
      <c r="J905" t="inlineStr">
        <is>
          <t>17250154375757</t>
        </is>
      </c>
      <c r="K905" s="5">
        <f>'05_NangLuc'!E903</f>
        <v/>
      </c>
      <c r="L905" s="5" t="n">
        <v>0.0339</v>
      </c>
    </row>
    <row r="906">
      <c r="J906" t="inlineStr">
        <is>
          <t>17250159330812</t>
        </is>
      </c>
      <c r="K906" s="5">
        <f>'05_NangLuc'!E904</f>
        <v/>
      </c>
      <c r="L906" s="5" t="n">
        <v>1.1273</v>
      </c>
    </row>
    <row r="907">
      <c r="J907" t="inlineStr">
        <is>
          <t>17250256443196</t>
        </is>
      </c>
      <c r="K907" s="5">
        <f>'05_NangLuc'!E905</f>
        <v/>
      </c>
      <c r="L907" s="5" t="n">
        <v>0.0033</v>
      </c>
    </row>
    <row r="908">
      <c r="J908" t="inlineStr">
        <is>
          <t>17250260021640</t>
        </is>
      </c>
      <c r="K908" s="5">
        <f>'05_NangLuc'!E906</f>
        <v/>
      </c>
      <c r="L908" s="5" t="n">
        <v>-1.1739</v>
      </c>
    </row>
    <row r="909">
      <c r="J909" t="inlineStr">
        <is>
          <t>17250260212223</t>
        </is>
      </c>
      <c r="K909" s="5">
        <f>'05_NangLuc'!E907</f>
        <v/>
      </c>
      <c r="L909" s="5" t="n">
        <v>0.6583</v>
      </c>
    </row>
    <row r="910">
      <c r="J910" t="inlineStr">
        <is>
          <t>17250264555657</t>
        </is>
      </c>
      <c r="K910" s="5">
        <f>'05_NangLuc'!E908</f>
        <v/>
      </c>
      <c r="L910" s="5" t="n">
        <v>0.0502</v>
      </c>
    </row>
    <row r="911">
      <c r="J911" t="inlineStr">
        <is>
          <t>17250265758008</t>
        </is>
      </c>
      <c r="K911" s="5">
        <f>'05_NangLuc'!E909</f>
        <v/>
      </c>
      <c r="L911" s="5" t="n">
        <v>1.5095</v>
      </c>
    </row>
    <row r="912">
      <c r="J912" t="inlineStr">
        <is>
          <t>17250273896039</t>
        </is>
      </c>
      <c r="K912" s="5">
        <f>'05_NangLuc'!E910</f>
        <v/>
      </c>
      <c r="L912" s="5" t="n">
        <v>2.8548</v>
      </c>
    </row>
    <row r="913">
      <c r="J913" t="inlineStr">
        <is>
          <t>17250274914235</t>
        </is>
      </c>
      <c r="K913" s="5">
        <f>'05_NangLuc'!E911</f>
        <v/>
      </c>
      <c r="L913" s="5" t="n">
        <v>0.0502</v>
      </c>
    </row>
    <row r="914">
      <c r="J914" t="inlineStr">
        <is>
          <t>17250275020244</t>
        </is>
      </c>
      <c r="K914" s="5">
        <f>'05_NangLuc'!E912</f>
        <v/>
      </c>
      <c r="L914" s="5" t="n">
        <v>0.7571</v>
      </c>
    </row>
    <row r="915">
      <c r="J915" t="inlineStr">
        <is>
          <t>17250313727938</t>
        </is>
      </c>
      <c r="K915" s="5">
        <f>'05_NangLuc'!E913</f>
        <v/>
      </c>
      <c r="L915" s="5" t="n">
        <v>0.3631</v>
      </c>
    </row>
    <row r="916">
      <c r="J916" t="inlineStr">
        <is>
          <t>17250405024331</t>
        </is>
      </c>
      <c r="K916" s="5">
        <f>'05_NangLuc'!E914</f>
        <v/>
      </c>
      <c r="L916" s="5" t="n">
        <v>0.7571</v>
      </c>
    </row>
    <row r="917">
      <c r="J917" t="inlineStr">
        <is>
          <t>17250417043324</t>
        </is>
      </c>
      <c r="K917" s="5">
        <f>'05_NangLuc'!E915</f>
        <v/>
      </c>
      <c r="L917" s="5" t="n">
        <v>-0.658</v>
      </c>
    </row>
    <row r="918">
      <c r="J918" t="inlineStr">
        <is>
          <t>17250418264073</t>
        </is>
      </c>
      <c r="K918" s="5">
        <f>'05_NangLuc'!E916</f>
        <v/>
      </c>
      <c r="L918" s="5" t="n">
        <v>-0.9308999999999999</v>
      </c>
    </row>
    <row r="919">
      <c r="J919" t="inlineStr">
        <is>
          <t>17250418796621</t>
        </is>
      </c>
      <c r="K919" s="5">
        <f>'05_NangLuc'!E917</f>
        <v/>
      </c>
      <c r="L919" s="5" t="n">
        <v>-0.08740000000000001</v>
      </c>
    </row>
    <row r="920">
      <c r="J920" t="inlineStr">
        <is>
          <t>17250419991813</t>
        </is>
      </c>
      <c r="K920" s="5">
        <f>'05_NangLuc'!E918</f>
        <v/>
      </c>
      <c r="L920" s="5" t="n">
        <v>-1.0679</v>
      </c>
    </row>
    <row r="921">
      <c r="J921" t="inlineStr">
        <is>
          <t>17250420235881</t>
        </is>
      </c>
      <c r="K921" s="5">
        <f>'05_NangLuc'!E919</f>
        <v/>
      </c>
      <c r="L921" s="5" t="n">
        <v>0.2565</v>
      </c>
    </row>
    <row r="922">
      <c r="J922" t="inlineStr">
        <is>
          <t>17250584470898</t>
        </is>
      </c>
      <c r="K922" s="5">
        <f>'05_NangLuc'!E920</f>
        <v/>
      </c>
      <c r="L922" s="5" t="n">
        <v>0.146</v>
      </c>
    </row>
    <row r="923">
      <c r="J923" t="inlineStr">
        <is>
          <t>17250584578533</t>
        </is>
      </c>
      <c r="K923" s="5">
        <f>'05_NangLuc'!E921</f>
        <v/>
      </c>
      <c r="L923" s="5" t="n">
        <v>-0.2562</v>
      </c>
    </row>
    <row r="924">
      <c r="J924" t="inlineStr">
        <is>
          <t>17250584733247</t>
        </is>
      </c>
      <c r="K924" s="5">
        <f>'05_NangLuc'!E922</f>
        <v/>
      </c>
      <c r="L924" s="5" t="n">
        <v>0.4795</v>
      </c>
    </row>
    <row r="925">
      <c r="J925" t="inlineStr">
        <is>
          <t>17250584844138</t>
        </is>
      </c>
      <c r="K925" s="5">
        <f>'05_NangLuc'!E923</f>
        <v/>
      </c>
      <c r="L925" s="5" t="n">
        <v>-0.658</v>
      </c>
    </row>
    <row r="926">
      <c r="J926" t="inlineStr">
        <is>
          <t>17250584965943</t>
        </is>
      </c>
      <c r="K926" s="5">
        <f>'05_NangLuc'!E924</f>
        <v/>
      </c>
      <c r="L926" s="5" t="n">
        <v>-0.2562</v>
      </c>
    </row>
    <row r="927">
      <c r="J927" t="inlineStr">
        <is>
          <t>17250585034448</t>
        </is>
      </c>
      <c r="K927" s="5">
        <f>'05_NangLuc'!E925</f>
        <v/>
      </c>
      <c r="L927" s="5" t="n">
        <v>1.5231</v>
      </c>
    </row>
    <row r="928">
      <c r="J928" t="inlineStr">
        <is>
          <t>17250585176319</t>
        </is>
      </c>
      <c r="K928" s="5">
        <f>'05_NangLuc'!E926</f>
        <v/>
      </c>
      <c r="L928" s="5" t="n">
        <v>0.4795</v>
      </c>
    </row>
    <row r="929">
      <c r="J929" t="inlineStr">
        <is>
          <t>17250586778136</t>
        </is>
      </c>
      <c r="K929" s="5">
        <f>'05_NangLuc'!E927</f>
        <v/>
      </c>
      <c r="L929" s="5" t="n">
        <v>0.369</v>
      </c>
    </row>
    <row r="930">
      <c r="J930" t="inlineStr">
        <is>
          <t>17250848517127</t>
        </is>
      </c>
      <c r="K930" s="5">
        <f>'05_NangLuc'!E928</f>
        <v/>
      </c>
      <c r="L930" s="5" t="n">
        <v>0.3869</v>
      </c>
    </row>
    <row r="931">
      <c r="J931" t="inlineStr">
        <is>
          <t>17250915754739</t>
        </is>
      </c>
      <c r="K931" s="5">
        <f>'05_NangLuc'!E929</f>
        <v/>
      </c>
      <c r="L931" s="5" t="n">
        <v>0.8293</v>
      </c>
    </row>
    <row r="932">
      <c r="J932" t="inlineStr">
        <is>
          <t>17250916914173</t>
        </is>
      </c>
      <c r="K932" s="5">
        <f>'05_NangLuc'!E930</f>
        <v/>
      </c>
      <c r="L932" s="5" t="n">
        <v>1.3598</v>
      </c>
    </row>
    <row r="933">
      <c r="J933" t="inlineStr">
        <is>
          <t>17250917252846</t>
        </is>
      </c>
      <c r="K933" s="5">
        <f>'05_NangLuc'!E931</f>
        <v/>
      </c>
      <c r="L933" s="5" t="n">
        <v>-0.2562</v>
      </c>
    </row>
    <row r="934">
      <c r="J934" t="inlineStr">
        <is>
          <t>17250917520108</t>
        </is>
      </c>
      <c r="K934" s="5">
        <f>'05_NangLuc'!E932</f>
        <v/>
      </c>
      <c r="L934" s="5" t="n">
        <v>1.1654</v>
      </c>
    </row>
    <row r="935">
      <c r="J935" t="inlineStr">
        <is>
          <t>17250918274989</t>
        </is>
      </c>
      <c r="K935" s="5">
        <f>'05_NangLuc'!E933</f>
        <v/>
      </c>
      <c r="L935" s="5" t="n">
        <v>0.8725000000000001</v>
      </c>
    </row>
    <row r="936">
      <c r="J936" t="inlineStr">
        <is>
          <t>17250918744320</t>
        </is>
      </c>
      <c r="K936" s="5">
        <f>'05_NangLuc'!E934</f>
        <v/>
      </c>
      <c r="L936" s="5" t="n">
        <v>1.7192</v>
      </c>
    </row>
    <row r="937">
      <c r="J937" t="inlineStr">
        <is>
          <t>17250918926157</t>
        </is>
      </c>
      <c r="K937" s="5">
        <f>'05_NangLuc'!E935</f>
        <v/>
      </c>
      <c r="L937" s="5" t="n">
        <v>1.3262</v>
      </c>
    </row>
    <row r="938">
      <c r="J938" t="inlineStr">
        <is>
          <t>17250929087153</t>
        </is>
      </c>
      <c r="K938" s="5">
        <f>'05_NangLuc'!E936</f>
        <v/>
      </c>
      <c r="L938" s="5" t="n">
        <v>0.7092000000000001</v>
      </c>
    </row>
    <row r="939">
      <c r="J939" t="inlineStr">
        <is>
          <t>17251362915795</t>
        </is>
      </c>
      <c r="K939" s="5">
        <f>'05_NangLuc'!E937</f>
        <v/>
      </c>
      <c r="L939" s="5" t="n">
        <v>-1.7812</v>
      </c>
    </row>
    <row r="940">
      <c r="J940" t="inlineStr">
        <is>
          <t>17251366044732</t>
        </is>
      </c>
      <c r="K940" s="5">
        <f>'05_NangLuc'!E938</f>
        <v/>
      </c>
      <c r="L940" s="5" t="n">
        <v>-0.759</v>
      </c>
    </row>
    <row r="941">
      <c r="J941" t="inlineStr">
        <is>
          <t>17251366622922</t>
        </is>
      </c>
      <c r="K941" s="5">
        <f>'05_NangLuc'!E939</f>
        <v/>
      </c>
      <c r="L941" s="5" t="n">
        <v>-0.608</v>
      </c>
    </row>
    <row r="942">
      <c r="J942" t="inlineStr">
        <is>
          <t>17251986110413</t>
        </is>
      </c>
      <c r="K942" s="5">
        <f>'05_NangLuc'!E940</f>
        <v/>
      </c>
      <c r="L942" s="5" t="n">
        <v>-0.3568</v>
      </c>
    </row>
    <row r="943">
      <c r="J943" t="inlineStr">
        <is>
          <t>17251986697400</t>
        </is>
      </c>
      <c r="K943" s="5">
        <f>'05_NangLuc'!E941</f>
        <v/>
      </c>
      <c r="L943" s="5" t="n">
        <v>-0.9637</v>
      </c>
    </row>
    <row r="944">
      <c r="J944" t="inlineStr">
        <is>
          <t>17251996969994</t>
        </is>
      </c>
      <c r="K944" s="5">
        <f>'05_NangLuc'!E942</f>
        <v/>
      </c>
      <c r="L944" s="5" t="n">
        <v>-0.155</v>
      </c>
    </row>
    <row r="945">
      <c r="J945" t="inlineStr">
        <is>
          <t>17252180644757</t>
        </is>
      </c>
      <c r="K945" s="5">
        <f>'05_NangLuc'!E943</f>
        <v/>
      </c>
      <c r="L945" s="5" t="n">
        <v>0.0339</v>
      </c>
    </row>
    <row r="946">
      <c r="J946" t="inlineStr">
        <is>
          <t>17253394222322</t>
        </is>
      </c>
      <c r="K946" s="5">
        <f>'05_NangLuc'!E944</f>
        <v/>
      </c>
      <c r="L946" s="5" t="n">
        <v>0.0502</v>
      </c>
    </row>
    <row r="947">
      <c r="J947" t="inlineStr">
        <is>
          <t>17253403488137</t>
        </is>
      </c>
      <c r="K947" s="5">
        <f>'05_NangLuc'!E945</f>
        <v/>
      </c>
      <c r="L947" s="5" t="n">
        <v>0.9486</v>
      </c>
    </row>
    <row r="948">
      <c r="J948" t="inlineStr">
        <is>
          <t>17253572696417</t>
        </is>
      </c>
      <c r="K948" s="5">
        <f>'05_NangLuc'!E946</f>
        <v/>
      </c>
      <c r="L948" s="5" t="n">
        <v>-3.729</v>
      </c>
    </row>
    <row r="949">
      <c r="J949" t="inlineStr">
        <is>
          <t>17253573025273</t>
        </is>
      </c>
      <c r="K949" s="5">
        <f>'05_NangLuc'!E947</f>
        <v/>
      </c>
      <c r="L949" s="5" t="n">
        <v>1.0382</v>
      </c>
    </row>
    <row r="950">
      <c r="J950" t="inlineStr">
        <is>
          <t>17253574166120</t>
        </is>
      </c>
      <c r="K950" s="5">
        <f>'05_NangLuc'!E948</f>
        <v/>
      </c>
      <c r="L950" s="5" t="n">
        <v>-0.4858</v>
      </c>
    </row>
    <row r="951">
      <c r="J951" t="inlineStr">
        <is>
          <t>17253586093614</t>
        </is>
      </c>
      <c r="K951" s="5">
        <f>'05_NangLuc'!E949</f>
        <v/>
      </c>
      <c r="L951" s="5" t="n">
        <v>1.6875</v>
      </c>
    </row>
    <row r="952">
      <c r="J952" t="inlineStr">
        <is>
          <t>17253586472421</t>
        </is>
      </c>
      <c r="K952" s="5">
        <f>'05_NangLuc'!E950</f>
        <v/>
      </c>
      <c r="L952" s="5" t="n">
        <v>0.0033</v>
      </c>
    </row>
    <row r="953">
      <c r="J953" t="inlineStr">
        <is>
          <t>17253608959674</t>
        </is>
      </c>
      <c r="K953" s="5">
        <f>'05_NangLuc'!E951</f>
        <v/>
      </c>
      <c r="L953" s="5" t="n">
        <v>1.4992</v>
      </c>
    </row>
    <row r="954">
      <c r="J954" t="inlineStr">
        <is>
          <t>17253920915223</t>
        </is>
      </c>
      <c r="K954" s="5">
        <f>'05_NangLuc'!E952</f>
        <v/>
      </c>
      <c r="L954" s="5" t="n">
        <v>0.5002</v>
      </c>
    </row>
    <row r="955">
      <c r="J955" t="inlineStr">
        <is>
          <t>17253921567144</t>
        </is>
      </c>
      <c r="K955" s="5">
        <f>'05_NangLuc'!E953</f>
        <v/>
      </c>
      <c r="L955" s="5" t="n">
        <v>-0.7131</v>
      </c>
    </row>
    <row r="956">
      <c r="J956" t="inlineStr">
        <is>
          <t>17253922621249</t>
        </is>
      </c>
      <c r="K956" s="5">
        <f>'05_NangLuc'!E954</f>
        <v/>
      </c>
      <c r="L956" s="5" t="n">
        <v>-0.5315</v>
      </c>
    </row>
    <row r="957">
      <c r="J957" t="inlineStr">
        <is>
          <t>17255358681705</t>
        </is>
      </c>
      <c r="K957" s="5">
        <f>'05_NangLuc'!E955</f>
        <v/>
      </c>
      <c r="L957" s="5" t="n">
        <v>-0.4064</v>
      </c>
    </row>
    <row r="958">
      <c r="J958" t="inlineStr">
        <is>
          <t>17255358728214</t>
        </is>
      </c>
      <c r="K958" s="5">
        <f>'05_NangLuc'!E956</f>
        <v/>
      </c>
      <c r="L958" s="5" t="n">
        <v>0.0217</v>
      </c>
    </row>
    <row r="959">
      <c r="J959" t="inlineStr">
        <is>
          <t>17255360665913</t>
        </is>
      </c>
      <c r="K959" s="5">
        <f>'05_NangLuc'!E957</f>
        <v/>
      </c>
      <c r="L959" s="5" t="n">
        <v>-0.2429</v>
      </c>
    </row>
    <row r="960">
      <c r="J960" t="inlineStr">
        <is>
          <t>17255361370702</t>
        </is>
      </c>
      <c r="K960" s="5">
        <f>'05_NangLuc'!E958</f>
        <v/>
      </c>
      <c r="L960" s="5" t="n">
        <v>0.9537</v>
      </c>
    </row>
    <row r="961">
      <c r="J961" t="inlineStr">
        <is>
          <t>17255373378818</t>
        </is>
      </c>
      <c r="K961" s="5">
        <f>'05_NangLuc'!E959</f>
        <v/>
      </c>
      <c r="L961" s="5" t="n">
        <v>-0.053</v>
      </c>
    </row>
    <row r="962">
      <c r="J962" t="inlineStr">
        <is>
          <t>17255393496178</t>
        </is>
      </c>
      <c r="K962" s="5">
        <f>'05_NangLuc'!E960</f>
        <v/>
      </c>
      <c r="L962" s="5" t="n">
        <v>0.2608</v>
      </c>
    </row>
    <row r="963">
      <c r="J963" t="inlineStr">
        <is>
          <t>17255393572773</t>
        </is>
      </c>
      <c r="K963" s="5">
        <f>'05_NangLuc'!E961</f>
        <v/>
      </c>
      <c r="L963" s="5" t="n">
        <v>-0.5575</v>
      </c>
    </row>
    <row r="964">
      <c r="J964" t="inlineStr">
        <is>
          <t>17255395732363</t>
        </is>
      </c>
      <c r="K964" s="5">
        <f>'05_NangLuc'!E962</f>
        <v/>
      </c>
      <c r="L964" s="5" t="n">
        <v>-0.5614</v>
      </c>
    </row>
    <row r="965">
      <c r="J965" t="inlineStr">
        <is>
          <t>17255404640398</t>
        </is>
      </c>
      <c r="K965" s="5">
        <f>'05_NangLuc'!E963</f>
        <v/>
      </c>
      <c r="L965" s="5" t="n">
        <v>-0.759</v>
      </c>
    </row>
    <row r="966">
      <c r="J966" t="inlineStr">
        <is>
          <t>17255418798605</t>
        </is>
      </c>
      <c r="K966" s="5">
        <f>'05_NangLuc'!E964</f>
        <v/>
      </c>
      <c r="L966" s="5" t="n">
        <v>-1.0679</v>
      </c>
    </row>
    <row r="967">
      <c r="J967" t="inlineStr">
        <is>
          <t>17255420660637</t>
        </is>
      </c>
      <c r="K967" s="5">
        <f>'05_NangLuc'!E965</f>
        <v/>
      </c>
      <c r="L967" s="5" t="n">
        <v>0.2465</v>
      </c>
    </row>
    <row r="968">
      <c r="J968" t="inlineStr">
        <is>
          <t>17255704886977</t>
        </is>
      </c>
      <c r="K968" s="5">
        <f>'05_NangLuc'!E966</f>
        <v/>
      </c>
      <c r="L968" s="5" t="n">
        <v>-0.3646</v>
      </c>
    </row>
    <row r="969">
      <c r="J969" t="inlineStr">
        <is>
          <t>17256122038476</t>
        </is>
      </c>
      <c r="K969" s="5">
        <f>'05_NangLuc'!E967</f>
        <v/>
      </c>
      <c r="L969" s="5" t="n">
        <v>0.0502</v>
      </c>
    </row>
    <row r="970">
      <c r="J970" t="inlineStr">
        <is>
          <t>17257263873267</t>
        </is>
      </c>
      <c r="K970" s="5">
        <f>'05_NangLuc'!E968</f>
        <v/>
      </c>
      <c r="L970" s="5" t="n">
        <v>1.5288</v>
      </c>
    </row>
    <row r="971">
      <c r="J971" t="inlineStr">
        <is>
          <t>17257264056152</t>
        </is>
      </c>
      <c r="K971" s="5">
        <f>'05_NangLuc'!E969</f>
        <v/>
      </c>
      <c r="L971" s="5" t="n">
        <v>0.7372</v>
      </c>
    </row>
    <row r="972">
      <c r="J972" t="inlineStr">
        <is>
          <t>17257264210303</t>
        </is>
      </c>
      <c r="K972" s="5">
        <f>'05_NangLuc'!E970</f>
        <v/>
      </c>
      <c r="L972" s="5" t="n">
        <v>0.4795</v>
      </c>
    </row>
    <row r="973">
      <c r="J973" t="inlineStr">
        <is>
          <t>17257264547696</t>
        </is>
      </c>
      <c r="K973" s="5">
        <f>'05_NangLuc'!E971</f>
        <v/>
      </c>
      <c r="L973" s="5" t="n">
        <v>0.6078</v>
      </c>
    </row>
    <row r="974">
      <c r="J974" t="inlineStr">
        <is>
          <t>17257460369764</t>
        </is>
      </c>
      <c r="K974" s="5">
        <f>'05_NangLuc'!E972</f>
        <v/>
      </c>
      <c r="L974" s="5" t="n">
        <v>0.5206</v>
      </c>
    </row>
    <row r="975">
      <c r="J975" t="inlineStr">
        <is>
          <t>17257513384206</t>
        </is>
      </c>
      <c r="K975" s="5">
        <f>'05_NangLuc'!E973</f>
        <v/>
      </c>
      <c r="L975" s="5" t="n">
        <v>-0.053</v>
      </c>
    </row>
    <row r="976">
      <c r="J976" t="inlineStr">
        <is>
          <t>17257545012645</t>
        </is>
      </c>
      <c r="K976" s="5">
        <f>'05_NangLuc'!E974</f>
        <v/>
      </c>
      <c r="L976" s="5" t="n">
        <v>0.4795</v>
      </c>
    </row>
    <row r="977">
      <c r="J977" t="inlineStr">
        <is>
          <t>17257550690376</t>
        </is>
      </c>
      <c r="K977" s="5">
        <f>'05_NangLuc'!E975</f>
        <v/>
      </c>
      <c r="L977" s="5" t="n">
        <v>-0.053</v>
      </c>
    </row>
    <row r="978">
      <c r="J978" t="inlineStr">
        <is>
          <t>17257551252449</t>
        </is>
      </c>
      <c r="K978" s="5">
        <f>'05_NangLuc'!E976</f>
        <v/>
      </c>
      <c r="L978" s="5" t="n">
        <v>-0.5575</v>
      </c>
    </row>
    <row r="979">
      <c r="J979" t="inlineStr">
        <is>
          <t>17257551480079</t>
        </is>
      </c>
      <c r="K979" s="5">
        <f>'05_NangLuc'!E977</f>
        <v/>
      </c>
      <c r="L979" s="5" t="n">
        <v>0.9537</v>
      </c>
    </row>
    <row r="980">
      <c r="J980" t="inlineStr">
        <is>
          <t>17257552397862</t>
        </is>
      </c>
      <c r="K980" s="5">
        <f>'05_NangLuc'!E978</f>
        <v/>
      </c>
      <c r="L980" s="5" t="n">
        <v>-0.8186</v>
      </c>
    </row>
    <row r="981">
      <c r="J981" t="inlineStr">
        <is>
          <t>17257552462878</t>
        </is>
      </c>
      <c r="K981" s="5">
        <f>'05_NangLuc'!E979</f>
        <v/>
      </c>
      <c r="L981" s="5" t="n">
        <v>0.0033</v>
      </c>
    </row>
    <row r="982">
      <c r="J982" t="inlineStr">
        <is>
          <t>17257553239406</t>
        </is>
      </c>
      <c r="K982" s="5">
        <f>'05_NangLuc'!E980</f>
        <v/>
      </c>
      <c r="L982" s="5" t="n">
        <v>1.1031</v>
      </c>
    </row>
    <row r="983">
      <c r="J983" t="inlineStr">
        <is>
          <t>17257553611727</t>
        </is>
      </c>
      <c r="K983" s="5">
        <f>'05_NangLuc'!E981</f>
        <v/>
      </c>
      <c r="L983" s="5" t="n">
        <v>0.4795</v>
      </c>
    </row>
    <row r="984">
      <c r="J984" t="inlineStr">
        <is>
          <t>17257553732408</t>
        </is>
      </c>
      <c r="K984" s="5">
        <f>'05_NangLuc'!E982</f>
        <v/>
      </c>
      <c r="L984" s="5" t="n">
        <v>0.7092000000000001</v>
      </c>
    </row>
    <row r="985">
      <c r="J985" t="inlineStr">
        <is>
          <t>17257557251685</t>
        </is>
      </c>
      <c r="K985" s="5">
        <f>'05_NangLuc'!E983</f>
        <v/>
      </c>
      <c r="L985" s="5" t="n">
        <v>0.3631</v>
      </c>
    </row>
    <row r="986">
      <c r="J986" t="inlineStr">
        <is>
          <t>17257557496920</t>
        </is>
      </c>
      <c r="K986" s="5">
        <f>'05_NangLuc'!E984</f>
        <v/>
      </c>
      <c r="L986" s="5" t="n">
        <v>-0.3646</v>
      </c>
    </row>
    <row r="987">
      <c r="J987" t="inlineStr">
        <is>
          <t>17257558337505</t>
        </is>
      </c>
      <c r="K987" s="5">
        <f>'05_NangLuc'!E985</f>
        <v/>
      </c>
      <c r="L987" s="5" t="n">
        <v>-0.4858</v>
      </c>
    </row>
    <row r="988">
      <c r="J988" t="inlineStr">
        <is>
          <t>17257558655106</t>
        </is>
      </c>
      <c r="K988" s="5">
        <f>'05_NangLuc'!E986</f>
        <v/>
      </c>
      <c r="L988" s="5" t="n">
        <v>-0.3568</v>
      </c>
    </row>
    <row r="989">
      <c r="J989" t="inlineStr">
        <is>
          <t>17257559388557</t>
        </is>
      </c>
      <c r="K989" s="5">
        <f>'05_NangLuc'!E987</f>
        <v/>
      </c>
      <c r="L989" s="5" t="n">
        <v>-0.8514</v>
      </c>
    </row>
    <row r="990">
      <c r="J990" t="inlineStr">
        <is>
          <t>17257559779276</t>
        </is>
      </c>
      <c r="K990" s="5">
        <f>'05_NangLuc'!E988</f>
        <v/>
      </c>
      <c r="L990" s="5" t="n">
        <v>-1.7453</v>
      </c>
    </row>
    <row r="991">
      <c r="J991" t="inlineStr">
        <is>
          <t>17257560543525</t>
        </is>
      </c>
      <c r="K991" s="5">
        <f>'05_NangLuc'!E989</f>
        <v/>
      </c>
      <c r="L991" s="5" t="n">
        <v>-0.053</v>
      </c>
    </row>
    <row r="992">
      <c r="J992" t="inlineStr">
        <is>
          <t>17257560661477</t>
        </is>
      </c>
      <c r="K992" s="5">
        <f>'05_NangLuc'!E990</f>
        <v/>
      </c>
      <c r="L992" s="5" t="n">
        <v>0.0502</v>
      </c>
    </row>
    <row r="993">
      <c r="J993" t="inlineStr">
        <is>
          <t>17258278646610</t>
        </is>
      </c>
      <c r="K993" s="5">
        <f>'05_NangLuc'!E991</f>
        <v/>
      </c>
      <c r="L993" s="5" t="n">
        <v>0.5928</v>
      </c>
    </row>
    <row r="994">
      <c r="J994" t="inlineStr">
        <is>
          <t>17258309094752</t>
        </is>
      </c>
      <c r="K994" s="5">
        <f>'05_NangLuc'!E992</f>
        <v/>
      </c>
      <c r="L994" s="5" t="n">
        <v>-0.6071</v>
      </c>
    </row>
    <row r="995">
      <c r="J995" t="inlineStr">
        <is>
          <t>17259905768194</t>
        </is>
      </c>
      <c r="K995" s="5">
        <f>'05_NangLuc'!E993</f>
        <v/>
      </c>
      <c r="L995" s="5" t="n">
        <v>0.3631</v>
      </c>
    </row>
    <row r="996">
      <c r="J996" t="inlineStr">
        <is>
          <t>17261349892439</t>
        </is>
      </c>
      <c r="K996" s="5">
        <f>'05_NangLuc'!E994</f>
        <v/>
      </c>
      <c r="L996" s="5" t="n">
        <v>-0.658</v>
      </c>
    </row>
    <row r="997">
      <c r="J997" t="inlineStr">
        <is>
          <t>17261349986643</t>
        </is>
      </c>
      <c r="K997" s="5">
        <f>'05_NangLuc'!E995</f>
        <v/>
      </c>
      <c r="L997" s="5" t="n">
        <v>-0.3975</v>
      </c>
    </row>
    <row r="998">
      <c r="J998" t="inlineStr">
        <is>
          <t>17261748631300</t>
        </is>
      </c>
      <c r="K998" s="5">
        <f>'05_NangLuc'!E996</f>
        <v/>
      </c>
      <c r="L998" s="5" t="n">
        <v>0.1546</v>
      </c>
    </row>
    <row r="999">
      <c r="J999" t="inlineStr">
        <is>
          <t>17261870584164</t>
        </is>
      </c>
      <c r="K999" s="5">
        <f>'05_NangLuc'!E997</f>
        <v/>
      </c>
      <c r="L999" s="5" t="n">
        <v>1.218</v>
      </c>
    </row>
    <row r="1000">
      <c r="J1000" t="inlineStr">
        <is>
          <t>17262016441016</t>
        </is>
      </c>
      <c r="K1000" s="5">
        <f>'05_NangLuc'!E998</f>
        <v/>
      </c>
      <c r="L1000" s="5" t="n">
        <v>0.8967000000000001</v>
      </c>
    </row>
    <row r="1001">
      <c r="J1001" t="inlineStr">
        <is>
          <t>17262098496717</t>
        </is>
      </c>
      <c r="K1001" s="5">
        <f>'05_NangLuc'!E999</f>
        <v/>
      </c>
      <c r="L1001" s="5" t="n">
        <v>-0.2562</v>
      </c>
    </row>
    <row r="1002">
      <c r="J1002" t="inlineStr">
        <is>
          <t>17262172679308</t>
        </is>
      </c>
      <c r="K1002" s="5">
        <f>'05_NangLuc'!E1000</f>
        <v/>
      </c>
      <c r="L1002" s="5" t="n">
        <v>0.8006</v>
      </c>
    </row>
    <row r="1003">
      <c r="J1003" t="inlineStr">
        <is>
          <t>17262173311441</t>
        </is>
      </c>
      <c r="K1003" s="5">
        <f>'05_NangLuc'!E1001</f>
        <v/>
      </c>
      <c r="L1003" s="5" t="n">
        <v>0.369</v>
      </c>
    </row>
    <row r="1004">
      <c r="J1004" t="inlineStr">
        <is>
          <t>17262173877425</t>
        </is>
      </c>
      <c r="K1004" s="5">
        <f>'05_NangLuc'!E1002</f>
        <v/>
      </c>
      <c r="L1004" s="5" t="n">
        <v>-0.7288</v>
      </c>
    </row>
    <row r="1005">
      <c r="J1005" t="inlineStr">
        <is>
          <t>17262228590374</t>
        </is>
      </c>
      <c r="K1005" s="5">
        <f>'05_NangLuc'!E1003</f>
        <v/>
      </c>
      <c r="L1005" s="5" t="n">
        <v>0.6583</v>
      </c>
    </row>
    <row r="1006">
      <c r="J1006" t="inlineStr">
        <is>
          <t>17262228615598</t>
        </is>
      </c>
      <c r="K1006" s="5">
        <f>'05_NangLuc'!E1004</f>
        <v/>
      </c>
      <c r="L1006" s="5" t="n">
        <v>1.0051</v>
      </c>
    </row>
    <row r="1007">
      <c r="J1007" t="inlineStr">
        <is>
          <t>17262231938186</t>
        </is>
      </c>
      <c r="K1007" s="5">
        <f>'05_NangLuc'!E1005</f>
        <v/>
      </c>
      <c r="L1007" s="5" t="n">
        <v>2.5431</v>
      </c>
    </row>
    <row r="1008">
      <c r="J1008" t="inlineStr">
        <is>
          <t>17262233092155</t>
        </is>
      </c>
      <c r="K1008" s="5">
        <f>'05_NangLuc'!E1006</f>
        <v/>
      </c>
      <c r="L1008" s="5" t="n">
        <v>-0.0762</v>
      </c>
    </row>
    <row r="1009">
      <c r="J1009" t="inlineStr">
        <is>
          <t>17262236964508</t>
        </is>
      </c>
      <c r="K1009" s="5">
        <f>'05_NangLuc'!E1007</f>
        <v/>
      </c>
      <c r="L1009" s="5" t="n">
        <v>0.3869</v>
      </c>
    </row>
    <row r="1010">
      <c r="J1010" t="inlineStr">
        <is>
          <t>17262240819456</t>
        </is>
      </c>
      <c r="K1010" s="5">
        <f>'05_NangLuc'!E1008</f>
        <v/>
      </c>
      <c r="L1010" s="5" t="n">
        <v>0.3869</v>
      </c>
    </row>
    <row r="1011">
      <c r="J1011" t="inlineStr">
        <is>
          <t>17264466718761</t>
        </is>
      </c>
      <c r="K1011" s="5">
        <f>'05_NangLuc'!E1009</f>
        <v/>
      </c>
      <c r="L1011" s="5" t="n">
        <v>0.1474</v>
      </c>
    </row>
    <row r="1012">
      <c r="J1012" t="inlineStr">
        <is>
          <t>17264472050242</t>
        </is>
      </c>
      <c r="K1012" s="5">
        <f>'05_NangLuc'!E1010</f>
        <v/>
      </c>
      <c r="L1012" s="5" t="n">
        <v>-0.8514</v>
      </c>
    </row>
    <row r="1013">
      <c r="J1013" t="inlineStr">
        <is>
          <t>17264473892780</t>
        </is>
      </c>
      <c r="K1013" s="5">
        <f>'05_NangLuc'!E1011</f>
        <v/>
      </c>
      <c r="L1013" s="5" t="n">
        <v>0.4795</v>
      </c>
    </row>
    <row r="1014">
      <c r="J1014" t="inlineStr">
        <is>
          <t>17265182191003</t>
        </is>
      </c>
      <c r="K1014" s="5">
        <f>'05_NangLuc'!E1012</f>
        <v/>
      </c>
      <c r="L1014" s="5" t="n">
        <v>0.0339</v>
      </c>
    </row>
    <row r="1015">
      <c r="J1015" t="inlineStr">
        <is>
          <t>17265182233205</t>
        </is>
      </c>
      <c r="K1015" s="5">
        <f>'05_NangLuc'!E1013</f>
        <v/>
      </c>
      <c r="L1015" s="5" t="n">
        <v>0.369</v>
      </c>
    </row>
    <row r="1016">
      <c r="J1016" t="inlineStr">
        <is>
          <t>17265182340435</t>
        </is>
      </c>
      <c r="K1016" s="5">
        <f>'05_NangLuc'!E1014</f>
        <v/>
      </c>
      <c r="L1016" s="5" t="n">
        <v>-1.3927</v>
      </c>
    </row>
    <row r="1017">
      <c r="J1017" t="inlineStr">
        <is>
          <t>17269346851807</t>
        </is>
      </c>
      <c r="K1017" s="5">
        <f>'05_NangLuc'!E1015</f>
        <v/>
      </c>
      <c r="L1017" s="5" t="n">
        <v>0.2608</v>
      </c>
    </row>
    <row r="1018">
      <c r="J1018" t="inlineStr">
        <is>
          <t>17269938864058</t>
        </is>
      </c>
      <c r="K1018" s="5">
        <f>'05_NangLuc'!E1016</f>
        <v/>
      </c>
      <c r="L1018" s="5" t="n">
        <v>0.0217</v>
      </c>
    </row>
    <row r="1019">
      <c r="J1019" t="inlineStr">
        <is>
          <t>17270407891017</t>
        </is>
      </c>
      <c r="K1019" s="5">
        <f>'05_NangLuc'!E1017</f>
        <v/>
      </c>
      <c r="L1019" s="5" t="n">
        <v>-1.3609</v>
      </c>
    </row>
    <row r="1020">
      <c r="J1020" t="inlineStr">
        <is>
          <t>17270856742469</t>
        </is>
      </c>
      <c r="K1020" s="5">
        <f>'05_NangLuc'!E1018</f>
        <v/>
      </c>
      <c r="L1020" s="5" t="n">
        <v>0.4833</v>
      </c>
    </row>
    <row r="1021">
      <c r="J1021" t="inlineStr">
        <is>
          <t>17271269630790</t>
        </is>
      </c>
      <c r="K1021" s="5">
        <f>'05_NangLuc'!E1019</f>
        <v/>
      </c>
      <c r="L1021" s="5" t="n">
        <v>-0.2562</v>
      </c>
    </row>
    <row r="1022">
      <c r="J1022" t="inlineStr">
        <is>
          <t>17271269992090</t>
        </is>
      </c>
      <c r="K1022" s="5">
        <f>'05_NangLuc'!E1020</f>
        <v/>
      </c>
      <c r="L1022" s="5" t="n">
        <v>-0.608</v>
      </c>
    </row>
    <row r="1023">
      <c r="J1023" t="inlineStr">
        <is>
          <t>17272729136082</t>
        </is>
      </c>
      <c r="K1023" s="5">
        <f>'05_NangLuc'!E1021</f>
        <v/>
      </c>
      <c r="L1023" s="5" t="n">
        <v>-3.1615</v>
      </c>
    </row>
    <row r="1024">
      <c r="J1024" t="inlineStr">
        <is>
          <t>17283857948770</t>
        </is>
      </c>
      <c r="K1024" s="5">
        <f>'05_NangLuc'!E1022</f>
        <v/>
      </c>
      <c r="L1024" s="5" t="n">
        <v>0.2608</v>
      </c>
    </row>
    <row r="1025">
      <c r="J1025" t="inlineStr">
        <is>
          <t>17291294321646</t>
        </is>
      </c>
      <c r="K1025" s="5">
        <f>'05_NangLuc'!E1023</f>
        <v/>
      </c>
      <c r="L1025" s="5" t="n">
        <v>-0.4572</v>
      </c>
    </row>
    <row r="1026">
      <c r="J1026" t="inlineStr">
        <is>
          <t>17291326956982</t>
        </is>
      </c>
      <c r="K1026" s="5">
        <f>'05_NangLuc'!E1024</f>
        <v/>
      </c>
      <c r="L1026" s="5" t="n">
        <v>0.6583</v>
      </c>
    </row>
    <row r="1027">
      <c r="J1027" t="inlineStr">
        <is>
          <t>17291327069682</t>
        </is>
      </c>
      <c r="K1027" s="5">
        <f>'05_NangLuc'!E1025</f>
        <v/>
      </c>
      <c r="L1027" s="5" t="n">
        <v>0.2608</v>
      </c>
    </row>
    <row r="1028">
      <c r="J1028" t="inlineStr">
        <is>
          <t>17294586083080</t>
        </is>
      </c>
      <c r="K1028" s="5">
        <f>'05_NangLuc'!E1026</f>
        <v/>
      </c>
      <c r="L1028" s="5" t="n">
        <v>-1.3927</v>
      </c>
    </row>
    <row r="1029">
      <c r="J1029" t="inlineStr">
        <is>
          <t>17295942371873</t>
        </is>
      </c>
      <c r="K1029" s="5">
        <f>'05_NangLuc'!E1027</f>
        <v/>
      </c>
      <c r="L1029" s="5" t="n">
        <v>1.0148</v>
      </c>
    </row>
    <row r="1030">
      <c r="J1030" t="inlineStr">
        <is>
          <t>17296996050670</t>
        </is>
      </c>
      <c r="K1030" s="5">
        <f>'05_NangLuc'!E1028</f>
        <v/>
      </c>
      <c r="L1030" s="5" t="n">
        <v>-0.658</v>
      </c>
    </row>
    <row r="1031">
      <c r="J1031" t="inlineStr">
        <is>
          <t>17299291418518</t>
        </is>
      </c>
      <c r="K1031" s="5">
        <f>'05_NangLuc'!E1029</f>
        <v/>
      </c>
      <c r="L1031" s="5" t="n">
        <v>-0.5575</v>
      </c>
    </row>
    <row r="1032">
      <c r="J1032" t="inlineStr">
        <is>
          <t>17300617430038</t>
        </is>
      </c>
      <c r="K1032" s="5">
        <f>'05_NangLuc'!E1030</f>
        <v/>
      </c>
      <c r="L1032" s="5" t="n">
        <v>-0.053</v>
      </c>
    </row>
    <row r="1033">
      <c r="J1033" t="inlineStr">
        <is>
          <t>17300688160128</t>
        </is>
      </c>
      <c r="K1033" s="5">
        <f>'05_NangLuc'!E1031</f>
        <v/>
      </c>
      <c r="L1033" s="5" t="n">
        <v>0.5928</v>
      </c>
    </row>
    <row r="1034">
      <c r="J1034" t="inlineStr">
        <is>
          <t>17301164387653</t>
        </is>
      </c>
      <c r="K1034" s="5">
        <f>'05_NangLuc'!E1032</f>
        <v/>
      </c>
      <c r="L1034" s="5" t="n">
        <v>0.1474</v>
      </c>
    </row>
    <row r="1035">
      <c r="J1035" t="inlineStr">
        <is>
          <t>17302898466755</t>
        </is>
      </c>
      <c r="K1035" s="5">
        <f>'05_NangLuc'!E1033</f>
        <v/>
      </c>
      <c r="L1035" s="5" t="n">
        <v>-0.1204</v>
      </c>
    </row>
    <row r="1036">
      <c r="J1036" t="inlineStr">
        <is>
          <t>17305000582049</t>
        </is>
      </c>
      <c r="K1036" s="5">
        <f>'05_NangLuc'!E1034</f>
        <v/>
      </c>
      <c r="L1036" s="5" t="n">
        <v>0.2608</v>
      </c>
    </row>
    <row r="1037">
      <c r="J1037" t="inlineStr">
        <is>
          <t>17305433574113</t>
        </is>
      </c>
      <c r="K1037" s="5">
        <f>'05_NangLuc'!E1035</f>
        <v/>
      </c>
      <c r="L1037" s="5" t="n">
        <v>-3.729</v>
      </c>
    </row>
    <row r="1038">
      <c r="J1038" t="inlineStr">
        <is>
          <t>267556670153</t>
        </is>
      </c>
      <c r="K1038" s="5">
        <f>'05_NangLuc'!E1036</f>
        <v/>
      </c>
      <c r="L1038" s="5" t="n">
        <v>0.1328</v>
      </c>
    </row>
    <row r="1039">
      <c r="J1039" t="inlineStr">
        <is>
          <t>324043623039</t>
        </is>
      </c>
      <c r="K1039" s="5">
        <f>'05_NangLuc'!E1037</f>
        <v/>
      </c>
      <c r="L1039" s="5" t="n">
        <v>0.4795</v>
      </c>
    </row>
    <row r="1040">
      <c r="J1040" t="inlineStr">
        <is>
          <t>8897233213937</t>
        </is>
      </c>
      <c r="K1040" s="5">
        <f>'05_NangLuc'!E1038</f>
        <v/>
      </c>
      <c r="L1040" s="5" t="n">
        <v>-0.155</v>
      </c>
    </row>
    <row r="1042">
      <c r="J1042" s="4" t="inlineStr">
        <is>
          <t>cor(θ)</t>
        </is>
      </c>
      <c r="K1042" s="5">
        <f>CORREL(K4:K1040,L4:L1040)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2026-06-24T12:57:05Z</dcterms:created>
  <dcterms:modified xmlns:dcterms="http://purl.org/dc/terms/" xmlns:xsi="http://www.w3.org/2001/XMLSchema-instance" xsi:type="dcterms:W3CDTF">2026-06-24T12:57:05Z</dcterms:modified>
</cp:coreProperties>
</file>